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uración" sheetId="1" state="visible" r:id="rId3"/>
    <sheet name="Carátula" sheetId="2" state="visible" r:id="rId4"/>
    <sheet name="Presupuesto" sheetId="3" state="visible" r:id="rId5"/>
    <sheet name="Flujo de Pagos" sheetId="4" state="visible" r:id="rId6"/>
    <sheet name="Resumen Total" sheetId="5" state="visible" r:id="rId7"/>
    <sheet name="Resumen Mensual" sheetId="6" state="visible" r:id="rId8"/>
    <sheet name="Glosario" sheetId="7" state="visible" r:id="rId9"/>
    <sheet name="_Aux" sheetId="8" state="hidden" r:id="rId10"/>
  </sheets>
  <definedNames>
    <definedName function="false" hidden="false" localSheetId="1" name="_xlnm.Print_Area" vbProcedure="false">Carátula!$A$1:$G$40</definedName>
    <definedName function="false" hidden="true" localSheetId="3" name="_xlnm._FilterDatabase" vbProcedure="false">'Flujo de Pagos'!$A$5:$Z$250</definedName>
    <definedName function="false" hidden="true" localSheetId="2" name="_xlnm._FilterDatabase" vbProcedure="false">Presupuesto!$B$5:$H$67</definedName>
    <definedName function="false" hidden="false" name="ContratistasLista" vbProcedure="false">OFFSET(Presupuesto!$B$7,0,0,MAX(1,COUNTA(Presupuesto!$B$7:$B$66)),1)</definedName>
    <definedName function="false" hidden="false" name="EstimacionesDelContratistaPartida" vbProcedure="false">OFFSET(_Aux!$E$2,0,0,MAX(1,COUNTIF(_Aux!$E$2:$E$61,"?*")),1)</definedName>
    <definedName function="false" hidden="false" name="PagoLista" vbProcedure="false">OFFSET(Glosario!$C$6,0,0,MAX(1,COUNTA(Glosario!$C$6:$C$20)),1)</definedName>
    <definedName function="false" hidden="false" name="PartidasDelContratista" vbProcedure="false">OFFSET(_Aux!$D$2,0,0,MAX(1,COUNTIF(_Aux!$D$2:$D$61,"?*")),1)</definedName>
    <definedName function="false" hidden="false" name="PartidasLista" vbProcedure="false">OFFSET(Presupuesto!$C$7,0,0,MAX(1,COUNTA(Presupuesto!$C$7:$C$66)),1)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<sst xmlns="http://schemas.openxmlformats.org/spreadsheetml/2006/main" count="181" uniqueCount="103">
  <si>
    <t xml:space="preserve">NAUKA</t>
  </si>
  <si>
    <t xml:space="preserve">Configuración del Proyecto</t>
  </si>
  <si>
    <t xml:space="preserve">Estos valores se usan en la Carátula. Edítalos según el proyecto.</t>
  </si>
  <si>
    <t xml:space="preserve">DATOS DEL PROYECTO</t>
  </si>
  <si>
    <t xml:space="preserve">#</t>
  </si>
  <si>
    <t xml:space="preserve">Campo</t>
  </si>
  <si>
    <t xml:space="preserve">Valor</t>
  </si>
  <si>
    <t xml:space="preserve">Nombre del Proyecto</t>
  </si>
  <si>
    <t xml:space="preserve">Ubicación</t>
  </si>
  <si>
    <t xml:space="preserve">LOTE 44</t>
  </si>
  <si>
    <t xml:space="preserve">Cliente</t>
  </si>
  <si>
    <t xml:space="preserve">FIRMANTES (Aparecen al pie de cada carátula)</t>
  </si>
  <si>
    <t xml:space="preserve">Nombre</t>
  </si>
  <si>
    <t xml:space="preserve">Cargo</t>
  </si>
  <si>
    <t xml:space="preserve">Empresa</t>
  </si>
  <si>
    <t xml:space="preserve">Ing. Edy C. Rodriguez</t>
  </si>
  <si>
    <t xml:space="preserve">Director De Construcción</t>
  </si>
  <si>
    <t xml:space="preserve">IZ Arquitectos</t>
  </si>
  <si>
    <t xml:space="preserve">Arq. Jose Ison</t>
  </si>
  <si>
    <t xml:space="preserve">Director General</t>
  </si>
  <si>
    <t xml:space="preserve">Ing. Marcos Fasja</t>
  </si>
  <si>
    <t xml:space="preserve">GFA</t>
  </si>
  <si>
    <t xml:space="preserve">TIP</t>
  </si>
  <si>
    <t xml:space="preserve">Para generar una carátula: ve a la hoja "Carátula", elige Contratista y # Estimación en los dropdowns, y presiona Ctrl+P para imprimir/guardar como PDF.</t>
  </si>
  <si>
    <t xml:space="preserve">Propietario:</t>
  </si>
  <si>
    <t xml:space="preserve">ABIKAR</t>
  </si>
  <si>
    <t xml:space="preserve">Ubicación:</t>
  </si>
  <si>
    <t xml:space="preserve">ESTIMACION</t>
  </si>
  <si>
    <t xml:space="preserve">Partida:</t>
  </si>
  <si>
    <t xml:space="preserve">Colocaión cerca perimetral</t>
  </si>
  <si>
    <t xml:space="preserve">Finiquito</t>
  </si>
  <si>
    <t xml:space="preserve">Contrato Total:</t>
  </si>
  <si>
    <t xml:space="preserve">Saldo por Ejercer:</t>
  </si>
  <si>
    <t xml:space="preserve">Fecha:</t>
  </si>
  <si>
    <t xml:space="preserve">CATEGORIA</t>
  </si>
  <si>
    <t xml:space="preserve">NOMBRE CONTRATISTA</t>
  </si>
  <si>
    <t xml:space="preserve">IMPORTE</t>
  </si>
  <si>
    <t xml:space="preserve">ACUMULADO</t>
  </si>
  <si>
    <t xml:space="preserve">PPTO</t>
  </si>
  <si>
    <t xml:space="preserve">POR EJERCER</t>
  </si>
  <si>
    <t xml:space="preserve">TOTAL ESTIMACION</t>
  </si>
  <si>
    <t xml:space="preserve">AUTORIZACIONES</t>
  </si>
  <si>
    <t xml:space="preserve">FIRMA</t>
  </si>
  <si>
    <t xml:space="preserve">Presupuesto por Contratista</t>
  </si>
  <si>
    <t xml:space="preserve">Cifras en MX$</t>
  </si>
  <si>
    <t xml:space="preserve">CONTRATISTA / PROVEEDOR</t>
  </si>
  <si>
    <t xml:space="preserve">PARTIDA</t>
  </si>
  <si>
    <t xml:space="preserve">PRESUPUESTO</t>
  </si>
  <si>
    <t xml:space="preserve">IVA</t>
  </si>
  <si>
    <t xml:space="preserve">NOTAS</t>
  </si>
  <si>
    <t xml:space="preserve">INPUT</t>
  </si>
  <si>
    <t xml:space="preserve">SAMSTORGAM</t>
  </si>
  <si>
    <t xml:space="preserve">Mecanica de Suelos</t>
  </si>
  <si>
    <t xml:space="preserve">Hector Triana</t>
  </si>
  <si>
    <t xml:space="preserve">Diseño Estructural</t>
  </si>
  <si>
    <t xml:space="preserve">Urarq</t>
  </si>
  <si>
    <t xml:space="preserve">Derribo y Reubicacion de Arboles</t>
  </si>
  <si>
    <t xml:space="preserve">Aquaconcepts</t>
  </si>
  <si>
    <t xml:space="preserve">Proyecto Alberca y Jacuzzi</t>
  </si>
  <si>
    <t xml:space="preserve">TOTAL</t>
  </si>
  <si>
    <t xml:space="preserve">Flujo de Pagos a Contratistas</t>
  </si>
  <si>
    <t xml:space="preserve">x</t>
  </si>
  <si>
    <t xml:space="preserve">EOM</t>
  </si>
  <si>
    <t xml:space="preserve">FECHA DE PAGO</t>
  </si>
  <si>
    <t xml:space="preserve">PAGÓ</t>
  </si>
  <si>
    <t xml:space="preserve">CONTRATISTA</t>
  </si>
  <si>
    <t xml:space="preserve">CONCEPTO</t>
  </si>
  <si>
    <t xml:space="preserve"># ESTIMACION</t>
  </si>
  <si>
    <t xml:space="preserve">MONTO</t>
  </si>
  <si>
    <t xml:space="preserve">PAGADO ACUM.</t>
  </si>
  <si>
    <t xml:space="preserve">RESTO POR PAGAR</t>
  </si>
  <si>
    <t xml:space="preserve">ESTATUS</t>
  </si>
  <si>
    <t xml:space="preserve">AUTO</t>
  </si>
  <si>
    <t xml:space="preserve">DROPDOWN</t>
  </si>
  <si>
    <t xml:space="preserve">Salomon Ison</t>
  </si>
  <si>
    <t xml:space="preserve">Anticipo</t>
  </si>
  <si>
    <t xml:space="preserve">Pagado</t>
  </si>
  <si>
    <t xml:space="preserve">Resumen por Contratista (Acumulado)</t>
  </si>
  <si>
    <t xml:space="preserve">EJERCIDO</t>
  </si>
  <si>
    <t xml:space="preserve">% AVANCE</t>
  </si>
  <si>
    <t xml:space="preserve">DISPONIBLE</t>
  </si>
  <si>
    <t xml:space="preserve">Resumen mensual de pagos</t>
  </si>
  <si>
    <t xml:space="preserve">FLUJO DE PAGOS</t>
  </si>
  <si>
    <t xml:space="preserve">PAGOS POR CONTRATISTA</t>
  </si>
  <si>
    <t xml:space="preserve">TOTAL PAGOS</t>
  </si>
  <si>
    <t xml:space="preserve">PRESUPUESTO vs EJERCIDO</t>
  </si>
  <si>
    <t xml:space="preserve">Presupuesto total</t>
  </si>
  <si>
    <t xml:space="preserve">Ejercido acumulado</t>
  </si>
  <si>
    <t xml:space="preserve">% Avance</t>
  </si>
  <si>
    <t xml:space="preserve">Disponible</t>
  </si>
  <si>
    <t xml:space="preserve">Glosario</t>
  </si>
  <si>
    <t xml:space="preserve">PERSONAS (QUIEN PAGA)</t>
  </si>
  <si>
    <t xml:space="preserve">Rol</t>
  </si>
  <si>
    <t xml:space="preserve">Fasja</t>
  </si>
  <si>
    <t xml:space="preserve">Nauka</t>
  </si>
  <si>
    <t xml:space="preserve">Otros</t>
  </si>
  <si>
    <t xml:space="preserve">INSERTAR FILAS ARRIBA</t>
  </si>
  <si>
    <t xml:space="preserve">Helper Presupuesto</t>
  </si>
  <si>
    <t xml:space="preserve">Helper Flujo</t>
  </si>
  <si>
    <t xml:space="preserve">Partidas filtradas</t>
  </si>
  <si>
    <t xml:space="preserve">Estimaciones filtradas</t>
  </si>
  <si>
    <t xml:space="preserve">Partidas filtradas por contratista de cada fila de Flujo (10 col wide)</t>
  </si>
  <si>
    <t xml:space="preserve">Helper: row# if Presupuesto B_i = Flujo E_r, else 9999 (60 cols × 500 rows)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</si>
</sst>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.00;[RED]&quot;($&quot;#,##0.00\);\-"/>
    <numFmt numFmtId="166" formatCode="dd/mm/yyyy"/>
    <numFmt numFmtId="167" formatCode="#,##0_);\(#,##0\);&quot;--&quot;?"/>
    <numFmt numFmtId="168" formatCode="0%"/>
    <numFmt numFmtId="169" formatCode="#,##0.00_);\(#,##0.00\);&quot;--&quot;?"/>
    <numFmt numFmtId="170" formatCode="mmm\-yy_)"/>
    <numFmt numFmtId="171" formatCode="dd\-mmm\-yy_)"/>
    <numFmt numFmtId="172" formatCode="\$#,##0.00"/>
    <numFmt numFmtId="173" formatCode="0.0%"/>
    <numFmt numFmtId="174" formatCode="###0_);;&quot;--&quot;?;_-@"/>
    <numFmt numFmtId="175" formatCode="#,##0_);\(#,##0\);&quot;--&quot;??"/>
  </numFmts>
  <fonts count="3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2"/>
      <charset val="1"/>
    </font>
    <font>
      <i val="true"/>
      <sz val="11"/>
      <color rgb="FF666666"/>
      <name val="Arial"/>
      <family val="2"/>
      <charset val="1"/>
    </font>
    <font>
      <i val="true"/>
      <sz val="9"/>
      <color rgb="FF888888"/>
      <name val="Arial"/>
      <family val="2"/>
      <charset val="1"/>
    </font>
    <font>
      <b val="true"/>
      <sz val="12"/>
      <color rgb="FFFFFFFF"/>
      <name val="Arial"/>
      <family val="2"/>
      <charset val="1"/>
    </font>
    <font>
      <b val="true"/>
      <sz val="10"/>
      <name val="Arial"/>
      <family val="2"/>
      <charset val="1"/>
    </font>
    <font>
      <sz val="11"/>
      <name val="Arial"/>
      <family val="2"/>
      <charset val="1"/>
    </font>
    <font>
      <b val="true"/>
      <sz val="11"/>
      <color rgb="FF0000FF"/>
      <name val="Arial"/>
      <family val="2"/>
      <charset val="1"/>
    </font>
    <font>
      <sz val="11"/>
      <color rgb="FF0000F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333333"/>
      <name val="Arial"/>
      <family val="2"/>
      <charset val="1"/>
    </font>
    <font>
      <b val="true"/>
      <sz val="16"/>
      <color rgb="FFFFFFFF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2"/>
      <color rgb="FF0000FF"/>
      <name val="Arial"/>
      <family val="2"/>
      <charset val="1"/>
    </font>
    <font>
      <b val="true"/>
      <sz val="10"/>
      <color rgb="FF1F4E78"/>
      <name val="Arial"/>
      <family val="2"/>
      <charset val="1"/>
    </font>
    <font>
      <b val="true"/>
      <sz val="22"/>
      <color rgb="FF0000FF"/>
      <name val="Arial"/>
      <family val="2"/>
      <charset val="1"/>
    </font>
    <font>
      <sz val="10"/>
      <name val="Arial"/>
      <family val="2"/>
      <charset val="1"/>
    </font>
    <font>
      <b val="true"/>
      <sz val="11"/>
      <color rgb="FF1F4E78"/>
      <name val="Arial"/>
      <family val="2"/>
      <charset val="1"/>
    </font>
    <font>
      <b val="true"/>
      <sz val="9"/>
      <name val="Arial"/>
      <family val="2"/>
      <charset val="1"/>
    </font>
    <font>
      <sz val="9"/>
      <name val="Arial"/>
      <family val="2"/>
      <charset val="1"/>
    </font>
    <font>
      <b val="true"/>
      <sz val="12"/>
      <color rgb="FF240671"/>
      <name val="Century Gothic"/>
      <family val="1"/>
      <charset val="1"/>
    </font>
    <font>
      <b val="true"/>
      <sz val="12"/>
      <color rgb="FF595959"/>
      <name val="Century Gothic"/>
      <family val="1"/>
      <charset val="1"/>
    </font>
    <font>
      <sz val="8"/>
      <color rgb="FF000000"/>
      <name val="Century Gothic"/>
      <family val="1"/>
      <charset val="1"/>
    </font>
    <font>
      <b val="true"/>
      <sz val="8"/>
      <color rgb="FFFFFFFF"/>
      <name val="Century Gothic"/>
      <family val="1"/>
      <charset val="1"/>
    </font>
    <font>
      <b val="true"/>
      <sz val="8"/>
      <color rgb="FF000000"/>
      <name val="Century Gothic"/>
      <family val="1"/>
      <charset val="1"/>
    </font>
    <font>
      <sz val="8"/>
      <color rgb="FF0000FF"/>
      <name val="Century Gothic"/>
      <family val="1"/>
      <charset val="1"/>
    </font>
    <font>
      <sz val="11"/>
      <color rgb="FF000000"/>
      <name val="Calibri"/>
      <family val="2"/>
      <charset val="1"/>
    </font>
    <font>
      <sz val="8"/>
      <color rgb="FF008000"/>
      <name val="Century Gothic"/>
      <family val="1"/>
      <charset val="1"/>
    </font>
    <font>
      <b val="true"/>
      <sz val="8"/>
      <color rgb="FF1F3864"/>
      <name val="Century Gothic"/>
      <family val="1"/>
      <charset val="1"/>
    </font>
    <font>
      <b val="true"/>
      <sz val="9"/>
      <color rgb="FF666666"/>
      <name val="Cambria"/>
      <family val="1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3864"/>
      </patternFill>
    </fill>
    <fill>
      <patternFill patternType="solid">
        <fgColor rgb="FFDCE6F1"/>
        <bgColor rgb="FFD9D9D9"/>
      </patternFill>
    </fill>
    <fill>
      <patternFill patternType="solid">
        <fgColor rgb="FF6FAC44"/>
        <bgColor rgb="FF888888"/>
      </patternFill>
    </fill>
    <fill>
      <patternFill patternType="solid">
        <fgColor rgb="FF1F3864"/>
        <bgColor rgb="FF1F4E78"/>
      </patternFill>
    </fill>
    <fill>
      <patternFill patternType="solid">
        <fgColor rgb="FFD9D9D9"/>
        <bgColor rgb="FFDCE6F1"/>
      </patternFill>
    </fill>
    <fill>
      <patternFill patternType="solid">
        <fgColor rgb="FFFFFFCC"/>
        <bgColor rgb="FFFF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>
        <color rgb="FF1F4E78"/>
      </left>
      <right style="medium">
        <color rgb="FF1F4E78"/>
      </right>
      <top style="medium">
        <color rgb="FF1F4E78"/>
      </top>
      <bottom/>
      <diagonal/>
    </border>
    <border diagonalUp="false" diagonalDown="false">
      <left style="medium">
        <color rgb="FF1F4E78"/>
      </left>
      <right style="medium">
        <color rgb="FF1F4E78"/>
      </right>
      <top/>
      <bottom style="medium">
        <color rgb="FF1F4E78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/>
      <top/>
      <bottom style="medium">
        <color rgb="FF1F4E78"/>
      </bottom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7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7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2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7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FF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240671"/>
      <rgbColor rgb="FF808000"/>
      <rgbColor rgb="FF800080"/>
      <rgbColor rgb="FF008080"/>
      <rgbColor rgb="FFC0C0C0"/>
      <rgbColor rgb="FF808080"/>
      <rgbColor rgb="FF9999FF"/>
      <rgbColor rgb="FF595959"/>
      <rgbColor rgb="FFFFFFCC"/>
      <rgbColor rgb="FFDCE6F1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888888"/>
      <rgbColor rgb="FF1F3864"/>
      <rgbColor rgb="FF6FAC44"/>
      <rgbColor rgb="FF0061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32"/>
    <col collapsed="false" customWidth="true" hidden="false" outlineLevel="0" max="4" min="4" style="1" width="22"/>
  </cols>
  <sheetData>
    <row r="1" customFormat="false" ht="21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21.75" hidden="false" customHeight="true" outlineLevel="0" collapsed="false">
      <c r="A5" s="5" t="s">
        <v>3</v>
      </c>
      <c r="B5" s="5"/>
      <c r="C5" s="5"/>
      <c r="D5" s="5"/>
    </row>
    <row r="6" customFormat="false" ht="15" hidden="false" customHeight="true" outlineLevel="0" collapsed="false">
      <c r="A6" s="6" t="s">
        <v>4</v>
      </c>
      <c r="B6" s="6" t="s">
        <v>5</v>
      </c>
      <c r="C6" s="6" t="s">
        <v>6</v>
      </c>
      <c r="D6" s="6"/>
    </row>
    <row r="7" customFormat="false" ht="15" hidden="false" customHeight="true" outlineLevel="0" collapsed="false">
      <c r="A7" s="7" t="n">
        <v>1</v>
      </c>
      <c r="B7" s="8" t="s">
        <v>7</v>
      </c>
      <c r="C7" s="9" t="s">
        <v>0</v>
      </c>
    </row>
    <row r="8" customFormat="false" ht="15" hidden="false" customHeight="true" outlineLevel="0" collapsed="false">
      <c r="A8" s="7" t="n">
        <v>2</v>
      </c>
      <c r="B8" s="8" t="s">
        <v>8</v>
      </c>
      <c r="C8" s="9" t="s">
        <v>9</v>
      </c>
    </row>
    <row r="9" customFormat="false" ht="15" hidden="false" customHeight="true" outlineLevel="0" collapsed="false">
      <c r="A9" s="7" t="n">
        <v>3</v>
      </c>
      <c r="B9" s="8" t="s">
        <v>10</v>
      </c>
      <c r="C9" s="9" t="s">
        <v>0</v>
      </c>
    </row>
    <row r="11" customFormat="false" ht="21.75" hidden="false" customHeight="true" outlineLevel="0" collapsed="false">
      <c r="A11" s="5" t="s">
        <v>11</v>
      </c>
      <c r="B11" s="5"/>
      <c r="C11" s="5"/>
      <c r="D11" s="5"/>
    </row>
    <row r="12" customFormat="false" ht="15" hidden="false" customHeight="true" outlineLevel="0" collapsed="false">
      <c r="A12" s="6" t="s">
        <v>4</v>
      </c>
      <c r="B12" s="6" t="s">
        <v>12</v>
      </c>
      <c r="C12" s="6" t="s">
        <v>13</v>
      </c>
      <c r="D12" s="6" t="s">
        <v>14</v>
      </c>
    </row>
    <row r="13" customFormat="false" ht="15" hidden="false" customHeight="true" outlineLevel="0" collapsed="false">
      <c r="A13" s="7" t="n">
        <v>1</v>
      </c>
      <c r="B13" s="9" t="s">
        <v>15</v>
      </c>
      <c r="C13" s="10" t="s">
        <v>16</v>
      </c>
      <c r="D13" s="10" t="s">
        <v>17</v>
      </c>
    </row>
    <row r="14" customFormat="false" ht="15" hidden="false" customHeight="true" outlineLevel="0" collapsed="false">
      <c r="A14" s="7" t="n">
        <v>2</v>
      </c>
      <c r="B14" s="9" t="s">
        <v>18</v>
      </c>
      <c r="C14" s="10" t="s">
        <v>19</v>
      </c>
      <c r="D14" s="10" t="s">
        <v>17</v>
      </c>
    </row>
    <row r="15" customFormat="false" ht="15" hidden="false" customHeight="true" outlineLevel="0" collapsed="false">
      <c r="A15" s="7" t="n">
        <v>3</v>
      </c>
      <c r="B15" s="9" t="s">
        <v>20</v>
      </c>
      <c r="C15" s="10" t="s">
        <v>19</v>
      </c>
      <c r="D15" s="10" t="s">
        <v>21</v>
      </c>
    </row>
    <row r="17" customFormat="false" ht="36" hidden="false" customHeight="true" outlineLevel="0" collapsed="false">
      <c r="A17" s="11" t="s">
        <v>22</v>
      </c>
      <c r="B17" s="12" t="s">
        <v>23</v>
      </c>
      <c r="C17" s="12"/>
      <c r="D17" s="12"/>
    </row>
  </sheetData>
  <mergeCells count="3">
    <mergeCell ref="A5:D5"/>
    <mergeCell ref="A11:D11"/>
    <mergeCell ref="B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5" activeCellId="0" sqref="C35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20.66"/>
    <col collapsed="false" customWidth="true" hidden="false" outlineLevel="0" max="2" min="2" style="1" width="14.67"/>
    <col collapsed="false" customWidth="true" hidden="false" outlineLevel="0" max="3" min="3" style="1" width="16.5"/>
    <col collapsed="false" customWidth="true" hidden="false" outlineLevel="0" max="4" min="4" style="1" width="14.67"/>
    <col collapsed="false" customWidth="true" hidden="false" outlineLevel="0" max="5" min="5" style="1" width="16.5"/>
    <col collapsed="false" customWidth="true" hidden="false" outlineLevel="0" max="6" min="6" style="1" width="14.67"/>
    <col collapsed="false" customWidth="true" hidden="false" outlineLevel="0" max="7" min="7" style="1" width="14"/>
  </cols>
  <sheetData>
    <row r="1" customFormat="false" ht="31.5" hidden="false" customHeight="true" outlineLevel="0" collapsed="false">
      <c r="A1" s="13" t="str">
        <f aca="false">IF(B2="","NAUKA — SOLICITUD DE PAGO",B2 &amp; IF(B4="",""," — " &amp; B4))</f>
        <v>ABIKAR — Colocaión cerca perimetral</v>
      </c>
      <c r="B1" s="13"/>
      <c r="C1" s="13"/>
      <c r="D1" s="13"/>
      <c r="E1" s="13"/>
      <c r="F1" s="13"/>
      <c r="G1" s="13"/>
    </row>
    <row r="2" customFormat="false" ht="19.5" hidden="false" customHeight="true" outlineLevel="0" collapsed="false">
      <c r="A2" s="14" t="s">
        <v>24</v>
      </c>
      <c r="B2" s="15" t="s">
        <v>25</v>
      </c>
      <c r="C2" s="15"/>
    </row>
    <row r="3" customFormat="false" ht="19.5" hidden="false" customHeight="true" outlineLevel="0" collapsed="false">
      <c r="A3" s="14" t="s">
        <v>26</v>
      </c>
      <c r="B3" s="16" t="str">
        <f aca="false">Configuración!C8</f>
        <v>LOTE 44</v>
      </c>
      <c r="C3" s="16"/>
      <c r="D3" s="17" t="s">
        <v>27</v>
      </c>
      <c r="E3" s="17"/>
      <c r="F3" s="17"/>
      <c r="G3" s="17"/>
    </row>
    <row r="4" customFormat="false" ht="31.5" hidden="false" customHeight="true" outlineLevel="0" collapsed="false">
      <c r="A4" s="14" t="s">
        <v>28</v>
      </c>
      <c r="B4" s="18" t="s">
        <v>29</v>
      </c>
      <c r="C4" s="18"/>
      <c r="D4" s="19" t="s">
        <v>30</v>
      </c>
      <c r="E4" s="19"/>
      <c r="F4" s="19"/>
      <c r="G4" s="19"/>
    </row>
    <row r="5" customFormat="false" ht="19.5" hidden="false" customHeight="true" outlineLevel="0" collapsed="false">
      <c r="A5" s="14" t="s">
        <v>31</v>
      </c>
      <c r="B5" s="20" t="n">
        <f aca="false">IF(OR(B2="",B4=""),"",IFERROR(SUMIFS(Presupuesto!G:G,Presupuesto!B:B,B2,Presupuesto!C:C,B4),""))</f>
        <v>191168</v>
      </c>
      <c r="C5" s="20"/>
    </row>
    <row r="6" customFormat="false" ht="19.5" hidden="false" customHeight="true" outlineLevel="0" collapsed="false">
      <c r="A6" s="14" t="s">
        <v>32</v>
      </c>
      <c r="B6" s="20" t="n">
        <f aca="false">IF(OR(B2="",B4="",D4=""),"",IFERROR(G10,""))</f>
        <v>191168</v>
      </c>
      <c r="C6" s="20"/>
    </row>
    <row r="7" customFormat="false" ht="19.5" hidden="false" customHeight="true" outlineLevel="0" collapsed="false">
      <c r="A7" s="14" t="s">
        <v>33</v>
      </c>
      <c r="B7" s="21" t="n">
        <f aca="false">IF(OR(B2="",B4="",D4=""),"",IFERROR(SUMIFS('Flujo de Pagos'!C:C,'Flujo de Pagos'!E:E,B2,'Flujo de Pagos'!F:F,B4,'Flujo de Pagos'!H:H,D4),""))</f>
        <v>0</v>
      </c>
      <c r="C7" s="21"/>
    </row>
    <row r="9" customFormat="false" ht="31.5" hidden="false" customHeight="true" outlineLevel="0" collapsed="false">
      <c r="A9" s="22" t="s">
        <v>27</v>
      </c>
      <c r="B9" s="22" t="s">
        <v>34</v>
      </c>
      <c r="C9" s="22" t="s">
        <v>35</v>
      </c>
      <c r="D9" s="22" t="s">
        <v>36</v>
      </c>
      <c r="E9" s="22" t="s">
        <v>37</v>
      </c>
      <c r="F9" s="22" t="s">
        <v>38</v>
      </c>
      <c r="G9" s="22" t="s">
        <v>39</v>
      </c>
    </row>
    <row r="10" customFormat="false" ht="25.5" hidden="false" customHeight="true" outlineLevel="0" collapsed="false">
      <c r="A10" s="23" t="str">
        <f aca="false">IF($B$2="","",$D$4)</f>
        <v>Finiquito</v>
      </c>
      <c r="B10" s="23" t="str">
        <f aca="false">IF($B$2="","",$B$4)</f>
        <v>Colocaión cerca perimetral</v>
      </c>
      <c r="C10" s="23" t="str">
        <f aca="false">IF($B$2="","",$B$2)</f>
        <v>ABIKAR</v>
      </c>
      <c r="D10" s="24" t="n">
        <f aca="false">IF(OR($B$2="",$B$4="",$D$4=""),"",IFERROR(SUMIFS('Flujo de Pagos'!I:I,'Flujo de Pagos'!E:E,$B$2,'Flujo de Pagos'!F:F,$B$4,'Flujo de Pagos'!H:H,$D$4),0))</f>
        <v>0</v>
      </c>
      <c r="E10" s="24" t="n">
        <f aca="false">IF(OR($B$2="",$B$4="",$D$4=""),"",IFERROR(SUMIFS('Flujo de Pagos'!I:I,'Flujo de Pagos'!E:E,$B$2,'Flujo de Pagos'!F:F,$B$4,'Flujo de Pagos'!C:C,"&lt;="&amp;$B$7),0))</f>
        <v>0</v>
      </c>
      <c r="F10" s="24" t="n">
        <f aca="false">IF($B$2="","",$B$5)</f>
        <v>191168</v>
      </c>
      <c r="G10" s="24" t="n">
        <f aca="false">IF($B$2="","",IFERROR(F10-E10,0))</f>
        <v>191168</v>
      </c>
    </row>
    <row r="12" customFormat="false" ht="25.5" hidden="false" customHeight="true" outlineLevel="0" collapsed="false">
      <c r="A12" s="25" t="s">
        <v>40</v>
      </c>
      <c r="B12" s="26" t="str">
        <f aca="false">IF($B$2="","",$B$4)</f>
        <v>Colocaión cerca perimetral</v>
      </c>
      <c r="C12" s="26"/>
      <c r="D12" s="27" t="n">
        <f aca="false">IF($B$2="","",D10)</f>
        <v>0</v>
      </c>
    </row>
    <row r="32" customFormat="false" ht="21.75" hidden="false" customHeight="true" outlineLevel="0" collapsed="false">
      <c r="A32" s="28" t="s">
        <v>41</v>
      </c>
      <c r="B32" s="28"/>
      <c r="C32" s="28"/>
      <c r="D32" s="28"/>
      <c r="E32" s="28"/>
      <c r="F32" s="28"/>
      <c r="G32" s="28"/>
    </row>
    <row r="34" customFormat="false" ht="31.5" hidden="false" customHeight="true" outlineLevel="0" collapsed="false"/>
    <row r="35" customFormat="false" ht="15" hidden="false" customHeight="true" outlineLevel="0" collapsed="false">
      <c r="B35" s="29"/>
      <c r="D35" s="29"/>
      <c r="F35" s="29"/>
    </row>
    <row r="36" customFormat="false" ht="15" hidden="false" customHeight="true" outlineLevel="0" collapsed="false">
      <c r="B36" s="30" t="s">
        <v>42</v>
      </c>
      <c r="D36" s="30" t="s">
        <v>42</v>
      </c>
      <c r="F36" s="30" t="s">
        <v>42</v>
      </c>
    </row>
    <row r="37" customFormat="false" ht="15" hidden="false" customHeight="true" outlineLevel="0" collapsed="false">
      <c r="B37" s="31" t="str">
        <f aca="false">Configuración!B13</f>
        <v>Ing. Edy C. Rodriguez</v>
      </c>
      <c r="D37" s="31" t="str">
        <f aca="false">Configuración!B14</f>
        <v>Arq. Jose Ison</v>
      </c>
      <c r="F37" s="31" t="str">
        <f aca="false">Configuración!B15</f>
        <v>Ing. Marcos Fasja</v>
      </c>
    </row>
    <row r="38" customFormat="false" ht="15" hidden="false" customHeight="true" outlineLevel="0" collapsed="false">
      <c r="B38" s="32" t="str">
        <f aca="false">Configuración!C13</f>
        <v>Director De Construcción</v>
      </c>
      <c r="D38" s="32" t="str">
        <f aca="false">Configuración!C14</f>
        <v>Director General</v>
      </c>
      <c r="F38" s="32" t="str">
        <f aca="false">Configuración!C15</f>
        <v>Director General</v>
      </c>
    </row>
    <row r="39" customFormat="false" ht="15" hidden="false" customHeight="true" outlineLevel="0" collapsed="false">
      <c r="B39" s="32" t="str">
        <f aca="false">Configuración!D13</f>
        <v>IZ Arquitectos</v>
      </c>
      <c r="D39" s="32" t="str">
        <f aca="false">Configuración!D14</f>
        <v>IZ Arquitectos</v>
      </c>
      <c r="F39" s="32" t="str">
        <f aca="false">Configuración!D15</f>
        <v>GFA</v>
      </c>
    </row>
  </sheetData>
  <mergeCells count="11">
    <mergeCell ref="A1:G1"/>
    <mergeCell ref="B2:C2"/>
    <mergeCell ref="B3:C3"/>
    <mergeCell ref="D3:G3"/>
    <mergeCell ref="B4:C4"/>
    <mergeCell ref="D4:G4"/>
    <mergeCell ref="B5:C5"/>
    <mergeCell ref="B6:C6"/>
    <mergeCell ref="B7:C7"/>
    <mergeCell ref="B12:C12"/>
    <mergeCell ref="A32:G32"/>
  </mergeCells>
  <dataValidations count="3">
    <dataValidation allowBlank="true" errorStyle="stop" operator="between" prompt="Selecciona el contratista al que se le va a pagar." promptTitle="Contratista" showDropDown="false" showErrorMessage="false" showInputMessage="false" sqref="B2" type="list">
      <formula1>Presupuesto!$B$7:$B$66</formula1>
      <formula2>0</formula2>
    </dataValidation>
    <dataValidation allowBlank="true" errorStyle="stop" operator="between" prompt="Selecciona la partida del contratista. Solo lista las partidas asociadas al contratista que elegiste." promptTitle="Partida" showDropDown="false" showErrorMessage="false" showInputMessage="false" sqref="B4" type="list">
      <formula1>_Aux!$D$2:$D$61</formula1>
      <formula2>0</formula2>
    </dataValidation>
    <dataValidation allowBlank="true" errorStyle="stop" operator="between" prompt="Selecciona la estimación. Solo lista las estimaciones del contratista y partida elegidos." promptTitle="# Estimación" showDropDown="false" showErrorMessage="false" showInputMessage="false" sqref="D4" type="list">
      <formula1>_Aux!$E$2:$E$61</formula1>
      <formula2>0</formula2>
    </dataValidation>
  </dataValidations>
  <printOptions headings="false" gridLines="false" gridLinesSet="true" horizontalCentered="true" verticalCentered="false"/>
  <pageMargins left="0.5" right="0.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00"/>
    <pageSetUpPr fitToPage="false"/>
  </sheetPr>
  <dimension ref="A1:H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C40" activeCellId="0" sqref="C40"/>
    </sheetView>
  </sheetViews>
  <sheetFormatPr defaultColWidth="14.507812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29"/>
    <col collapsed="false" customWidth="true" hidden="false" outlineLevel="0" max="7" min="4" style="1" width="20"/>
    <col collapsed="false" customWidth="true" hidden="false" outlineLevel="0" max="8" min="8" style="1" width="30"/>
    <col collapsed="false" customWidth="true" hidden="false" outlineLevel="0" max="29" min="9" style="1" width="8.67"/>
  </cols>
  <sheetData>
    <row r="1" customFormat="false" ht="15" hidden="false" customHeight="true" outlineLevel="0" collapsed="false">
      <c r="A1" s="33" t="s">
        <v>0</v>
      </c>
    </row>
    <row r="2" customFormat="false" ht="15" hidden="false" customHeight="true" outlineLevel="0" collapsed="false">
      <c r="A2" s="34" t="s">
        <v>43</v>
      </c>
    </row>
    <row r="3" customFormat="false" ht="15" hidden="false" customHeight="true" outlineLevel="0" collapsed="false">
      <c r="A3" s="35" t="s">
        <v>44</v>
      </c>
    </row>
    <row r="5" customFormat="false" ht="15" hidden="false" customHeight="true" outlineLevel="0" collapsed="false">
      <c r="A5" s="36" t="s">
        <v>4</v>
      </c>
      <c r="B5" s="36" t="s">
        <v>45</v>
      </c>
      <c r="C5" s="36" t="s">
        <v>46</v>
      </c>
      <c r="D5" s="36" t="s">
        <v>47</v>
      </c>
      <c r="E5" s="36" t="s">
        <v>48</v>
      </c>
      <c r="F5" s="36" t="s">
        <v>48</v>
      </c>
      <c r="G5" s="36" t="s">
        <v>47</v>
      </c>
      <c r="H5" s="36" t="s">
        <v>49</v>
      </c>
    </row>
    <row r="6" customFormat="false" ht="15" hidden="false" customHeight="true" outlineLevel="0" collapsed="false">
      <c r="A6" s="37"/>
      <c r="B6" s="37" t="s">
        <v>50</v>
      </c>
      <c r="C6" s="37" t="s">
        <v>50</v>
      </c>
      <c r="D6" s="37" t="s">
        <v>50</v>
      </c>
      <c r="E6" s="37" t="s">
        <v>50</v>
      </c>
      <c r="F6" s="37" t="s">
        <v>50</v>
      </c>
      <c r="G6" s="37" t="s">
        <v>50</v>
      </c>
      <c r="H6" s="37" t="s">
        <v>50</v>
      </c>
    </row>
    <row r="7" customFormat="false" ht="15" hidden="false" customHeight="true" outlineLevel="0" collapsed="false">
      <c r="A7" s="38" t="n">
        <v>1</v>
      </c>
      <c r="B7" s="39" t="s">
        <v>51</v>
      </c>
      <c r="C7" s="40" t="s">
        <v>52</v>
      </c>
      <c r="D7" s="41" t="n">
        <v>183440</v>
      </c>
      <c r="E7" s="42" t="n">
        <v>0.16</v>
      </c>
      <c r="F7" s="43" t="n">
        <f aca="false">D7*E7</f>
        <v>29350.4</v>
      </c>
      <c r="G7" s="43" t="n">
        <f aca="false">D7+F7</f>
        <v>212790.4</v>
      </c>
      <c r="H7" s="39"/>
    </row>
    <row r="8" customFormat="false" ht="15" hidden="false" customHeight="true" outlineLevel="0" collapsed="false">
      <c r="A8" s="38" t="n">
        <f aca="false">A7+1</f>
        <v>2</v>
      </c>
      <c r="B8" s="39" t="s">
        <v>53</v>
      </c>
      <c r="C8" s="40" t="s">
        <v>54</v>
      </c>
      <c r="D8" s="41" t="n">
        <v>243000</v>
      </c>
      <c r="E8" s="42" t="n">
        <v>0.16</v>
      </c>
      <c r="F8" s="43" t="n">
        <f aca="false">D8*E8</f>
        <v>38880</v>
      </c>
      <c r="G8" s="43" t="n">
        <f aca="false">D8+F8</f>
        <v>281880</v>
      </c>
      <c r="H8" s="39"/>
    </row>
    <row r="9" customFormat="false" ht="15" hidden="false" customHeight="true" outlineLevel="0" collapsed="false">
      <c r="A9" s="38" t="n">
        <f aca="false">A8+1</f>
        <v>3</v>
      </c>
      <c r="B9" s="39" t="s">
        <v>25</v>
      </c>
      <c r="C9" s="40" t="s">
        <v>29</v>
      </c>
      <c r="D9" s="41" t="n">
        <v>164800</v>
      </c>
      <c r="E9" s="42" t="n">
        <v>0.16</v>
      </c>
      <c r="F9" s="43" t="n">
        <f aca="false">D9*E9</f>
        <v>26368</v>
      </c>
      <c r="G9" s="43" t="n">
        <f aca="false">D9+F9</f>
        <v>191168</v>
      </c>
      <c r="H9" s="39"/>
    </row>
    <row r="10" customFormat="false" ht="15" hidden="false" customHeight="true" outlineLevel="0" collapsed="false">
      <c r="A10" s="38" t="n">
        <f aca="false">A9+1</f>
        <v>4</v>
      </c>
      <c r="B10" s="39" t="s">
        <v>55</v>
      </c>
      <c r="C10" s="40" t="s">
        <v>56</v>
      </c>
      <c r="D10" s="41" t="n">
        <v>237891.04</v>
      </c>
      <c r="E10" s="42" t="n">
        <v>0.16</v>
      </c>
      <c r="F10" s="43" t="n">
        <f aca="false">D10*E10</f>
        <v>38062.5664</v>
      </c>
      <c r="G10" s="43" t="n">
        <f aca="false">D10+F10</f>
        <v>275953.6064</v>
      </c>
      <c r="H10" s="39"/>
    </row>
    <row r="11" customFormat="false" ht="15" hidden="false" customHeight="true" outlineLevel="0" collapsed="false">
      <c r="A11" s="38" t="n">
        <f aca="false">A10+1</f>
        <v>5</v>
      </c>
      <c r="B11" s="39" t="s">
        <v>57</v>
      </c>
      <c r="C11" s="40" t="s">
        <v>58</v>
      </c>
      <c r="D11" s="41" t="n">
        <v>50000</v>
      </c>
      <c r="E11" s="42" t="n">
        <v>0.16</v>
      </c>
      <c r="F11" s="43" t="n">
        <f aca="false">D11*E11</f>
        <v>8000</v>
      </c>
      <c r="G11" s="43" t="n">
        <f aca="false">D11+F11</f>
        <v>58000</v>
      </c>
      <c r="H11" s="39"/>
    </row>
    <row r="12" customFormat="false" ht="15" hidden="false" customHeight="true" outlineLevel="0" collapsed="false">
      <c r="A12" s="38" t="n">
        <f aca="false">A11+1</f>
        <v>6</v>
      </c>
      <c r="B12" s="39"/>
      <c r="C12" s="40"/>
      <c r="D12" s="41"/>
      <c r="E12" s="44"/>
      <c r="F12" s="43"/>
      <c r="G12" s="43"/>
      <c r="H12" s="39"/>
    </row>
    <row r="13" customFormat="false" ht="15" hidden="false" customHeight="true" outlineLevel="0" collapsed="false">
      <c r="A13" s="38" t="n">
        <f aca="false">A12+1</f>
        <v>7</v>
      </c>
      <c r="B13" s="39"/>
      <c r="C13" s="39"/>
      <c r="D13" s="45"/>
      <c r="E13" s="46"/>
      <c r="F13" s="47"/>
      <c r="G13" s="47"/>
      <c r="H13" s="39"/>
    </row>
    <row r="14" customFormat="false" ht="15" hidden="false" customHeight="true" outlineLevel="0" collapsed="false">
      <c r="A14" s="38" t="n">
        <f aca="false">A13+1</f>
        <v>8</v>
      </c>
      <c r="B14" s="39"/>
      <c r="C14" s="39"/>
      <c r="D14" s="45"/>
      <c r="E14" s="46"/>
      <c r="F14" s="47"/>
      <c r="G14" s="47"/>
      <c r="H14" s="39"/>
    </row>
    <row r="15" customFormat="false" ht="15" hidden="false" customHeight="true" outlineLevel="0" collapsed="false">
      <c r="A15" s="38" t="n">
        <f aca="false">A14+1</f>
        <v>9</v>
      </c>
      <c r="B15" s="39"/>
      <c r="C15" s="39"/>
      <c r="D15" s="45"/>
      <c r="E15" s="46"/>
      <c r="F15" s="47"/>
      <c r="G15" s="47"/>
      <c r="H15" s="39"/>
    </row>
    <row r="16" customFormat="false" ht="15" hidden="false" customHeight="true" outlineLevel="0" collapsed="false">
      <c r="A16" s="38" t="n">
        <f aca="false">A15+1</f>
        <v>10</v>
      </c>
      <c r="B16" s="39"/>
      <c r="C16" s="39"/>
      <c r="D16" s="45"/>
      <c r="E16" s="46"/>
      <c r="F16" s="47"/>
      <c r="G16" s="47"/>
      <c r="H16" s="39"/>
    </row>
    <row r="17" customFormat="false" ht="15" hidden="false" customHeight="true" outlineLevel="0" collapsed="false">
      <c r="A17" s="38" t="n">
        <f aca="false">A16+1</f>
        <v>11</v>
      </c>
      <c r="B17" s="39"/>
      <c r="C17" s="39"/>
      <c r="D17" s="45"/>
      <c r="E17" s="46"/>
      <c r="F17" s="47"/>
      <c r="G17" s="47"/>
      <c r="H17" s="39"/>
    </row>
    <row r="18" customFormat="false" ht="15" hidden="false" customHeight="true" outlineLevel="0" collapsed="false">
      <c r="A18" s="38" t="n">
        <f aca="false">A17+1</f>
        <v>12</v>
      </c>
      <c r="B18" s="39"/>
      <c r="C18" s="39"/>
      <c r="D18" s="45"/>
      <c r="E18" s="46"/>
      <c r="F18" s="47"/>
      <c r="G18" s="47"/>
      <c r="H18" s="39"/>
    </row>
    <row r="19" customFormat="false" ht="15" hidden="false" customHeight="true" outlineLevel="0" collapsed="false">
      <c r="A19" s="38" t="n">
        <f aca="false">A18+1</f>
        <v>13</v>
      </c>
      <c r="B19" s="39"/>
      <c r="C19" s="39"/>
      <c r="D19" s="45"/>
      <c r="E19" s="46"/>
      <c r="F19" s="47"/>
      <c r="G19" s="47"/>
      <c r="H19" s="39"/>
    </row>
    <row r="20" customFormat="false" ht="15" hidden="false" customHeight="true" outlineLevel="0" collapsed="false">
      <c r="A20" s="38" t="n">
        <f aca="false">A19+1</f>
        <v>14</v>
      </c>
      <c r="B20" s="39"/>
      <c r="C20" s="39"/>
      <c r="D20" s="45"/>
      <c r="E20" s="46"/>
      <c r="F20" s="47"/>
      <c r="G20" s="47"/>
      <c r="H20" s="39"/>
    </row>
    <row r="21" customFormat="false" ht="15" hidden="false" customHeight="true" outlineLevel="0" collapsed="false">
      <c r="A21" s="38" t="n">
        <f aca="false">A20+1</f>
        <v>15</v>
      </c>
      <c r="B21" s="39"/>
      <c r="C21" s="39"/>
      <c r="D21" s="45"/>
      <c r="E21" s="46"/>
      <c r="F21" s="47"/>
      <c r="G21" s="47"/>
      <c r="H21" s="39"/>
    </row>
    <row r="22" customFormat="false" ht="15" hidden="false" customHeight="true" outlineLevel="0" collapsed="false">
      <c r="A22" s="38" t="n">
        <f aca="false">A21+1</f>
        <v>16</v>
      </c>
      <c r="B22" s="39"/>
      <c r="C22" s="39"/>
      <c r="D22" s="45"/>
      <c r="E22" s="46"/>
      <c r="F22" s="47"/>
      <c r="G22" s="47"/>
      <c r="H22" s="39"/>
    </row>
    <row r="23" customFormat="false" ht="15" hidden="false" customHeight="true" outlineLevel="0" collapsed="false">
      <c r="A23" s="38" t="n">
        <f aca="false">A22+1</f>
        <v>17</v>
      </c>
      <c r="B23" s="39"/>
      <c r="C23" s="39"/>
      <c r="D23" s="45"/>
      <c r="E23" s="46"/>
      <c r="F23" s="47"/>
      <c r="G23" s="47"/>
      <c r="H23" s="39"/>
    </row>
    <row r="24" customFormat="false" ht="15" hidden="false" customHeight="true" outlineLevel="0" collapsed="false">
      <c r="A24" s="38" t="n">
        <f aca="false">A23+1</f>
        <v>18</v>
      </c>
      <c r="B24" s="39"/>
      <c r="C24" s="39"/>
      <c r="D24" s="45"/>
      <c r="E24" s="46"/>
      <c r="F24" s="47"/>
      <c r="G24" s="47"/>
      <c r="H24" s="39"/>
    </row>
    <row r="25" customFormat="false" ht="15" hidden="false" customHeight="true" outlineLevel="0" collapsed="false">
      <c r="A25" s="38" t="n">
        <f aca="false">A24+1</f>
        <v>19</v>
      </c>
      <c r="B25" s="39"/>
      <c r="C25" s="39"/>
      <c r="D25" s="45"/>
      <c r="E25" s="46"/>
      <c r="F25" s="47"/>
      <c r="G25" s="47"/>
      <c r="H25" s="39"/>
    </row>
    <row r="26" customFormat="false" ht="15" hidden="false" customHeight="true" outlineLevel="0" collapsed="false">
      <c r="A26" s="38" t="n">
        <f aca="false">A25+1</f>
        <v>20</v>
      </c>
      <c r="B26" s="39"/>
      <c r="C26" s="39"/>
      <c r="D26" s="45"/>
      <c r="E26" s="46"/>
      <c r="F26" s="47"/>
      <c r="G26" s="47"/>
      <c r="H26" s="39"/>
    </row>
    <row r="27" customFormat="false" ht="15" hidden="false" customHeight="true" outlineLevel="0" collapsed="false">
      <c r="A27" s="38" t="n">
        <f aca="false">A26+1</f>
        <v>21</v>
      </c>
      <c r="B27" s="39"/>
      <c r="C27" s="39"/>
      <c r="D27" s="45"/>
      <c r="E27" s="46"/>
      <c r="F27" s="47"/>
      <c r="G27" s="47"/>
      <c r="H27" s="39"/>
    </row>
    <row r="28" customFormat="false" ht="15" hidden="false" customHeight="true" outlineLevel="0" collapsed="false">
      <c r="A28" s="38" t="n">
        <f aca="false">A27+1</f>
        <v>22</v>
      </c>
      <c r="B28" s="39"/>
      <c r="C28" s="39"/>
      <c r="D28" s="45"/>
      <c r="E28" s="46"/>
      <c r="F28" s="47"/>
      <c r="G28" s="47"/>
      <c r="H28" s="39"/>
    </row>
    <row r="29" customFormat="false" ht="15" hidden="false" customHeight="true" outlineLevel="0" collapsed="false">
      <c r="A29" s="38" t="n">
        <f aca="false">A28+1</f>
        <v>23</v>
      </c>
      <c r="B29" s="39"/>
      <c r="C29" s="39"/>
      <c r="D29" s="45"/>
      <c r="E29" s="46"/>
      <c r="F29" s="47"/>
      <c r="G29" s="47"/>
      <c r="H29" s="39"/>
    </row>
    <row r="30" customFormat="false" ht="15" hidden="false" customHeight="true" outlineLevel="0" collapsed="false">
      <c r="A30" s="38" t="n">
        <f aca="false">A29+1</f>
        <v>24</v>
      </c>
      <c r="B30" s="39"/>
      <c r="C30" s="39"/>
      <c r="D30" s="45"/>
      <c r="E30" s="46"/>
      <c r="F30" s="47"/>
      <c r="G30" s="47"/>
      <c r="H30" s="39"/>
    </row>
    <row r="31" customFormat="false" ht="15" hidden="false" customHeight="true" outlineLevel="0" collapsed="false">
      <c r="A31" s="38" t="n">
        <f aca="false">A30+1</f>
        <v>25</v>
      </c>
      <c r="B31" s="39"/>
      <c r="C31" s="39"/>
      <c r="D31" s="45"/>
      <c r="E31" s="46"/>
      <c r="F31" s="47"/>
      <c r="G31" s="47"/>
      <c r="H31" s="39"/>
    </row>
    <row r="32" customFormat="false" ht="15" hidden="false" customHeight="true" outlineLevel="0" collapsed="false">
      <c r="A32" s="38" t="n">
        <f aca="false">A31+1</f>
        <v>26</v>
      </c>
      <c r="B32" s="39"/>
      <c r="C32" s="39"/>
      <c r="D32" s="45"/>
      <c r="E32" s="46"/>
      <c r="F32" s="47"/>
      <c r="G32" s="47"/>
      <c r="H32" s="39"/>
    </row>
    <row r="33" customFormat="false" ht="15" hidden="false" customHeight="true" outlineLevel="0" collapsed="false">
      <c r="A33" s="38" t="n">
        <f aca="false">A32+1</f>
        <v>27</v>
      </c>
      <c r="B33" s="39"/>
      <c r="C33" s="39"/>
      <c r="D33" s="45"/>
      <c r="E33" s="46"/>
      <c r="F33" s="47"/>
      <c r="G33" s="47"/>
      <c r="H33" s="39"/>
    </row>
    <row r="34" customFormat="false" ht="15" hidden="false" customHeight="true" outlineLevel="0" collapsed="false">
      <c r="A34" s="38" t="n">
        <f aca="false">A33+1</f>
        <v>28</v>
      </c>
      <c r="B34" s="39"/>
      <c r="C34" s="39"/>
      <c r="D34" s="45"/>
      <c r="E34" s="46"/>
      <c r="F34" s="47"/>
      <c r="G34" s="47"/>
      <c r="H34" s="39"/>
    </row>
    <row r="35" customFormat="false" ht="15" hidden="false" customHeight="true" outlineLevel="0" collapsed="false">
      <c r="A35" s="38" t="n">
        <f aca="false">A34+1</f>
        <v>29</v>
      </c>
      <c r="B35" s="39"/>
      <c r="C35" s="39"/>
      <c r="D35" s="45"/>
      <c r="E35" s="46"/>
      <c r="F35" s="47"/>
      <c r="G35" s="47"/>
      <c r="H35" s="39"/>
    </row>
    <row r="36" customFormat="false" ht="15" hidden="false" customHeight="true" outlineLevel="0" collapsed="false">
      <c r="A36" s="38" t="n">
        <f aca="false">A35+1</f>
        <v>30</v>
      </c>
      <c r="B36" s="39"/>
      <c r="C36" s="39"/>
      <c r="D36" s="45"/>
      <c r="E36" s="46"/>
      <c r="F36" s="47"/>
      <c r="G36" s="47"/>
      <c r="H36" s="39"/>
    </row>
    <row r="37" customFormat="false" ht="15" hidden="false" customHeight="true" outlineLevel="0" collapsed="false">
      <c r="A37" s="38" t="n">
        <f aca="false">A36+1</f>
        <v>31</v>
      </c>
      <c r="B37" s="39"/>
      <c r="C37" s="39"/>
      <c r="D37" s="45"/>
      <c r="E37" s="46"/>
      <c r="F37" s="47"/>
      <c r="G37" s="47"/>
      <c r="H37" s="39"/>
    </row>
    <row r="38" customFormat="false" ht="15" hidden="false" customHeight="true" outlineLevel="0" collapsed="false">
      <c r="A38" s="38" t="n">
        <f aca="false">A37+1</f>
        <v>32</v>
      </c>
      <c r="B38" s="39"/>
      <c r="C38" s="39"/>
      <c r="D38" s="45"/>
      <c r="E38" s="46"/>
      <c r="F38" s="47"/>
      <c r="G38" s="47"/>
      <c r="H38" s="39"/>
    </row>
    <row r="39" customFormat="false" ht="15" hidden="false" customHeight="true" outlineLevel="0" collapsed="false">
      <c r="A39" s="38" t="n">
        <f aca="false">A38+1</f>
        <v>33</v>
      </c>
      <c r="B39" s="39"/>
      <c r="C39" s="39"/>
      <c r="D39" s="45"/>
      <c r="E39" s="46"/>
      <c r="F39" s="47"/>
      <c r="G39" s="47"/>
      <c r="H39" s="39"/>
    </row>
    <row r="40" customFormat="false" ht="15" hidden="false" customHeight="true" outlineLevel="0" collapsed="false">
      <c r="A40" s="38" t="n">
        <f aca="false">A39+1</f>
        <v>34</v>
      </c>
      <c r="B40" s="39"/>
      <c r="C40" s="39"/>
      <c r="D40" s="45"/>
      <c r="E40" s="46"/>
      <c r="F40" s="47"/>
      <c r="G40" s="47"/>
      <c r="H40" s="39"/>
    </row>
    <row r="41" customFormat="false" ht="15" hidden="false" customHeight="true" outlineLevel="0" collapsed="false">
      <c r="A41" s="38" t="n">
        <f aca="false">A40+1</f>
        <v>35</v>
      </c>
      <c r="B41" s="39"/>
      <c r="C41" s="39"/>
      <c r="D41" s="45"/>
      <c r="E41" s="46"/>
      <c r="F41" s="47"/>
      <c r="G41" s="47"/>
      <c r="H41" s="39"/>
    </row>
    <row r="42" customFormat="false" ht="15" hidden="false" customHeight="true" outlineLevel="0" collapsed="false">
      <c r="A42" s="38" t="n">
        <f aca="false">A41+1</f>
        <v>36</v>
      </c>
      <c r="B42" s="39"/>
      <c r="C42" s="39"/>
      <c r="D42" s="45"/>
      <c r="E42" s="46"/>
      <c r="F42" s="47"/>
      <c r="G42" s="47"/>
      <c r="H42" s="39"/>
    </row>
    <row r="43" customFormat="false" ht="15" hidden="false" customHeight="true" outlineLevel="0" collapsed="false">
      <c r="A43" s="38" t="n">
        <f aca="false">A42+1</f>
        <v>37</v>
      </c>
      <c r="B43" s="39"/>
      <c r="C43" s="39"/>
      <c r="D43" s="45"/>
      <c r="E43" s="46"/>
      <c r="F43" s="47"/>
      <c r="G43" s="47"/>
      <c r="H43" s="39"/>
    </row>
    <row r="44" customFormat="false" ht="15" hidden="false" customHeight="true" outlineLevel="0" collapsed="false">
      <c r="A44" s="38" t="n">
        <f aca="false">A43+1</f>
        <v>38</v>
      </c>
      <c r="B44" s="39"/>
      <c r="C44" s="39"/>
      <c r="D44" s="45"/>
      <c r="E44" s="46"/>
      <c r="F44" s="47"/>
      <c r="G44" s="47"/>
      <c r="H44" s="39"/>
    </row>
    <row r="45" customFormat="false" ht="15" hidden="false" customHeight="true" outlineLevel="0" collapsed="false">
      <c r="A45" s="38" t="n">
        <f aca="false">A44+1</f>
        <v>39</v>
      </c>
      <c r="B45" s="39"/>
      <c r="C45" s="39"/>
      <c r="D45" s="45"/>
      <c r="E45" s="46"/>
      <c r="F45" s="47"/>
      <c r="G45" s="47"/>
      <c r="H45" s="39"/>
    </row>
    <row r="46" customFormat="false" ht="15" hidden="false" customHeight="true" outlineLevel="0" collapsed="false">
      <c r="A46" s="38" t="n">
        <f aca="false">A45+1</f>
        <v>40</v>
      </c>
      <c r="B46" s="39"/>
      <c r="C46" s="39"/>
      <c r="D46" s="45"/>
      <c r="E46" s="46"/>
      <c r="F46" s="47"/>
      <c r="G46" s="47"/>
      <c r="H46" s="39"/>
    </row>
    <row r="47" customFormat="false" ht="15" hidden="false" customHeight="true" outlineLevel="0" collapsed="false">
      <c r="A47" s="38" t="n">
        <f aca="false">A46+1</f>
        <v>41</v>
      </c>
      <c r="B47" s="39"/>
      <c r="C47" s="39"/>
      <c r="D47" s="45"/>
      <c r="E47" s="46"/>
      <c r="F47" s="47"/>
      <c r="G47" s="47"/>
      <c r="H47" s="39"/>
    </row>
    <row r="48" customFormat="false" ht="15" hidden="false" customHeight="true" outlineLevel="0" collapsed="false">
      <c r="A48" s="38" t="n">
        <f aca="false">A47+1</f>
        <v>42</v>
      </c>
      <c r="B48" s="39"/>
      <c r="C48" s="39"/>
      <c r="D48" s="45"/>
      <c r="E48" s="46"/>
      <c r="F48" s="47"/>
      <c r="G48" s="47"/>
      <c r="H48" s="39"/>
    </row>
    <row r="49" customFormat="false" ht="15" hidden="false" customHeight="true" outlineLevel="0" collapsed="false">
      <c r="A49" s="38" t="n">
        <f aca="false">A48+1</f>
        <v>43</v>
      </c>
      <c r="B49" s="39"/>
      <c r="C49" s="39"/>
      <c r="D49" s="45"/>
      <c r="E49" s="46"/>
      <c r="F49" s="47"/>
      <c r="G49" s="47"/>
      <c r="H49" s="39"/>
    </row>
    <row r="50" customFormat="false" ht="15" hidden="false" customHeight="true" outlineLevel="0" collapsed="false">
      <c r="A50" s="38" t="n">
        <f aca="false">A49+1</f>
        <v>44</v>
      </c>
      <c r="B50" s="39"/>
      <c r="C50" s="39"/>
      <c r="D50" s="45"/>
      <c r="E50" s="46"/>
      <c r="F50" s="47"/>
      <c r="G50" s="47"/>
      <c r="H50" s="39"/>
    </row>
    <row r="51" customFormat="false" ht="15" hidden="false" customHeight="true" outlineLevel="0" collapsed="false">
      <c r="A51" s="38" t="n">
        <f aca="false">A50+1</f>
        <v>45</v>
      </c>
      <c r="B51" s="39"/>
      <c r="C51" s="39"/>
      <c r="D51" s="45"/>
      <c r="E51" s="46"/>
      <c r="F51" s="47"/>
      <c r="G51" s="47"/>
      <c r="H51" s="39"/>
    </row>
    <row r="52" customFormat="false" ht="15" hidden="false" customHeight="true" outlineLevel="0" collapsed="false">
      <c r="A52" s="38" t="n">
        <f aca="false">A51+1</f>
        <v>46</v>
      </c>
      <c r="B52" s="39"/>
      <c r="C52" s="39"/>
      <c r="D52" s="45"/>
      <c r="E52" s="46"/>
      <c r="F52" s="47"/>
      <c r="G52" s="47"/>
      <c r="H52" s="39"/>
    </row>
    <row r="53" customFormat="false" ht="15" hidden="false" customHeight="true" outlineLevel="0" collapsed="false">
      <c r="A53" s="38" t="n">
        <f aca="false">A52+1</f>
        <v>47</v>
      </c>
      <c r="B53" s="39"/>
      <c r="C53" s="39"/>
      <c r="D53" s="45"/>
      <c r="E53" s="46"/>
      <c r="F53" s="47"/>
      <c r="G53" s="47"/>
      <c r="H53" s="39"/>
    </row>
    <row r="54" customFormat="false" ht="15" hidden="false" customHeight="true" outlineLevel="0" collapsed="false">
      <c r="A54" s="38" t="n">
        <f aca="false">A53+1</f>
        <v>48</v>
      </c>
      <c r="B54" s="39"/>
      <c r="C54" s="39"/>
      <c r="D54" s="45"/>
      <c r="E54" s="46"/>
      <c r="F54" s="47"/>
      <c r="G54" s="47"/>
      <c r="H54" s="39"/>
    </row>
    <row r="55" customFormat="false" ht="15" hidden="false" customHeight="true" outlineLevel="0" collapsed="false">
      <c r="A55" s="38" t="n">
        <f aca="false">A54+1</f>
        <v>49</v>
      </c>
      <c r="B55" s="39"/>
      <c r="C55" s="39"/>
      <c r="D55" s="45"/>
      <c r="E55" s="46"/>
      <c r="F55" s="47"/>
      <c r="G55" s="47"/>
      <c r="H55" s="39"/>
    </row>
    <row r="56" customFormat="false" ht="15" hidden="false" customHeight="true" outlineLevel="0" collapsed="false">
      <c r="A56" s="38" t="n">
        <f aca="false">A55+1</f>
        <v>50</v>
      </c>
      <c r="B56" s="39"/>
      <c r="C56" s="39"/>
      <c r="D56" s="45"/>
      <c r="E56" s="46"/>
      <c r="F56" s="47"/>
      <c r="G56" s="47"/>
      <c r="H56" s="39"/>
    </row>
    <row r="57" customFormat="false" ht="15" hidden="false" customHeight="true" outlineLevel="0" collapsed="false">
      <c r="A57" s="38" t="n">
        <f aca="false">A56+1</f>
        <v>51</v>
      </c>
      <c r="B57" s="39"/>
      <c r="C57" s="39"/>
      <c r="D57" s="45"/>
      <c r="E57" s="46"/>
      <c r="F57" s="47"/>
      <c r="G57" s="47"/>
      <c r="H57" s="39"/>
    </row>
    <row r="58" customFormat="false" ht="15" hidden="false" customHeight="true" outlineLevel="0" collapsed="false">
      <c r="A58" s="38" t="n">
        <f aca="false">A57+1</f>
        <v>52</v>
      </c>
      <c r="B58" s="39"/>
      <c r="C58" s="39"/>
      <c r="D58" s="45"/>
      <c r="E58" s="46"/>
      <c r="F58" s="47"/>
      <c r="G58" s="47"/>
      <c r="H58" s="39"/>
    </row>
    <row r="59" customFormat="false" ht="15" hidden="false" customHeight="true" outlineLevel="0" collapsed="false">
      <c r="A59" s="38" t="n">
        <f aca="false">A58+1</f>
        <v>53</v>
      </c>
      <c r="B59" s="39"/>
      <c r="C59" s="39"/>
      <c r="D59" s="45"/>
      <c r="E59" s="46"/>
      <c r="F59" s="47"/>
      <c r="G59" s="47"/>
      <c r="H59" s="39"/>
    </row>
    <row r="60" customFormat="false" ht="15" hidden="false" customHeight="true" outlineLevel="0" collapsed="false">
      <c r="A60" s="38" t="n">
        <f aca="false">A59+1</f>
        <v>54</v>
      </c>
      <c r="B60" s="39"/>
      <c r="C60" s="39"/>
      <c r="D60" s="45"/>
      <c r="E60" s="46"/>
      <c r="F60" s="47"/>
      <c r="G60" s="47"/>
      <c r="H60" s="39"/>
    </row>
    <row r="61" customFormat="false" ht="15" hidden="false" customHeight="true" outlineLevel="0" collapsed="false">
      <c r="A61" s="38" t="n">
        <f aca="false">A60+1</f>
        <v>55</v>
      </c>
      <c r="B61" s="39"/>
      <c r="C61" s="39"/>
      <c r="D61" s="45"/>
      <c r="E61" s="46"/>
      <c r="F61" s="47"/>
      <c r="G61" s="47"/>
      <c r="H61" s="39"/>
    </row>
    <row r="62" customFormat="false" ht="15" hidden="false" customHeight="true" outlineLevel="0" collapsed="false">
      <c r="A62" s="38" t="n">
        <f aca="false">A61+1</f>
        <v>56</v>
      </c>
      <c r="B62" s="39"/>
      <c r="C62" s="39"/>
      <c r="D62" s="45"/>
      <c r="E62" s="46"/>
      <c r="F62" s="47"/>
      <c r="G62" s="47"/>
      <c r="H62" s="39"/>
    </row>
    <row r="63" customFormat="false" ht="15" hidden="false" customHeight="true" outlineLevel="0" collapsed="false">
      <c r="A63" s="38" t="n">
        <f aca="false">A62+1</f>
        <v>57</v>
      </c>
      <c r="B63" s="39"/>
      <c r="C63" s="39"/>
      <c r="D63" s="45"/>
      <c r="E63" s="46"/>
      <c r="F63" s="47"/>
      <c r="G63" s="47"/>
      <c r="H63" s="39"/>
    </row>
    <row r="64" customFormat="false" ht="15" hidden="false" customHeight="true" outlineLevel="0" collapsed="false">
      <c r="A64" s="38" t="n">
        <f aca="false">A63+1</f>
        <v>58</v>
      </c>
      <c r="B64" s="39"/>
      <c r="C64" s="39"/>
      <c r="D64" s="45"/>
      <c r="E64" s="46"/>
      <c r="F64" s="47"/>
      <c r="G64" s="47"/>
      <c r="H64" s="39"/>
    </row>
    <row r="65" customFormat="false" ht="15" hidden="false" customHeight="true" outlineLevel="0" collapsed="false">
      <c r="A65" s="38" t="n">
        <f aca="false">A64+1</f>
        <v>59</v>
      </c>
      <c r="B65" s="39"/>
      <c r="C65" s="39"/>
      <c r="D65" s="45"/>
      <c r="E65" s="46"/>
      <c r="F65" s="47"/>
      <c r="G65" s="47"/>
      <c r="H65" s="39"/>
    </row>
    <row r="66" customFormat="false" ht="15" hidden="false" customHeight="true" outlineLevel="0" collapsed="false">
      <c r="A66" s="38" t="n">
        <f aca="false">A65+1</f>
        <v>60</v>
      </c>
      <c r="B66" s="39"/>
      <c r="C66" s="39"/>
      <c r="D66" s="45"/>
      <c r="E66" s="46"/>
      <c r="F66" s="47"/>
      <c r="G66" s="47"/>
      <c r="H66" s="39"/>
    </row>
    <row r="67" customFormat="false" ht="15" hidden="false" customHeight="true" outlineLevel="0" collapsed="false">
      <c r="A67" s="38" t="n">
        <f aca="false">A66+1</f>
        <v>61</v>
      </c>
      <c r="B67" s="39"/>
      <c r="C67" s="39"/>
      <c r="D67" s="45"/>
      <c r="E67" s="46"/>
      <c r="F67" s="47"/>
      <c r="G67" s="47"/>
      <c r="H67" s="39"/>
    </row>
    <row r="68" customFormat="false" ht="15" hidden="false" customHeight="true" outlineLevel="0" collapsed="false">
      <c r="A68" s="48"/>
      <c r="B68" s="49" t="s">
        <v>59</v>
      </c>
      <c r="C68" s="48"/>
      <c r="D68" s="50"/>
      <c r="E68" s="51"/>
      <c r="F68" s="51"/>
      <c r="G68" s="51" t="n">
        <f aca="false">SUM(G7:G67)</f>
        <v>1019792.0064</v>
      </c>
      <c r="H68" s="48"/>
    </row>
    <row r="69" customFormat="false" ht="15.75" hidden="false" customHeight="true" outlineLevel="0" collapsed="false">
      <c r="D69" s="52"/>
      <c r="F69" s="53"/>
      <c r="G69" s="53"/>
    </row>
    <row r="70" customFormat="false" ht="15.75" hidden="false" customHeight="true" outlineLevel="0" collapsed="false">
      <c r="D70" s="52"/>
      <c r="F70" s="53"/>
      <c r="G70" s="53"/>
    </row>
    <row r="71" customFormat="false" ht="15.75" hidden="false" customHeight="true" outlineLevel="0" collapsed="false">
      <c r="D71" s="52"/>
      <c r="F71" s="53"/>
      <c r="G71" s="53"/>
    </row>
    <row r="72" customFormat="false" ht="15.75" hidden="false" customHeight="true" outlineLevel="0" collapsed="false">
      <c r="D72" s="52"/>
      <c r="F72" s="53"/>
      <c r="G72" s="53"/>
    </row>
    <row r="73" customFormat="false" ht="15.75" hidden="false" customHeight="true" outlineLevel="0" collapsed="false">
      <c r="D73" s="52"/>
      <c r="F73" s="53"/>
      <c r="G73" s="53"/>
    </row>
    <row r="74" customFormat="false" ht="15.75" hidden="false" customHeight="true" outlineLevel="0" collapsed="false">
      <c r="D74" s="52"/>
      <c r="F74" s="53"/>
      <c r="G74" s="53"/>
    </row>
    <row r="75" customFormat="false" ht="15.75" hidden="false" customHeight="true" outlineLevel="0" collapsed="false">
      <c r="D75" s="52"/>
      <c r="F75" s="53"/>
      <c r="G75" s="53"/>
    </row>
    <row r="76" customFormat="false" ht="15.75" hidden="false" customHeight="true" outlineLevel="0" collapsed="false">
      <c r="D76" s="52"/>
      <c r="F76" s="53"/>
      <c r="G76" s="53"/>
    </row>
    <row r="77" customFormat="false" ht="15.75" hidden="false" customHeight="true" outlineLevel="0" collapsed="false">
      <c r="D77" s="52"/>
      <c r="F77" s="53"/>
      <c r="G77" s="53"/>
    </row>
    <row r="78" customFormat="false" ht="15.75" hidden="false" customHeight="true" outlineLevel="0" collapsed="false">
      <c r="D78" s="52"/>
      <c r="F78" s="53"/>
      <c r="G78" s="53"/>
    </row>
    <row r="79" customFormat="false" ht="15.75" hidden="false" customHeight="true" outlineLevel="0" collapsed="false">
      <c r="D79" s="52"/>
      <c r="F79" s="53"/>
      <c r="G79" s="53"/>
    </row>
    <row r="80" customFormat="false" ht="15.75" hidden="false" customHeight="true" outlineLevel="0" collapsed="false">
      <c r="D80" s="52"/>
      <c r="F80" s="53"/>
      <c r="G80" s="53"/>
    </row>
    <row r="81" customFormat="false" ht="15.75" hidden="false" customHeight="true" outlineLevel="0" collapsed="false">
      <c r="D81" s="52"/>
      <c r="F81" s="53"/>
      <c r="G81" s="53"/>
    </row>
    <row r="82" customFormat="false" ht="15.75" hidden="false" customHeight="true" outlineLevel="0" collapsed="false">
      <c r="D82" s="52"/>
      <c r="F82" s="53"/>
      <c r="G82" s="53"/>
    </row>
    <row r="83" customFormat="false" ht="15.75" hidden="false" customHeight="true" outlineLevel="0" collapsed="false">
      <c r="D83" s="52"/>
      <c r="F83" s="53"/>
      <c r="G83" s="53"/>
    </row>
    <row r="84" customFormat="false" ht="15.75" hidden="false" customHeight="true" outlineLevel="0" collapsed="false">
      <c r="D84" s="52"/>
      <c r="F84" s="53"/>
      <c r="G84" s="53"/>
    </row>
    <row r="85" customFormat="false" ht="15.75" hidden="false" customHeight="true" outlineLevel="0" collapsed="false">
      <c r="D85" s="52"/>
      <c r="F85" s="53"/>
      <c r="G85" s="53"/>
    </row>
    <row r="86" customFormat="false" ht="15.75" hidden="false" customHeight="true" outlineLevel="0" collapsed="false">
      <c r="D86" s="52"/>
      <c r="F86" s="53"/>
      <c r="G86" s="53"/>
    </row>
    <row r="87" customFormat="false" ht="15.75" hidden="false" customHeight="true" outlineLevel="0" collapsed="false">
      <c r="D87" s="52"/>
      <c r="F87" s="53"/>
      <c r="G87" s="53"/>
    </row>
    <row r="88" customFormat="false" ht="15.75" hidden="false" customHeight="true" outlineLevel="0" collapsed="false">
      <c r="D88" s="52"/>
      <c r="F88" s="53"/>
      <c r="G88" s="53"/>
    </row>
    <row r="89" customFormat="false" ht="15.75" hidden="false" customHeight="true" outlineLevel="0" collapsed="false">
      <c r="D89" s="52"/>
      <c r="F89" s="53"/>
      <c r="G89" s="53"/>
    </row>
    <row r="90" customFormat="false" ht="15.75" hidden="false" customHeight="true" outlineLevel="0" collapsed="false">
      <c r="D90" s="52"/>
      <c r="F90" s="53"/>
      <c r="G90" s="53"/>
    </row>
    <row r="91" customFormat="false" ht="15.75" hidden="false" customHeight="true" outlineLevel="0" collapsed="false">
      <c r="D91" s="52"/>
      <c r="F91" s="53"/>
      <c r="G91" s="53"/>
    </row>
    <row r="92" customFormat="false" ht="15.75" hidden="false" customHeight="true" outlineLevel="0" collapsed="false">
      <c r="D92" s="52"/>
      <c r="F92" s="53"/>
      <c r="G92" s="53"/>
    </row>
    <row r="93" customFormat="false" ht="15.75" hidden="false" customHeight="true" outlineLevel="0" collapsed="false">
      <c r="D93" s="52"/>
      <c r="F93" s="53"/>
      <c r="G93" s="53"/>
    </row>
    <row r="94" customFormat="false" ht="15.75" hidden="false" customHeight="true" outlineLevel="0" collapsed="false">
      <c r="D94" s="52"/>
      <c r="F94" s="53"/>
      <c r="G94" s="53"/>
    </row>
    <row r="95" customFormat="false" ht="15.75" hidden="false" customHeight="true" outlineLevel="0" collapsed="false">
      <c r="D95" s="52"/>
      <c r="F95" s="53"/>
      <c r="G95" s="53"/>
    </row>
    <row r="96" customFormat="false" ht="15.75" hidden="false" customHeight="true" outlineLevel="0" collapsed="false">
      <c r="D96" s="52"/>
      <c r="F96" s="53"/>
      <c r="G96" s="53"/>
    </row>
    <row r="97" customFormat="false" ht="15.75" hidden="false" customHeight="true" outlineLevel="0" collapsed="false">
      <c r="D97" s="52"/>
      <c r="F97" s="53"/>
      <c r="G97" s="53"/>
    </row>
    <row r="98" customFormat="false" ht="15.75" hidden="false" customHeight="true" outlineLevel="0" collapsed="false">
      <c r="D98" s="52"/>
      <c r="F98" s="53"/>
      <c r="G98" s="53"/>
    </row>
    <row r="99" customFormat="false" ht="15.75" hidden="false" customHeight="true" outlineLevel="0" collapsed="false">
      <c r="D99" s="52"/>
      <c r="F99" s="53"/>
      <c r="G99" s="53"/>
    </row>
    <row r="100" customFormat="false" ht="15.75" hidden="false" customHeight="true" outlineLevel="0" collapsed="false">
      <c r="D100" s="52"/>
      <c r="F100" s="53"/>
      <c r="G100" s="53"/>
    </row>
    <row r="101" customFormat="false" ht="15.75" hidden="false" customHeight="true" outlineLevel="0" collapsed="false">
      <c r="D101" s="52"/>
      <c r="F101" s="53"/>
      <c r="G101" s="53"/>
    </row>
    <row r="102" customFormat="false" ht="15.75" hidden="false" customHeight="true" outlineLevel="0" collapsed="false">
      <c r="D102" s="52"/>
      <c r="F102" s="53"/>
      <c r="G102" s="53"/>
    </row>
    <row r="103" customFormat="false" ht="15.75" hidden="false" customHeight="true" outlineLevel="0" collapsed="false">
      <c r="D103" s="52"/>
      <c r="F103" s="53"/>
      <c r="G103" s="53"/>
    </row>
    <row r="104" customFormat="false" ht="15.75" hidden="false" customHeight="true" outlineLevel="0" collapsed="false">
      <c r="D104" s="52"/>
      <c r="F104" s="53"/>
      <c r="G104" s="53"/>
    </row>
    <row r="105" customFormat="false" ht="15.75" hidden="false" customHeight="true" outlineLevel="0" collapsed="false">
      <c r="D105" s="52"/>
      <c r="F105" s="53"/>
      <c r="G105" s="53"/>
    </row>
    <row r="106" customFormat="false" ht="15.75" hidden="false" customHeight="true" outlineLevel="0" collapsed="false">
      <c r="D106" s="52"/>
      <c r="F106" s="53"/>
      <c r="G106" s="53"/>
    </row>
    <row r="107" customFormat="false" ht="15.75" hidden="false" customHeight="true" outlineLevel="0" collapsed="false">
      <c r="D107" s="52"/>
      <c r="F107" s="53"/>
      <c r="G107" s="53"/>
    </row>
    <row r="108" customFormat="false" ht="15.75" hidden="false" customHeight="true" outlineLevel="0" collapsed="false">
      <c r="D108" s="52"/>
      <c r="F108" s="53"/>
      <c r="G108" s="53"/>
    </row>
    <row r="109" customFormat="false" ht="15.75" hidden="false" customHeight="true" outlineLevel="0" collapsed="false">
      <c r="D109" s="52"/>
      <c r="F109" s="53"/>
      <c r="G109" s="53"/>
    </row>
    <row r="110" customFormat="false" ht="15.75" hidden="false" customHeight="true" outlineLevel="0" collapsed="false">
      <c r="D110" s="52"/>
      <c r="F110" s="53"/>
      <c r="G110" s="53"/>
    </row>
    <row r="111" customFormat="false" ht="15.75" hidden="false" customHeight="true" outlineLevel="0" collapsed="false">
      <c r="D111" s="52"/>
      <c r="F111" s="53"/>
      <c r="G111" s="53"/>
    </row>
    <row r="112" customFormat="false" ht="15.75" hidden="false" customHeight="true" outlineLevel="0" collapsed="false">
      <c r="D112" s="52"/>
      <c r="F112" s="53"/>
      <c r="G112" s="53"/>
    </row>
    <row r="113" customFormat="false" ht="15.75" hidden="false" customHeight="true" outlineLevel="0" collapsed="false">
      <c r="D113" s="52"/>
      <c r="F113" s="53"/>
      <c r="G113" s="53"/>
    </row>
    <row r="114" customFormat="false" ht="15.75" hidden="false" customHeight="true" outlineLevel="0" collapsed="false">
      <c r="D114" s="52"/>
      <c r="F114" s="53"/>
      <c r="G114" s="53"/>
    </row>
    <row r="115" customFormat="false" ht="15.75" hidden="false" customHeight="true" outlineLevel="0" collapsed="false">
      <c r="D115" s="52"/>
      <c r="F115" s="53"/>
      <c r="G115" s="53"/>
    </row>
    <row r="116" customFormat="false" ht="15.75" hidden="false" customHeight="true" outlineLevel="0" collapsed="false">
      <c r="D116" s="52"/>
      <c r="F116" s="53"/>
      <c r="G116" s="53"/>
    </row>
    <row r="117" customFormat="false" ht="15.75" hidden="false" customHeight="true" outlineLevel="0" collapsed="false">
      <c r="D117" s="52"/>
      <c r="F117" s="53"/>
      <c r="G117" s="53"/>
    </row>
    <row r="118" customFormat="false" ht="15.75" hidden="false" customHeight="true" outlineLevel="0" collapsed="false">
      <c r="D118" s="52"/>
      <c r="F118" s="53"/>
      <c r="G118" s="53"/>
    </row>
    <row r="119" customFormat="false" ht="15.75" hidden="false" customHeight="true" outlineLevel="0" collapsed="false">
      <c r="D119" s="52"/>
      <c r="F119" s="53"/>
      <c r="G119" s="53"/>
    </row>
    <row r="120" customFormat="false" ht="15.75" hidden="false" customHeight="true" outlineLevel="0" collapsed="false">
      <c r="D120" s="52"/>
      <c r="F120" s="53"/>
      <c r="G120" s="53"/>
    </row>
    <row r="121" customFormat="false" ht="15.75" hidden="false" customHeight="true" outlineLevel="0" collapsed="false">
      <c r="D121" s="52"/>
      <c r="F121" s="53"/>
      <c r="G121" s="53"/>
    </row>
    <row r="122" customFormat="false" ht="15.75" hidden="false" customHeight="true" outlineLevel="0" collapsed="false">
      <c r="D122" s="52"/>
      <c r="F122" s="53"/>
      <c r="G122" s="53"/>
    </row>
    <row r="123" customFormat="false" ht="15.75" hidden="false" customHeight="true" outlineLevel="0" collapsed="false">
      <c r="D123" s="52"/>
      <c r="F123" s="53"/>
      <c r="G123" s="53"/>
    </row>
    <row r="124" customFormat="false" ht="15.75" hidden="false" customHeight="true" outlineLevel="0" collapsed="false">
      <c r="D124" s="52"/>
      <c r="F124" s="53"/>
      <c r="G124" s="53"/>
    </row>
    <row r="125" customFormat="false" ht="15.75" hidden="false" customHeight="true" outlineLevel="0" collapsed="false">
      <c r="D125" s="52"/>
      <c r="F125" s="53"/>
      <c r="G125" s="53"/>
    </row>
    <row r="126" customFormat="false" ht="15.75" hidden="false" customHeight="true" outlineLevel="0" collapsed="false">
      <c r="D126" s="52"/>
      <c r="F126" s="53"/>
      <c r="G126" s="53"/>
    </row>
    <row r="127" customFormat="false" ht="15.75" hidden="false" customHeight="true" outlineLevel="0" collapsed="false">
      <c r="D127" s="52"/>
      <c r="F127" s="53"/>
      <c r="G127" s="53"/>
    </row>
    <row r="128" customFormat="false" ht="15.75" hidden="false" customHeight="true" outlineLevel="0" collapsed="false">
      <c r="D128" s="52"/>
      <c r="F128" s="53"/>
      <c r="G128" s="53"/>
    </row>
    <row r="129" customFormat="false" ht="15.75" hidden="false" customHeight="true" outlineLevel="0" collapsed="false">
      <c r="D129" s="52"/>
      <c r="F129" s="53"/>
      <c r="G129" s="53"/>
    </row>
    <row r="130" customFormat="false" ht="15.75" hidden="false" customHeight="true" outlineLevel="0" collapsed="false">
      <c r="D130" s="52"/>
      <c r="F130" s="53"/>
      <c r="G130" s="53"/>
    </row>
    <row r="131" customFormat="false" ht="15.75" hidden="false" customHeight="true" outlineLevel="0" collapsed="false">
      <c r="D131" s="52"/>
      <c r="F131" s="53"/>
      <c r="G131" s="53"/>
    </row>
    <row r="132" customFormat="false" ht="15.75" hidden="false" customHeight="true" outlineLevel="0" collapsed="false">
      <c r="D132" s="52"/>
      <c r="F132" s="53"/>
      <c r="G132" s="53"/>
    </row>
    <row r="133" customFormat="false" ht="15.75" hidden="false" customHeight="true" outlineLevel="0" collapsed="false">
      <c r="D133" s="52"/>
      <c r="F133" s="53"/>
      <c r="G133" s="53"/>
    </row>
    <row r="134" customFormat="false" ht="15.75" hidden="false" customHeight="true" outlineLevel="0" collapsed="false">
      <c r="D134" s="52"/>
      <c r="F134" s="53"/>
      <c r="G134" s="53"/>
    </row>
    <row r="135" customFormat="false" ht="15.75" hidden="false" customHeight="true" outlineLevel="0" collapsed="false">
      <c r="D135" s="52"/>
      <c r="F135" s="53"/>
      <c r="G135" s="53"/>
    </row>
    <row r="136" customFormat="false" ht="15.75" hidden="false" customHeight="true" outlineLevel="0" collapsed="false">
      <c r="D136" s="52"/>
      <c r="F136" s="53"/>
      <c r="G136" s="53"/>
    </row>
    <row r="137" customFormat="false" ht="15.75" hidden="false" customHeight="true" outlineLevel="0" collapsed="false">
      <c r="D137" s="52"/>
      <c r="F137" s="53"/>
      <c r="G137" s="53"/>
    </row>
    <row r="138" customFormat="false" ht="15.75" hidden="false" customHeight="true" outlineLevel="0" collapsed="false">
      <c r="D138" s="52"/>
      <c r="F138" s="53"/>
      <c r="G138" s="53"/>
    </row>
    <row r="139" customFormat="false" ht="15.75" hidden="false" customHeight="true" outlineLevel="0" collapsed="false">
      <c r="D139" s="52"/>
      <c r="F139" s="53"/>
      <c r="G139" s="53"/>
    </row>
    <row r="140" customFormat="false" ht="15.75" hidden="false" customHeight="true" outlineLevel="0" collapsed="false">
      <c r="D140" s="52"/>
      <c r="F140" s="53"/>
      <c r="G140" s="53"/>
    </row>
    <row r="141" customFormat="false" ht="15.75" hidden="false" customHeight="true" outlineLevel="0" collapsed="false">
      <c r="D141" s="52"/>
      <c r="F141" s="53"/>
      <c r="G141" s="53"/>
    </row>
    <row r="142" customFormat="false" ht="15.75" hidden="false" customHeight="true" outlineLevel="0" collapsed="false">
      <c r="D142" s="52"/>
      <c r="F142" s="53"/>
      <c r="G142" s="53"/>
    </row>
    <row r="143" customFormat="false" ht="15.75" hidden="false" customHeight="true" outlineLevel="0" collapsed="false">
      <c r="D143" s="52"/>
      <c r="F143" s="53"/>
      <c r="G143" s="53"/>
    </row>
    <row r="144" customFormat="false" ht="15.75" hidden="false" customHeight="true" outlineLevel="0" collapsed="false">
      <c r="D144" s="52"/>
      <c r="F144" s="53"/>
      <c r="G144" s="53"/>
    </row>
    <row r="145" customFormat="false" ht="15.75" hidden="false" customHeight="true" outlineLevel="0" collapsed="false">
      <c r="D145" s="52"/>
      <c r="F145" s="53"/>
      <c r="G145" s="53"/>
    </row>
    <row r="146" customFormat="false" ht="15.75" hidden="false" customHeight="true" outlineLevel="0" collapsed="false">
      <c r="D146" s="52"/>
      <c r="F146" s="53"/>
      <c r="G146" s="53"/>
    </row>
    <row r="147" customFormat="false" ht="15.75" hidden="false" customHeight="true" outlineLevel="0" collapsed="false">
      <c r="D147" s="52"/>
      <c r="F147" s="53"/>
      <c r="G147" s="53"/>
    </row>
    <row r="148" customFormat="false" ht="15.75" hidden="false" customHeight="true" outlineLevel="0" collapsed="false">
      <c r="D148" s="52"/>
      <c r="F148" s="53"/>
      <c r="G148" s="53"/>
    </row>
    <row r="149" customFormat="false" ht="15.75" hidden="false" customHeight="true" outlineLevel="0" collapsed="false">
      <c r="D149" s="52"/>
      <c r="F149" s="53"/>
      <c r="G149" s="53"/>
    </row>
    <row r="150" customFormat="false" ht="15.75" hidden="false" customHeight="true" outlineLevel="0" collapsed="false">
      <c r="D150" s="52"/>
      <c r="F150" s="53"/>
      <c r="G150" s="53"/>
    </row>
    <row r="151" customFormat="false" ht="15.75" hidden="false" customHeight="true" outlineLevel="0" collapsed="false">
      <c r="D151" s="52"/>
      <c r="F151" s="53"/>
      <c r="G151" s="53"/>
    </row>
    <row r="152" customFormat="false" ht="15.75" hidden="false" customHeight="true" outlineLevel="0" collapsed="false">
      <c r="D152" s="52"/>
      <c r="F152" s="53"/>
      <c r="G152" s="53"/>
    </row>
    <row r="153" customFormat="false" ht="15.75" hidden="false" customHeight="true" outlineLevel="0" collapsed="false">
      <c r="D153" s="52"/>
      <c r="F153" s="53"/>
      <c r="G153" s="53"/>
    </row>
    <row r="154" customFormat="false" ht="15.75" hidden="false" customHeight="true" outlineLevel="0" collapsed="false">
      <c r="D154" s="52"/>
      <c r="F154" s="53"/>
      <c r="G154" s="53"/>
    </row>
    <row r="155" customFormat="false" ht="15.75" hidden="false" customHeight="true" outlineLevel="0" collapsed="false">
      <c r="D155" s="52"/>
      <c r="F155" s="53"/>
      <c r="G155" s="53"/>
    </row>
    <row r="156" customFormat="false" ht="15.75" hidden="false" customHeight="true" outlineLevel="0" collapsed="false">
      <c r="D156" s="52"/>
      <c r="F156" s="53"/>
      <c r="G156" s="53"/>
    </row>
    <row r="157" customFormat="false" ht="15.75" hidden="false" customHeight="true" outlineLevel="0" collapsed="false">
      <c r="D157" s="52"/>
      <c r="F157" s="53"/>
      <c r="G157" s="53"/>
    </row>
    <row r="158" customFormat="false" ht="15.75" hidden="false" customHeight="true" outlineLevel="0" collapsed="false">
      <c r="D158" s="52"/>
      <c r="F158" s="53"/>
      <c r="G158" s="53"/>
    </row>
    <row r="159" customFormat="false" ht="15.75" hidden="false" customHeight="true" outlineLevel="0" collapsed="false">
      <c r="D159" s="52"/>
      <c r="F159" s="53"/>
      <c r="G159" s="53"/>
    </row>
    <row r="160" customFormat="false" ht="15.75" hidden="false" customHeight="true" outlineLevel="0" collapsed="false">
      <c r="D160" s="52"/>
      <c r="F160" s="53"/>
      <c r="G160" s="53"/>
    </row>
    <row r="161" customFormat="false" ht="15.75" hidden="false" customHeight="true" outlineLevel="0" collapsed="false">
      <c r="D161" s="52"/>
      <c r="F161" s="53"/>
      <c r="G161" s="53"/>
    </row>
    <row r="162" customFormat="false" ht="15.75" hidden="false" customHeight="true" outlineLevel="0" collapsed="false">
      <c r="D162" s="52"/>
      <c r="F162" s="53"/>
      <c r="G162" s="53"/>
    </row>
    <row r="163" customFormat="false" ht="15.75" hidden="false" customHeight="true" outlineLevel="0" collapsed="false">
      <c r="D163" s="52"/>
      <c r="F163" s="53"/>
      <c r="G163" s="53"/>
    </row>
    <row r="164" customFormat="false" ht="15.75" hidden="false" customHeight="true" outlineLevel="0" collapsed="false">
      <c r="D164" s="52"/>
      <c r="F164" s="53"/>
      <c r="G164" s="53"/>
    </row>
    <row r="165" customFormat="false" ht="15.75" hidden="false" customHeight="true" outlineLevel="0" collapsed="false">
      <c r="D165" s="52"/>
      <c r="F165" s="53"/>
      <c r="G165" s="53"/>
    </row>
    <row r="166" customFormat="false" ht="15.75" hidden="false" customHeight="true" outlineLevel="0" collapsed="false">
      <c r="D166" s="52"/>
      <c r="F166" s="53"/>
      <c r="G166" s="53"/>
    </row>
    <row r="167" customFormat="false" ht="15.75" hidden="false" customHeight="true" outlineLevel="0" collapsed="false">
      <c r="D167" s="52"/>
      <c r="F167" s="53"/>
      <c r="G167" s="53"/>
    </row>
    <row r="168" customFormat="false" ht="15.75" hidden="false" customHeight="true" outlineLevel="0" collapsed="false">
      <c r="D168" s="52"/>
      <c r="F168" s="53"/>
      <c r="G168" s="53"/>
    </row>
    <row r="169" customFormat="false" ht="15.75" hidden="false" customHeight="true" outlineLevel="0" collapsed="false">
      <c r="D169" s="52"/>
      <c r="F169" s="53"/>
      <c r="G169" s="53"/>
    </row>
    <row r="170" customFormat="false" ht="15.75" hidden="false" customHeight="true" outlineLevel="0" collapsed="false">
      <c r="D170" s="52"/>
      <c r="F170" s="53"/>
      <c r="G170" s="53"/>
    </row>
    <row r="171" customFormat="false" ht="15.75" hidden="false" customHeight="true" outlineLevel="0" collapsed="false">
      <c r="D171" s="52"/>
      <c r="F171" s="53"/>
      <c r="G171" s="53"/>
    </row>
    <row r="172" customFormat="false" ht="15.75" hidden="false" customHeight="true" outlineLevel="0" collapsed="false">
      <c r="D172" s="52"/>
      <c r="F172" s="53"/>
      <c r="G172" s="53"/>
    </row>
    <row r="173" customFormat="false" ht="15.75" hidden="false" customHeight="true" outlineLevel="0" collapsed="false">
      <c r="D173" s="52"/>
      <c r="F173" s="53"/>
      <c r="G173" s="53"/>
    </row>
    <row r="174" customFormat="false" ht="15.75" hidden="false" customHeight="true" outlineLevel="0" collapsed="false">
      <c r="D174" s="52"/>
      <c r="F174" s="53"/>
      <c r="G174" s="53"/>
    </row>
    <row r="175" customFormat="false" ht="15.75" hidden="false" customHeight="true" outlineLevel="0" collapsed="false">
      <c r="D175" s="52"/>
      <c r="F175" s="53"/>
      <c r="G175" s="53"/>
    </row>
    <row r="176" customFormat="false" ht="15.75" hidden="false" customHeight="true" outlineLevel="0" collapsed="false">
      <c r="D176" s="52"/>
      <c r="F176" s="53"/>
      <c r="G176" s="53"/>
    </row>
    <row r="177" customFormat="false" ht="15.75" hidden="false" customHeight="true" outlineLevel="0" collapsed="false">
      <c r="D177" s="52"/>
      <c r="F177" s="53"/>
      <c r="G177" s="53"/>
    </row>
    <row r="178" customFormat="false" ht="15.75" hidden="false" customHeight="true" outlineLevel="0" collapsed="false">
      <c r="D178" s="52"/>
      <c r="F178" s="53"/>
      <c r="G178" s="53"/>
    </row>
    <row r="179" customFormat="false" ht="15.75" hidden="false" customHeight="true" outlineLevel="0" collapsed="false">
      <c r="D179" s="52"/>
      <c r="F179" s="53"/>
      <c r="G179" s="53"/>
    </row>
    <row r="180" customFormat="false" ht="15.75" hidden="false" customHeight="true" outlineLevel="0" collapsed="false">
      <c r="D180" s="52"/>
      <c r="F180" s="53"/>
      <c r="G180" s="53"/>
    </row>
    <row r="181" customFormat="false" ht="15.75" hidden="false" customHeight="true" outlineLevel="0" collapsed="false">
      <c r="D181" s="52"/>
      <c r="F181" s="53"/>
      <c r="G181" s="53"/>
    </row>
    <row r="182" customFormat="false" ht="15.75" hidden="false" customHeight="true" outlineLevel="0" collapsed="false">
      <c r="D182" s="52"/>
      <c r="F182" s="53"/>
      <c r="G182" s="53"/>
    </row>
    <row r="183" customFormat="false" ht="15.75" hidden="false" customHeight="true" outlineLevel="0" collapsed="false">
      <c r="D183" s="52"/>
      <c r="F183" s="53"/>
      <c r="G183" s="53"/>
    </row>
    <row r="184" customFormat="false" ht="15.75" hidden="false" customHeight="true" outlineLevel="0" collapsed="false">
      <c r="D184" s="52"/>
      <c r="F184" s="53"/>
      <c r="G184" s="53"/>
    </row>
    <row r="185" customFormat="false" ht="15.75" hidden="false" customHeight="true" outlineLevel="0" collapsed="false">
      <c r="D185" s="52"/>
      <c r="F185" s="53"/>
      <c r="G185" s="53"/>
    </row>
    <row r="186" customFormat="false" ht="15.75" hidden="false" customHeight="true" outlineLevel="0" collapsed="false">
      <c r="D186" s="52"/>
      <c r="F186" s="53"/>
      <c r="G186" s="53"/>
    </row>
    <row r="187" customFormat="false" ht="15.75" hidden="false" customHeight="true" outlineLevel="0" collapsed="false">
      <c r="D187" s="52"/>
      <c r="F187" s="53"/>
      <c r="G187" s="53"/>
    </row>
    <row r="188" customFormat="false" ht="15.75" hidden="false" customHeight="true" outlineLevel="0" collapsed="false">
      <c r="D188" s="52"/>
      <c r="F188" s="53"/>
      <c r="G188" s="53"/>
    </row>
    <row r="189" customFormat="false" ht="15.75" hidden="false" customHeight="true" outlineLevel="0" collapsed="false">
      <c r="D189" s="52"/>
      <c r="F189" s="53"/>
      <c r="G189" s="53"/>
    </row>
    <row r="190" customFormat="false" ht="15.75" hidden="false" customHeight="true" outlineLevel="0" collapsed="false">
      <c r="D190" s="52"/>
      <c r="F190" s="53"/>
      <c r="G190" s="53"/>
    </row>
    <row r="191" customFormat="false" ht="15.75" hidden="false" customHeight="true" outlineLevel="0" collapsed="false">
      <c r="D191" s="52"/>
      <c r="F191" s="53"/>
      <c r="G191" s="53"/>
    </row>
    <row r="192" customFormat="false" ht="15.75" hidden="false" customHeight="true" outlineLevel="0" collapsed="false">
      <c r="D192" s="52"/>
      <c r="F192" s="53"/>
      <c r="G192" s="53"/>
    </row>
    <row r="193" customFormat="false" ht="15.75" hidden="false" customHeight="true" outlineLevel="0" collapsed="false">
      <c r="D193" s="52"/>
      <c r="F193" s="53"/>
      <c r="G193" s="53"/>
    </row>
    <row r="194" customFormat="false" ht="15.75" hidden="false" customHeight="true" outlineLevel="0" collapsed="false">
      <c r="D194" s="52"/>
      <c r="F194" s="53"/>
      <c r="G194" s="53"/>
    </row>
    <row r="195" customFormat="false" ht="15.75" hidden="false" customHeight="true" outlineLevel="0" collapsed="false">
      <c r="D195" s="52"/>
      <c r="F195" s="53"/>
      <c r="G195" s="53"/>
    </row>
    <row r="196" customFormat="false" ht="15.75" hidden="false" customHeight="true" outlineLevel="0" collapsed="false">
      <c r="D196" s="52"/>
      <c r="F196" s="53"/>
      <c r="G196" s="53"/>
    </row>
    <row r="197" customFormat="false" ht="15.75" hidden="false" customHeight="true" outlineLevel="0" collapsed="false">
      <c r="D197" s="52"/>
      <c r="F197" s="53"/>
      <c r="G197" s="53"/>
    </row>
    <row r="198" customFormat="false" ht="15.75" hidden="false" customHeight="true" outlineLevel="0" collapsed="false">
      <c r="D198" s="52"/>
      <c r="F198" s="53"/>
      <c r="G198" s="53"/>
    </row>
    <row r="199" customFormat="false" ht="15.75" hidden="false" customHeight="true" outlineLevel="0" collapsed="false">
      <c r="D199" s="52"/>
      <c r="F199" s="53"/>
      <c r="G199" s="53"/>
    </row>
    <row r="200" customFormat="false" ht="15.75" hidden="false" customHeight="true" outlineLevel="0" collapsed="false">
      <c r="D200" s="52"/>
      <c r="F200" s="53"/>
      <c r="G200" s="53"/>
    </row>
    <row r="201" customFormat="false" ht="15.75" hidden="false" customHeight="true" outlineLevel="0" collapsed="false">
      <c r="D201" s="52"/>
      <c r="F201" s="53"/>
      <c r="G201" s="53"/>
    </row>
    <row r="202" customFormat="false" ht="15.75" hidden="false" customHeight="true" outlineLevel="0" collapsed="false">
      <c r="D202" s="52"/>
      <c r="F202" s="53"/>
      <c r="G202" s="53"/>
    </row>
    <row r="203" customFormat="false" ht="15.75" hidden="false" customHeight="true" outlineLevel="0" collapsed="false">
      <c r="D203" s="52"/>
      <c r="F203" s="53"/>
      <c r="G203" s="53"/>
    </row>
    <row r="204" customFormat="false" ht="15.75" hidden="false" customHeight="true" outlineLevel="0" collapsed="false">
      <c r="D204" s="52"/>
      <c r="F204" s="53"/>
      <c r="G204" s="53"/>
    </row>
    <row r="205" customFormat="false" ht="15.75" hidden="false" customHeight="true" outlineLevel="0" collapsed="false">
      <c r="D205" s="52"/>
      <c r="F205" s="53"/>
      <c r="G205" s="53"/>
    </row>
    <row r="206" customFormat="false" ht="15.75" hidden="false" customHeight="true" outlineLevel="0" collapsed="false">
      <c r="D206" s="52"/>
      <c r="F206" s="53"/>
      <c r="G206" s="53"/>
    </row>
    <row r="207" customFormat="false" ht="15.75" hidden="false" customHeight="true" outlineLevel="0" collapsed="false">
      <c r="D207" s="52"/>
      <c r="F207" s="53"/>
      <c r="G207" s="53"/>
    </row>
    <row r="208" customFormat="false" ht="15.75" hidden="false" customHeight="true" outlineLevel="0" collapsed="false">
      <c r="D208" s="52"/>
      <c r="F208" s="53"/>
      <c r="G208" s="53"/>
    </row>
    <row r="209" customFormat="false" ht="15.75" hidden="false" customHeight="true" outlineLevel="0" collapsed="false">
      <c r="D209" s="52"/>
      <c r="F209" s="53"/>
      <c r="G209" s="53"/>
    </row>
    <row r="210" customFormat="false" ht="15.75" hidden="false" customHeight="true" outlineLevel="0" collapsed="false">
      <c r="D210" s="52"/>
      <c r="F210" s="53"/>
      <c r="G210" s="53"/>
    </row>
    <row r="211" customFormat="false" ht="15.75" hidden="false" customHeight="true" outlineLevel="0" collapsed="false">
      <c r="D211" s="52"/>
      <c r="F211" s="53"/>
      <c r="G211" s="53"/>
    </row>
    <row r="212" customFormat="false" ht="15.75" hidden="false" customHeight="true" outlineLevel="0" collapsed="false">
      <c r="D212" s="52"/>
      <c r="F212" s="53"/>
      <c r="G212" s="53"/>
    </row>
    <row r="213" customFormat="false" ht="15.75" hidden="false" customHeight="true" outlineLevel="0" collapsed="false">
      <c r="D213" s="52"/>
      <c r="F213" s="53"/>
      <c r="G213" s="53"/>
    </row>
    <row r="214" customFormat="false" ht="15.75" hidden="false" customHeight="true" outlineLevel="0" collapsed="false">
      <c r="D214" s="52"/>
      <c r="F214" s="53"/>
      <c r="G214" s="53"/>
    </row>
    <row r="215" customFormat="false" ht="15.75" hidden="false" customHeight="true" outlineLevel="0" collapsed="false">
      <c r="D215" s="52"/>
      <c r="F215" s="53"/>
      <c r="G215" s="53"/>
    </row>
    <row r="216" customFormat="false" ht="15.75" hidden="false" customHeight="true" outlineLevel="0" collapsed="false">
      <c r="D216" s="52"/>
      <c r="F216" s="53"/>
      <c r="G216" s="53"/>
    </row>
    <row r="217" customFormat="false" ht="15.75" hidden="false" customHeight="true" outlineLevel="0" collapsed="false">
      <c r="D217" s="52"/>
      <c r="F217" s="53"/>
      <c r="G217" s="53"/>
    </row>
    <row r="218" customFormat="false" ht="15.75" hidden="false" customHeight="true" outlineLevel="0" collapsed="false">
      <c r="D218" s="52"/>
      <c r="F218" s="53"/>
      <c r="G218" s="53"/>
    </row>
    <row r="219" customFormat="false" ht="15.75" hidden="false" customHeight="true" outlineLevel="0" collapsed="false">
      <c r="D219" s="52"/>
      <c r="F219" s="53"/>
      <c r="G219" s="53"/>
    </row>
    <row r="220" customFormat="false" ht="15.75" hidden="false" customHeight="true" outlineLevel="0" collapsed="false">
      <c r="D220" s="52"/>
      <c r="F220" s="53"/>
      <c r="G220" s="53"/>
    </row>
    <row r="221" customFormat="false" ht="15.75" hidden="false" customHeight="true" outlineLevel="0" collapsed="false">
      <c r="D221" s="52"/>
      <c r="F221" s="53"/>
      <c r="G221" s="53"/>
    </row>
    <row r="222" customFormat="false" ht="15.75" hidden="false" customHeight="true" outlineLevel="0" collapsed="false">
      <c r="D222" s="52"/>
      <c r="F222" s="53"/>
      <c r="G222" s="53"/>
    </row>
    <row r="223" customFormat="false" ht="15.75" hidden="false" customHeight="true" outlineLevel="0" collapsed="false">
      <c r="D223" s="52"/>
      <c r="F223" s="53"/>
      <c r="G223" s="53"/>
    </row>
    <row r="224" customFormat="false" ht="15.75" hidden="false" customHeight="true" outlineLevel="0" collapsed="false">
      <c r="D224" s="52"/>
      <c r="F224" s="53"/>
      <c r="G224" s="53"/>
    </row>
    <row r="225" customFormat="false" ht="15.75" hidden="false" customHeight="true" outlineLevel="0" collapsed="false">
      <c r="D225" s="52"/>
      <c r="F225" s="53"/>
      <c r="G225" s="53"/>
    </row>
    <row r="226" customFormat="false" ht="15.75" hidden="false" customHeight="true" outlineLevel="0" collapsed="false">
      <c r="D226" s="52"/>
      <c r="F226" s="53"/>
      <c r="G226" s="53"/>
    </row>
    <row r="227" customFormat="false" ht="15.75" hidden="false" customHeight="true" outlineLevel="0" collapsed="false">
      <c r="D227" s="52"/>
      <c r="F227" s="53"/>
      <c r="G227" s="53"/>
    </row>
    <row r="228" customFormat="false" ht="15.75" hidden="false" customHeight="true" outlineLevel="0" collapsed="false">
      <c r="D228" s="52"/>
      <c r="F228" s="53"/>
      <c r="G228" s="53"/>
    </row>
    <row r="229" customFormat="false" ht="15.75" hidden="false" customHeight="true" outlineLevel="0" collapsed="false">
      <c r="D229" s="52"/>
      <c r="F229" s="53"/>
      <c r="G229" s="53"/>
    </row>
    <row r="230" customFormat="false" ht="15.75" hidden="false" customHeight="true" outlineLevel="0" collapsed="false">
      <c r="D230" s="52"/>
      <c r="F230" s="53"/>
      <c r="G230" s="53"/>
    </row>
    <row r="231" customFormat="false" ht="15.75" hidden="false" customHeight="true" outlineLevel="0" collapsed="false">
      <c r="D231" s="52"/>
      <c r="F231" s="53"/>
      <c r="G231" s="53"/>
    </row>
    <row r="232" customFormat="false" ht="15.75" hidden="false" customHeight="true" outlineLevel="0" collapsed="false">
      <c r="D232" s="52"/>
      <c r="F232" s="53"/>
      <c r="G232" s="53"/>
    </row>
    <row r="233" customFormat="false" ht="15.75" hidden="false" customHeight="true" outlineLevel="0" collapsed="false">
      <c r="D233" s="52"/>
      <c r="F233" s="53"/>
      <c r="G233" s="53"/>
    </row>
    <row r="234" customFormat="false" ht="15.75" hidden="false" customHeight="true" outlineLevel="0" collapsed="false">
      <c r="D234" s="52"/>
      <c r="F234" s="53"/>
      <c r="G234" s="53"/>
    </row>
    <row r="235" customFormat="false" ht="15.75" hidden="false" customHeight="true" outlineLevel="0" collapsed="false">
      <c r="D235" s="52"/>
      <c r="F235" s="53"/>
      <c r="G235" s="53"/>
    </row>
    <row r="236" customFormat="false" ht="15.75" hidden="false" customHeight="true" outlineLevel="0" collapsed="false">
      <c r="D236" s="52"/>
      <c r="F236" s="53"/>
      <c r="G236" s="53"/>
    </row>
    <row r="237" customFormat="false" ht="15.75" hidden="false" customHeight="true" outlineLevel="0" collapsed="false">
      <c r="D237" s="52"/>
      <c r="F237" s="53"/>
      <c r="G237" s="53"/>
    </row>
    <row r="238" customFormat="false" ht="15.75" hidden="false" customHeight="true" outlineLevel="0" collapsed="false">
      <c r="D238" s="52"/>
      <c r="F238" s="53"/>
      <c r="G238" s="53"/>
    </row>
    <row r="239" customFormat="false" ht="15.75" hidden="false" customHeight="true" outlineLevel="0" collapsed="false">
      <c r="D239" s="52"/>
      <c r="F239" s="53"/>
      <c r="G239" s="53"/>
    </row>
    <row r="240" customFormat="false" ht="15.75" hidden="false" customHeight="true" outlineLevel="0" collapsed="false">
      <c r="D240" s="52"/>
      <c r="F240" s="53"/>
      <c r="G240" s="53"/>
    </row>
    <row r="241" customFormat="false" ht="15.75" hidden="false" customHeight="true" outlineLevel="0" collapsed="false">
      <c r="D241" s="52"/>
      <c r="F241" s="53"/>
      <c r="G241" s="53"/>
    </row>
    <row r="242" customFormat="false" ht="15.75" hidden="false" customHeight="true" outlineLevel="0" collapsed="false">
      <c r="D242" s="52"/>
      <c r="F242" s="53"/>
      <c r="G242" s="53"/>
    </row>
    <row r="243" customFormat="false" ht="15.75" hidden="false" customHeight="true" outlineLevel="0" collapsed="false">
      <c r="D243" s="52"/>
      <c r="F243" s="53"/>
      <c r="G243" s="53"/>
    </row>
    <row r="244" customFormat="false" ht="15.75" hidden="false" customHeight="true" outlineLevel="0" collapsed="false">
      <c r="D244" s="52"/>
      <c r="F244" s="53"/>
      <c r="G244" s="53"/>
    </row>
    <row r="245" customFormat="false" ht="15.75" hidden="false" customHeight="true" outlineLevel="0" collapsed="false">
      <c r="D245" s="52"/>
      <c r="F245" s="53"/>
      <c r="G245" s="53"/>
    </row>
    <row r="246" customFormat="false" ht="15.75" hidden="false" customHeight="true" outlineLevel="0" collapsed="false">
      <c r="D246" s="52"/>
      <c r="F246" s="53"/>
      <c r="G246" s="53"/>
    </row>
    <row r="247" customFormat="false" ht="15.75" hidden="false" customHeight="true" outlineLevel="0" collapsed="false">
      <c r="D247" s="52"/>
      <c r="F247" s="53"/>
      <c r="G247" s="53"/>
    </row>
    <row r="248" customFormat="false" ht="15.75" hidden="false" customHeight="true" outlineLevel="0" collapsed="false">
      <c r="D248" s="52"/>
      <c r="F248" s="53"/>
      <c r="G248" s="53"/>
    </row>
    <row r="249" customFormat="false" ht="15.75" hidden="false" customHeight="true" outlineLevel="0" collapsed="false">
      <c r="D249" s="52"/>
      <c r="F249" s="53"/>
      <c r="G249" s="53"/>
    </row>
    <row r="250" customFormat="false" ht="15.75" hidden="false" customHeight="true" outlineLevel="0" collapsed="false">
      <c r="D250" s="52"/>
      <c r="F250" s="53"/>
      <c r="G250" s="53"/>
    </row>
    <row r="251" customFormat="false" ht="15.75" hidden="false" customHeight="true" outlineLevel="0" collapsed="false">
      <c r="D251" s="52"/>
      <c r="F251" s="53"/>
      <c r="G251" s="53"/>
    </row>
    <row r="252" customFormat="false" ht="15.75" hidden="false" customHeight="true" outlineLevel="0" collapsed="false">
      <c r="D252" s="52"/>
      <c r="F252" s="53"/>
      <c r="G252" s="53"/>
    </row>
    <row r="253" customFormat="false" ht="15.75" hidden="false" customHeight="true" outlineLevel="0" collapsed="false">
      <c r="D253" s="52"/>
      <c r="F253" s="53"/>
      <c r="G253" s="53"/>
    </row>
    <row r="254" customFormat="false" ht="15.75" hidden="false" customHeight="true" outlineLevel="0" collapsed="false">
      <c r="D254" s="52"/>
      <c r="F254" s="53"/>
      <c r="G254" s="53"/>
    </row>
    <row r="255" customFormat="false" ht="15.75" hidden="false" customHeight="true" outlineLevel="0" collapsed="false">
      <c r="D255" s="52"/>
      <c r="F255" s="53"/>
      <c r="G255" s="53"/>
    </row>
    <row r="256" customFormat="false" ht="15.75" hidden="false" customHeight="true" outlineLevel="0" collapsed="false">
      <c r="D256" s="52"/>
      <c r="F256" s="53"/>
      <c r="G256" s="53"/>
    </row>
    <row r="257" customFormat="false" ht="15.75" hidden="false" customHeight="true" outlineLevel="0" collapsed="false">
      <c r="D257" s="52"/>
      <c r="F257" s="53"/>
      <c r="G257" s="53"/>
    </row>
    <row r="258" customFormat="false" ht="15.75" hidden="false" customHeight="true" outlineLevel="0" collapsed="false">
      <c r="D258" s="52"/>
      <c r="F258" s="53"/>
      <c r="G258" s="53"/>
    </row>
    <row r="259" customFormat="false" ht="15.75" hidden="false" customHeight="true" outlineLevel="0" collapsed="false">
      <c r="D259" s="52"/>
      <c r="F259" s="53"/>
      <c r="G259" s="53"/>
    </row>
    <row r="260" customFormat="false" ht="15.75" hidden="false" customHeight="true" outlineLevel="0" collapsed="false">
      <c r="D260" s="52"/>
      <c r="F260" s="53"/>
      <c r="G260" s="53"/>
    </row>
    <row r="261" customFormat="false" ht="15.75" hidden="false" customHeight="true" outlineLevel="0" collapsed="false">
      <c r="D261" s="52"/>
      <c r="F261" s="53"/>
      <c r="G261" s="53"/>
    </row>
    <row r="262" customFormat="false" ht="15.75" hidden="false" customHeight="true" outlineLevel="0" collapsed="false">
      <c r="D262" s="52"/>
      <c r="F262" s="53"/>
      <c r="G262" s="53"/>
    </row>
    <row r="263" customFormat="false" ht="15.75" hidden="false" customHeight="true" outlineLevel="0" collapsed="false">
      <c r="D263" s="52"/>
      <c r="F263" s="53"/>
      <c r="G263" s="53"/>
    </row>
    <row r="264" customFormat="false" ht="15.75" hidden="false" customHeight="true" outlineLevel="0" collapsed="false">
      <c r="D264" s="52"/>
      <c r="F264" s="53"/>
      <c r="G264" s="53"/>
    </row>
    <row r="265" customFormat="false" ht="15.75" hidden="false" customHeight="true" outlineLevel="0" collapsed="false">
      <c r="D265" s="52"/>
      <c r="F265" s="53"/>
      <c r="G265" s="53"/>
    </row>
    <row r="266" customFormat="false" ht="15.75" hidden="false" customHeight="true" outlineLevel="0" collapsed="false">
      <c r="D266" s="52"/>
      <c r="F266" s="53"/>
      <c r="G266" s="53"/>
    </row>
    <row r="267" customFormat="false" ht="15.75" hidden="false" customHeight="true" outlineLevel="0" collapsed="false">
      <c r="D267" s="52"/>
      <c r="F267" s="53"/>
      <c r="G267" s="53"/>
    </row>
    <row r="268" customFormat="false" ht="15.75" hidden="false" customHeight="true" outlineLevel="0" collapsed="false">
      <c r="D268" s="52"/>
      <c r="F268" s="53"/>
      <c r="G268" s="53"/>
    </row>
    <row r="269" customFormat="false" ht="15.75" hidden="false" customHeight="true" outlineLevel="0" collapsed="false">
      <c r="D269" s="52"/>
      <c r="F269" s="53"/>
      <c r="G269" s="53"/>
    </row>
    <row r="270" customFormat="false" ht="15.75" hidden="false" customHeight="true" outlineLevel="0" collapsed="false">
      <c r="D270" s="52"/>
      <c r="F270" s="53"/>
      <c r="G270" s="53"/>
    </row>
    <row r="271" customFormat="false" ht="15.75" hidden="false" customHeight="true" outlineLevel="0" collapsed="false">
      <c r="D271" s="52"/>
      <c r="F271" s="53"/>
      <c r="G271" s="53"/>
    </row>
    <row r="272" customFormat="false" ht="15.75" hidden="false" customHeight="true" outlineLevel="0" collapsed="false">
      <c r="D272" s="52"/>
      <c r="F272" s="53"/>
      <c r="G272" s="53"/>
    </row>
    <row r="273" customFormat="false" ht="15.75" hidden="false" customHeight="true" outlineLevel="0" collapsed="false">
      <c r="D273" s="52"/>
      <c r="F273" s="53"/>
      <c r="G273" s="53"/>
    </row>
    <row r="274" customFormat="false" ht="15.75" hidden="false" customHeight="true" outlineLevel="0" collapsed="false">
      <c r="D274" s="52"/>
      <c r="F274" s="53"/>
      <c r="G274" s="53"/>
    </row>
    <row r="275" customFormat="false" ht="15.75" hidden="false" customHeight="true" outlineLevel="0" collapsed="false">
      <c r="D275" s="52"/>
      <c r="F275" s="53"/>
      <c r="G275" s="53"/>
    </row>
    <row r="276" customFormat="false" ht="15.75" hidden="false" customHeight="true" outlineLevel="0" collapsed="false">
      <c r="D276" s="52"/>
      <c r="F276" s="53"/>
      <c r="G276" s="53"/>
    </row>
    <row r="277" customFormat="false" ht="15.75" hidden="false" customHeight="true" outlineLevel="0" collapsed="false">
      <c r="D277" s="52"/>
      <c r="F277" s="53"/>
      <c r="G277" s="53"/>
    </row>
    <row r="278" customFormat="false" ht="15.75" hidden="false" customHeight="true" outlineLevel="0" collapsed="false">
      <c r="D278" s="52"/>
      <c r="F278" s="53"/>
      <c r="G278" s="53"/>
    </row>
    <row r="279" customFormat="false" ht="15.75" hidden="false" customHeight="true" outlineLevel="0" collapsed="false">
      <c r="D279" s="52"/>
      <c r="F279" s="53"/>
      <c r="G279" s="53"/>
    </row>
    <row r="280" customFormat="false" ht="15.75" hidden="false" customHeight="true" outlineLevel="0" collapsed="false">
      <c r="D280" s="52"/>
      <c r="F280" s="53"/>
      <c r="G280" s="53"/>
    </row>
    <row r="281" customFormat="false" ht="15.75" hidden="false" customHeight="true" outlineLevel="0" collapsed="false">
      <c r="D281" s="52"/>
      <c r="F281" s="53"/>
      <c r="G281" s="53"/>
    </row>
    <row r="282" customFormat="false" ht="15.75" hidden="false" customHeight="true" outlineLevel="0" collapsed="false">
      <c r="D282" s="52"/>
      <c r="F282" s="53"/>
      <c r="G282" s="53"/>
    </row>
    <row r="283" customFormat="false" ht="15.75" hidden="false" customHeight="true" outlineLevel="0" collapsed="false">
      <c r="D283" s="52"/>
      <c r="F283" s="53"/>
      <c r="G283" s="53"/>
    </row>
    <row r="284" customFormat="false" ht="15.75" hidden="false" customHeight="true" outlineLevel="0" collapsed="false">
      <c r="D284" s="52"/>
      <c r="F284" s="53"/>
      <c r="G284" s="53"/>
    </row>
    <row r="285" customFormat="false" ht="15.75" hidden="false" customHeight="true" outlineLevel="0" collapsed="false">
      <c r="D285" s="52"/>
      <c r="F285" s="53"/>
      <c r="G285" s="53"/>
    </row>
    <row r="286" customFormat="false" ht="15.75" hidden="false" customHeight="true" outlineLevel="0" collapsed="false">
      <c r="D286" s="52"/>
      <c r="F286" s="53"/>
      <c r="G286" s="53"/>
    </row>
    <row r="287" customFormat="false" ht="15.75" hidden="false" customHeight="true" outlineLevel="0" collapsed="false">
      <c r="D287" s="52"/>
      <c r="F287" s="53"/>
      <c r="G287" s="53"/>
    </row>
    <row r="288" customFormat="false" ht="15.75" hidden="false" customHeight="true" outlineLevel="0" collapsed="false">
      <c r="D288" s="52"/>
      <c r="F288" s="53"/>
      <c r="G288" s="53"/>
    </row>
    <row r="289" customFormat="false" ht="15.75" hidden="false" customHeight="true" outlineLevel="0" collapsed="false">
      <c r="D289" s="52"/>
      <c r="F289" s="53"/>
      <c r="G289" s="53"/>
    </row>
    <row r="290" customFormat="false" ht="15.75" hidden="false" customHeight="true" outlineLevel="0" collapsed="false">
      <c r="D290" s="52"/>
      <c r="F290" s="53"/>
      <c r="G290" s="53"/>
    </row>
    <row r="291" customFormat="false" ht="15.75" hidden="false" customHeight="true" outlineLevel="0" collapsed="false">
      <c r="D291" s="52"/>
      <c r="F291" s="53"/>
      <c r="G291" s="53"/>
    </row>
    <row r="292" customFormat="false" ht="15.75" hidden="false" customHeight="true" outlineLevel="0" collapsed="false">
      <c r="D292" s="52"/>
      <c r="F292" s="53"/>
      <c r="G292" s="53"/>
    </row>
    <row r="293" customFormat="false" ht="15.75" hidden="false" customHeight="true" outlineLevel="0" collapsed="false">
      <c r="D293" s="52"/>
      <c r="F293" s="53"/>
      <c r="G293" s="53"/>
    </row>
    <row r="294" customFormat="false" ht="15.75" hidden="false" customHeight="true" outlineLevel="0" collapsed="false">
      <c r="D294" s="52"/>
      <c r="F294" s="53"/>
      <c r="G294" s="53"/>
    </row>
    <row r="295" customFormat="false" ht="15.75" hidden="false" customHeight="true" outlineLevel="0" collapsed="false">
      <c r="D295" s="52"/>
      <c r="F295" s="53"/>
      <c r="G295" s="53"/>
    </row>
    <row r="296" customFormat="false" ht="15.75" hidden="false" customHeight="true" outlineLevel="0" collapsed="false">
      <c r="D296" s="52"/>
      <c r="F296" s="53"/>
      <c r="G296" s="53"/>
    </row>
    <row r="297" customFormat="false" ht="15.75" hidden="false" customHeight="true" outlineLevel="0" collapsed="false">
      <c r="D297" s="52"/>
      <c r="F297" s="53"/>
      <c r="G297" s="53"/>
    </row>
    <row r="298" customFormat="false" ht="15.75" hidden="false" customHeight="true" outlineLevel="0" collapsed="false">
      <c r="D298" s="52"/>
      <c r="F298" s="53"/>
      <c r="G298" s="53"/>
    </row>
    <row r="299" customFormat="false" ht="15.75" hidden="false" customHeight="true" outlineLevel="0" collapsed="false">
      <c r="D299" s="52"/>
      <c r="F299" s="53"/>
      <c r="G299" s="53"/>
    </row>
    <row r="300" customFormat="false" ht="15.75" hidden="false" customHeight="true" outlineLevel="0" collapsed="false">
      <c r="D300" s="52"/>
      <c r="F300" s="53"/>
      <c r="G300" s="53"/>
    </row>
    <row r="301" customFormat="false" ht="15.75" hidden="false" customHeight="true" outlineLevel="0" collapsed="false">
      <c r="D301" s="52"/>
      <c r="F301" s="53"/>
      <c r="G301" s="53"/>
    </row>
    <row r="302" customFormat="false" ht="15.75" hidden="false" customHeight="true" outlineLevel="0" collapsed="false">
      <c r="D302" s="52"/>
      <c r="F302" s="53"/>
      <c r="G302" s="53"/>
    </row>
    <row r="303" customFormat="false" ht="15.75" hidden="false" customHeight="true" outlineLevel="0" collapsed="false">
      <c r="D303" s="52"/>
      <c r="F303" s="53"/>
      <c r="G303" s="53"/>
    </row>
    <row r="304" customFormat="false" ht="15.75" hidden="false" customHeight="true" outlineLevel="0" collapsed="false">
      <c r="D304" s="52"/>
      <c r="F304" s="53"/>
      <c r="G304" s="53"/>
    </row>
    <row r="305" customFormat="false" ht="15.75" hidden="false" customHeight="true" outlineLevel="0" collapsed="false">
      <c r="D305" s="52"/>
      <c r="F305" s="53"/>
      <c r="G305" s="53"/>
    </row>
    <row r="306" customFormat="false" ht="15.75" hidden="false" customHeight="true" outlineLevel="0" collapsed="false">
      <c r="D306" s="52"/>
      <c r="F306" s="53"/>
      <c r="G306" s="53"/>
    </row>
    <row r="307" customFormat="false" ht="15.75" hidden="false" customHeight="true" outlineLevel="0" collapsed="false">
      <c r="D307" s="52"/>
      <c r="F307" s="53"/>
      <c r="G307" s="53"/>
    </row>
    <row r="308" customFormat="false" ht="15.75" hidden="false" customHeight="true" outlineLevel="0" collapsed="false">
      <c r="D308" s="52"/>
      <c r="F308" s="53"/>
      <c r="G308" s="53"/>
    </row>
    <row r="309" customFormat="false" ht="15.75" hidden="false" customHeight="true" outlineLevel="0" collapsed="false">
      <c r="D309" s="52"/>
      <c r="F309" s="53"/>
      <c r="G309" s="53"/>
    </row>
    <row r="310" customFormat="false" ht="15.75" hidden="false" customHeight="true" outlineLevel="0" collapsed="false">
      <c r="D310" s="52"/>
      <c r="F310" s="53"/>
      <c r="G310" s="53"/>
    </row>
    <row r="311" customFormat="false" ht="15.75" hidden="false" customHeight="true" outlineLevel="0" collapsed="false">
      <c r="D311" s="52"/>
      <c r="F311" s="53"/>
      <c r="G311" s="53"/>
    </row>
    <row r="312" customFormat="false" ht="15.75" hidden="false" customHeight="true" outlineLevel="0" collapsed="false">
      <c r="D312" s="52"/>
      <c r="F312" s="53"/>
      <c r="G312" s="53"/>
    </row>
    <row r="313" customFormat="false" ht="15.75" hidden="false" customHeight="true" outlineLevel="0" collapsed="false">
      <c r="D313" s="52"/>
      <c r="F313" s="53"/>
      <c r="G313" s="53"/>
    </row>
    <row r="314" customFormat="false" ht="15.75" hidden="false" customHeight="true" outlineLevel="0" collapsed="false">
      <c r="D314" s="52"/>
      <c r="F314" s="53"/>
      <c r="G314" s="53"/>
    </row>
    <row r="315" customFormat="false" ht="15.75" hidden="false" customHeight="true" outlineLevel="0" collapsed="false">
      <c r="D315" s="52"/>
      <c r="F315" s="53"/>
      <c r="G315" s="53"/>
    </row>
    <row r="316" customFormat="false" ht="15.75" hidden="false" customHeight="true" outlineLevel="0" collapsed="false">
      <c r="D316" s="52"/>
      <c r="F316" s="53"/>
      <c r="G316" s="53"/>
    </row>
    <row r="317" customFormat="false" ht="15.75" hidden="false" customHeight="true" outlineLevel="0" collapsed="false">
      <c r="D317" s="52"/>
      <c r="F317" s="53"/>
      <c r="G317" s="53"/>
    </row>
    <row r="318" customFormat="false" ht="15.75" hidden="false" customHeight="true" outlineLevel="0" collapsed="false">
      <c r="D318" s="52"/>
      <c r="F318" s="53"/>
      <c r="G318" s="53"/>
    </row>
    <row r="319" customFormat="false" ht="15.75" hidden="false" customHeight="true" outlineLevel="0" collapsed="false">
      <c r="D319" s="52"/>
      <c r="F319" s="53"/>
      <c r="G319" s="53"/>
    </row>
    <row r="320" customFormat="false" ht="15.75" hidden="false" customHeight="true" outlineLevel="0" collapsed="false">
      <c r="D320" s="52"/>
      <c r="F320" s="53"/>
      <c r="G320" s="53"/>
    </row>
    <row r="321" customFormat="false" ht="15.75" hidden="false" customHeight="true" outlineLevel="0" collapsed="false">
      <c r="D321" s="52"/>
      <c r="F321" s="53"/>
      <c r="G321" s="53"/>
    </row>
    <row r="322" customFormat="false" ht="15.75" hidden="false" customHeight="true" outlineLevel="0" collapsed="false">
      <c r="D322" s="52"/>
      <c r="F322" s="53"/>
      <c r="G322" s="53"/>
    </row>
    <row r="323" customFormat="false" ht="15.75" hidden="false" customHeight="true" outlineLevel="0" collapsed="false">
      <c r="D323" s="52"/>
      <c r="F323" s="53"/>
      <c r="G323" s="53"/>
    </row>
    <row r="324" customFormat="false" ht="15.75" hidden="false" customHeight="true" outlineLevel="0" collapsed="false">
      <c r="D324" s="52"/>
      <c r="F324" s="53"/>
      <c r="G324" s="53"/>
    </row>
    <row r="325" customFormat="false" ht="15.75" hidden="false" customHeight="true" outlineLevel="0" collapsed="false">
      <c r="D325" s="52"/>
      <c r="F325" s="53"/>
      <c r="G325" s="53"/>
    </row>
    <row r="326" customFormat="false" ht="15.75" hidden="false" customHeight="true" outlineLevel="0" collapsed="false">
      <c r="D326" s="52"/>
      <c r="F326" s="53"/>
      <c r="G326" s="53"/>
    </row>
    <row r="327" customFormat="false" ht="15.75" hidden="false" customHeight="true" outlineLevel="0" collapsed="false">
      <c r="D327" s="52"/>
      <c r="F327" s="53"/>
      <c r="G327" s="53"/>
    </row>
    <row r="328" customFormat="false" ht="15.75" hidden="false" customHeight="true" outlineLevel="0" collapsed="false">
      <c r="D328" s="52"/>
      <c r="F328" s="53"/>
      <c r="G328" s="53"/>
    </row>
    <row r="329" customFormat="false" ht="15.75" hidden="false" customHeight="true" outlineLevel="0" collapsed="false">
      <c r="D329" s="52"/>
      <c r="F329" s="53"/>
      <c r="G329" s="53"/>
    </row>
    <row r="330" customFormat="false" ht="15.75" hidden="false" customHeight="true" outlineLevel="0" collapsed="false">
      <c r="D330" s="52"/>
      <c r="F330" s="53"/>
      <c r="G330" s="53"/>
    </row>
    <row r="331" customFormat="false" ht="15.75" hidden="false" customHeight="true" outlineLevel="0" collapsed="false">
      <c r="D331" s="52"/>
      <c r="F331" s="53"/>
      <c r="G331" s="53"/>
    </row>
    <row r="332" customFormat="false" ht="15.75" hidden="false" customHeight="true" outlineLevel="0" collapsed="false">
      <c r="D332" s="52"/>
      <c r="F332" s="53"/>
      <c r="G332" s="53"/>
    </row>
    <row r="333" customFormat="false" ht="15.75" hidden="false" customHeight="true" outlineLevel="0" collapsed="false">
      <c r="D333" s="52"/>
      <c r="F333" s="53"/>
      <c r="G333" s="53"/>
    </row>
    <row r="334" customFormat="false" ht="15.75" hidden="false" customHeight="true" outlineLevel="0" collapsed="false">
      <c r="D334" s="52"/>
      <c r="F334" s="53"/>
      <c r="G334" s="53"/>
    </row>
    <row r="335" customFormat="false" ht="15.75" hidden="false" customHeight="true" outlineLevel="0" collapsed="false">
      <c r="D335" s="52"/>
      <c r="F335" s="53"/>
      <c r="G335" s="53"/>
    </row>
    <row r="336" customFormat="false" ht="15.75" hidden="false" customHeight="true" outlineLevel="0" collapsed="false">
      <c r="D336" s="52"/>
      <c r="F336" s="53"/>
      <c r="G336" s="53"/>
    </row>
    <row r="337" customFormat="false" ht="15.75" hidden="false" customHeight="true" outlineLevel="0" collapsed="false">
      <c r="D337" s="52"/>
      <c r="F337" s="53"/>
      <c r="G337" s="53"/>
    </row>
    <row r="338" customFormat="false" ht="15.75" hidden="false" customHeight="true" outlineLevel="0" collapsed="false">
      <c r="D338" s="52"/>
      <c r="F338" s="53"/>
      <c r="G338" s="53"/>
    </row>
    <row r="339" customFormat="false" ht="15.75" hidden="false" customHeight="true" outlineLevel="0" collapsed="false">
      <c r="D339" s="52"/>
      <c r="F339" s="53"/>
      <c r="G339" s="53"/>
    </row>
    <row r="340" customFormat="false" ht="15.75" hidden="false" customHeight="true" outlineLevel="0" collapsed="false">
      <c r="D340" s="52"/>
      <c r="F340" s="53"/>
      <c r="G340" s="53"/>
    </row>
    <row r="341" customFormat="false" ht="15.75" hidden="false" customHeight="true" outlineLevel="0" collapsed="false">
      <c r="D341" s="52"/>
      <c r="F341" s="53"/>
      <c r="G341" s="53"/>
    </row>
    <row r="342" customFormat="false" ht="15.75" hidden="false" customHeight="true" outlineLevel="0" collapsed="false">
      <c r="D342" s="52"/>
      <c r="F342" s="53"/>
      <c r="G342" s="53"/>
    </row>
    <row r="343" customFormat="false" ht="15.75" hidden="false" customHeight="true" outlineLevel="0" collapsed="false">
      <c r="D343" s="52"/>
      <c r="F343" s="53"/>
      <c r="G343" s="53"/>
    </row>
    <row r="344" customFormat="false" ht="15.75" hidden="false" customHeight="true" outlineLevel="0" collapsed="false">
      <c r="D344" s="52"/>
      <c r="F344" s="53"/>
      <c r="G344" s="53"/>
    </row>
    <row r="345" customFormat="false" ht="15.75" hidden="false" customHeight="true" outlineLevel="0" collapsed="false">
      <c r="D345" s="52"/>
      <c r="F345" s="53"/>
      <c r="G345" s="53"/>
    </row>
    <row r="346" customFormat="false" ht="15.75" hidden="false" customHeight="true" outlineLevel="0" collapsed="false">
      <c r="D346" s="52"/>
      <c r="F346" s="53"/>
      <c r="G346" s="53"/>
    </row>
    <row r="347" customFormat="false" ht="15.75" hidden="false" customHeight="true" outlineLevel="0" collapsed="false">
      <c r="D347" s="52"/>
      <c r="F347" s="53"/>
      <c r="G347" s="53"/>
    </row>
    <row r="348" customFormat="false" ht="15.75" hidden="false" customHeight="true" outlineLevel="0" collapsed="false">
      <c r="D348" s="52"/>
      <c r="F348" s="53"/>
      <c r="G348" s="53"/>
    </row>
    <row r="349" customFormat="false" ht="15.75" hidden="false" customHeight="true" outlineLevel="0" collapsed="false">
      <c r="D349" s="52"/>
      <c r="F349" s="53"/>
      <c r="G349" s="53"/>
    </row>
    <row r="350" customFormat="false" ht="15.75" hidden="false" customHeight="true" outlineLevel="0" collapsed="false">
      <c r="D350" s="52"/>
      <c r="F350" s="53"/>
      <c r="G350" s="53"/>
    </row>
    <row r="351" customFormat="false" ht="15.75" hidden="false" customHeight="true" outlineLevel="0" collapsed="false">
      <c r="D351" s="52"/>
      <c r="F351" s="53"/>
      <c r="G351" s="53"/>
    </row>
    <row r="352" customFormat="false" ht="15.75" hidden="false" customHeight="true" outlineLevel="0" collapsed="false">
      <c r="D352" s="52"/>
      <c r="F352" s="53"/>
      <c r="G352" s="53"/>
    </row>
    <row r="353" customFormat="false" ht="15.75" hidden="false" customHeight="true" outlineLevel="0" collapsed="false">
      <c r="D353" s="52"/>
      <c r="F353" s="53"/>
      <c r="G353" s="53"/>
    </row>
    <row r="354" customFormat="false" ht="15.75" hidden="false" customHeight="true" outlineLevel="0" collapsed="false">
      <c r="D354" s="52"/>
      <c r="F354" s="53"/>
      <c r="G354" s="53"/>
    </row>
    <row r="355" customFormat="false" ht="15.75" hidden="false" customHeight="true" outlineLevel="0" collapsed="false">
      <c r="D355" s="52"/>
      <c r="F355" s="53"/>
      <c r="G355" s="53"/>
    </row>
    <row r="356" customFormat="false" ht="15.75" hidden="false" customHeight="true" outlineLevel="0" collapsed="false">
      <c r="D356" s="52"/>
      <c r="F356" s="53"/>
      <c r="G356" s="53"/>
    </row>
    <row r="357" customFormat="false" ht="15.75" hidden="false" customHeight="true" outlineLevel="0" collapsed="false">
      <c r="D357" s="52"/>
      <c r="F357" s="53"/>
      <c r="G357" s="53"/>
    </row>
    <row r="358" customFormat="false" ht="15.75" hidden="false" customHeight="true" outlineLevel="0" collapsed="false">
      <c r="D358" s="52"/>
      <c r="F358" s="53"/>
      <c r="G358" s="53"/>
    </row>
    <row r="359" customFormat="false" ht="15.75" hidden="false" customHeight="true" outlineLevel="0" collapsed="false">
      <c r="D359" s="52"/>
      <c r="F359" s="53"/>
      <c r="G359" s="53"/>
    </row>
    <row r="360" customFormat="false" ht="15.75" hidden="false" customHeight="true" outlineLevel="0" collapsed="false">
      <c r="D360" s="52"/>
      <c r="F360" s="53"/>
      <c r="G360" s="53"/>
    </row>
    <row r="361" customFormat="false" ht="15.75" hidden="false" customHeight="true" outlineLevel="0" collapsed="false">
      <c r="D361" s="52"/>
      <c r="F361" s="53"/>
      <c r="G361" s="53"/>
    </row>
    <row r="362" customFormat="false" ht="15.75" hidden="false" customHeight="true" outlineLevel="0" collapsed="false">
      <c r="D362" s="52"/>
      <c r="F362" s="53"/>
      <c r="G362" s="53"/>
    </row>
    <row r="363" customFormat="false" ht="15.75" hidden="false" customHeight="true" outlineLevel="0" collapsed="false">
      <c r="D363" s="52"/>
      <c r="F363" s="53"/>
      <c r="G363" s="53"/>
    </row>
    <row r="364" customFormat="false" ht="15.75" hidden="false" customHeight="true" outlineLevel="0" collapsed="false">
      <c r="D364" s="52"/>
      <c r="F364" s="53"/>
      <c r="G364" s="53"/>
    </row>
    <row r="365" customFormat="false" ht="15.75" hidden="false" customHeight="true" outlineLevel="0" collapsed="false">
      <c r="D365" s="52"/>
      <c r="F365" s="53"/>
      <c r="G365" s="53"/>
    </row>
    <row r="366" customFormat="false" ht="15.75" hidden="false" customHeight="true" outlineLevel="0" collapsed="false">
      <c r="D366" s="52"/>
      <c r="F366" s="53"/>
      <c r="G366" s="53"/>
    </row>
    <row r="367" customFormat="false" ht="15.75" hidden="false" customHeight="true" outlineLevel="0" collapsed="false">
      <c r="D367" s="52"/>
      <c r="F367" s="53"/>
      <c r="G367" s="53"/>
    </row>
    <row r="368" customFormat="false" ht="15.75" hidden="false" customHeight="true" outlineLevel="0" collapsed="false">
      <c r="D368" s="52"/>
      <c r="F368" s="53"/>
      <c r="G368" s="53"/>
    </row>
    <row r="369" customFormat="false" ht="15.75" hidden="false" customHeight="true" outlineLevel="0" collapsed="false">
      <c r="D369" s="52"/>
      <c r="F369" s="53"/>
      <c r="G369" s="53"/>
    </row>
    <row r="370" customFormat="false" ht="15.75" hidden="false" customHeight="true" outlineLevel="0" collapsed="false">
      <c r="D370" s="52"/>
      <c r="F370" s="53"/>
      <c r="G370" s="53"/>
    </row>
    <row r="371" customFormat="false" ht="15.75" hidden="false" customHeight="true" outlineLevel="0" collapsed="false">
      <c r="D371" s="52"/>
      <c r="F371" s="53"/>
      <c r="G371" s="53"/>
    </row>
    <row r="372" customFormat="false" ht="15.75" hidden="false" customHeight="true" outlineLevel="0" collapsed="false">
      <c r="D372" s="52"/>
      <c r="F372" s="53"/>
      <c r="G372" s="53"/>
    </row>
    <row r="373" customFormat="false" ht="15.75" hidden="false" customHeight="true" outlineLevel="0" collapsed="false">
      <c r="D373" s="52"/>
      <c r="F373" s="53"/>
      <c r="G373" s="53"/>
    </row>
    <row r="374" customFormat="false" ht="15.75" hidden="false" customHeight="true" outlineLevel="0" collapsed="false">
      <c r="D374" s="52"/>
      <c r="F374" s="53"/>
      <c r="G374" s="53"/>
    </row>
    <row r="375" customFormat="false" ht="15.75" hidden="false" customHeight="true" outlineLevel="0" collapsed="false">
      <c r="D375" s="52"/>
      <c r="F375" s="53"/>
      <c r="G375" s="53"/>
    </row>
    <row r="376" customFormat="false" ht="15.75" hidden="false" customHeight="true" outlineLevel="0" collapsed="false">
      <c r="D376" s="52"/>
      <c r="F376" s="53"/>
      <c r="G376" s="53"/>
    </row>
    <row r="377" customFormat="false" ht="15.75" hidden="false" customHeight="true" outlineLevel="0" collapsed="false">
      <c r="D377" s="52"/>
      <c r="F377" s="53"/>
      <c r="G377" s="53"/>
    </row>
    <row r="378" customFormat="false" ht="15.75" hidden="false" customHeight="true" outlineLevel="0" collapsed="false">
      <c r="D378" s="52"/>
      <c r="F378" s="53"/>
      <c r="G378" s="53"/>
    </row>
    <row r="379" customFormat="false" ht="15.75" hidden="false" customHeight="true" outlineLevel="0" collapsed="false">
      <c r="D379" s="52"/>
      <c r="F379" s="53"/>
      <c r="G379" s="53"/>
    </row>
    <row r="380" customFormat="false" ht="15.75" hidden="false" customHeight="true" outlineLevel="0" collapsed="false">
      <c r="D380" s="52"/>
      <c r="F380" s="53"/>
      <c r="G380" s="53"/>
    </row>
    <row r="381" customFormat="false" ht="15.75" hidden="false" customHeight="true" outlineLevel="0" collapsed="false">
      <c r="D381" s="52"/>
      <c r="F381" s="53"/>
      <c r="G381" s="53"/>
    </row>
    <row r="382" customFormat="false" ht="15.75" hidden="false" customHeight="true" outlineLevel="0" collapsed="false">
      <c r="D382" s="52"/>
      <c r="F382" s="53"/>
      <c r="G382" s="53"/>
    </row>
    <row r="383" customFormat="false" ht="15.75" hidden="false" customHeight="true" outlineLevel="0" collapsed="false">
      <c r="D383" s="52"/>
      <c r="F383" s="53"/>
      <c r="G383" s="53"/>
    </row>
    <row r="384" customFormat="false" ht="15.75" hidden="false" customHeight="true" outlineLevel="0" collapsed="false">
      <c r="D384" s="52"/>
      <c r="F384" s="53"/>
      <c r="G384" s="53"/>
    </row>
    <row r="385" customFormat="false" ht="15.75" hidden="false" customHeight="true" outlineLevel="0" collapsed="false">
      <c r="D385" s="52"/>
      <c r="F385" s="53"/>
      <c r="G385" s="53"/>
    </row>
    <row r="386" customFormat="false" ht="15.75" hidden="false" customHeight="true" outlineLevel="0" collapsed="false">
      <c r="D386" s="52"/>
      <c r="F386" s="53"/>
      <c r="G386" s="53"/>
    </row>
    <row r="387" customFormat="false" ht="15.75" hidden="false" customHeight="true" outlineLevel="0" collapsed="false">
      <c r="D387" s="52"/>
      <c r="F387" s="53"/>
      <c r="G387" s="53"/>
    </row>
    <row r="388" customFormat="false" ht="15.75" hidden="false" customHeight="true" outlineLevel="0" collapsed="false">
      <c r="D388" s="52"/>
      <c r="F388" s="53"/>
      <c r="G388" s="53"/>
    </row>
    <row r="389" customFormat="false" ht="15.75" hidden="false" customHeight="true" outlineLevel="0" collapsed="false">
      <c r="D389" s="52"/>
      <c r="F389" s="53"/>
      <c r="G389" s="53"/>
    </row>
    <row r="390" customFormat="false" ht="15.75" hidden="false" customHeight="true" outlineLevel="0" collapsed="false">
      <c r="D390" s="52"/>
      <c r="F390" s="53"/>
      <c r="G390" s="53"/>
    </row>
    <row r="391" customFormat="false" ht="15.75" hidden="false" customHeight="true" outlineLevel="0" collapsed="false">
      <c r="D391" s="52"/>
      <c r="F391" s="53"/>
      <c r="G391" s="53"/>
    </row>
    <row r="392" customFormat="false" ht="15.75" hidden="false" customHeight="true" outlineLevel="0" collapsed="false">
      <c r="D392" s="52"/>
      <c r="F392" s="53"/>
      <c r="G392" s="53"/>
    </row>
    <row r="393" customFormat="false" ht="15.75" hidden="false" customHeight="true" outlineLevel="0" collapsed="false">
      <c r="D393" s="52"/>
      <c r="F393" s="53"/>
      <c r="G393" s="53"/>
    </row>
    <row r="394" customFormat="false" ht="15.75" hidden="false" customHeight="true" outlineLevel="0" collapsed="false">
      <c r="D394" s="52"/>
      <c r="F394" s="53"/>
      <c r="G394" s="53"/>
    </row>
    <row r="395" customFormat="false" ht="15.75" hidden="false" customHeight="true" outlineLevel="0" collapsed="false">
      <c r="D395" s="52"/>
      <c r="F395" s="53"/>
      <c r="G395" s="53"/>
    </row>
    <row r="396" customFormat="false" ht="15.75" hidden="false" customHeight="true" outlineLevel="0" collapsed="false">
      <c r="D396" s="52"/>
      <c r="F396" s="53"/>
      <c r="G396" s="53"/>
    </row>
    <row r="397" customFormat="false" ht="15.75" hidden="false" customHeight="true" outlineLevel="0" collapsed="false">
      <c r="D397" s="52"/>
      <c r="F397" s="53"/>
      <c r="G397" s="53"/>
    </row>
    <row r="398" customFormat="false" ht="15.75" hidden="false" customHeight="true" outlineLevel="0" collapsed="false">
      <c r="D398" s="52"/>
      <c r="F398" s="53"/>
      <c r="G398" s="53"/>
    </row>
    <row r="399" customFormat="false" ht="15.75" hidden="false" customHeight="true" outlineLevel="0" collapsed="false">
      <c r="D399" s="52"/>
      <c r="F399" s="53"/>
      <c r="G399" s="53"/>
    </row>
    <row r="400" customFormat="false" ht="15.75" hidden="false" customHeight="true" outlineLevel="0" collapsed="false">
      <c r="D400" s="52"/>
      <c r="F400" s="53"/>
      <c r="G400" s="53"/>
    </row>
    <row r="401" customFormat="false" ht="15.75" hidden="false" customHeight="true" outlineLevel="0" collapsed="false">
      <c r="D401" s="52"/>
      <c r="F401" s="53"/>
      <c r="G401" s="53"/>
    </row>
    <row r="402" customFormat="false" ht="15.75" hidden="false" customHeight="true" outlineLevel="0" collapsed="false">
      <c r="D402" s="52"/>
      <c r="F402" s="53"/>
      <c r="G402" s="53"/>
    </row>
    <row r="403" customFormat="false" ht="15.75" hidden="false" customHeight="true" outlineLevel="0" collapsed="false">
      <c r="D403" s="52"/>
      <c r="F403" s="53"/>
      <c r="G403" s="53"/>
    </row>
    <row r="404" customFormat="false" ht="15.75" hidden="false" customHeight="true" outlineLevel="0" collapsed="false">
      <c r="D404" s="52"/>
      <c r="F404" s="53"/>
      <c r="G404" s="53"/>
    </row>
    <row r="405" customFormat="false" ht="15.75" hidden="false" customHeight="true" outlineLevel="0" collapsed="false">
      <c r="D405" s="52"/>
      <c r="F405" s="53"/>
      <c r="G405" s="53"/>
    </row>
    <row r="406" customFormat="false" ht="15.75" hidden="false" customHeight="true" outlineLevel="0" collapsed="false">
      <c r="D406" s="52"/>
      <c r="F406" s="53"/>
      <c r="G406" s="53"/>
    </row>
    <row r="407" customFormat="false" ht="15.75" hidden="false" customHeight="true" outlineLevel="0" collapsed="false">
      <c r="D407" s="52"/>
      <c r="F407" s="53"/>
      <c r="G407" s="53"/>
    </row>
    <row r="408" customFormat="false" ht="15.75" hidden="false" customHeight="true" outlineLevel="0" collapsed="false">
      <c r="D408" s="52"/>
      <c r="F408" s="53"/>
      <c r="G408" s="53"/>
    </row>
    <row r="409" customFormat="false" ht="15.75" hidden="false" customHeight="true" outlineLevel="0" collapsed="false">
      <c r="D409" s="52"/>
      <c r="F409" s="53"/>
      <c r="G409" s="53"/>
    </row>
    <row r="410" customFormat="false" ht="15.75" hidden="false" customHeight="true" outlineLevel="0" collapsed="false">
      <c r="D410" s="52"/>
      <c r="F410" s="53"/>
      <c r="G410" s="53"/>
    </row>
    <row r="411" customFormat="false" ht="15.75" hidden="false" customHeight="true" outlineLevel="0" collapsed="false">
      <c r="D411" s="52"/>
      <c r="F411" s="53"/>
      <c r="G411" s="53"/>
    </row>
    <row r="412" customFormat="false" ht="15.75" hidden="false" customHeight="true" outlineLevel="0" collapsed="false">
      <c r="D412" s="52"/>
      <c r="F412" s="53"/>
      <c r="G412" s="53"/>
    </row>
    <row r="413" customFormat="false" ht="15.75" hidden="false" customHeight="true" outlineLevel="0" collapsed="false">
      <c r="D413" s="52"/>
      <c r="F413" s="53"/>
      <c r="G413" s="53"/>
    </row>
    <row r="414" customFormat="false" ht="15.75" hidden="false" customHeight="true" outlineLevel="0" collapsed="false">
      <c r="D414" s="52"/>
      <c r="F414" s="53"/>
      <c r="G414" s="53"/>
    </row>
    <row r="415" customFormat="false" ht="15.75" hidden="false" customHeight="true" outlineLevel="0" collapsed="false">
      <c r="D415" s="52"/>
      <c r="F415" s="53"/>
      <c r="G415" s="53"/>
    </row>
    <row r="416" customFormat="false" ht="15.75" hidden="false" customHeight="true" outlineLevel="0" collapsed="false">
      <c r="D416" s="52"/>
      <c r="F416" s="53"/>
      <c r="G416" s="53"/>
    </row>
    <row r="417" customFormat="false" ht="15.75" hidden="false" customHeight="true" outlineLevel="0" collapsed="false">
      <c r="D417" s="52"/>
      <c r="F417" s="53"/>
      <c r="G417" s="53"/>
    </row>
    <row r="418" customFormat="false" ht="15.75" hidden="false" customHeight="true" outlineLevel="0" collapsed="false">
      <c r="D418" s="52"/>
      <c r="F418" s="53"/>
      <c r="G418" s="53"/>
    </row>
    <row r="419" customFormat="false" ht="15.75" hidden="false" customHeight="true" outlineLevel="0" collapsed="false">
      <c r="D419" s="52"/>
      <c r="F419" s="53"/>
      <c r="G419" s="53"/>
    </row>
    <row r="420" customFormat="false" ht="15.75" hidden="false" customHeight="true" outlineLevel="0" collapsed="false">
      <c r="D420" s="52"/>
      <c r="F420" s="53"/>
      <c r="G420" s="53"/>
    </row>
    <row r="421" customFormat="false" ht="15.75" hidden="false" customHeight="true" outlineLevel="0" collapsed="false">
      <c r="D421" s="52"/>
      <c r="F421" s="53"/>
      <c r="G421" s="53"/>
    </row>
    <row r="422" customFormat="false" ht="15.75" hidden="false" customHeight="true" outlineLevel="0" collapsed="false">
      <c r="D422" s="52"/>
      <c r="F422" s="53"/>
      <c r="G422" s="53"/>
    </row>
    <row r="423" customFormat="false" ht="15.75" hidden="false" customHeight="true" outlineLevel="0" collapsed="false">
      <c r="D423" s="52"/>
      <c r="F423" s="53"/>
      <c r="G423" s="53"/>
    </row>
    <row r="424" customFormat="false" ht="15.75" hidden="false" customHeight="true" outlineLevel="0" collapsed="false">
      <c r="D424" s="52"/>
      <c r="F424" s="53"/>
      <c r="G424" s="53"/>
    </row>
    <row r="425" customFormat="false" ht="15.75" hidden="false" customHeight="true" outlineLevel="0" collapsed="false">
      <c r="D425" s="52"/>
      <c r="F425" s="53"/>
      <c r="G425" s="53"/>
    </row>
    <row r="426" customFormat="false" ht="15.75" hidden="false" customHeight="true" outlineLevel="0" collapsed="false">
      <c r="D426" s="52"/>
      <c r="F426" s="53"/>
      <c r="G426" s="53"/>
    </row>
    <row r="427" customFormat="false" ht="15.75" hidden="false" customHeight="true" outlineLevel="0" collapsed="false">
      <c r="D427" s="52"/>
      <c r="F427" s="53"/>
      <c r="G427" s="53"/>
    </row>
    <row r="428" customFormat="false" ht="15.75" hidden="false" customHeight="true" outlineLevel="0" collapsed="false">
      <c r="D428" s="52"/>
      <c r="F428" s="53"/>
      <c r="G428" s="53"/>
    </row>
    <row r="429" customFormat="false" ht="15.75" hidden="false" customHeight="true" outlineLevel="0" collapsed="false">
      <c r="D429" s="52"/>
      <c r="F429" s="53"/>
      <c r="G429" s="53"/>
    </row>
    <row r="430" customFormat="false" ht="15.75" hidden="false" customHeight="true" outlineLevel="0" collapsed="false">
      <c r="D430" s="52"/>
      <c r="F430" s="53"/>
      <c r="G430" s="53"/>
    </row>
    <row r="431" customFormat="false" ht="15.75" hidden="false" customHeight="true" outlineLevel="0" collapsed="false">
      <c r="D431" s="52"/>
      <c r="F431" s="53"/>
      <c r="G431" s="53"/>
    </row>
    <row r="432" customFormat="false" ht="15.75" hidden="false" customHeight="true" outlineLevel="0" collapsed="false">
      <c r="D432" s="52"/>
      <c r="F432" s="53"/>
      <c r="G432" s="53"/>
    </row>
    <row r="433" customFormat="false" ht="15.75" hidden="false" customHeight="true" outlineLevel="0" collapsed="false">
      <c r="D433" s="52"/>
      <c r="F433" s="53"/>
      <c r="G433" s="53"/>
    </row>
    <row r="434" customFormat="false" ht="15.75" hidden="false" customHeight="true" outlineLevel="0" collapsed="false">
      <c r="D434" s="52"/>
      <c r="F434" s="53"/>
      <c r="G434" s="53"/>
    </row>
    <row r="435" customFormat="false" ht="15.75" hidden="false" customHeight="true" outlineLevel="0" collapsed="false">
      <c r="D435" s="52"/>
      <c r="F435" s="53"/>
      <c r="G435" s="53"/>
    </row>
    <row r="436" customFormat="false" ht="15.75" hidden="false" customHeight="true" outlineLevel="0" collapsed="false">
      <c r="D436" s="52"/>
      <c r="F436" s="53"/>
      <c r="G436" s="53"/>
    </row>
    <row r="437" customFormat="false" ht="15.75" hidden="false" customHeight="true" outlineLevel="0" collapsed="false">
      <c r="D437" s="52"/>
      <c r="F437" s="53"/>
      <c r="G437" s="53"/>
    </row>
    <row r="438" customFormat="false" ht="15.75" hidden="false" customHeight="true" outlineLevel="0" collapsed="false">
      <c r="D438" s="52"/>
      <c r="F438" s="53"/>
      <c r="G438" s="53"/>
    </row>
    <row r="439" customFormat="false" ht="15.75" hidden="false" customHeight="true" outlineLevel="0" collapsed="false">
      <c r="D439" s="52"/>
      <c r="F439" s="53"/>
      <c r="G439" s="53"/>
    </row>
    <row r="440" customFormat="false" ht="15.75" hidden="false" customHeight="true" outlineLevel="0" collapsed="false">
      <c r="D440" s="52"/>
      <c r="F440" s="53"/>
      <c r="G440" s="53"/>
    </row>
    <row r="441" customFormat="false" ht="15.75" hidden="false" customHeight="true" outlineLevel="0" collapsed="false">
      <c r="D441" s="52"/>
      <c r="F441" s="53"/>
      <c r="G441" s="53"/>
    </row>
    <row r="442" customFormat="false" ht="15.75" hidden="false" customHeight="true" outlineLevel="0" collapsed="false">
      <c r="D442" s="52"/>
      <c r="F442" s="53"/>
      <c r="G442" s="53"/>
    </row>
    <row r="443" customFormat="false" ht="15.75" hidden="false" customHeight="true" outlineLevel="0" collapsed="false">
      <c r="D443" s="52"/>
      <c r="F443" s="53"/>
      <c r="G443" s="53"/>
    </row>
    <row r="444" customFormat="false" ht="15.75" hidden="false" customHeight="true" outlineLevel="0" collapsed="false">
      <c r="D444" s="52"/>
      <c r="F444" s="53"/>
      <c r="G444" s="53"/>
    </row>
    <row r="445" customFormat="false" ht="15.75" hidden="false" customHeight="true" outlineLevel="0" collapsed="false">
      <c r="D445" s="52"/>
      <c r="F445" s="53"/>
      <c r="G445" s="53"/>
    </row>
    <row r="446" customFormat="false" ht="15.75" hidden="false" customHeight="true" outlineLevel="0" collapsed="false">
      <c r="D446" s="52"/>
      <c r="F446" s="53"/>
      <c r="G446" s="53"/>
    </row>
    <row r="447" customFormat="false" ht="15.75" hidden="false" customHeight="true" outlineLevel="0" collapsed="false">
      <c r="D447" s="52"/>
      <c r="F447" s="53"/>
      <c r="G447" s="53"/>
    </row>
    <row r="448" customFormat="false" ht="15.75" hidden="false" customHeight="true" outlineLevel="0" collapsed="false">
      <c r="D448" s="52"/>
      <c r="F448" s="53"/>
      <c r="G448" s="53"/>
    </row>
    <row r="449" customFormat="false" ht="15.75" hidden="false" customHeight="true" outlineLevel="0" collapsed="false">
      <c r="D449" s="52"/>
      <c r="F449" s="53"/>
      <c r="G449" s="53"/>
    </row>
    <row r="450" customFormat="false" ht="15.75" hidden="false" customHeight="true" outlineLevel="0" collapsed="false">
      <c r="D450" s="52"/>
      <c r="F450" s="53"/>
      <c r="G450" s="53"/>
    </row>
    <row r="451" customFormat="false" ht="15.75" hidden="false" customHeight="true" outlineLevel="0" collapsed="false">
      <c r="D451" s="52"/>
      <c r="F451" s="53"/>
      <c r="G451" s="53"/>
    </row>
    <row r="452" customFormat="false" ht="15.75" hidden="false" customHeight="true" outlineLevel="0" collapsed="false">
      <c r="D452" s="52"/>
      <c r="F452" s="53"/>
      <c r="G452" s="53"/>
    </row>
    <row r="453" customFormat="false" ht="15.75" hidden="false" customHeight="true" outlineLevel="0" collapsed="false">
      <c r="D453" s="52"/>
      <c r="F453" s="53"/>
      <c r="G453" s="53"/>
    </row>
    <row r="454" customFormat="false" ht="15.75" hidden="false" customHeight="true" outlineLevel="0" collapsed="false">
      <c r="D454" s="52"/>
      <c r="F454" s="53"/>
      <c r="G454" s="53"/>
    </row>
    <row r="455" customFormat="false" ht="15.75" hidden="false" customHeight="true" outlineLevel="0" collapsed="false">
      <c r="D455" s="52"/>
      <c r="F455" s="53"/>
      <c r="G455" s="53"/>
    </row>
    <row r="456" customFormat="false" ht="15.75" hidden="false" customHeight="true" outlineLevel="0" collapsed="false">
      <c r="D456" s="52"/>
      <c r="F456" s="53"/>
      <c r="G456" s="53"/>
    </row>
    <row r="457" customFormat="false" ht="15.75" hidden="false" customHeight="true" outlineLevel="0" collapsed="false">
      <c r="D457" s="52"/>
      <c r="F457" s="53"/>
      <c r="G457" s="53"/>
    </row>
    <row r="458" customFormat="false" ht="15.75" hidden="false" customHeight="true" outlineLevel="0" collapsed="false">
      <c r="D458" s="52"/>
      <c r="F458" s="53"/>
      <c r="G458" s="53"/>
    </row>
    <row r="459" customFormat="false" ht="15.75" hidden="false" customHeight="true" outlineLevel="0" collapsed="false">
      <c r="D459" s="52"/>
      <c r="F459" s="53"/>
      <c r="G459" s="53"/>
    </row>
    <row r="460" customFormat="false" ht="15.75" hidden="false" customHeight="true" outlineLevel="0" collapsed="false">
      <c r="D460" s="52"/>
      <c r="F460" s="53"/>
      <c r="G460" s="53"/>
    </row>
    <row r="461" customFormat="false" ht="15.75" hidden="false" customHeight="true" outlineLevel="0" collapsed="false">
      <c r="D461" s="52"/>
      <c r="F461" s="53"/>
      <c r="G461" s="53"/>
    </row>
    <row r="462" customFormat="false" ht="15.75" hidden="false" customHeight="true" outlineLevel="0" collapsed="false">
      <c r="D462" s="52"/>
      <c r="F462" s="53"/>
      <c r="G462" s="53"/>
    </row>
    <row r="463" customFormat="false" ht="15.75" hidden="false" customHeight="true" outlineLevel="0" collapsed="false">
      <c r="D463" s="52"/>
      <c r="F463" s="53"/>
      <c r="G463" s="53"/>
    </row>
    <row r="464" customFormat="false" ht="15.75" hidden="false" customHeight="true" outlineLevel="0" collapsed="false">
      <c r="D464" s="52"/>
      <c r="F464" s="53"/>
      <c r="G464" s="53"/>
    </row>
    <row r="465" customFormat="false" ht="15.75" hidden="false" customHeight="true" outlineLevel="0" collapsed="false">
      <c r="D465" s="52"/>
      <c r="F465" s="53"/>
      <c r="G465" s="53"/>
    </row>
    <row r="466" customFormat="false" ht="15.75" hidden="false" customHeight="true" outlineLevel="0" collapsed="false">
      <c r="D466" s="52"/>
      <c r="F466" s="53"/>
      <c r="G466" s="53"/>
    </row>
    <row r="467" customFormat="false" ht="15.75" hidden="false" customHeight="true" outlineLevel="0" collapsed="false">
      <c r="D467" s="52"/>
      <c r="F467" s="53"/>
      <c r="G467" s="53"/>
    </row>
    <row r="468" customFormat="false" ht="15.75" hidden="false" customHeight="true" outlineLevel="0" collapsed="false">
      <c r="D468" s="52"/>
      <c r="F468" s="53"/>
      <c r="G468" s="53"/>
    </row>
    <row r="469" customFormat="false" ht="15.75" hidden="false" customHeight="true" outlineLevel="0" collapsed="false">
      <c r="D469" s="52"/>
      <c r="F469" s="53"/>
      <c r="G469" s="53"/>
    </row>
    <row r="470" customFormat="false" ht="15.75" hidden="false" customHeight="true" outlineLevel="0" collapsed="false">
      <c r="D470" s="52"/>
      <c r="F470" s="53"/>
      <c r="G470" s="53"/>
    </row>
    <row r="471" customFormat="false" ht="15.75" hidden="false" customHeight="true" outlineLevel="0" collapsed="false">
      <c r="D471" s="52"/>
      <c r="F471" s="53"/>
      <c r="G471" s="53"/>
    </row>
    <row r="472" customFormat="false" ht="15.75" hidden="false" customHeight="true" outlineLevel="0" collapsed="false">
      <c r="D472" s="52"/>
      <c r="F472" s="53"/>
      <c r="G472" s="53"/>
    </row>
    <row r="473" customFormat="false" ht="15.75" hidden="false" customHeight="true" outlineLevel="0" collapsed="false">
      <c r="D473" s="52"/>
      <c r="F473" s="53"/>
      <c r="G473" s="53"/>
    </row>
    <row r="474" customFormat="false" ht="15.75" hidden="false" customHeight="true" outlineLevel="0" collapsed="false">
      <c r="D474" s="52"/>
      <c r="F474" s="53"/>
      <c r="G474" s="53"/>
    </row>
    <row r="475" customFormat="false" ht="15.75" hidden="false" customHeight="true" outlineLevel="0" collapsed="false">
      <c r="D475" s="52"/>
      <c r="F475" s="53"/>
      <c r="G475" s="53"/>
    </row>
    <row r="476" customFormat="false" ht="15.75" hidden="false" customHeight="true" outlineLevel="0" collapsed="false">
      <c r="D476" s="52"/>
      <c r="F476" s="53"/>
      <c r="G476" s="53"/>
    </row>
    <row r="477" customFormat="false" ht="15.75" hidden="false" customHeight="true" outlineLevel="0" collapsed="false">
      <c r="D477" s="52"/>
      <c r="F477" s="53"/>
      <c r="G477" s="53"/>
    </row>
    <row r="478" customFormat="false" ht="15.75" hidden="false" customHeight="true" outlineLevel="0" collapsed="false">
      <c r="D478" s="52"/>
      <c r="F478" s="53"/>
      <c r="G478" s="53"/>
    </row>
    <row r="479" customFormat="false" ht="15.75" hidden="false" customHeight="true" outlineLevel="0" collapsed="false">
      <c r="D479" s="52"/>
      <c r="F479" s="53"/>
      <c r="G479" s="53"/>
    </row>
    <row r="480" customFormat="false" ht="15.75" hidden="false" customHeight="true" outlineLevel="0" collapsed="false">
      <c r="D480" s="52"/>
      <c r="F480" s="53"/>
      <c r="G480" s="53"/>
    </row>
    <row r="481" customFormat="false" ht="15.75" hidden="false" customHeight="true" outlineLevel="0" collapsed="false">
      <c r="D481" s="52"/>
      <c r="F481" s="53"/>
      <c r="G481" s="53"/>
    </row>
    <row r="482" customFormat="false" ht="15.75" hidden="false" customHeight="true" outlineLevel="0" collapsed="false">
      <c r="D482" s="52"/>
      <c r="F482" s="53"/>
      <c r="G482" s="53"/>
    </row>
    <row r="483" customFormat="false" ht="15.75" hidden="false" customHeight="true" outlineLevel="0" collapsed="false">
      <c r="D483" s="52"/>
      <c r="F483" s="53"/>
      <c r="G483" s="53"/>
    </row>
    <row r="484" customFormat="false" ht="15.75" hidden="false" customHeight="true" outlineLevel="0" collapsed="false">
      <c r="D484" s="52"/>
      <c r="F484" s="53"/>
      <c r="G484" s="53"/>
    </row>
    <row r="485" customFormat="false" ht="15.75" hidden="false" customHeight="true" outlineLevel="0" collapsed="false">
      <c r="D485" s="52"/>
      <c r="F485" s="53"/>
      <c r="G485" s="53"/>
    </row>
    <row r="486" customFormat="false" ht="15.75" hidden="false" customHeight="true" outlineLevel="0" collapsed="false">
      <c r="D486" s="52"/>
      <c r="F486" s="53"/>
      <c r="G486" s="53"/>
    </row>
    <row r="487" customFormat="false" ht="15.75" hidden="false" customHeight="true" outlineLevel="0" collapsed="false">
      <c r="D487" s="52"/>
      <c r="F487" s="53"/>
      <c r="G487" s="53"/>
    </row>
    <row r="488" customFormat="false" ht="15.75" hidden="false" customHeight="true" outlineLevel="0" collapsed="false">
      <c r="D488" s="52"/>
      <c r="F488" s="53"/>
      <c r="G488" s="53"/>
    </row>
    <row r="489" customFormat="false" ht="15.75" hidden="false" customHeight="true" outlineLevel="0" collapsed="false">
      <c r="D489" s="52"/>
      <c r="F489" s="53"/>
      <c r="G489" s="53"/>
    </row>
    <row r="490" customFormat="false" ht="15.75" hidden="false" customHeight="true" outlineLevel="0" collapsed="false">
      <c r="D490" s="52"/>
      <c r="F490" s="53"/>
      <c r="G490" s="53"/>
    </row>
    <row r="491" customFormat="false" ht="15.75" hidden="false" customHeight="true" outlineLevel="0" collapsed="false">
      <c r="D491" s="52"/>
      <c r="F491" s="53"/>
      <c r="G491" s="53"/>
    </row>
    <row r="492" customFormat="false" ht="15.75" hidden="false" customHeight="true" outlineLevel="0" collapsed="false">
      <c r="D492" s="52"/>
      <c r="F492" s="53"/>
      <c r="G492" s="53"/>
    </row>
    <row r="493" customFormat="false" ht="15.75" hidden="false" customHeight="true" outlineLevel="0" collapsed="false">
      <c r="D493" s="52"/>
      <c r="F493" s="53"/>
      <c r="G493" s="53"/>
    </row>
    <row r="494" customFormat="false" ht="15.75" hidden="false" customHeight="true" outlineLevel="0" collapsed="false">
      <c r="D494" s="52"/>
      <c r="F494" s="53"/>
      <c r="G494" s="53"/>
    </row>
    <row r="495" customFormat="false" ht="15.75" hidden="false" customHeight="true" outlineLevel="0" collapsed="false">
      <c r="D495" s="52"/>
      <c r="F495" s="53"/>
      <c r="G495" s="53"/>
    </row>
    <row r="496" customFormat="false" ht="15.75" hidden="false" customHeight="true" outlineLevel="0" collapsed="false">
      <c r="D496" s="52"/>
      <c r="F496" s="53"/>
      <c r="G496" s="53"/>
    </row>
    <row r="497" customFormat="false" ht="15.75" hidden="false" customHeight="true" outlineLevel="0" collapsed="false">
      <c r="D497" s="52"/>
      <c r="F497" s="53"/>
      <c r="G497" s="53"/>
    </row>
    <row r="498" customFormat="false" ht="15.75" hidden="false" customHeight="true" outlineLevel="0" collapsed="false">
      <c r="D498" s="52"/>
      <c r="F498" s="53"/>
      <c r="G498" s="53"/>
    </row>
    <row r="499" customFormat="false" ht="15.75" hidden="false" customHeight="true" outlineLevel="0" collapsed="false">
      <c r="D499" s="52"/>
      <c r="F499" s="53"/>
      <c r="G499" s="53"/>
    </row>
    <row r="500" customFormat="false" ht="15.75" hidden="false" customHeight="true" outlineLevel="0" collapsed="false">
      <c r="D500" s="52"/>
      <c r="F500" s="53"/>
      <c r="G500" s="53"/>
    </row>
    <row r="501" customFormat="false" ht="15.75" hidden="false" customHeight="true" outlineLevel="0" collapsed="false">
      <c r="D501" s="52"/>
      <c r="F501" s="53"/>
      <c r="G501" s="53"/>
    </row>
    <row r="502" customFormat="false" ht="15.75" hidden="false" customHeight="true" outlineLevel="0" collapsed="false">
      <c r="D502" s="52"/>
      <c r="F502" s="53"/>
      <c r="G502" s="53"/>
    </row>
    <row r="503" customFormat="false" ht="15.75" hidden="false" customHeight="true" outlineLevel="0" collapsed="false">
      <c r="D503" s="52"/>
      <c r="F503" s="53"/>
      <c r="G503" s="53"/>
    </row>
    <row r="504" customFormat="false" ht="15.75" hidden="false" customHeight="true" outlineLevel="0" collapsed="false">
      <c r="D504" s="52"/>
      <c r="F504" s="53"/>
      <c r="G504" s="53"/>
    </row>
    <row r="505" customFormat="false" ht="15.75" hidden="false" customHeight="true" outlineLevel="0" collapsed="false">
      <c r="D505" s="52"/>
      <c r="F505" s="53"/>
      <c r="G505" s="53"/>
    </row>
    <row r="506" customFormat="false" ht="15.75" hidden="false" customHeight="true" outlineLevel="0" collapsed="false">
      <c r="D506" s="52"/>
      <c r="F506" s="53"/>
      <c r="G506" s="53"/>
    </row>
    <row r="507" customFormat="false" ht="15.75" hidden="false" customHeight="true" outlineLevel="0" collapsed="false">
      <c r="D507" s="52"/>
      <c r="F507" s="53"/>
      <c r="G507" s="53"/>
    </row>
    <row r="508" customFormat="false" ht="15.75" hidden="false" customHeight="true" outlineLevel="0" collapsed="false">
      <c r="D508" s="52"/>
      <c r="F508" s="53"/>
      <c r="G508" s="53"/>
    </row>
    <row r="509" customFormat="false" ht="15.75" hidden="false" customHeight="true" outlineLevel="0" collapsed="false">
      <c r="D509" s="52"/>
      <c r="F509" s="53"/>
      <c r="G509" s="53"/>
    </row>
    <row r="510" customFormat="false" ht="15.75" hidden="false" customHeight="true" outlineLevel="0" collapsed="false">
      <c r="D510" s="52"/>
      <c r="F510" s="53"/>
      <c r="G510" s="53"/>
    </row>
    <row r="511" customFormat="false" ht="15.75" hidden="false" customHeight="true" outlineLevel="0" collapsed="false">
      <c r="D511" s="52"/>
      <c r="F511" s="53"/>
      <c r="G511" s="53"/>
    </row>
    <row r="512" customFormat="false" ht="15.75" hidden="false" customHeight="true" outlineLevel="0" collapsed="false">
      <c r="D512" s="52"/>
      <c r="F512" s="53"/>
      <c r="G512" s="53"/>
    </row>
    <row r="513" customFormat="false" ht="15.75" hidden="false" customHeight="true" outlineLevel="0" collapsed="false">
      <c r="D513" s="52"/>
      <c r="F513" s="53"/>
      <c r="G513" s="53"/>
    </row>
    <row r="514" customFormat="false" ht="15.75" hidden="false" customHeight="true" outlineLevel="0" collapsed="false">
      <c r="D514" s="52"/>
      <c r="F514" s="53"/>
      <c r="G514" s="53"/>
    </row>
    <row r="515" customFormat="false" ht="15.75" hidden="false" customHeight="true" outlineLevel="0" collapsed="false">
      <c r="D515" s="52"/>
      <c r="F515" s="53"/>
      <c r="G515" s="53"/>
    </row>
    <row r="516" customFormat="false" ht="15.75" hidden="false" customHeight="true" outlineLevel="0" collapsed="false">
      <c r="D516" s="52"/>
      <c r="F516" s="53"/>
      <c r="G516" s="53"/>
    </row>
    <row r="517" customFormat="false" ht="15.75" hidden="false" customHeight="true" outlineLevel="0" collapsed="false">
      <c r="D517" s="52"/>
      <c r="F517" s="53"/>
      <c r="G517" s="53"/>
    </row>
    <row r="518" customFormat="false" ht="15.75" hidden="false" customHeight="true" outlineLevel="0" collapsed="false">
      <c r="D518" s="52"/>
      <c r="F518" s="53"/>
      <c r="G518" s="53"/>
    </row>
    <row r="519" customFormat="false" ht="15.75" hidden="false" customHeight="true" outlineLevel="0" collapsed="false">
      <c r="D519" s="52"/>
      <c r="F519" s="53"/>
      <c r="G519" s="53"/>
    </row>
    <row r="520" customFormat="false" ht="15.75" hidden="false" customHeight="true" outlineLevel="0" collapsed="false">
      <c r="D520" s="52"/>
      <c r="F520" s="53"/>
      <c r="G520" s="53"/>
    </row>
    <row r="521" customFormat="false" ht="15.75" hidden="false" customHeight="true" outlineLevel="0" collapsed="false">
      <c r="D521" s="52"/>
      <c r="F521" s="53"/>
      <c r="G521" s="53"/>
    </row>
    <row r="522" customFormat="false" ht="15.75" hidden="false" customHeight="true" outlineLevel="0" collapsed="false">
      <c r="D522" s="52"/>
      <c r="F522" s="53"/>
      <c r="G522" s="53"/>
    </row>
    <row r="523" customFormat="false" ht="15.75" hidden="false" customHeight="true" outlineLevel="0" collapsed="false">
      <c r="D523" s="52"/>
      <c r="F523" s="53"/>
      <c r="G523" s="53"/>
    </row>
    <row r="524" customFormat="false" ht="15.75" hidden="false" customHeight="true" outlineLevel="0" collapsed="false">
      <c r="D524" s="52"/>
      <c r="F524" s="53"/>
      <c r="G524" s="53"/>
    </row>
    <row r="525" customFormat="false" ht="15.75" hidden="false" customHeight="true" outlineLevel="0" collapsed="false">
      <c r="D525" s="52"/>
      <c r="F525" s="53"/>
      <c r="G525" s="53"/>
    </row>
    <row r="526" customFormat="false" ht="15.75" hidden="false" customHeight="true" outlineLevel="0" collapsed="false">
      <c r="D526" s="52"/>
      <c r="F526" s="53"/>
      <c r="G526" s="53"/>
    </row>
    <row r="527" customFormat="false" ht="15.75" hidden="false" customHeight="true" outlineLevel="0" collapsed="false">
      <c r="D527" s="52"/>
      <c r="F527" s="53"/>
      <c r="G527" s="53"/>
    </row>
    <row r="528" customFormat="false" ht="15.75" hidden="false" customHeight="true" outlineLevel="0" collapsed="false">
      <c r="D528" s="52"/>
      <c r="F528" s="53"/>
      <c r="G528" s="53"/>
    </row>
    <row r="529" customFormat="false" ht="15.75" hidden="false" customHeight="true" outlineLevel="0" collapsed="false">
      <c r="D529" s="52"/>
      <c r="F529" s="53"/>
      <c r="G529" s="53"/>
    </row>
    <row r="530" customFormat="false" ht="15.75" hidden="false" customHeight="true" outlineLevel="0" collapsed="false">
      <c r="D530" s="52"/>
      <c r="F530" s="53"/>
      <c r="G530" s="53"/>
    </row>
    <row r="531" customFormat="false" ht="15.75" hidden="false" customHeight="true" outlineLevel="0" collapsed="false">
      <c r="D531" s="52"/>
      <c r="F531" s="53"/>
      <c r="G531" s="53"/>
    </row>
    <row r="532" customFormat="false" ht="15.75" hidden="false" customHeight="true" outlineLevel="0" collapsed="false">
      <c r="D532" s="52"/>
      <c r="F532" s="53"/>
      <c r="G532" s="53"/>
    </row>
    <row r="533" customFormat="false" ht="15.75" hidden="false" customHeight="true" outlineLevel="0" collapsed="false">
      <c r="D533" s="52"/>
      <c r="F533" s="53"/>
      <c r="G533" s="53"/>
    </row>
    <row r="534" customFormat="false" ht="15.75" hidden="false" customHeight="true" outlineLevel="0" collapsed="false">
      <c r="D534" s="52"/>
      <c r="F534" s="53"/>
      <c r="G534" s="53"/>
    </row>
    <row r="535" customFormat="false" ht="15.75" hidden="false" customHeight="true" outlineLevel="0" collapsed="false">
      <c r="D535" s="52"/>
      <c r="F535" s="53"/>
      <c r="G535" s="53"/>
    </row>
    <row r="536" customFormat="false" ht="15.75" hidden="false" customHeight="true" outlineLevel="0" collapsed="false">
      <c r="D536" s="52"/>
      <c r="F536" s="53"/>
      <c r="G536" s="53"/>
    </row>
    <row r="537" customFormat="false" ht="15.75" hidden="false" customHeight="true" outlineLevel="0" collapsed="false">
      <c r="D537" s="52"/>
      <c r="F537" s="53"/>
      <c r="G537" s="53"/>
    </row>
    <row r="538" customFormat="false" ht="15.75" hidden="false" customHeight="true" outlineLevel="0" collapsed="false">
      <c r="D538" s="52"/>
      <c r="F538" s="53"/>
      <c r="G538" s="53"/>
    </row>
    <row r="539" customFormat="false" ht="15.75" hidden="false" customHeight="true" outlineLevel="0" collapsed="false">
      <c r="D539" s="52"/>
      <c r="F539" s="53"/>
      <c r="G539" s="53"/>
    </row>
    <row r="540" customFormat="false" ht="15.75" hidden="false" customHeight="true" outlineLevel="0" collapsed="false">
      <c r="D540" s="52"/>
      <c r="F540" s="53"/>
      <c r="G540" s="53"/>
    </row>
    <row r="541" customFormat="false" ht="15.75" hidden="false" customHeight="true" outlineLevel="0" collapsed="false">
      <c r="D541" s="52"/>
      <c r="F541" s="53"/>
      <c r="G541" s="53"/>
    </row>
    <row r="542" customFormat="false" ht="15.75" hidden="false" customHeight="true" outlineLevel="0" collapsed="false">
      <c r="D542" s="52"/>
      <c r="F542" s="53"/>
      <c r="G542" s="53"/>
    </row>
    <row r="543" customFormat="false" ht="15.75" hidden="false" customHeight="true" outlineLevel="0" collapsed="false">
      <c r="D543" s="52"/>
      <c r="F543" s="53"/>
      <c r="G543" s="53"/>
    </row>
    <row r="544" customFormat="false" ht="15.75" hidden="false" customHeight="true" outlineLevel="0" collapsed="false">
      <c r="D544" s="52"/>
      <c r="F544" s="53"/>
      <c r="G544" s="53"/>
    </row>
    <row r="545" customFormat="false" ht="15.75" hidden="false" customHeight="true" outlineLevel="0" collapsed="false">
      <c r="D545" s="52"/>
      <c r="F545" s="53"/>
      <c r="G545" s="53"/>
    </row>
    <row r="546" customFormat="false" ht="15.75" hidden="false" customHeight="true" outlineLevel="0" collapsed="false">
      <c r="D546" s="52"/>
      <c r="F546" s="53"/>
      <c r="G546" s="53"/>
    </row>
    <row r="547" customFormat="false" ht="15.75" hidden="false" customHeight="true" outlineLevel="0" collapsed="false">
      <c r="D547" s="52"/>
      <c r="F547" s="53"/>
      <c r="G547" s="53"/>
    </row>
    <row r="548" customFormat="false" ht="15.75" hidden="false" customHeight="true" outlineLevel="0" collapsed="false">
      <c r="D548" s="52"/>
      <c r="F548" s="53"/>
      <c r="G548" s="53"/>
    </row>
    <row r="549" customFormat="false" ht="15.75" hidden="false" customHeight="true" outlineLevel="0" collapsed="false">
      <c r="D549" s="52"/>
      <c r="F549" s="53"/>
      <c r="G549" s="53"/>
    </row>
    <row r="550" customFormat="false" ht="15.75" hidden="false" customHeight="true" outlineLevel="0" collapsed="false">
      <c r="D550" s="52"/>
      <c r="F550" s="53"/>
      <c r="G550" s="53"/>
    </row>
    <row r="551" customFormat="false" ht="15.75" hidden="false" customHeight="true" outlineLevel="0" collapsed="false">
      <c r="D551" s="52"/>
      <c r="F551" s="53"/>
      <c r="G551" s="53"/>
    </row>
    <row r="552" customFormat="false" ht="15.75" hidden="false" customHeight="true" outlineLevel="0" collapsed="false">
      <c r="D552" s="52"/>
      <c r="F552" s="53"/>
      <c r="G552" s="53"/>
    </row>
    <row r="553" customFormat="false" ht="15.75" hidden="false" customHeight="true" outlineLevel="0" collapsed="false">
      <c r="D553" s="52"/>
      <c r="F553" s="53"/>
      <c r="G553" s="53"/>
    </row>
    <row r="554" customFormat="false" ht="15.75" hidden="false" customHeight="true" outlineLevel="0" collapsed="false">
      <c r="D554" s="52"/>
      <c r="F554" s="53"/>
      <c r="G554" s="53"/>
    </row>
    <row r="555" customFormat="false" ht="15.75" hidden="false" customHeight="true" outlineLevel="0" collapsed="false">
      <c r="D555" s="52"/>
      <c r="F555" s="53"/>
      <c r="G555" s="53"/>
    </row>
    <row r="556" customFormat="false" ht="15.75" hidden="false" customHeight="true" outlineLevel="0" collapsed="false">
      <c r="D556" s="52"/>
      <c r="F556" s="53"/>
      <c r="G556" s="53"/>
    </row>
    <row r="557" customFormat="false" ht="15.75" hidden="false" customHeight="true" outlineLevel="0" collapsed="false">
      <c r="D557" s="52"/>
      <c r="F557" s="53"/>
      <c r="G557" s="53"/>
    </row>
    <row r="558" customFormat="false" ht="15.75" hidden="false" customHeight="true" outlineLevel="0" collapsed="false">
      <c r="D558" s="52"/>
      <c r="F558" s="53"/>
      <c r="G558" s="53"/>
    </row>
    <row r="559" customFormat="false" ht="15.75" hidden="false" customHeight="true" outlineLevel="0" collapsed="false">
      <c r="D559" s="52"/>
      <c r="F559" s="53"/>
      <c r="G559" s="53"/>
    </row>
    <row r="560" customFormat="false" ht="15.75" hidden="false" customHeight="true" outlineLevel="0" collapsed="false">
      <c r="D560" s="52"/>
      <c r="F560" s="53"/>
      <c r="G560" s="53"/>
    </row>
    <row r="561" customFormat="false" ht="15.75" hidden="false" customHeight="true" outlineLevel="0" collapsed="false">
      <c r="D561" s="52"/>
      <c r="F561" s="53"/>
      <c r="G561" s="53"/>
    </row>
    <row r="562" customFormat="false" ht="15.75" hidden="false" customHeight="true" outlineLevel="0" collapsed="false">
      <c r="D562" s="52"/>
      <c r="F562" s="53"/>
      <c r="G562" s="53"/>
    </row>
    <row r="563" customFormat="false" ht="15.75" hidden="false" customHeight="true" outlineLevel="0" collapsed="false">
      <c r="D563" s="52"/>
      <c r="F563" s="53"/>
      <c r="G563" s="53"/>
    </row>
    <row r="564" customFormat="false" ht="15.75" hidden="false" customHeight="true" outlineLevel="0" collapsed="false">
      <c r="D564" s="52"/>
      <c r="F564" s="53"/>
      <c r="G564" s="53"/>
    </row>
    <row r="565" customFormat="false" ht="15.75" hidden="false" customHeight="true" outlineLevel="0" collapsed="false">
      <c r="D565" s="52"/>
      <c r="F565" s="53"/>
      <c r="G565" s="53"/>
    </row>
    <row r="566" customFormat="false" ht="15.75" hidden="false" customHeight="true" outlineLevel="0" collapsed="false">
      <c r="D566" s="52"/>
      <c r="F566" s="53"/>
      <c r="G566" s="53"/>
    </row>
    <row r="567" customFormat="false" ht="15.75" hidden="false" customHeight="true" outlineLevel="0" collapsed="false">
      <c r="D567" s="52"/>
      <c r="F567" s="53"/>
      <c r="G567" s="53"/>
    </row>
    <row r="568" customFormat="false" ht="15.75" hidden="false" customHeight="true" outlineLevel="0" collapsed="false">
      <c r="D568" s="52"/>
      <c r="F568" s="53"/>
      <c r="G568" s="53"/>
    </row>
    <row r="569" customFormat="false" ht="15.75" hidden="false" customHeight="true" outlineLevel="0" collapsed="false">
      <c r="D569" s="52"/>
      <c r="F569" s="53"/>
      <c r="G569" s="53"/>
    </row>
    <row r="570" customFormat="false" ht="15.75" hidden="false" customHeight="true" outlineLevel="0" collapsed="false">
      <c r="D570" s="52"/>
      <c r="F570" s="53"/>
      <c r="G570" s="53"/>
    </row>
    <row r="571" customFormat="false" ht="15.75" hidden="false" customHeight="true" outlineLevel="0" collapsed="false">
      <c r="D571" s="52"/>
      <c r="F571" s="53"/>
      <c r="G571" s="53"/>
    </row>
    <row r="572" customFormat="false" ht="15.75" hidden="false" customHeight="true" outlineLevel="0" collapsed="false">
      <c r="D572" s="52"/>
      <c r="F572" s="53"/>
      <c r="G572" s="53"/>
    </row>
    <row r="573" customFormat="false" ht="15.75" hidden="false" customHeight="true" outlineLevel="0" collapsed="false">
      <c r="D573" s="52"/>
      <c r="F573" s="53"/>
      <c r="G573" s="53"/>
    </row>
    <row r="574" customFormat="false" ht="15.75" hidden="false" customHeight="true" outlineLevel="0" collapsed="false">
      <c r="D574" s="52"/>
      <c r="F574" s="53"/>
      <c r="G574" s="53"/>
    </row>
    <row r="575" customFormat="false" ht="15.75" hidden="false" customHeight="true" outlineLevel="0" collapsed="false">
      <c r="D575" s="52"/>
      <c r="F575" s="53"/>
      <c r="G575" s="53"/>
    </row>
    <row r="576" customFormat="false" ht="15.75" hidden="false" customHeight="true" outlineLevel="0" collapsed="false">
      <c r="D576" s="52"/>
      <c r="F576" s="53"/>
      <c r="G576" s="53"/>
    </row>
    <row r="577" customFormat="false" ht="15.75" hidden="false" customHeight="true" outlineLevel="0" collapsed="false">
      <c r="D577" s="52"/>
      <c r="F577" s="53"/>
      <c r="G577" s="53"/>
    </row>
    <row r="578" customFormat="false" ht="15.75" hidden="false" customHeight="true" outlineLevel="0" collapsed="false">
      <c r="D578" s="52"/>
      <c r="F578" s="53"/>
      <c r="G578" s="53"/>
    </row>
    <row r="579" customFormat="false" ht="15.75" hidden="false" customHeight="true" outlineLevel="0" collapsed="false">
      <c r="D579" s="52"/>
      <c r="F579" s="53"/>
      <c r="G579" s="53"/>
    </row>
    <row r="580" customFormat="false" ht="15.75" hidden="false" customHeight="true" outlineLevel="0" collapsed="false">
      <c r="D580" s="52"/>
      <c r="F580" s="53"/>
      <c r="G580" s="53"/>
    </row>
    <row r="581" customFormat="false" ht="15.75" hidden="false" customHeight="true" outlineLevel="0" collapsed="false">
      <c r="D581" s="52"/>
      <c r="F581" s="53"/>
      <c r="G581" s="53"/>
    </row>
    <row r="582" customFormat="false" ht="15.75" hidden="false" customHeight="true" outlineLevel="0" collapsed="false">
      <c r="D582" s="52"/>
      <c r="F582" s="53"/>
      <c r="G582" s="53"/>
    </row>
    <row r="583" customFormat="false" ht="15.75" hidden="false" customHeight="true" outlineLevel="0" collapsed="false">
      <c r="D583" s="52"/>
      <c r="F583" s="53"/>
      <c r="G583" s="53"/>
    </row>
    <row r="584" customFormat="false" ht="15.75" hidden="false" customHeight="true" outlineLevel="0" collapsed="false">
      <c r="D584" s="52"/>
      <c r="F584" s="53"/>
      <c r="G584" s="53"/>
    </row>
    <row r="585" customFormat="false" ht="15.75" hidden="false" customHeight="true" outlineLevel="0" collapsed="false">
      <c r="D585" s="52"/>
      <c r="F585" s="53"/>
      <c r="G585" s="53"/>
    </row>
    <row r="586" customFormat="false" ht="15.75" hidden="false" customHeight="true" outlineLevel="0" collapsed="false">
      <c r="D586" s="52"/>
      <c r="F586" s="53"/>
      <c r="G586" s="53"/>
    </row>
    <row r="587" customFormat="false" ht="15.75" hidden="false" customHeight="true" outlineLevel="0" collapsed="false">
      <c r="D587" s="52"/>
      <c r="F587" s="53"/>
      <c r="G587" s="53"/>
    </row>
    <row r="588" customFormat="false" ht="15.75" hidden="false" customHeight="true" outlineLevel="0" collapsed="false">
      <c r="D588" s="52"/>
      <c r="F588" s="53"/>
      <c r="G588" s="53"/>
    </row>
    <row r="589" customFormat="false" ht="15.75" hidden="false" customHeight="true" outlineLevel="0" collapsed="false">
      <c r="D589" s="52"/>
      <c r="F589" s="53"/>
      <c r="G589" s="53"/>
    </row>
    <row r="590" customFormat="false" ht="15.75" hidden="false" customHeight="true" outlineLevel="0" collapsed="false">
      <c r="D590" s="52"/>
      <c r="F590" s="53"/>
      <c r="G590" s="53"/>
    </row>
    <row r="591" customFormat="false" ht="15.75" hidden="false" customHeight="true" outlineLevel="0" collapsed="false">
      <c r="D591" s="52"/>
      <c r="F591" s="53"/>
      <c r="G591" s="53"/>
    </row>
    <row r="592" customFormat="false" ht="15.75" hidden="false" customHeight="true" outlineLevel="0" collapsed="false">
      <c r="D592" s="52"/>
      <c r="F592" s="53"/>
      <c r="G592" s="53"/>
    </row>
    <row r="593" customFormat="false" ht="15.75" hidden="false" customHeight="true" outlineLevel="0" collapsed="false">
      <c r="D593" s="52"/>
      <c r="F593" s="53"/>
      <c r="G593" s="53"/>
    </row>
    <row r="594" customFormat="false" ht="15.75" hidden="false" customHeight="true" outlineLevel="0" collapsed="false">
      <c r="D594" s="52"/>
      <c r="F594" s="53"/>
      <c r="G594" s="53"/>
    </row>
    <row r="595" customFormat="false" ht="15.75" hidden="false" customHeight="true" outlineLevel="0" collapsed="false">
      <c r="D595" s="52"/>
      <c r="F595" s="53"/>
      <c r="G595" s="53"/>
    </row>
    <row r="596" customFormat="false" ht="15.75" hidden="false" customHeight="true" outlineLevel="0" collapsed="false">
      <c r="D596" s="52"/>
      <c r="F596" s="53"/>
      <c r="G596" s="53"/>
    </row>
    <row r="597" customFormat="false" ht="15.75" hidden="false" customHeight="true" outlineLevel="0" collapsed="false">
      <c r="D597" s="52"/>
      <c r="F597" s="53"/>
      <c r="G597" s="53"/>
    </row>
    <row r="598" customFormat="false" ht="15.75" hidden="false" customHeight="true" outlineLevel="0" collapsed="false">
      <c r="D598" s="52"/>
      <c r="F598" s="53"/>
      <c r="G598" s="53"/>
    </row>
    <row r="599" customFormat="false" ht="15.75" hidden="false" customHeight="true" outlineLevel="0" collapsed="false">
      <c r="D599" s="52"/>
      <c r="F599" s="53"/>
      <c r="G599" s="53"/>
    </row>
    <row r="600" customFormat="false" ht="15.75" hidden="false" customHeight="true" outlineLevel="0" collapsed="false">
      <c r="D600" s="52"/>
      <c r="F600" s="53"/>
      <c r="G600" s="53"/>
    </row>
    <row r="601" customFormat="false" ht="15.75" hidden="false" customHeight="true" outlineLevel="0" collapsed="false">
      <c r="D601" s="52"/>
      <c r="F601" s="53"/>
      <c r="G601" s="53"/>
    </row>
    <row r="602" customFormat="false" ht="15.75" hidden="false" customHeight="true" outlineLevel="0" collapsed="false">
      <c r="D602" s="52"/>
      <c r="F602" s="53"/>
      <c r="G602" s="53"/>
    </row>
    <row r="603" customFormat="false" ht="15.75" hidden="false" customHeight="true" outlineLevel="0" collapsed="false">
      <c r="D603" s="52"/>
      <c r="F603" s="53"/>
      <c r="G603" s="53"/>
    </row>
    <row r="604" customFormat="false" ht="15.75" hidden="false" customHeight="true" outlineLevel="0" collapsed="false">
      <c r="D604" s="52"/>
      <c r="F604" s="53"/>
      <c r="G604" s="53"/>
    </row>
    <row r="605" customFormat="false" ht="15.75" hidden="false" customHeight="true" outlineLevel="0" collapsed="false">
      <c r="D605" s="52"/>
      <c r="F605" s="53"/>
      <c r="G605" s="53"/>
    </row>
    <row r="606" customFormat="false" ht="15.75" hidden="false" customHeight="true" outlineLevel="0" collapsed="false">
      <c r="D606" s="52"/>
      <c r="F606" s="53"/>
      <c r="G606" s="53"/>
    </row>
    <row r="607" customFormat="false" ht="15.75" hidden="false" customHeight="true" outlineLevel="0" collapsed="false">
      <c r="D607" s="52"/>
      <c r="F607" s="53"/>
      <c r="G607" s="53"/>
    </row>
    <row r="608" customFormat="false" ht="15.75" hidden="false" customHeight="true" outlineLevel="0" collapsed="false">
      <c r="D608" s="52"/>
      <c r="F608" s="53"/>
      <c r="G608" s="53"/>
    </row>
    <row r="609" customFormat="false" ht="15.75" hidden="false" customHeight="true" outlineLevel="0" collapsed="false">
      <c r="D609" s="52"/>
      <c r="F609" s="53"/>
      <c r="G609" s="53"/>
    </row>
    <row r="610" customFormat="false" ht="15.75" hidden="false" customHeight="true" outlineLevel="0" collapsed="false">
      <c r="D610" s="52"/>
      <c r="F610" s="53"/>
      <c r="G610" s="53"/>
    </row>
    <row r="611" customFormat="false" ht="15.75" hidden="false" customHeight="true" outlineLevel="0" collapsed="false">
      <c r="D611" s="52"/>
      <c r="F611" s="53"/>
      <c r="G611" s="53"/>
    </row>
    <row r="612" customFormat="false" ht="15.75" hidden="false" customHeight="true" outlineLevel="0" collapsed="false">
      <c r="D612" s="52"/>
      <c r="F612" s="53"/>
      <c r="G612" s="53"/>
    </row>
    <row r="613" customFormat="false" ht="15.75" hidden="false" customHeight="true" outlineLevel="0" collapsed="false">
      <c r="D613" s="52"/>
      <c r="F613" s="53"/>
      <c r="G613" s="53"/>
    </row>
    <row r="614" customFormat="false" ht="15.75" hidden="false" customHeight="true" outlineLevel="0" collapsed="false">
      <c r="D614" s="52"/>
      <c r="F614" s="53"/>
      <c r="G614" s="53"/>
    </row>
    <row r="615" customFormat="false" ht="15.75" hidden="false" customHeight="true" outlineLevel="0" collapsed="false">
      <c r="D615" s="52"/>
      <c r="F615" s="53"/>
      <c r="G615" s="53"/>
    </row>
    <row r="616" customFormat="false" ht="15.75" hidden="false" customHeight="true" outlineLevel="0" collapsed="false">
      <c r="D616" s="52"/>
      <c r="F616" s="53"/>
      <c r="G616" s="53"/>
    </row>
    <row r="617" customFormat="false" ht="15.75" hidden="false" customHeight="true" outlineLevel="0" collapsed="false">
      <c r="D617" s="52"/>
      <c r="F617" s="53"/>
      <c r="G617" s="53"/>
    </row>
    <row r="618" customFormat="false" ht="15.75" hidden="false" customHeight="true" outlineLevel="0" collapsed="false">
      <c r="D618" s="52"/>
      <c r="F618" s="53"/>
      <c r="G618" s="53"/>
    </row>
    <row r="619" customFormat="false" ht="15.75" hidden="false" customHeight="true" outlineLevel="0" collapsed="false">
      <c r="D619" s="52"/>
      <c r="F619" s="53"/>
      <c r="G619" s="53"/>
    </row>
    <row r="620" customFormat="false" ht="15.75" hidden="false" customHeight="true" outlineLevel="0" collapsed="false">
      <c r="D620" s="52"/>
      <c r="F620" s="53"/>
      <c r="G620" s="53"/>
    </row>
    <row r="621" customFormat="false" ht="15.75" hidden="false" customHeight="true" outlineLevel="0" collapsed="false">
      <c r="D621" s="52"/>
      <c r="F621" s="53"/>
      <c r="G621" s="53"/>
    </row>
    <row r="622" customFormat="false" ht="15.75" hidden="false" customHeight="true" outlineLevel="0" collapsed="false">
      <c r="D622" s="52"/>
      <c r="F622" s="53"/>
      <c r="G622" s="53"/>
    </row>
    <row r="623" customFormat="false" ht="15.75" hidden="false" customHeight="true" outlineLevel="0" collapsed="false">
      <c r="D623" s="52"/>
      <c r="F623" s="53"/>
      <c r="G623" s="53"/>
    </row>
    <row r="624" customFormat="false" ht="15.75" hidden="false" customHeight="true" outlineLevel="0" collapsed="false">
      <c r="D624" s="52"/>
      <c r="F624" s="53"/>
      <c r="G624" s="53"/>
    </row>
    <row r="625" customFormat="false" ht="15.75" hidden="false" customHeight="true" outlineLevel="0" collapsed="false">
      <c r="D625" s="52"/>
      <c r="F625" s="53"/>
      <c r="G625" s="53"/>
    </row>
    <row r="626" customFormat="false" ht="15.75" hidden="false" customHeight="true" outlineLevel="0" collapsed="false">
      <c r="D626" s="52"/>
      <c r="F626" s="53"/>
      <c r="G626" s="53"/>
    </row>
    <row r="627" customFormat="false" ht="15.75" hidden="false" customHeight="true" outlineLevel="0" collapsed="false">
      <c r="D627" s="52"/>
      <c r="F627" s="53"/>
      <c r="G627" s="53"/>
    </row>
    <row r="628" customFormat="false" ht="15.75" hidden="false" customHeight="true" outlineLevel="0" collapsed="false">
      <c r="D628" s="52"/>
      <c r="F628" s="53"/>
      <c r="G628" s="53"/>
    </row>
    <row r="629" customFormat="false" ht="15.75" hidden="false" customHeight="true" outlineLevel="0" collapsed="false">
      <c r="D629" s="52"/>
      <c r="F629" s="53"/>
      <c r="G629" s="53"/>
    </row>
    <row r="630" customFormat="false" ht="15.75" hidden="false" customHeight="true" outlineLevel="0" collapsed="false">
      <c r="D630" s="52"/>
      <c r="F630" s="53"/>
      <c r="G630" s="53"/>
    </row>
    <row r="631" customFormat="false" ht="15.75" hidden="false" customHeight="true" outlineLevel="0" collapsed="false">
      <c r="D631" s="52"/>
      <c r="F631" s="53"/>
      <c r="G631" s="53"/>
    </row>
    <row r="632" customFormat="false" ht="15.75" hidden="false" customHeight="true" outlineLevel="0" collapsed="false">
      <c r="D632" s="52"/>
      <c r="F632" s="53"/>
      <c r="G632" s="53"/>
    </row>
    <row r="633" customFormat="false" ht="15.75" hidden="false" customHeight="true" outlineLevel="0" collapsed="false">
      <c r="D633" s="52"/>
      <c r="F633" s="53"/>
      <c r="G633" s="53"/>
    </row>
    <row r="634" customFormat="false" ht="15.75" hidden="false" customHeight="true" outlineLevel="0" collapsed="false">
      <c r="D634" s="52"/>
      <c r="F634" s="53"/>
      <c r="G634" s="53"/>
    </row>
    <row r="635" customFormat="false" ht="15.75" hidden="false" customHeight="true" outlineLevel="0" collapsed="false">
      <c r="D635" s="52"/>
      <c r="F635" s="53"/>
      <c r="G635" s="53"/>
    </row>
    <row r="636" customFormat="false" ht="15.75" hidden="false" customHeight="true" outlineLevel="0" collapsed="false">
      <c r="D636" s="52"/>
      <c r="F636" s="53"/>
      <c r="G636" s="53"/>
    </row>
    <row r="637" customFormat="false" ht="15.75" hidden="false" customHeight="true" outlineLevel="0" collapsed="false">
      <c r="D637" s="52"/>
      <c r="F637" s="53"/>
      <c r="G637" s="53"/>
    </row>
    <row r="638" customFormat="false" ht="15.75" hidden="false" customHeight="true" outlineLevel="0" collapsed="false">
      <c r="D638" s="52"/>
      <c r="F638" s="53"/>
      <c r="G638" s="53"/>
    </row>
    <row r="639" customFormat="false" ht="15.75" hidden="false" customHeight="true" outlineLevel="0" collapsed="false">
      <c r="D639" s="52"/>
      <c r="F639" s="53"/>
      <c r="G639" s="53"/>
    </row>
    <row r="640" customFormat="false" ht="15.75" hidden="false" customHeight="true" outlineLevel="0" collapsed="false">
      <c r="D640" s="52"/>
      <c r="F640" s="53"/>
      <c r="G640" s="53"/>
    </row>
    <row r="641" customFormat="false" ht="15.75" hidden="false" customHeight="true" outlineLevel="0" collapsed="false">
      <c r="D641" s="52"/>
      <c r="F641" s="53"/>
      <c r="G641" s="53"/>
    </row>
    <row r="642" customFormat="false" ht="15.75" hidden="false" customHeight="true" outlineLevel="0" collapsed="false">
      <c r="D642" s="52"/>
      <c r="F642" s="53"/>
      <c r="G642" s="53"/>
    </row>
    <row r="643" customFormat="false" ht="15.75" hidden="false" customHeight="true" outlineLevel="0" collapsed="false">
      <c r="D643" s="52"/>
      <c r="F643" s="53"/>
      <c r="G643" s="53"/>
    </row>
    <row r="644" customFormat="false" ht="15.75" hidden="false" customHeight="true" outlineLevel="0" collapsed="false">
      <c r="D644" s="52"/>
      <c r="F644" s="53"/>
      <c r="G644" s="53"/>
    </row>
    <row r="645" customFormat="false" ht="15.75" hidden="false" customHeight="true" outlineLevel="0" collapsed="false">
      <c r="D645" s="52"/>
      <c r="F645" s="53"/>
      <c r="G645" s="53"/>
    </row>
    <row r="646" customFormat="false" ht="15.75" hidden="false" customHeight="true" outlineLevel="0" collapsed="false">
      <c r="D646" s="52"/>
      <c r="F646" s="53"/>
      <c r="G646" s="53"/>
    </row>
    <row r="647" customFormat="false" ht="15.75" hidden="false" customHeight="true" outlineLevel="0" collapsed="false">
      <c r="D647" s="52"/>
      <c r="F647" s="53"/>
      <c r="G647" s="53"/>
    </row>
    <row r="648" customFormat="false" ht="15.75" hidden="false" customHeight="true" outlineLevel="0" collapsed="false">
      <c r="D648" s="52"/>
      <c r="F648" s="53"/>
      <c r="G648" s="53"/>
    </row>
    <row r="649" customFormat="false" ht="15.75" hidden="false" customHeight="true" outlineLevel="0" collapsed="false">
      <c r="D649" s="52"/>
      <c r="F649" s="53"/>
      <c r="G649" s="53"/>
    </row>
    <row r="650" customFormat="false" ht="15.75" hidden="false" customHeight="true" outlineLevel="0" collapsed="false">
      <c r="D650" s="52"/>
      <c r="F650" s="53"/>
      <c r="G650" s="53"/>
    </row>
    <row r="651" customFormat="false" ht="15.75" hidden="false" customHeight="true" outlineLevel="0" collapsed="false">
      <c r="D651" s="52"/>
      <c r="F651" s="53"/>
      <c r="G651" s="53"/>
    </row>
    <row r="652" customFormat="false" ht="15.75" hidden="false" customHeight="true" outlineLevel="0" collapsed="false">
      <c r="D652" s="52"/>
      <c r="F652" s="53"/>
      <c r="G652" s="53"/>
    </row>
    <row r="653" customFormat="false" ht="15.75" hidden="false" customHeight="true" outlineLevel="0" collapsed="false">
      <c r="D653" s="52"/>
      <c r="F653" s="53"/>
      <c r="G653" s="53"/>
    </row>
    <row r="654" customFormat="false" ht="15.75" hidden="false" customHeight="true" outlineLevel="0" collapsed="false">
      <c r="D654" s="52"/>
      <c r="F654" s="53"/>
      <c r="G654" s="53"/>
    </row>
    <row r="655" customFormat="false" ht="15.75" hidden="false" customHeight="true" outlineLevel="0" collapsed="false">
      <c r="D655" s="52"/>
      <c r="F655" s="53"/>
      <c r="G655" s="53"/>
    </row>
    <row r="656" customFormat="false" ht="15.75" hidden="false" customHeight="true" outlineLevel="0" collapsed="false">
      <c r="D656" s="52"/>
      <c r="F656" s="53"/>
      <c r="G656" s="53"/>
    </row>
    <row r="657" customFormat="false" ht="15.75" hidden="false" customHeight="true" outlineLevel="0" collapsed="false">
      <c r="D657" s="52"/>
      <c r="F657" s="53"/>
      <c r="G657" s="53"/>
    </row>
    <row r="658" customFormat="false" ht="15.75" hidden="false" customHeight="true" outlineLevel="0" collapsed="false">
      <c r="D658" s="52"/>
      <c r="F658" s="53"/>
      <c r="G658" s="53"/>
    </row>
    <row r="659" customFormat="false" ht="15.75" hidden="false" customHeight="true" outlineLevel="0" collapsed="false">
      <c r="D659" s="52"/>
      <c r="F659" s="53"/>
      <c r="G659" s="53"/>
    </row>
    <row r="660" customFormat="false" ht="15.75" hidden="false" customHeight="true" outlineLevel="0" collapsed="false">
      <c r="D660" s="52"/>
      <c r="F660" s="53"/>
      <c r="G660" s="53"/>
    </row>
    <row r="661" customFormat="false" ht="15.75" hidden="false" customHeight="true" outlineLevel="0" collapsed="false">
      <c r="D661" s="52"/>
      <c r="F661" s="53"/>
      <c r="G661" s="53"/>
    </row>
    <row r="662" customFormat="false" ht="15.75" hidden="false" customHeight="true" outlineLevel="0" collapsed="false">
      <c r="D662" s="52"/>
      <c r="F662" s="53"/>
      <c r="G662" s="53"/>
    </row>
    <row r="663" customFormat="false" ht="15.75" hidden="false" customHeight="true" outlineLevel="0" collapsed="false">
      <c r="D663" s="52"/>
      <c r="F663" s="53"/>
      <c r="G663" s="53"/>
    </row>
    <row r="664" customFormat="false" ht="15.75" hidden="false" customHeight="true" outlineLevel="0" collapsed="false">
      <c r="D664" s="52"/>
      <c r="F664" s="53"/>
      <c r="G664" s="53"/>
    </row>
    <row r="665" customFormat="false" ht="15.75" hidden="false" customHeight="true" outlineLevel="0" collapsed="false">
      <c r="D665" s="52"/>
      <c r="F665" s="53"/>
      <c r="G665" s="53"/>
    </row>
    <row r="666" customFormat="false" ht="15.75" hidden="false" customHeight="true" outlineLevel="0" collapsed="false">
      <c r="D666" s="52"/>
      <c r="F666" s="53"/>
      <c r="G666" s="53"/>
    </row>
    <row r="667" customFormat="false" ht="15.75" hidden="false" customHeight="true" outlineLevel="0" collapsed="false">
      <c r="D667" s="52"/>
      <c r="F667" s="53"/>
      <c r="G667" s="53"/>
    </row>
    <row r="668" customFormat="false" ht="15.75" hidden="false" customHeight="true" outlineLevel="0" collapsed="false">
      <c r="D668" s="52"/>
      <c r="F668" s="53"/>
      <c r="G668" s="53"/>
    </row>
    <row r="669" customFormat="false" ht="15.75" hidden="false" customHeight="true" outlineLevel="0" collapsed="false">
      <c r="D669" s="52"/>
      <c r="F669" s="53"/>
      <c r="G669" s="53"/>
    </row>
    <row r="670" customFormat="false" ht="15.75" hidden="false" customHeight="true" outlineLevel="0" collapsed="false">
      <c r="D670" s="52"/>
      <c r="F670" s="53"/>
      <c r="G670" s="53"/>
    </row>
    <row r="671" customFormat="false" ht="15.75" hidden="false" customHeight="true" outlineLevel="0" collapsed="false">
      <c r="D671" s="52"/>
      <c r="F671" s="53"/>
      <c r="G671" s="53"/>
    </row>
    <row r="672" customFormat="false" ht="15.75" hidden="false" customHeight="true" outlineLevel="0" collapsed="false">
      <c r="D672" s="52"/>
      <c r="F672" s="53"/>
      <c r="G672" s="53"/>
    </row>
    <row r="673" customFormat="false" ht="15.75" hidden="false" customHeight="true" outlineLevel="0" collapsed="false">
      <c r="D673" s="52"/>
      <c r="F673" s="53"/>
      <c r="G673" s="53"/>
    </row>
    <row r="674" customFormat="false" ht="15.75" hidden="false" customHeight="true" outlineLevel="0" collapsed="false">
      <c r="D674" s="52"/>
      <c r="F674" s="53"/>
      <c r="G674" s="53"/>
    </row>
    <row r="675" customFormat="false" ht="15.75" hidden="false" customHeight="true" outlineLevel="0" collapsed="false">
      <c r="D675" s="52"/>
      <c r="F675" s="53"/>
      <c r="G675" s="53"/>
    </row>
    <row r="676" customFormat="false" ht="15.75" hidden="false" customHeight="true" outlineLevel="0" collapsed="false">
      <c r="D676" s="52"/>
      <c r="F676" s="53"/>
      <c r="G676" s="53"/>
    </row>
    <row r="677" customFormat="false" ht="15.75" hidden="false" customHeight="true" outlineLevel="0" collapsed="false">
      <c r="D677" s="52"/>
      <c r="F677" s="53"/>
      <c r="G677" s="53"/>
    </row>
    <row r="678" customFormat="false" ht="15.75" hidden="false" customHeight="true" outlineLevel="0" collapsed="false">
      <c r="D678" s="52"/>
      <c r="F678" s="53"/>
      <c r="G678" s="53"/>
    </row>
    <row r="679" customFormat="false" ht="15.75" hidden="false" customHeight="true" outlineLevel="0" collapsed="false">
      <c r="D679" s="52"/>
      <c r="F679" s="53"/>
      <c r="G679" s="53"/>
    </row>
    <row r="680" customFormat="false" ht="15.75" hidden="false" customHeight="true" outlineLevel="0" collapsed="false">
      <c r="D680" s="52"/>
      <c r="F680" s="53"/>
      <c r="G680" s="53"/>
    </row>
    <row r="681" customFormat="false" ht="15.75" hidden="false" customHeight="true" outlineLevel="0" collapsed="false">
      <c r="D681" s="52"/>
      <c r="F681" s="53"/>
      <c r="G681" s="53"/>
    </row>
    <row r="682" customFormat="false" ht="15.75" hidden="false" customHeight="true" outlineLevel="0" collapsed="false">
      <c r="D682" s="52"/>
      <c r="F682" s="53"/>
      <c r="G682" s="53"/>
    </row>
    <row r="683" customFormat="false" ht="15.75" hidden="false" customHeight="true" outlineLevel="0" collapsed="false">
      <c r="D683" s="52"/>
      <c r="F683" s="53"/>
      <c r="G683" s="53"/>
    </row>
    <row r="684" customFormat="false" ht="15.75" hidden="false" customHeight="true" outlineLevel="0" collapsed="false">
      <c r="D684" s="52"/>
      <c r="F684" s="53"/>
      <c r="G684" s="53"/>
    </row>
    <row r="685" customFormat="false" ht="15.75" hidden="false" customHeight="true" outlineLevel="0" collapsed="false">
      <c r="D685" s="52"/>
      <c r="F685" s="53"/>
      <c r="G685" s="53"/>
    </row>
    <row r="686" customFormat="false" ht="15.75" hidden="false" customHeight="true" outlineLevel="0" collapsed="false">
      <c r="D686" s="52"/>
      <c r="F686" s="53"/>
      <c r="G686" s="53"/>
    </row>
    <row r="687" customFormat="false" ht="15.75" hidden="false" customHeight="true" outlineLevel="0" collapsed="false">
      <c r="D687" s="52"/>
      <c r="F687" s="53"/>
      <c r="G687" s="53"/>
    </row>
    <row r="688" customFormat="false" ht="15.75" hidden="false" customHeight="true" outlineLevel="0" collapsed="false">
      <c r="D688" s="52"/>
      <c r="F688" s="53"/>
      <c r="G688" s="53"/>
    </row>
    <row r="689" customFormat="false" ht="15.75" hidden="false" customHeight="true" outlineLevel="0" collapsed="false">
      <c r="D689" s="52"/>
      <c r="F689" s="53"/>
      <c r="G689" s="53"/>
    </row>
    <row r="690" customFormat="false" ht="15.75" hidden="false" customHeight="true" outlineLevel="0" collapsed="false">
      <c r="D690" s="52"/>
      <c r="F690" s="53"/>
      <c r="G690" s="53"/>
    </row>
    <row r="691" customFormat="false" ht="15.75" hidden="false" customHeight="true" outlineLevel="0" collapsed="false">
      <c r="D691" s="52"/>
      <c r="F691" s="53"/>
      <c r="G691" s="53"/>
    </row>
    <row r="692" customFormat="false" ht="15.75" hidden="false" customHeight="true" outlineLevel="0" collapsed="false">
      <c r="D692" s="52"/>
      <c r="F692" s="53"/>
      <c r="G692" s="53"/>
    </row>
    <row r="693" customFormat="false" ht="15.75" hidden="false" customHeight="true" outlineLevel="0" collapsed="false">
      <c r="D693" s="52"/>
      <c r="F693" s="53"/>
      <c r="G693" s="53"/>
    </row>
    <row r="694" customFormat="false" ht="15.75" hidden="false" customHeight="true" outlineLevel="0" collapsed="false">
      <c r="D694" s="52"/>
      <c r="F694" s="53"/>
      <c r="G694" s="53"/>
    </row>
    <row r="695" customFormat="false" ht="15.75" hidden="false" customHeight="true" outlineLevel="0" collapsed="false">
      <c r="D695" s="52"/>
      <c r="F695" s="53"/>
      <c r="G695" s="53"/>
    </row>
    <row r="696" customFormat="false" ht="15.75" hidden="false" customHeight="true" outlineLevel="0" collapsed="false">
      <c r="D696" s="52"/>
      <c r="F696" s="53"/>
      <c r="G696" s="53"/>
    </row>
    <row r="697" customFormat="false" ht="15.75" hidden="false" customHeight="true" outlineLevel="0" collapsed="false">
      <c r="D697" s="52"/>
      <c r="F697" s="53"/>
      <c r="G697" s="53"/>
    </row>
    <row r="698" customFormat="false" ht="15.75" hidden="false" customHeight="true" outlineLevel="0" collapsed="false">
      <c r="D698" s="52"/>
      <c r="F698" s="53"/>
      <c r="G698" s="53"/>
    </row>
    <row r="699" customFormat="false" ht="15.75" hidden="false" customHeight="true" outlineLevel="0" collapsed="false">
      <c r="D699" s="52"/>
      <c r="F699" s="53"/>
      <c r="G699" s="53"/>
    </row>
    <row r="700" customFormat="false" ht="15.75" hidden="false" customHeight="true" outlineLevel="0" collapsed="false">
      <c r="D700" s="52"/>
      <c r="F700" s="53"/>
      <c r="G700" s="53"/>
    </row>
    <row r="701" customFormat="false" ht="15.75" hidden="false" customHeight="true" outlineLevel="0" collapsed="false">
      <c r="D701" s="52"/>
      <c r="F701" s="53"/>
      <c r="G701" s="53"/>
    </row>
    <row r="702" customFormat="false" ht="15.75" hidden="false" customHeight="true" outlineLevel="0" collapsed="false">
      <c r="D702" s="52"/>
      <c r="F702" s="53"/>
      <c r="G702" s="53"/>
    </row>
    <row r="703" customFormat="false" ht="15.75" hidden="false" customHeight="true" outlineLevel="0" collapsed="false">
      <c r="D703" s="52"/>
      <c r="F703" s="53"/>
      <c r="G703" s="53"/>
    </row>
    <row r="704" customFormat="false" ht="15.75" hidden="false" customHeight="true" outlineLevel="0" collapsed="false">
      <c r="D704" s="52"/>
      <c r="F704" s="53"/>
      <c r="G704" s="53"/>
    </row>
    <row r="705" customFormat="false" ht="15.75" hidden="false" customHeight="true" outlineLevel="0" collapsed="false">
      <c r="D705" s="52"/>
      <c r="F705" s="53"/>
      <c r="G705" s="53"/>
    </row>
    <row r="706" customFormat="false" ht="15.75" hidden="false" customHeight="true" outlineLevel="0" collapsed="false">
      <c r="D706" s="52"/>
      <c r="F706" s="53"/>
      <c r="G706" s="53"/>
    </row>
    <row r="707" customFormat="false" ht="15.75" hidden="false" customHeight="true" outlineLevel="0" collapsed="false">
      <c r="D707" s="52"/>
      <c r="F707" s="53"/>
      <c r="G707" s="53"/>
    </row>
    <row r="708" customFormat="false" ht="15.75" hidden="false" customHeight="true" outlineLevel="0" collapsed="false">
      <c r="D708" s="52"/>
      <c r="F708" s="53"/>
      <c r="G708" s="53"/>
    </row>
    <row r="709" customFormat="false" ht="15.75" hidden="false" customHeight="true" outlineLevel="0" collapsed="false">
      <c r="D709" s="52"/>
      <c r="F709" s="53"/>
      <c r="G709" s="53"/>
    </row>
    <row r="710" customFormat="false" ht="15.75" hidden="false" customHeight="true" outlineLevel="0" collapsed="false">
      <c r="D710" s="52"/>
      <c r="F710" s="53"/>
      <c r="G710" s="53"/>
    </row>
    <row r="711" customFormat="false" ht="15.75" hidden="false" customHeight="true" outlineLevel="0" collapsed="false">
      <c r="D711" s="52"/>
      <c r="F711" s="53"/>
      <c r="G711" s="53"/>
    </row>
    <row r="712" customFormat="false" ht="15.75" hidden="false" customHeight="true" outlineLevel="0" collapsed="false">
      <c r="D712" s="52"/>
      <c r="F712" s="53"/>
      <c r="G712" s="53"/>
    </row>
    <row r="713" customFormat="false" ht="15.75" hidden="false" customHeight="true" outlineLevel="0" collapsed="false">
      <c r="D713" s="52"/>
      <c r="F713" s="53"/>
      <c r="G713" s="53"/>
    </row>
    <row r="714" customFormat="false" ht="15.75" hidden="false" customHeight="true" outlineLevel="0" collapsed="false">
      <c r="D714" s="52"/>
      <c r="F714" s="53"/>
      <c r="G714" s="53"/>
    </row>
    <row r="715" customFormat="false" ht="15.75" hidden="false" customHeight="true" outlineLevel="0" collapsed="false">
      <c r="D715" s="52"/>
      <c r="F715" s="53"/>
      <c r="G715" s="53"/>
    </row>
    <row r="716" customFormat="false" ht="15.75" hidden="false" customHeight="true" outlineLevel="0" collapsed="false">
      <c r="D716" s="52"/>
      <c r="F716" s="53"/>
      <c r="G716" s="53"/>
    </row>
    <row r="717" customFormat="false" ht="15.75" hidden="false" customHeight="true" outlineLevel="0" collapsed="false">
      <c r="D717" s="52"/>
      <c r="F717" s="53"/>
      <c r="G717" s="53"/>
    </row>
    <row r="718" customFormat="false" ht="15.75" hidden="false" customHeight="true" outlineLevel="0" collapsed="false">
      <c r="D718" s="52"/>
      <c r="F718" s="53"/>
      <c r="G718" s="53"/>
    </row>
    <row r="719" customFormat="false" ht="15.75" hidden="false" customHeight="true" outlineLevel="0" collapsed="false">
      <c r="D719" s="52"/>
      <c r="F719" s="53"/>
      <c r="G719" s="53"/>
    </row>
    <row r="720" customFormat="false" ht="15.75" hidden="false" customHeight="true" outlineLevel="0" collapsed="false">
      <c r="D720" s="52"/>
      <c r="F720" s="53"/>
      <c r="G720" s="53"/>
    </row>
    <row r="721" customFormat="false" ht="15.75" hidden="false" customHeight="true" outlineLevel="0" collapsed="false">
      <c r="D721" s="52"/>
      <c r="F721" s="53"/>
      <c r="G721" s="53"/>
    </row>
    <row r="722" customFormat="false" ht="15.75" hidden="false" customHeight="true" outlineLevel="0" collapsed="false">
      <c r="D722" s="52"/>
      <c r="F722" s="53"/>
      <c r="G722" s="53"/>
    </row>
    <row r="723" customFormat="false" ht="15.75" hidden="false" customHeight="true" outlineLevel="0" collapsed="false">
      <c r="D723" s="52"/>
      <c r="F723" s="53"/>
      <c r="G723" s="53"/>
    </row>
    <row r="724" customFormat="false" ht="15.75" hidden="false" customHeight="true" outlineLevel="0" collapsed="false">
      <c r="D724" s="52"/>
      <c r="F724" s="53"/>
      <c r="G724" s="53"/>
    </row>
    <row r="725" customFormat="false" ht="15.75" hidden="false" customHeight="true" outlineLevel="0" collapsed="false">
      <c r="D725" s="52"/>
      <c r="F725" s="53"/>
      <c r="G725" s="53"/>
    </row>
    <row r="726" customFormat="false" ht="15.75" hidden="false" customHeight="true" outlineLevel="0" collapsed="false">
      <c r="D726" s="52"/>
      <c r="F726" s="53"/>
      <c r="G726" s="53"/>
    </row>
    <row r="727" customFormat="false" ht="15.75" hidden="false" customHeight="true" outlineLevel="0" collapsed="false">
      <c r="D727" s="52"/>
      <c r="F727" s="53"/>
      <c r="G727" s="53"/>
    </row>
    <row r="728" customFormat="false" ht="15.75" hidden="false" customHeight="true" outlineLevel="0" collapsed="false">
      <c r="D728" s="52"/>
      <c r="F728" s="53"/>
      <c r="G728" s="53"/>
    </row>
    <row r="729" customFormat="false" ht="15.75" hidden="false" customHeight="true" outlineLevel="0" collapsed="false">
      <c r="D729" s="52"/>
      <c r="F729" s="53"/>
      <c r="G729" s="53"/>
    </row>
    <row r="730" customFormat="false" ht="15.75" hidden="false" customHeight="true" outlineLevel="0" collapsed="false">
      <c r="D730" s="52"/>
      <c r="F730" s="53"/>
      <c r="G730" s="53"/>
    </row>
    <row r="731" customFormat="false" ht="15.75" hidden="false" customHeight="true" outlineLevel="0" collapsed="false">
      <c r="D731" s="52"/>
      <c r="F731" s="53"/>
      <c r="G731" s="53"/>
    </row>
    <row r="732" customFormat="false" ht="15.75" hidden="false" customHeight="true" outlineLevel="0" collapsed="false">
      <c r="D732" s="52"/>
      <c r="F732" s="53"/>
      <c r="G732" s="53"/>
    </row>
    <row r="733" customFormat="false" ht="15.75" hidden="false" customHeight="true" outlineLevel="0" collapsed="false">
      <c r="D733" s="52"/>
      <c r="F733" s="53"/>
      <c r="G733" s="53"/>
    </row>
    <row r="734" customFormat="false" ht="15.75" hidden="false" customHeight="true" outlineLevel="0" collapsed="false">
      <c r="D734" s="52"/>
      <c r="F734" s="53"/>
      <c r="G734" s="53"/>
    </row>
    <row r="735" customFormat="false" ht="15.75" hidden="false" customHeight="true" outlineLevel="0" collapsed="false">
      <c r="D735" s="52"/>
      <c r="F735" s="53"/>
      <c r="G735" s="53"/>
    </row>
    <row r="736" customFormat="false" ht="15.75" hidden="false" customHeight="true" outlineLevel="0" collapsed="false">
      <c r="D736" s="52"/>
      <c r="F736" s="53"/>
      <c r="G736" s="53"/>
    </row>
    <row r="737" customFormat="false" ht="15.75" hidden="false" customHeight="true" outlineLevel="0" collapsed="false">
      <c r="D737" s="52"/>
      <c r="F737" s="53"/>
      <c r="G737" s="53"/>
    </row>
    <row r="738" customFormat="false" ht="15.75" hidden="false" customHeight="true" outlineLevel="0" collapsed="false">
      <c r="D738" s="52"/>
      <c r="F738" s="53"/>
      <c r="G738" s="53"/>
    </row>
    <row r="739" customFormat="false" ht="15.75" hidden="false" customHeight="true" outlineLevel="0" collapsed="false">
      <c r="D739" s="52"/>
      <c r="F739" s="53"/>
      <c r="G739" s="53"/>
    </row>
    <row r="740" customFormat="false" ht="15.75" hidden="false" customHeight="true" outlineLevel="0" collapsed="false">
      <c r="D740" s="52"/>
      <c r="F740" s="53"/>
      <c r="G740" s="53"/>
    </row>
    <row r="741" customFormat="false" ht="15.75" hidden="false" customHeight="true" outlineLevel="0" collapsed="false">
      <c r="D741" s="52"/>
      <c r="F741" s="53"/>
      <c r="G741" s="53"/>
    </row>
    <row r="742" customFormat="false" ht="15.75" hidden="false" customHeight="true" outlineLevel="0" collapsed="false">
      <c r="D742" s="52"/>
      <c r="F742" s="53"/>
      <c r="G742" s="53"/>
    </row>
    <row r="743" customFormat="false" ht="15.75" hidden="false" customHeight="true" outlineLevel="0" collapsed="false">
      <c r="D743" s="52"/>
      <c r="F743" s="53"/>
      <c r="G743" s="53"/>
    </row>
    <row r="744" customFormat="false" ht="15.75" hidden="false" customHeight="true" outlineLevel="0" collapsed="false">
      <c r="D744" s="52"/>
      <c r="F744" s="53"/>
      <c r="G744" s="53"/>
    </row>
    <row r="745" customFormat="false" ht="15.75" hidden="false" customHeight="true" outlineLevel="0" collapsed="false">
      <c r="D745" s="52"/>
      <c r="F745" s="53"/>
      <c r="G745" s="53"/>
    </row>
    <row r="746" customFormat="false" ht="15.75" hidden="false" customHeight="true" outlineLevel="0" collapsed="false">
      <c r="D746" s="52"/>
      <c r="F746" s="53"/>
      <c r="G746" s="53"/>
    </row>
    <row r="747" customFormat="false" ht="15.75" hidden="false" customHeight="true" outlineLevel="0" collapsed="false">
      <c r="D747" s="52"/>
      <c r="F747" s="53"/>
      <c r="G747" s="53"/>
    </row>
    <row r="748" customFormat="false" ht="15.75" hidden="false" customHeight="true" outlineLevel="0" collapsed="false">
      <c r="D748" s="52"/>
      <c r="F748" s="53"/>
      <c r="G748" s="53"/>
    </row>
    <row r="749" customFormat="false" ht="15.75" hidden="false" customHeight="true" outlineLevel="0" collapsed="false">
      <c r="D749" s="52"/>
      <c r="F749" s="53"/>
      <c r="G749" s="53"/>
    </row>
    <row r="750" customFormat="false" ht="15.75" hidden="false" customHeight="true" outlineLevel="0" collapsed="false">
      <c r="D750" s="52"/>
      <c r="F750" s="53"/>
      <c r="G750" s="53"/>
    </row>
    <row r="751" customFormat="false" ht="15.75" hidden="false" customHeight="true" outlineLevel="0" collapsed="false">
      <c r="D751" s="52"/>
      <c r="F751" s="53"/>
      <c r="G751" s="53"/>
    </row>
    <row r="752" customFormat="false" ht="15.75" hidden="false" customHeight="true" outlineLevel="0" collapsed="false">
      <c r="D752" s="52"/>
      <c r="F752" s="53"/>
      <c r="G752" s="53"/>
    </row>
    <row r="753" customFormat="false" ht="15.75" hidden="false" customHeight="true" outlineLevel="0" collapsed="false">
      <c r="D753" s="52"/>
      <c r="F753" s="53"/>
      <c r="G753" s="53"/>
    </row>
    <row r="754" customFormat="false" ht="15.75" hidden="false" customHeight="true" outlineLevel="0" collapsed="false">
      <c r="D754" s="52"/>
      <c r="F754" s="53"/>
      <c r="G754" s="53"/>
    </row>
    <row r="755" customFormat="false" ht="15.75" hidden="false" customHeight="true" outlineLevel="0" collapsed="false">
      <c r="D755" s="52"/>
      <c r="F755" s="53"/>
      <c r="G755" s="53"/>
    </row>
    <row r="756" customFormat="false" ht="15.75" hidden="false" customHeight="true" outlineLevel="0" collapsed="false">
      <c r="D756" s="52"/>
      <c r="F756" s="53"/>
      <c r="G756" s="53"/>
    </row>
    <row r="757" customFormat="false" ht="15.75" hidden="false" customHeight="true" outlineLevel="0" collapsed="false">
      <c r="D757" s="52"/>
      <c r="F757" s="53"/>
      <c r="G757" s="53"/>
    </row>
    <row r="758" customFormat="false" ht="15.75" hidden="false" customHeight="true" outlineLevel="0" collapsed="false">
      <c r="D758" s="52"/>
      <c r="F758" s="53"/>
      <c r="G758" s="53"/>
    </row>
    <row r="759" customFormat="false" ht="15.75" hidden="false" customHeight="true" outlineLevel="0" collapsed="false">
      <c r="D759" s="52"/>
      <c r="F759" s="53"/>
      <c r="G759" s="53"/>
    </row>
    <row r="760" customFormat="false" ht="15.75" hidden="false" customHeight="true" outlineLevel="0" collapsed="false">
      <c r="D760" s="52"/>
      <c r="F760" s="53"/>
      <c r="G760" s="53"/>
    </row>
    <row r="761" customFormat="false" ht="15.75" hidden="false" customHeight="true" outlineLevel="0" collapsed="false">
      <c r="D761" s="52"/>
      <c r="F761" s="53"/>
      <c r="G761" s="53"/>
    </row>
    <row r="762" customFormat="false" ht="15.75" hidden="false" customHeight="true" outlineLevel="0" collapsed="false">
      <c r="D762" s="52"/>
      <c r="F762" s="53"/>
      <c r="G762" s="53"/>
    </row>
    <row r="763" customFormat="false" ht="15.75" hidden="false" customHeight="true" outlineLevel="0" collapsed="false">
      <c r="D763" s="52"/>
      <c r="F763" s="53"/>
      <c r="G763" s="53"/>
    </row>
    <row r="764" customFormat="false" ht="15.75" hidden="false" customHeight="true" outlineLevel="0" collapsed="false">
      <c r="D764" s="52"/>
      <c r="F764" s="53"/>
      <c r="G764" s="53"/>
    </row>
    <row r="765" customFormat="false" ht="15.75" hidden="false" customHeight="true" outlineLevel="0" collapsed="false">
      <c r="D765" s="52"/>
      <c r="F765" s="53"/>
      <c r="G765" s="53"/>
    </row>
    <row r="766" customFormat="false" ht="15.75" hidden="false" customHeight="true" outlineLevel="0" collapsed="false">
      <c r="D766" s="52"/>
      <c r="F766" s="53"/>
      <c r="G766" s="53"/>
    </row>
    <row r="767" customFormat="false" ht="15.75" hidden="false" customHeight="true" outlineLevel="0" collapsed="false">
      <c r="D767" s="52"/>
      <c r="F767" s="53"/>
      <c r="G767" s="53"/>
    </row>
    <row r="768" customFormat="false" ht="15.75" hidden="false" customHeight="true" outlineLevel="0" collapsed="false">
      <c r="D768" s="52"/>
      <c r="F768" s="53"/>
      <c r="G768" s="53"/>
    </row>
    <row r="769" customFormat="false" ht="15.75" hidden="false" customHeight="true" outlineLevel="0" collapsed="false">
      <c r="D769" s="52"/>
      <c r="F769" s="53"/>
      <c r="G769" s="53"/>
    </row>
    <row r="770" customFormat="false" ht="15.75" hidden="false" customHeight="true" outlineLevel="0" collapsed="false">
      <c r="D770" s="52"/>
      <c r="F770" s="53"/>
      <c r="G770" s="53"/>
    </row>
    <row r="771" customFormat="false" ht="15.75" hidden="false" customHeight="true" outlineLevel="0" collapsed="false">
      <c r="D771" s="52"/>
      <c r="F771" s="53"/>
      <c r="G771" s="53"/>
    </row>
    <row r="772" customFormat="false" ht="15.75" hidden="false" customHeight="true" outlineLevel="0" collapsed="false">
      <c r="D772" s="52"/>
      <c r="F772" s="53"/>
      <c r="G772" s="53"/>
    </row>
    <row r="773" customFormat="false" ht="15.75" hidden="false" customHeight="true" outlineLevel="0" collapsed="false">
      <c r="D773" s="52"/>
      <c r="F773" s="53"/>
      <c r="G773" s="53"/>
    </row>
    <row r="774" customFormat="false" ht="15.75" hidden="false" customHeight="true" outlineLevel="0" collapsed="false">
      <c r="D774" s="52"/>
      <c r="F774" s="53"/>
      <c r="G774" s="53"/>
    </row>
    <row r="775" customFormat="false" ht="15.75" hidden="false" customHeight="true" outlineLevel="0" collapsed="false">
      <c r="D775" s="52"/>
      <c r="F775" s="53"/>
      <c r="G775" s="53"/>
    </row>
    <row r="776" customFormat="false" ht="15.75" hidden="false" customHeight="true" outlineLevel="0" collapsed="false">
      <c r="D776" s="52"/>
      <c r="F776" s="53"/>
      <c r="G776" s="53"/>
    </row>
    <row r="777" customFormat="false" ht="15.75" hidden="false" customHeight="true" outlineLevel="0" collapsed="false">
      <c r="D777" s="52"/>
      <c r="F777" s="53"/>
      <c r="G777" s="53"/>
    </row>
    <row r="778" customFormat="false" ht="15.75" hidden="false" customHeight="true" outlineLevel="0" collapsed="false">
      <c r="D778" s="52"/>
      <c r="F778" s="53"/>
      <c r="G778" s="53"/>
    </row>
    <row r="779" customFormat="false" ht="15.75" hidden="false" customHeight="true" outlineLevel="0" collapsed="false">
      <c r="D779" s="52"/>
      <c r="F779" s="53"/>
      <c r="G779" s="53"/>
    </row>
    <row r="780" customFormat="false" ht="15.75" hidden="false" customHeight="true" outlineLevel="0" collapsed="false">
      <c r="D780" s="52"/>
      <c r="F780" s="53"/>
      <c r="G780" s="53"/>
    </row>
    <row r="781" customFormat="false" ht="15.75" hidden="false" customHeight="true" outlineLevel="0" collapsed="false">
      <c r="D781" s="52"/>
      <c r="F781" s="53"/>
      <c r="G781" s="53"/>
    </row>
    <row r="782" customFormat="false" ht="15.75" hidden="false" customHeight="true" outlineLevel="0" collapsed="false">
      <c r="D782" s="52"/>
      <c r="F782" s="53"/>
      <c r="G782" s="53"/>
    </row>
    <row r="783" customFormat="false" ht="15.75" hidden="false" customHeight="true" outlineLevel="0" collapsed="false">
      <c r="D783" s="52"/>
      <c r="F783" s="53"/>
      <c r="G783" s="53"/>
    </row>
    <row r="784" customFormat="false" ht="15.75" hidden="false" customHeight="true" outlineLevel="0" collapsed="false">
      <c r="D784" s="52"/>
      <c r="F784" s="53"/>
      <c r="G784" s="53"/>
    </row>
    <row r="785" customFormat="false" ht="15.75" hidden="false" customHeight="true" outlineLevel="0" collapsed="false">
      <c r="D785" s="52"/>
      <c r="F785" s="53"/>
      <c r="G785" s="53"/>
    </row>
    <row r="786" customFormat="false" ht="15.75" hidden="false" customHeight="true" outlineLevel="0" collapsed="false">
      <c r="D786" s="52"/>
      <c r="F786" s="53"/>
      <c r="G786" s="53"/>
    </row>
    <row r="787" customFormat="false" ht="15.75" hidden="false" customHeight="true" outlineLevel="0" collapsed="false">
      <c r="D787" s="52"/>
      <c r="F787" s="53"/>
      <c r="G787" s="53"/>
    </row>
    <row r="788" customFormat="false" ht="15.75" hidden="false" customHeight="true" outlineLevel="0" collapsed="false">
      <c r="D788" s="52"/>
      <c r="F788" s="53"/>
      <c r="G788" s="53"/>
    </row>
    <row r="789" customFormat="false" ht="15.75" hidden="false" customHeight="true" outlineLevel="0" collapsed="false">
      <c r="D789" s="52"/>
      <c r="F789" s="53"/>
      <c r="G789" s="53"/>
    </row>
    <row r="790" customFormat="false" ht="15.75" hidden="false" customHeight="true" outlineLevel="0" collapsed="false">
      <c r="D790" s="52"/>
      <c r="F790" s="53"/>
      <c r="G790" s="53"/>
    </row>
    <row r="791" customFormat="false" ht="15.75" hidden="false" customHeight="true" outlineLevel="0" collapsed="false">
      <c r="D791" s="52"/>
      <c r="F791" s="53"/>
      <c r="G791" s="53"/>
    </row>
    <row r="792" customFormat="false" ht="15.75" hidden="false" customHeight="true" outlineLevel="0" collapsed="false">
      <c r="D792" s="52"/>
      <c r="F792" s="53"/>
      <c r="G792" s="53"/>
    </row>
    <row r="793" customFormat="false" ht="15.75" hidden="false" customHeight="true" outlineLevel="0" collapsed="false">
      <c r="D793" s="52"/>
      <c r="F793" s="53"/>
      <c r="G793" s="53"/>
    </row>
    <row r="794" customFormat="false" ht="15.75" hidden="false" customHeight="true" outlineLevel="0" collapsed="false">
      <c r="D794" s="52"/>
      <c r="F794" s="53"/>
      <c r="G794" s="53"/>
    </row>
    <row r="795" customFormat="false" ht="15.75" hidden="false" customHeight="true" outlineLevel="0" collapsed="false">
      <c r="D795" s="52"/>
      <c r="F795" s="53"/>
      <c r="G795" s="53"/>
    </row>
    <row r="796" customFormat="false" ht="15.75" hidden="false" customHeight="true" outlineLevel="0" collapsed="false">
      <c r="D796" s="52"/>
      <c r="F796" s="53"/>
      <c r="G796" s="53"/>
    </row>
    <row r="797" customFormat="false" ht="15.75" hidden="false" customHeight="true" outlineLevel="0" collapsed="false">
      <c r="D797" s="52"/>
      <c r="F797" s="53"/>
      <c r="G797" s="53"/>
    </row>
    <row r="798" customFormat="false" ht="15.75" hidden="false" customHeight="true" outlineLevel="0" collapsed="false">
      <c r="D798" s="52"/>
      <c r="F798" s="53"/>
      <c r="G798" s="53"/>
    </row>
    <row r="799" customFormat="false" ht="15.75" hidden="false" customHeight="true" outlineLevel="0" collapsed="false">
      <c r="D799" s="52"/>
      <c r="F799" s="53"/>
      <c r="G799" s="53"/>
    </row>
    <row r="800" customFormat="false" ht="15.75" hidden="false" customHeight="true" outlineLevel="0" collapsed="false">
      <c r="D800" s="52"/>
      <c r="F800" s="53"/>
      <c r="G800" s="53"/>
    </row>
    <row r="801" customFormat="false" ht="15.75" hidden="false" customHeight="true" outlineLevel="0" collapsed="false">
      <c r="D801" s="52"/>
      <c r="F801" s="53"/>
      <c r="G801" s="53"/>
    </row>
    <row r="802" customFormat="false" ht="15.75" hidden="false" customHeight="true" outlineLevel="0" collapsed="false">
      <c r="D802" s="52"/>
      <c r="F802" s="53"/>
      <c r="G802" s="53"/>
    </row>
    <row r="803" customFormat="false" ht="15.75" hidden="false" customHeight="true" outlineLevel="0" collapsed="false">
      <c r="D803" s="52"/>
      <c r="F803" s="53"/>
      <c r="G803" s="53"/>
    </row>
    <row r="804" customFormat="false" ht="15.75" hidden="false" customHeight="true" outlineLevel="0" collapsed="false">
      <c r="D804" s="52"/>
      <c r="F804" s="53"/>
      <c r="G804" s="53"/>
    </row>
    <row r="805" customFormat="false" ht="15.75" hidden="false" customHeight="true" outlineLevel="0" collapsed="false">
      <c r="D805" s="52"/>
      <c r="F805" s="53"/>
      <c r="G805" s="53"/>
    </row>
    <row r="806" customFormat="false" ht="15.75" hidden="false" customHeight="true" outlineLevel="0" collapsed="false">
      <c r="D806" s="52"/>
      <c r="F806" s="53"/>
      <c r="G806" s="53"/>
    </row>
    <row r="807" customFormat="false" ht="15.75" hidden="false" customHeight="true" outlineLevel="0" collapsed="false">
      <c r="D807" s="52"/>
      <c r="F807" s="53"/>
      <c r="G807" s="53"/>
    </row>
    <row r="808" customFormat="false" ht="15.75" hidden="false" customHeight="true" outlineLevel="0" collapsed="false">
      <c r="D808" s="52"/>
      <c r="F808" s="53"/>
      <c r="G808" s="53"/>
    </row>
    <row r="809" customFormat="false" ht="15.75" hidden="false" customHeight="true" outlineLevel="0" collapsed="false">
      <c r="D809" s="52"/>
      <c r="F809" s="53"/>
      <c r="G809" s="53"/>
    </row>
    <row r="810" customFormat="false" ht="15.75" hidden="false" customHeight="true" outlineLevel="0" collapsed="false">
      <c r="D810" s="52"/>
      <c r="F810" s="53"/>
      <c r="G810" s="53"/>
    </row>
    <row r="811" customFormat="false" ht="15.75" hidden="false" customHeight="true" outlineLevel="0" collapsed="false">
      <c r="D811" s="52"/>
      <c r="F811" s="53"/>
      <c r="G811" s="53"/>
    </row>
    <row r="812" customFormat="false" ht="15.75" hidden="false" customHeight="true" outlineLevel="0" collapsed="false">
      <c r="D812" s="52"/>
      <c r="F812" s="53"/>
      <c r="G812" s="53"/>
    </row>
    <row r="813" customFormat="false" ht="15.75" hidden="false" customHeight="true" outlineLevel="0" collapsed="false">
      <c r="D813" s="52"/>
      <c r="F813" s="53"/>
      <c r="G813" s="53"/>
    </row>
    <row r="814" customFormat="false" ht="15.75" hidden="false" customHeight="true" outlineLevel="0" collapsed="false">
      <c r="D814" s="52"/>
      <c r="F814" s="53"/>
      <c r="G814" s="53"/>
    </row>
    <row r="815" customFormat="false" ht="15.75" hidden="false" customHeight="true" outlineLevel="0" collapsed="false">
      <c r="D815" s="52"/>
      <c r="F815" s="53"/>
      <c r="G815" s="53"/>
    </row>
    <row r="816" customFormat="false" ht="15.75" hidden="false" customHeight="true" outlineLevel="0" collapsed="false">
      <c r="D816" s="52"/>
      <c r="F816" s="53"/>
      <c r="G816" s="53"/>
    </row>
    <row r="817" customFormat="false" ht="15.75" hidden="false" customHeight="true" outlineLevel="0" collapsed="false">
      <c r="D817" s="52"/>
      <c r="F817" s="53"/>
      <c r="G817" s="53"/>
    </row>
    <row r="818" customFormat="false" ht="15.75" hidden="false" customHeight="true" outlineLevel="0" collapsed="false">
      <c r="D818" s="52"/>
      <c r="F818" s="53"/>
      <c r="G818" s="53"/>
    </row>
    <row r="819" customFormat="false" ht="15.75" hidden="false" customHeight="true" outlineLevel="0" collapsed="false">
      <c r="D819" s="52"/>
      <c r="F819" s="53"/>
      <c r="G819" s="53"/>
    </row>
    <row r="820" customFormat="false" ht="15.75" hidden="false" customHeight="true" outlineLevel="0" collapsed="false">
      <c r="D820" s="52"/>
      <c r="F820" s="53"/>
      <c r="G820" s="53"/>
    </row>
    <row r="821" customFormat="false" ht="15.75" hidden="false" customHeight="true" outlineLevel="0" collapsed="false">
      <c r="D821" s="52"/>
      <c r="F821" s="53"/>
      <c r="G821" s="53"/>
    </row>
    <row r="822" customFormat="false" ht="15.75" hidden="false" customHeight="true" outlineLevel="0" collapsed="false">
      <c r="D822" s="52"/>
      <c r="F822" s="53"/>
      <c r="G822" s="53"/>
    </row>
    <row r="823" customFormat="false" ht="15.75" hidden="false" customHeight="true" outlineLevel="0" collapsed="false">
      <c r="D823" s="52"/>
      <c r="F823" s="53"/>
      <c r="G823" s="53"/>
    </row>
    <row r="824" customFormat="false" ht="15.75" hidden="false" customHeight="true" outlineLevel="0" collapsed="false">
      <c r="D824" s="52"/>
      <c r="F824" s="53"/>
      <c r="G824" s="53"/>
    </row>
    <row r="825" customFormat="false" ht="15.75" hidden="false" customHeight="true" outlineLevel="0" collapsed="false">
      <c r="D825" s="52"/>
      <c r="F825" s="53"/>
      <c r="G825" s="53"/>
    </row>
    <row r="826" customFormat="false" ht="15.75" hidden="false" customHeight="true" outlineLevel="0" collapsed="false">
      <c r="D826" s="52"/>
      <c r="F826" s="53"/>
      <c r="G826" s="53"/>
    </row>
    <row r="827" customFormat="false" ht="15.75" hidden="false" customHeight="true" outlineLevel="0" collapsed="false">
      <c r="D827" s="52"/>
      <c r="F827" s="53"/>
      <c r="G827" s="53"/>
    </row>
    <row r="828" customFormat="false" ht="15.75" hidden="false" customHeight="true" outlineLevel="0" collapsed="false">
      <c r="D828" s="52"/>
      <c r="F828" s="53"/>
      <c r="G828" s="53"/>
    </row>
    <row r="829" customFormat="false" ht="15.75" hidden="false" customHeight="true" outlineLevel="0" collapsed="false">
      <c r="D829" s="52"/>
      <c r="F829" s="53"/>
      <c r="G829" s="53"/>
    </row>
    <row r="830" customFormat="false" ht="15.75" hidden="false" customHeight="true" outlineLevel="0" collapsed="false">
      <c r="D830" s="52"/>
      <c r="F830" s="53"/>
      <c r="G830" s="53"/>
    </row>
    <row r="831" customFormat="false" ht="15.75" hidden="false" customHeight="true" outlineLevel="0" collapsed="false">
      <c r="D831" s="52"/>
      <c r="F831" s="53"/>
      <c r="G831" s="53"/>
    </row>
    <row r="832" customFormat="false" ht="15.75" hidden="false" customHeight="true" outlineLevel="0" collapsed="false">
      <c r="D832" s="52"/>
      <c r="F832" s="53"/>
      <c r="G832" s="53"/>
    </row>
    <row r="833" customFormat="false" ht="15.75" hidden="false" customHeight="true" outlineLevel="0" collapsed="false">
      <c r="D833" s="52"/>
      <c r="F833" s="53"/>
      <c r="G833" s="53"/>
    </row>
    <row r="834" customFormat="false" ht="15.75" hidden="false" customHeight="true" outlineLevel="0" collapsed="false">
      <c r="D834" s="52"/>
      <c r="F834" s="53"/>
      <c r="G834" s="53"/>
    </row>
    <row r="835" customFormat="false" ht="15.75" hidden="false" customHeight="true" outlineLevel="0" collapsed="false">
      <c r="D835" s="52"/>
      <c r="F835" s="53"/>
      <c r="G835" s="53"/>
    </row>
    <row r="836" customFormat="false" ht="15.75" hidden="false" customHeight="true" outlineLevel="0" collapsed="false">
      <c r="D836" s="52"/>
      <c r="F836" s="53"/>
      <c r="G836" s="53"/>
    </row>
    <row r="837" customFormat="false" ht="15.75" hidden="false" customHeight="true" outlineLevel="0" collapsed="false">
      <c r="D837" s="52"/>
      <c r="F837" s="53"/>
      <c r="G837" s="53"/>
    </row>
    <row r="838" customFormat="false" ht="15.75" hidden="false" customHeight="true" outlineLevel="0" collapsed="false">
      <c r="D838" s="52"/>
      <c r="F838" s="53"/>
      <c r="G838" s="53"/>
    </row>
    <row r="839" customFormat="false" ht="15.75" hidden="false" customHeight="true" outlineLevel="0" collapsed="false">
      <c r="D839" s="52"/>
      <c r="F839" s="53"/>
      <c r="G839" s="53"/>
    </row>
    <row r="840" customFormat="false" ht="15.75" hidden="false" customHeight="true" outlineLevel="0" collapsed="false">
      <c r="D840" s="52"/>
      <c r="F840" s="53"/>
      <c r="G840" s="53"/>
    </row>
    <row r="841" customFormat="false" ht="15.75" hidden="false" customHeight="true" outlineLevel="0" collapsed="false">
      <c r="D841" s="52"/>
      <c r="F841" s="53"/>
      <c r="G841" s="53"/>
    </row>
    <row r="842" customFormat="false" ht="15.75" hidden="false" customHeight="true" outlineLevel="0" collapsed="false">
      <c r="D842" s="52"/>
      <c r="F842" s="53"/>
      <c r="G842" s="53"/>
    </row>
    <row r="843" customFormat="false" ht="15.75" hidden="false" customHeight="true" outlineLevel="0" collapsed="false">
      <c r="D843" s="52"/>
      <c r="F843" s="53"/>
      <c r="G843" s="53"/>
    </row>
    <row r="844" customFormat="false" ht="15.75" hidden="false" customHeight="true" outlineLevel="0" collapsed="false">
      <c r="D844" s="52"/>
      <c r="F844" s="53"/>
      <c r="G844" s="53"/>
    </row>
    <row r="845" customFormat="false" ht="15.75" hidden="false" customHeight="true" outlineLevel="0" collapsed="false">
      <c r="D845" s="52"/>
      <c r="F845" s="53"/>
      <c r="G845" s="53"/>
    </row>
    <row r="846" customFormat="false" ht="15.75" hidden="false" customHeight="true" outlineLevel="0" collapsed="false">
      <c r="D846" s="52"/>
      <c r="F846" s="53"/>
      <c r="G846" s="53"/>
    </row>
    <row r="847" customFormat="false" ht="15.75" hidden="false" customHeight="true" outlineLevel="0" collapsed="false">
      <c r="D847" s="52"/>
      <c r="F847" s="53"/>
      <c r="G847" s="53"/>
    </row>
    <row r="848" customFormat="false" ht="15.75" hidden="false" customHeight="true" outlineLevel="0" collapsed="false">
      <c r="D848" s="52"/>
      <c r="F848" s="53"/>
      <c r="G848" s="53"/>
    </row>
    <row r="849" customFormat="false" ht="15.75" hidden="false" customHeight="true" outlineLevel="0" collapsed="false">
      <c r="D849" s="52"/>
      <c r="F849" s="53"/>
      <c r="G849" s="53"/>
    </row>
    <row r="850" customFormat="false" ht="15.75" hidden="false" customHeight="true" outlineLevel="0" collapsed="false">
      <c r="D850" s="52"/>
      <c r="F850" s="53"/>
      <c r="G850" s="53"/>
    </row>
    <row r="851" customFormat="false" ht="15.75" hidden="false" customHeight="true" outlineLevel="0" collapsed="false">
      <c r="D851" s="52"/>
      <c r="F851" s="53"/>
      <c r="G851" s="53"/>
    </row>
    <row r="852" customFormat="false" ht="15.75" hidden="false" customHeight="true" outlineLevel="0" collapsed="false">
      <c r="D852" s="52"/>
      <c r="F852" s="53"/>
      <c r="G852" s="53"/>
    </row>
    <row r="853" customFormat="false" ht="15.75" hidden="false" customHeight="true" outlineLevel="0" collapsed="false">
      <c r="D853" s="52"/>
      <c r="F853" s="53"/>
      <c r="G853" s="53"/>
    </row>
    <row r="854" customFormat="false" ht="15.75" hidden="false" customHeight="true" outlineLevel="0" collapsed="false">
      <c r="D854" s="52"/>
      <c r="F854" s="53"/>
      <c r="G854" s="53"/>
    </row>
    <row r="855" customFormat="false" ht="15.75" hidden="false" customHeight="true" outlineLevel="0" collapsed="false">
      <c r="D855" s="52"/>
      <c r="F855" s="53"/>
      <c r="G855" s="53"/>
    </row>
    <row r="856" customFormat="false" ht="15.75" hidden="false" customHeight="true" outlineLevel="0" collapsed="false">
      <c r="D856" s="52"/>
      <c r="F856" s="53"/>
      <c r="G856" s="53"/>
    </row>
    <row r="857" customFormat="false" ht="15.75" hidden="false" customHeight="true" outlineLevel="0" collapsed="false">
      <c r="D857" s="52"/>
      <c r="F857" s="53"/>
      <c r="G857" s="53"/>
    </row>
    <row r="858" customFormat="false" ht="15.75" hidden="false" customHeight="true" outlineLevel="0" collapsed="false">
      <c r="D858" s="52"/>
      <c r="F858" s="53"/>
      <c r="G858" s="53"/>
    </row>
    <row r="859" customFormat="false" ht="15.75" hidden="false" customHeight="true" outlineLevel="0" collapsed="false">
      <c r="D859" s="52"/>
      <c r="F859" s="53"/>
      <c r="G859" s="53"/>
    </row>
    <row r="860" customFormat="false" ht="15.75" hidden="false" customHeight="true" outlineLevel="0" collapsed="false">
      <c r="D860" s="52"/>
      <c r="F860" s="53"/>
      <c r="G860" s="53"/>
    </row>
    <row r="861" customFormat="false" ht="15.75" hidden="false" customHeight="true" outlineLevel="0" collapsed="false">
      <c r="D861" s="52"/>
      <c r="F861" s="53"/>
      <c r="G861" s="53"/>
    </row>
    <row r="862" customFormat="false" ht="15.75" hidden="false" customHeight="true" outlineLevel="0" collapsed="false">
      <c r="D862" s="52"/>
      <c r="F862" s="53"/>
      <c r="G862" s="53"/>
    </row>
    <row r="863" customFormat="false" ht="15.75" hidden="false" customHeight="true" outlineLevel="0" collapsed="false">
      <c r="D863" s="52"/>
      <c r="F863" s="53"/>
      <c r="G863" s="53"/>
    </row>
    <row r="864" customFormat="false" ht="15.75" hidden="false" customHeight="true" outlineLevel="0" collapsed="false">
      <c r="D864" s="52"/>
      <c r="F864" s="53"/>
      <c r="G864" s="53"/>
    </row>
    <row r="865" customFormat="false" ht="15.75" hidden="false" customHeight="true" outlineLevel="0" collapsed="false">
      <c r="D865" s="52"/>
      <c r="F865" s="53"/>
      <c r="G865" s="53"/>
    </row>
    <row r="866" customFormat="false" ht="15.75" hidden="false" customHeight="true" outlineLevel="0" collapsed="false">
      <c r="D866" s="52"/>
      <c r="F866" s="53"/>
      <c r="G866" s="53"/>
    </row>
    <row r="867" customFormat="false" ht="15.75" hidden="false" customHeight="true" outlineLevel="0" collapsed="false">
      <c r="D867" s="52"/>
      <c r="F867" s="53"/>
      <c r="G867" s="53"/>
    </row>
    <row r="868" customFormat="false" ht="15.75" hidden="false" customHeight="true" outlineLevel="0" collapsed="false">
      <c r="D868" s="52"/>
      <c r="F868" s="53"/>
      <c r="G868" s="53"/>
    </row>
    <row r="869" customFormat="false" ht="15.75" hidden="false" customHeight="true" outlineLevel="0" collapsed="false">
      <c r="D869" s="52"/>
      <c r="F869" s="53"/>
      <c r="G869" s="53"/>
    </row>
    <row r="870" customFormat="false" ht="15.75" hidden="false" customHeight="true" outlineLevel="0" collapsed="false">
      <c r="D870" s="52"/>
      <c r="F870" s="53"/>
      <c r="G870" s="53"/>
    </row>
    <row r="871" customFormat="false" ht="15.75" hidden="false" customHeight="true" outlineLevel="0" collapsed="false">
      <c r="D871" s="52"/>
      <c r="F871" s="53"/>
      <c r="G871" s="53"/>
    </row>
    <row r="872" customFormat="false" ht="15.75" hidden="false" customHeight="true" outlineLevel="0" collapsed="false">
      <c r="D872" s="52"/>
      <c r="F872" s="53"/>
      <c r="G872" s="53"/>
    </row>
    <row r="873" customFormat="false" ht="15.75" hidden="false" customHeight="true" outlineLevel="0" collapsed="false">
      <c r="D873" s="52"/>
      <c r="F873" s="53"/>
      <c r="G873" s="53"/>
    </row>
    <row r="874" customFormat="false" ht="15.75" hidden="false" customHeight="true" outlineLevel="0" collapsed="false">
      <c r="D874" s="52"/>
      <c r="F874" s="53"/>
      <c r="G874" s="53"/>
    </row>
    <row r="875" customFormat="false" ht="15.75" hidden="false" customHeight="true" outlineLevel="0" collapsed="false">
      <c r="D875" s="52"/>
      <c r="F875" s="53"/>
      <c r="G875" s="53"/>
    </row>
    <row r="876" customFormat="false" ht="15.75" hidden="false" customHeight="true" outlineLevel="0" collapsed="false">
      <c r="D876" s="52"/>
      <c r="F876" s="53"/>
      <c r="G876" s="53"/>
    </row>
    <row r="877" customFormat="false" ht="15.75" hidden="false" customHeight="true" outlineLevel="0" collapsed="false">
      <c r="D877" s="52"/>
      <c r="F877" s="53"/>
      <c r="G877" s="53"/>
    </row>
    <row r="878" customFormat="false" ht="15.75" hidden="false" customHeight="true" outlineLevel="0" collapsed="false">
      <c r="D878" s="52"/>
      <c r="F878" s="53"/>
      <c r="G878" s="53"/>
    </row>
    <row r="879" customFormat="false" ht="15.75" hidden="false" customHeight="true" outlineLevel="0" collapsed="false">
      <c r="D879" s="52"/>
      <c r="F879" s="53"/>
      <c r="G879" s="53"/>
    </row>
    <row r="880" customFormat="false" ht="15.75" hidden="false" customHeight="true" outlineLevel="0" collapsed="false">
      <c r="D880" s="52"/>
      <c r="F880" s="53"/>
      <c r="G880" s="53"/>
    </row>
    <row r="881" customFormat="false" ht="15.75" hidden="false" customHeight="true" outlineLevel="0" collapsed="false">
      <c r="D881" s="52"/>
      <c r="F881" s="53"/>
      <c r="G881" s="53"/>
    </row>
    <row r="882" customFormat="false" ht="15.75" hidden="false" customHeight="true" outlineLevel="0" collapsed="false">
      <c r="D882" s="52"/>
      <c r="F882" s="53"/>
      <c r="G882" s="53"/>
    </row>
    <row r="883" customFormat="false" ht="15.75" hidden="false" customHeight="true" outlineLevel="0" collapsed="false">
      <c r="D883" s="52"/>
      <c r="F883" s="53"/>
      <c r="G883" s="53"/>
    </row>
    <row r="884" customFormat="false" ht="15.75" hidden="false" customHeight="true" outlineLevel="0" collapsed="false">
      <c r="D884" s="52"/>
      <c r="F884" s="53"/>
      <c r="G884" s="53"/>
    </row>
    <row r="885" customFormat="false" ht="15.75" hidden="false" customHeight="true" outlineLevel="0" collapsed="false">
      <c r="D885" s="52"/>
      <c r="F885" s="53"/>
      <c r="G885" s="53"/>
    </row>
    <row r="886" customFormat="false" ht="15.75" hidden="false" customHeight="true" outlineLevel="0" collapsed="false">
      <c r="D886" s="52"/>
      <c r="F886" s="53"/>
      <c r="G886" s="53"/>
    </row>
    <row r="887" customFormat="false" ht="15.75" hidden="false" customHeight="true" outlineLevel="0" collapsed="false">
      <c r="D887" s="52"/>
      <c r="F887" s="53"/>
      <c r="G887" s="53"/>
    </row>
    <row r="888" customFormat="false" ht="15.75" hidden="false" customHeight="true" outlineLevel="0" collapsed="false">
      <c r="D888" s="52"/>
      <c r="F888" s="53"/>
      <c r="G888" s="53"/>
    </row>
    <row r="889" customFormat="false" ht="15.75" hidden="false" customHeight="true" outlineLevel="0" collapsed="false">
      <c r="D889" s="52"/>
      <c r="F889" s="53"/>
      <c r="G889" s="53"/>
    </row>
    <row r="890" customFormat="false" ht="15.75" hidden="false" customHeight="true" outlineLevel="0" collapsed="false">
      <c r="D890" s="52"/>
      <c r="F890" s="53"/>
      <c r="G890" s="53"/>
    </row>
    <row r="891" customFormat="false" ht="15.75" hidden="false" customHeight="true" outlineLevel="0" collapsed="false">
      <c r="D891" s="52"/>
      <c r="F891" s="53"/>
      <c r="G891" s="53"/>
    </row>
    <row r="892" customFormat="false" ht="15.75" hidden="false" customHeight="true" outlineLevel="0" collapsed="false">
      <c r="D892" s="52"/>
      <c r="F892" s="53"/>
      <c r="G892" s="53"/>
    </row>
    <row r="893" customFormat="false" ht="15.75" hidden="false" customHeight="true" outlineLevel="0" collapsed="false">
      <c r="D893" s="52"/>
      <c r="F893" s="53"/>
      <c r="G893" s="53"/>
    </row>
    <row r="894" customFormat="false" ht="15.75" hidden="false" customHeight="true" outlineLevel="0" collapsed="false">
      <c r="D894" s="52"/>
      <c r="F894" s="53"/>
      <c r="G894" s="53"/>
    </row>
    <row r="895" customFormat="false" ht="15.75" hidden="false" customHeight="true" outlineLevel="0" collapsed="false">
      <c r="D895" s="52"/>
      <c r="F895" s="53"/>
      <c r="G895" s="53"/>
    </row>
    <row r="896" customFormat="false" ht="15.75" hidden="false" customHeight="true" outlineLevel="0" collapsed="false">
      <c r="D896" s="52"/>
      <c r="F896" s="53"/>
      <c r="G896" s="53"/>
    </row>
    <row r="897" customFormat="false" ht="15.75" hidden="false" customHeight="true" outlineLevel="0" collapsed="false">
      <c r="D897" s="52"/>
      <c r="F897" s="53"/>
      <c r="G897" s="53"/>
    </row>
    <row r="898" customFormat="false" ht="15.75" hidden="false" customHeight="true" outlineLevel="0" collapsed="false">
      <c r="D898" s="52"/>
      <c r="F898" s="53"/>
      <c r="G898" s="53"/>
    </row>
    <row r="899" customFormat="false" ht="15.75" hidden="false" customHeight="true" outlineLevel="0" collapsed="false">
      <c r="D899" s="52"/>
      <c r="F899" s="53"/>
      <c r="G899" s="53"/>
    </row>
    <row r="900" customFormat="false" ht="15.75" hidden="false" customHeight="true" outlineLevel="0" collapsed="false">
      <c r="D900" s="52"/>
      <c r="F900" s="53"/>
      <c r="G900" s="53"/>
    </row>
    <row r="901" customFormat="false" ht="15.75" hidden="false" customHeight="true" outlineLevel="0" collapsed="false">
      <c r="D901" s="52"/>
      <c r="F901" s="53"/>
      <c r="G901" s="53"/>
    </row>
    <row r="902" customFormat="false" ht="15.75" hidden="false" customHeight="true" outlineLevel="0" collapsed="false">
      <c r="D902" s="52"/>
      <c r="F902" s="53"/>
      <c r="G902" s="53"/>
    </row>
    <row r="903" customFormat="false" ht="15.75" hidden="false" customHeight="true" outlineLevel="0" collapsed="false">
      <c r="D903" s="52"/>
      <c r="F903" s="53"/>
      <c r="G903" s="53"/>
    </row>
    <row r="904" customFormat="false" ht="15.75" hidden="false" customHeight="true" outlineLevel="0" collapsed="false">
      <c r="D904" s="52"/>
      <c r="F904" s="53"/>
      <c r="G904" s="53"/>
    </row>
    <row r="905" customFormat="false" ht="15.75" hidden="false" customHeight="true" outlineLevel="0" collapsed="false">
      <c r="D905" s="52"/>
      <c r="F905" s="53"/>
      <c r="G905" s="53"/>
    </row>
    <row r="906" customFormat="false" ht="15.75" hidden="false" customHeight="true" outlineLevel="0" collapsed="false">
      <c r="D906" s="52"/>
      <c r="F906" s="53"/>
      <c r="G906" s="53"/>
    </row>
    <row r="907" customFormat="false" ht="15.75" hidden="false" customHeight="true" outlineLevel="0" collapsed="false">
      <c r="D907" s="52"/>
      <c r="F907" s="53"/>
      <c r="G907" s="53"/>
    </row>
    <row r="908" customFormat="false" ht="15.75" hidden="false" customHeight="true" outlineLevel="0" collapsed="false">
      <c r="D908" s="52"/>
      <c r="F908" s="53"/>
      <c r="G908" s="53"/>
    </row>
    <row r="909" customFormat="false" ht="15.75" hidden="false" customHeight="true" outlineLevel="0" collapsed="false">
      <c r="D909" s="52"/>
      <c r="F909" s="53"/>
      <c r="G909" s="53"/>
    </row>
    <row r="910" customFormat="false" ht="15.75" hidden="false" customHeight="true" outlineLevel="0" collapsed="false">
      <c r="D910" s="52"/>
      <c r="F910" s="53"/>
      <c r="G910" s="53"/>
    </row>
    <row r="911" customFormat="false" ht="15.75" hidden="false" customHeight="true" outlineLevel="0" collapsed="false">
      <c r="D911" s="52"/>
      <c r="F911" s="53"/>
      <c r="G911" s="53"/>
    </row>
    <row r="912" customFormat="false" ht="15.75" hidden="false" customHeight="true" outlineLevel="0" collapsed="false">
      <c r="D912" s="52"/>
      <c r="F912" s="53"/>
      <c r="G912" s="53"/>
    </row>
    <row r="913" customFormat="false" ht="15.75" hidden="false" customHeight="true" outlineLevel="0" collapsed="false">
      <c r="D913" s="52"/>
      <c r="F913" s="53"/>
      <c r="G913" s="53"/>
    </row>
    <row r="914" customFormat="false" ht="15.75" hidden="false" customHeight="true" outlineLevel="0" collapsed="false">
      <c r="D914" s="52"/>
      <c r="F914" s="53"/>
      <c r="G914" s="53"/>
    </row>
    <row r="915" customFormat="false" ht="15.75" hidden="false" customHeight="true" outlineLevel="0" collapsed="false">
      <c r="D915" s="52"/>
      <c r="F915" s="53"/>
      <c r="G915" s="53"/>
    </row>
    <row r="916" customFormat="false" ht="15.75" hidden="false" customHeight="true" outlineLevel="0" collapsed="false">
      <c r="D916" s="52"/>
      <c r="F916" s="53"/>
      <c r="G916" s="53"/>
    </row>
    <row r="917" customFormat="false" ht="15.75" hidden="false" customHeight="true" outlineLevel="0" collapsed="false">
      <c r="D917" s="52"/>
      <c r="F917" s="53"/>
      <c r="G917" s="53"/>
    </row>
    <row r="918" customFormat="false" ht="15.75" hidden="false" customHeight="true" outlineLevel="0" collapsed="false">
      <c r="D918" s="52"/>
      <c r="F918" s="53"/>
      <c r="G918" s="53"/>
    </row>
    <row r="919" customFormat="false" ht="15.75" hidden="false" customHeight="true" outlineLevel="0" collapsed="false">
      <c r="D919" s="52"/>
      <c r="F919" s="53"/>
      <c r="G919" s="53"/>
    </row>
    <row r="920" customFormat="false" ht="15.75" hidden="false" customHeight="true" outlineLevel="0" collapsed="false">
      <c r="D920" s="52"/>
      <c r="F920" s="53"/>
      <c r="G920" s="53"/>
    </row>
    <row r="921" customFormat="false" ht="15.75" hidden="false" customHeight="true" outlineLevel="0" collapsed="false">
      <c r="D921" s="52"/>
      <c r="F921" s="53"/>
      <c r="G921" s="53"/>
    </row>
    <row r="922" customFormat="false" ht="15.75" hidden="false" customHeight="true" outlineLevel="0" collapsed="false">
      <c r="D922" s="52"/>
      <c r="F922" s="53"/>
      <c r="G922" s="53"/>
    </row>
    <row r="923" customFormat="false" ht="15.75" hidden="false" customHeight="true" outlineLevel="0" collapsed="false">
      <c r="D923" s="52"/>
      <c r="F923" s="53"/>
      <c r="G923" s="53"/>
    </row>
    <row r="924" customFormat="false" ht="15.75" hidden="false" customHeight="true" outlineLevel="0" collapsed="false">
      <c r="D924" s="52"/>
      <c r="F924" s="53"/>
      <c r="G924" s="53"/>
    </row>
    <row r="925" customFormat="false" ht="15.75" hidden="false" customHeight="true" outlineLevel="0" collapsed="false">
      <c r="D925" s="52"/>
      <c r="F925" s="53"/>
      <c r="G925" s="53"/>
    </row>
    <row r="926" customFormat="false" ht="15.75" hidden="false" customHeight="true" outlineLevel="0" collapsed="false">
      <c r="D926" s="52"/>
      <c r="F926" s="53"/>
      <c r="G926" s="53"/>
    </row>
    <row r="927" customFormat="false" ht="15.75" hidden="false" customHeight="true" outlineLevel="0" collapsed="false">
      <c r="D927" s="52"/>
      <c r="F927" s="53"/>
      <c r="G927" s="53"/>
    </row>
    <row r="928" customFormat="false" ht="15.75" hidden="false" customHeight="true" outlineLevel="0" collapsed="false">
      <c r="D928" s="52"/>
      <c r="F928" s="53"/>
      <c r="G928" s="53"/>
    </row>
    <row r="929" customFormat="false" ht="15.75" hidden="false" customHeight="true" outlineLevel="0" collapsed="false">
      <c r="D929" s="52"/>
      <c r="F929" s="53"/>
      <c r="G929" s="53"/>
    </row>
    <row r="930" customFormat="false" ht="15.75" hidden="false" customHeight="true" outlineLevel="0" collapsed="false">
      <c r="D930" s="52"/>
      <c r="F930" s="53"/>
      <c r="G930" s="53"/>
    </row>
    <row r="931" customFormat="false" ht="15.75" hidden="false" customHeight="true" outlineLevel="0" collapsed="false">
      <c r="D931" s="52"/>
      <c r="F931" s="53"/>
      <c r="G931" s="53"/>
    </row>
    <row r="932" customFormat="false" ht="15.75" hidden="false" customHeight="true" outlineLevel="0" collapsed="false">
      <c r="D932" s="52"/>
      <c r="F932" s="53"/>
      <c r="G932" s="53"/>
    </row>
    <row r="933" customFormat="false" ht="15.75" hidden="false" customHeight="true" outlineLevel="0" collapsed="false">
      <c r="D933" s="52"/>
      <c r="F933" s="53"/>
      <c r="G933" s="53"/>
    </row>
    <row r="934" customFormat="false" ht="15.75" hidden="false" customHeight="true" outlineLevel="0" collapsed="false">
      <c r="D934" s="52"/>
      <c r="F934" s="53"/>
      <c r="G934" s="53"/>
    </row>
    <row r="935" customFormat="false" ht="15.75" hidden="false" customHeight="true" outlineLevel="0" collapsed="false">
      <c r="D935" s="52"/>
      <c r="F935" s="53"/>
      <c r="G935" s="53"/>
    </row>
    <row r="936" customFormat="false" ht="15.75" hidden="false" customHeight="true" outlineLevel="0" collapsed="false">
      <c r="D936" s="52"/>
      <c r="F936" s="53"/>
      <c r="G936" s="53"/>
    </row>
    <row r="937" customFormat="false" ht="15.75" hidden="false" customHeight="true" outlineLevel="0" collapsed="false">
      <c r="D937" s="52"/>
      <c r="F937" s="53"/>
      <c r="G937" s="53"/>
    </row>
    <row r="938" customFormat="false" ht="15.75" hidden="false" customHeight="true" outlineLevel="0" collapsed="false">
      <c r="D938" s="52"/>
      <c r="F938" s="53"/>
      <c r="G938" s="53"/>
    </row>
    <row r="939" customFormat="false" ht="15.75" hidden="false" customHeight="true" outlineLevel="0" collapsed="false">
      <c r="D939" s="52"/>
      <c r="F939" s="53"/>
      <c r="G939" s="53"/>
    </row>
    <row r="940" customFormat="false" ht="15.75" hidden="false" customHeight="true" outlineLevel="0" collapsed="false">
      <c r="D940" s="52"/>
      <c r="F940" s="53"/>
      <c r="G940" s="53"/>
    </row>
    <row r="941" customFormat="false" ht="15.75" hidden="false" customHeight="true" outlineLevel="0" collapsed="false">
      <c r="D941" s="52"/>
      <c r="F941" s="53"/>
      <c r="G941" s="53"/>
    </row>
    <row r="942" customFormat="false" ht="15.75" hidden="false" customHeight="true" outlineLevel="0" collapsed="false">
      <c r="D942" s="52"/>
      <c r="F942" s="53"/>
      <c r="G942" s="53"/>
    </row>
    <row r="943" customFormat="false" ht="15.75" hidden="false" customHeight="true" outlineLevel="0" collapsed="false">
      <c r="D943" s="52"/>
      <c r="F943" s="53"/>
      <c r="G943" s="53"/>
    </row>
    <row r="944" customFormat="false" ht="15.75" hidden="false" customHeight="true" outlineLevel="0" collapsed="false">
      <c r="D944" s="52"/>
      <c r="F944" s="53"/>
      <c r="G944" s="53"/>
    </row>
    <row r="945" customFormat="false" ht="15.75" hidden="false" customHeight="true" outlineLevel="0" collapsed="false">
      <c r="D945" s="52"/>
      <c r="F945" s="53"/>
      <c r="G945" s="53"/>
    </row>
    <row r="946" customFormat="false" ht="15.75" hidden="false" customHeight="true" outlineLevel="0" collapsed="false">
      <c r="D946" s="52"/>
      <c r="F946" s="53"/>
      <c r="G946" s="53"/>
    </row>
    <row r="947" customFormat="false" ht="15.75" hidden="false" customHeight="true" outlineLevel="0" collapsed="false">
      <c r="D947" s="52"/>
      <c r="F947" s="53"/>
      <c r="G947" s="53"/>
    </row>
    <row r="948" customFormat="false" ht="15.75" hidden="false" customHeight="true" outlineLevel="0" collapsed="false">
      <c r="D948" s="52"/>
      <c r="F948" s="53"/>
      <c r="G948" s="53"/>
    </row>
    <row r="949" customFormat="false" ht="15.75" hidden="false" customHeight="true" outlineLevel="0" collapsed="false">
      <c r="D949" s="52"/>
      <c r="F949" s="53"/>
      <c r="G949" s="53"/>
    </row>
    <row r="950" customFormat="false" ht="15.75" hidden="false" customHeight="true" outlineLevel="0" collapsed="false">
      <c r="D950" s="52"/>
      <c r="F950" s="53"/>
      <c r="G950" s="53"/>
    </row>
    <row r="951" customFormat="false" ht="15.75" hidden="false" customHeight="true" outlineLevel="0" collapsed="false">
      <c r="D951" s="52"/>
      <c r="F951" s="53"/>
      <c r="G951" s="53"/>
    </row>
    <row r="952" customFormat="false" ht="15.75" hidden="false" customHeight="true" outlineLevel="0" collapsed="false">
      <c r="D952" s="52"/>
      <c r="F952" s="53"/>
      <c r="G952" s="53"/>
    </row>
    <row r="953" customFormat="false" ht="15.75" hidden="false" customHeight="true" outlineLevel="0" collapsed="false">
      <c r="D953" s="52"/>
      <c r="F953" s="53"/>
      <c r="G953" s="53"/>
    </row>
    <row r="954" customFormat="false" ht="15.75" hidden="false" customHeight="true" outlineLevel="0" collapsed="false">
      <c r="D954" s="52"/>
      <c r="F954" s="53"/>
      <c r="G954" s="53"/>
    </row>
    <row r="955" customFormat="false" ht="15.75" hidden="false" customHeight="true" outlineLevel="0" collapsed="false">
      <c r="D955" s="52"/>
      <c r="F955" s="53"/>
      <c r="G955" s="53"/>
    </row>
    <row r="956" customFormat="false" ht="15.75" hidden="false" customHeight="true" outlineLevel="0" collapsed="false">
      <c r="D956" s="52"/>
      <c r="F956" s="53"/>
      <c r="G956" s="53"/>
    </row>
    <row r="957" customFormat="false" ht="15.75" hidden="false" customHeight="true" outlineLevel="0" collapsed="false">
      <c r="D957" s="52"/>
      <c r="F957" s="53"/>
      <c r="G957" s="53"/>
    </row>
    <row r="958" customFormat="false" ht="15.75" hidden="false" customHeight="true" outlineLevel="0" collapsed="false">
      <c r="D958" s="52"/>
      <c r="F958" s="53"/>
      <c r="G958" s="53"/>
    </row>
    <row r="959" customFormat="false" ht="15.75" hidden="false" customHeight="true" outlineLevel="0" collapsed="false">
      <c r="D959" s="52"/>
      <c r="F959" s="53"/>
      <c r="G959" s="53"/>
    </row>
    <row r="960" customFormat="false" ht="15.75" hidden="false" customHeight="true" outlineLevel="0" collapsed="false">
      <c r="D960" s="52"/>
      <c r="F960" s="53"/>
      <c r="G960" s="53"/>
    </row>
    <row r="961" customFormat="false" ht="15.75" hidden="false" customHeight="true" outlineLevel="0" collapsed="false">
      <c r="D961" s="52"/>
      <c r="F961" s="53"/>
      <c r="G961" s="53"/>
    </row>
    <row r="962" customFormat="false" ht="15.75" hidden="false" customHeight="true" outlineLevel="0" collapsed="false">
      <c r="D962" s="52"/>
      <c r="F962" s="53"/>
      <c r="G962" s="53"/>
    </row>
    <row r="963" customFormat="false" ht="15.75" hidden="false" customHeight="true" outlineLevel="0" collapsed="false">
      <c r="D963" s="52"/>
      <c r="F963" s="53"/>
      <c r="G963" s="53"/>
    </row>
    <row r="964" customFormat="false" ht="15.75" hidden="false" customHeight="true" outlineLevel="0" collapsed="false">
      <c r="D964" s="52"/>
      <c r="F964" s="53"/>
      <c r="G964" s="53"/>
    </row>
    <row r="965" customFormat="false" ht="15.75" hidden="false" customHeight="true" outlineLevel="0" collapsed="false">
      <c r="D965" s="52"/>
      <c r="F965" s="53"/>
      <c r="G965" s="53"/>
    </row>
    <row r="966" customFormat="false" ht="15.75" hidden="false" customHeight="true" outlineLevel="0" collapsed="false">
      <c r="D966" s="52"/>
      <c r="F966" s="53"/>
      <c r="G966" s="53"/>
    </row>
    <row r="967" customFormat="false" ht="15.75" hidden="false" customHeight="true" outlineLevel="0" collapsed="false">
      <c r="D967" s="52"/>
      <c r="F967" s="53"/>
      <c r="G967" s="53"/>
    </row>
    <row r="968" customFormat="false" ht="15.75" hidden="false" customHeight="true" outlineLevel="0" collapsed="false">
      <c r="D968" s="52"/>
      <c r="F968" s="53"/>
      <c r="G968" s="53"/>
    </row>
    <row r="969" customFormat="false" ht="15.75" hidden="false" customHeight="true" outlineLevel="0" collapsed="false">
      <c r="D969" s="52"/>
      <c r="F969" s="53"/>
      <c r="G969" s="53"/>
    </row>
    <row r="970" customFormat="false" ht="15.75" hidden="false" customHeight="true" outlineLevel="0" collapsed="false">
      <c r="D970" s="52"/>
      <c r="F970" s="53"/>
      <c r="G970" s="53"/>
    </row>
    <row r="971" customFormat="false" ht="15.75" hidden="false" customHeight="true" outlineLevel="0" collapsed="false">
      <c r="D971" s="52"/>
      <c r="F971" s="53"/>
      <c r="G971" s="53"/>
    </row>
    <row r="972" customFormat="false" ht="15.75" hidden="false" customHeight="true" outlineLevel="0" collapsed="false">
      <c r="D972" s="52"/>
      <c r="F972" s="53"/>
      <c r="G972" s="53"/>
    </row>
    <row r="973" customFormat="false" ht="15.75" hidden="false" customHeight="true" outlineLevel="0" collapsed="false">
      <c r="D973" s="52"/>
      <c r="F973" s="53"/>
      <c r="G973" s="53"/>
    </row>
    <row r="974" customFormat="false" ht="15.75" hidden="false" customHeight="true" outlineLevel="0" collapsed="false">
      <c r="D974" s="52"/>
      <c r="F974" s="53"/>
      <c r="G974" s="53"/>
    </row>
    <row r="975" customFormat="false" ht="15.75" hidden="false" customHeight="true" outlineLevel="0" collapsed="false">
      <c r="D975" s="52"/>
      <c r="F975" s="53"/>
      <c r="G975" s="53"/>
    </row>
    <row r="976" customFormat="false" ht="15.75" hidden="false" customHeight="true" outlineLevel="0" collapsed="false">
      <c r="D976" s="52"/>
      <c r="F976" s="53"/>
      <c r="G976" s="53"/>
    </row>
    <row r="977" customFormat="false" ht="15.75" hidden="false" customHeight="true" outlineLevel="0" collapsed="false">
      <c r="D977" s="52"/>
      <c r="F977" s="53"/>
      <c r="G977" s="53"/>
    </row>
    <row r="978" customFormat="false" ht="15.75" hidden="false" customHeight="true" outlineLevel="0" collapsed="false">
      <c r="D978" s="52"/>
      <c r="F978" s="53"/>
      <c r="G978" s="53"/>
    </row>
    <row r="979" customFormat="false" ht="15.75" hidden="false" customHeight="true" outlineLevel="0" collapsed="false">
      <c r="D979" s="52"/>
      <c r="F979" s="53"/>
      <c r="G979" s="53"/>
    </row>
    <row r="980" customFormat="false" ht="15.75" hidden="false" customHeight="true" outlineLevel="0" collapsed="false">
      <c r="D980" s="52"/>
      <c r="F980" s="53"/>
      <c r="G980" s="53"/>
    </row>
    <row r="981" customFormat="false" ht="15.75" hidden="false" customHeight="true" outlineLevel="0" collapsed="false">
      <c r="D981" s="52"/>
      <c r="F981" s="53"/>
      <c r="G981" s="53"/>
    </row>
    <row r="982" customFormat="false" ht="15.75" hidden="false" customHeight="true" outlineLevel="0" collapsed="false">
      <c r="D982" s="52"/>
      <c r="F982" s="53"/>
      <c r="G982" s="53"/>
    </row>
    <row r="983" customFormat="false" ht="15.75" hidden="false" customHeight="true" outlineLevel="0" collapsed="false">
      <c r="D983" s="52"/>
      <c r="F983" s="53"/>
      <c r="G983" s="53"/>
    </row>
    <row r="984" customFormat="false" ht="15.75" hidden="false" customHeight="true" outlineLevel="0" collapsed="false">
      <c r="D984" s="52"/>
      <c r="F984" s="53"/>
      <c r="G984" s="53"/>
    </row>
    <row r="985" customFormat="false" ht="15.75" hidden="false" customHeight="true" outlineLevel="0" collapsed="false">
      <c r="D985" s="52"/>
      <c r="F985" s="53"/>
      <c r="G985" s="53"/>
    </row>
    <row r="986" customFormat="false" ht="15.75" hidden="false" customHeight="true" outlineLevel="0" collapsed="false">
      <c r="D986" s="52"/>
      <c r="F986" s="53"/>
      <c r="G986" s="53"/>
    </row>
    <row r="987" customFormat="false" ht="15.75" hidden="false" customHeight="true" outlineLevel="0" collapsed="false">
      <c r="D987" s="52"/>
      <c r="F987" s="53"/>
      <c r="G987" s="53"/>
    </row>
    <row r="988" customFormat="false" ht="15.75" hidden="false" customHeight="true" outlineLevel="0" collapsed="false">
      <c r="D988" s="52"/>
      <c r="F988" s="53"/>
      <c r="G988" s="53"/>
    </row>
    <row r="989" customFormat="false" ht="15.75" hidden="false" customHeight="true" outlineLevel="0" collapsed="false">
      <c r="D989" s="52"/>
      <c r="F989" s="53"/>
      <c r="G989" s="53"/>
    </row>
    <row r="990" customFormat="false" ht="15.75" hidden="false" customHeight="true" outlineLevel="0" collapsed="false">
      <c r="D990" s="52"/>
      <c r="F990" s="53"/>
      <c r="G990" s="53"/>
    </row>
    <row r="991" customFormat="false" ht="15.75" hidden="false" customHeight="true" outlineLevel="0" collapsed="false">
      <c r="D991" s="52"/>
      <c r="F991" s="53"/>
      <c r="G991" s="53"/>
    </row>
    <row r="992" customFormat="false" ht="15.75" hidden="false" customHeight="true" outlineLevel="0" collapsed="false">
      <c r="D992" s="52"/>
      <c r="F992" s="53"/>
      <c r="G992" s="53"/>
    </row>
    <row r="993" customFormat="false" ht="15.75" hidden="false" customHeight="true" outlineLevel="0" collapsed="false">
      <c r="D993" s="52"/>
      <c r="F993" s="53"/>
      <c r="G993" s="53"/>
    </row>
    <row r="994" customFormat="false" ht="15.75" hidden="false" customHeight="true" outlineLevel="0" collapsed="false">
      <c r="D994" s="52"/>
      <c r="F994" s="53"/>
      <c r="G994" s="53"/>
    </row>
    <row r="995" customFormat="false" ht="15.75" hidden="false" customHeight="true" outlineLevel="0" collapsed="false">
      <c r="D995" s="52"/>
      <c r="F995" s="53"/>
      <c r="G995" s="53"/>
    </row>
    <row r="996" customFormat="false" ht="15.75" hidden="false" customHeight="true" outlineLevel="0" collapsed="false">
      <c r="D996" s="52"/>
      <c r="F996" s="53"/>
      <c r="G996" s="53"/>
    </row>
    <row r="997" customFormat="false" ht="15.75" hidden="false" customHeight="true" outlineLevel="0" collapsed="false">
      <c r="D997" s="52"/>
      <c r="F997" s="53"/>
      <c r="G997" s="53"/>
    </row>
    <row r="998" customFormat="false" ht="15.75" hidden="false" customHeight="true" outlineLevel="0" collapsed="false">
      <c r="D998" s="52"/>
      <c r="F998" s="53"/>
      <c r="G998" s="53"/>
    </row>
    <row r="999" customFormat="false" ht="15.75" hidden="false" customHeight="true" outlineLevel="0" collapsed="false">
      <c r="D999" s="52"/>
      <c r="F999" s="53"/>
      <c r="G999" s="53"/>
    </row>
    <row r="1000" customFormat="false" ht="15.75" hidden="false" customHeight="true" outlineLevel="0" collapsed="false">
      <c r="D1000" s="52"/>
      <c r="F1000" s="53"/>
      <c r="G1000" s="53"/>
    </row>
    <row r="1001" customFormat="false" ht="15.75" hidden="false" customHeight="true" outlineLevel="0" collapsed="false">
      <c r="D1001" s="52"/>
      <c r="F1001" s="53"/>
      <c r="G1001" s="53"/>
    </row>
  </sheetData>
  <autoFilter ref="B5:H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N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G7" activeCellId="0" sqref="G7"/>
    </sheetView>
  </sheetViews>
  <sheetFormatPr defaultColWidth="14.507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28"/>
    <col collapsed="false" customWidth="true" hidden="false" outlineLevel="0" max="6" min="6" style="1" width="28.83"/>
    <col collapsed="false" customWidth="true" hidden="false" outlineLevel="0" max="7" min="7" style="1" width="28"/>
    <col collapsed="false" customWidth="true" hidden="false" outlineLevel="0" max="11" min="8" style="1" width="14"/>
    <col collapsed="false" customWidth="true" hidden="false" outlineLevel="0" max="12" min="12" style="1" width="28"/>
    <col collapsed="false" customWidth="true" hidden="false" outlineLevel="0" max="26" min="13" style="1" width="13"/>
  </cols>
  <sheetData>
    <row r="1" customFormat="false" ht="15" hidden="false" customHeight="true" outlineLevel="0" collapsed="false">
      <c r="A1" s="33" t="s">
        <v>0</v>
      </c>
    </row>
    <row r="2" customFormat="false" ht="15" hidden="false" customHeight="true" outlineLevel="0" collapsed="false">
      <c r="A2" s="34" t="s">
        <v>60</v>
      </c>
    </row>
    <row r="3" customFormat="false" ht="15" hidden="false" customHeight="true" outlineLevel="0" collapsed="false">
      <c r="A3" s="35" t="s">
        <v>44</v>
      </c>
    </row>
    <row r="5" customFormat="false" ht="15" hidden="false" customHeight="true" outlineLevel="0" collapsed="false">
      <c r="A5" s="36" t="s">
        <v>61</v>
      </c>
      <c r="B5" s="36" t="s">
        <v>62</v>
      </c>
      <c r="C5" s="36" t="s">
        <v>63</v>
      </c>
      <c r="D5" s="36" t="s">
        <v>64</v>
      </c>
      <c r="E5" s="36" t="s">
        <v>65</v>
      </c>
      <c r="F5" s="36" t="s">
        <v>46</v>
      </c>
      <c r="G5" s="36" t="s">
        <v>66</v>
      </c>
      <c r="H5" s="36" t="s">
        <v>67</v>
      </c>
      <c r="I5" s="36" t="s">
        <v>68</v>
      </c>
      <c r="J5" s="36" t="s">
        <v>47</v>
      </c>
      <c r="K5" s="36" t="s">
        <v>69</v>
      </c>
      <c r="L5" s="36" t="s">
        <v>70</v>
      </c>
      <c r="M5" s="36" t="s">
        <v>71</v>
      </c>
      <c r="N5" s="36" t="s">
        <v>49</v>
      </c>
    </row>
    <row r="6" customFormat="false" ht="15" hidden="false" customHeight="true" outlineLevel="0" collapsed="false">
      <c r="A6" s="37"/>
      <c r="B6" s="37" t="s">
        <v>72</v>
      </c>
      <c r="C6" s="37" t="s">
        <v>50</v>
      </c>
      <c r="D6" s="37" t="s">
        <v>73</v>
      </c>
      <c r="E6" s="37" t="s">
        <v>73</v>
      </c>
      <c r="F6" s="37" t="s">
        <v>73</v>
      </c>
      <c r="G6" s="37" t="s">
        <v>50</v>
      </c>
      <c r="H6" s="37" t="s">
        <v>50</v>
      </c>
      <c r="I6" s="37" t="s">
        <v>50</v>
      </c>
      <c r="J6" s="37" t="s">
        <v>72</v>
      </c>
      <c r="K6" s="37" t="s">
        <v>72</v>
      </c>
      <c r="L6" s="37" t="s">
        <v>72</v>
      </c>
      <c r="M6" s="37" t="s">
        <v>73</v>
      </c>
      <c r="N6" s="37" t="s">
        <v>50</v>
      </c>
    </row>
    <row r="7" customFormat="false" ht="15" hidden="false" customHeight="true" outlineLevel="0" collapsed="false">
      <c r="A7" s="35"/>
      <c r="B7" s="54" t="n">
        <f aca="false">EOMONTH(C7,0)</f>
        <v>46053</v>
      </c>
      <c r="C7" s="55" t="n">
        <v>46045</v>
      </c>
      <c r="D7" s="40" t="s">
        <v>74</v>
      </c>
      <c r="E7" s="40" t="s">
        <v>51</v>
      </c>
      <c r="F7" s="40" t="s">
        <v>52</v>
      </c>
      <c r="G7" s="40"/>
      <c r="H7" s="40" t="s">
        <v>75</v>
      </c>
      <c r="I7" s="56" t="n">
        <v>106395.2</v>
      </c>
      <c r="J7" s="57" t="n">
        <f aca="false">IF(OR(E7="",F7=""),"",SUMIFS(Presupuesto!G$7:G$67,Presupuesto!B$7:B$67,E7,Presupuesto!C$7:C$67,F7))</f>
        <v>212790.4</v>
      </c>
      <c r="K7" s="58" t="n">
        <f aca="false">IF(OR(E7="",F7=""),"",SUMIFS(I$7:I7,E$7:E7,E7,F$7:F7,F7))</f>
        <v>106395.2</v>
      </c>
      <c r="L7" s="58" t="n">
        <f aca="false">IF(OR(E7="",F7=""),"",J7-SUMIFS(I$7:I$506,E$7:E$506,E7,F$7:F$506,F7))</f>
        <v>106395.2</v>
      </c>
      <c r="M7" s="59" t="s">
        <v>76</v>
      </c>
      <c r="N7" s="40"/>
    </row>
    <row r="8" customFormat="false" ht="15" hidden="false" customHeight="true" outlineLevel="0" collapsed="false">
      <c r="A8" s="35"/>
      <c r="B8" s="54" t="n">
        <f aca="false">EOMONTH(C8,0)</f>
        <v>46081</v>
      </c>
      <c r="C8" s="55" t="n">
        <v>46054</v>
      </c>
      <c r="D8" s="40" t="s">
        <v>74</v>
      </c>
      <c r="E8" s="40" t="s">
        <v>53</v>
      </c>
      <c r="F8" s="40" t="s">
        <v>54</v>
      </c>
      <c r="G8" s="40"/>
      <c r="H8" s="40" t="s">
        <v>75</v>
      </c>
      <c r="I8" s="56" t="n">
        <v>100000</v>
      </c>
      <c r="J8" s="57" t="n">
        <f aca="false">IF(OR(E8="",F8=""),"",SUMIFS(Presupuesto!G$7:G$67,Presupuesto!B$7:B$67,E8,Presupuesto!C$7:C$67,F8))</f>
        <v>281880</v>
      </c>
      <c r="K8" s="58" t="n">
        <f aca="false">IF(OR(E8="",F8=""),"",SUMIFS(I$7:I8,E$7:E8,E8,F$7:F8,F8))</f>
        <v>100000</v>
      </c>
      <c r="L8" s="58" t="n">
        <f aca="false">IF(OR(E8="",F8=""),"",J8-SUMIFS(I$7:I$506,E$7:E$506,E8,F$7:F$506,F8))</f>
        <v>181880</v>
      </c>
      <c r="M8" s="59" t="s">
        <v>76</v>
      </c>
      <c r="N8" s="40"/>
    </row>
    <row r="9" customFormat="false" ht="15" hidden="false" customHeight="true" outlineLevel="0" collapsed="false">
      <c r="A9" s="35"/>
      <c r="B9" s="54" t="n">
        <f aca="false">EOMONTH(C9,0)</f>
        <v>46142</v>
      </c>
      <c r="C9" s="55" t="n">
        <v>46113</v>
      </c>
      <c r="D9" s="40" t="s">
        <v>74</v>
      </c>
      <c r="E9" s="40" t="s">
        <v>25</v>
      </c>
      <c r="F9" s="40" t="s">
        <v>29</v>
      </c>
      <c r="G9" s="40"/>
      <c r="H9" s="40" t="s">
        <v>75</v>
      </c>
      <c r="I9" s="56" t="n">
        <v>90000</v>
      </c>
      <c r="J9" s="57" t="n">
        <f aca="false">IF(OR(E9="",F9=""),"",SUMIFS(Presupuesto!G$7:G$67,Presupuesto!B$7:B$67,E9,Presupuesto!C$7:C$67,F9))</f>
        <v>191168</v>
      </c>
      <c r="K9" s="58" t="n">
        <f aca="false">IF(OR(E9="",F9=""),"",SUMIFS(I$7:I9,E$7:E9,E9,F$7:F9,F9))</f>
        <v>90000</v>
      </c>
      <c r="L9" s="58" t="n">
        <f aca="false">IF(OR(E9="",F9=""),"",J9-SUMIFS(I$7:I$506,E$7:E$506,E9,F$7:F$506,F9))</f>
        <v>101168</v>
      </c>
      <c r="M9" s="59" t="s">
        <v>76</v>
      </c>
      <c r="N9" s="40"/>
    </row>
    <row r="10" customFormat="false" ht="15" hidden="false" customHeight="true" outlineLevel="0" collapsed="false">
      <c r="A10" s="35"/>
      <c r="B10" s="54" t="n">
        <f aca="false">EOMONTH(C10,0)</f>
        <v>46142</v>
      </c>
      <c r="C10" s="55" t="n">
        <v>46114</v>
      </c>
      <c r="D10" s="40" t="s">
        <v>74</v>
      </c>
      <c r="E10" s="40" t="s">
        <v>55</v>
      </c>
      <c r="F10" s="40" t="s">
        <v>56</v>
      </c>
      <c r="G10" s="40"/>
      <c r="H10" s="40" t="s">
        <v>75</v>
      </c>
      <c r="I10" s="56" t="n">
        <v>90000</v>
      </c>
      <c r="J10" s="57" t="n">
        <f aca="false">IF(OR(E10="",F10=""),"",SUMIFS(Presupuesto!G$7:G$67,Presupuesto!B$7:B$67,E10,Presupuesto!C$7:C$67,F10))</f>
        <v>275953.6064</v>
      </c>
      <c r="K10" s="58" t="n">
        <f aca="false">IF(OR(E10="",F10=""),"",SUMIFS(I$7:I10,E$7:E10,E10,F$7:F10,F10))</f>
        <v>90000</v>
      </c>
      <c r="L10" s="58" t="n">
        <f aca="false">IF(OR(E10="",F10=""),"",J10-SUMIFS(I$7:I$506,E$7:E$506,E10,F$7:F$506,F10))</f>
        <v>0.796399999991991</v>
      </c>
      <c r="M10" s="59" t="s">
        <v>76</v>
      </c>
      <c r="N10" s="40"/>
    </row>
    <row r="11" customFormat="false" ht="15" hidden="false" customHeight="true" outlineLevel="0" collapsed="false">
      <c r="A11" s="35"/>
      <c r="B11" s="54" t="n">
        <f aca="false">EOMONTH(C11,0)</f>
        <v>46173</v>
      </c>
      <c r="C11" s="55" t="n">
        <v>46149</v>
      </c>
      <c r="D11" s="40" t="s">
        <v>74</v>
      </c>
      <c r="E11" s="40" t="s">
        <v>55</v>
      </c>
      <c r="F11" s="40" t="s">
        <v>56</v>
      </c>
      <c r="G11" s="40"/>
      <c r="H11" s="40" t="s">
        <v>30</v>
      </c>
      <c r="I11" s="56" t="n">
        <v>185952.81</v>
      </c>
      <c r="J11" s="57" t="n">
        <f aca="false">IF(OR(E11="",F11=""),"",SUMIFS(Presupuesto!G$7:G$67,Presupuesto!B$7:B$67,E11,Presupuesto!C$7:C$67,F11))</f>
        <v>275953.6064</v>
      </c>
      <c r="K11" s="58" t="n">
        <f aca="false">IF(OR(E11="",F11=""),"",SUMIFS(I$7:I11,E$7:E11,E11,F$7:F11,F11))</f>
        <v>275952.81</v>
      </c>
      <c r="L11" s="58" t="n">
        <f aca="false">IF(OR(E11="",F11=""),"",J11-SUMIFS(I$7:I$506,E$7:E$506,E11,F$7:F$506,F11))</f>
        <v>0.796399999991991</v>
      </c>
      <c r="M11" s="59" t="s">
        <v>76</v>
      </c>
      <c r="N11" s="40"/>
    </row>
    <row r="12" customFormat="false" ht="15" hidden="false" customHeight="true" outlineLevel="0" collapsed="false">
      <c r="A12" s="35"/>
      <c r="B12" s="54" t="n">
        <f aca="false">EOMONTH(C12,0)</f>
        <v>46173</v>
      </c>
      <c r="C12" s="55" t="n">
        <v>46149</v>
      </c>
      <c r="D12" s="40" t="s">
        <v>74</v>
      </c>
      <c r="E12" s="40" t="s">
        <v>57</v>
      </c>
      <c r="F12" s="40" t="s">
        <v>58</v>
      </c>
      <c r="G12" s="40"/>
      <c r="H12" s="40" t="s">
        <v>75</v>
      </c>
      <c r="I12" s="56" t="n">
        <v>17400</v>
      </c>
      <c r="J12" s="57" t="n">
        <f aca="false">IF(OR(E12="",F12=""),"",SUMIFS(Presupuesto!G$7:G$67,Presupuesto!B$7:B$67,E12,Presupuesto!C$7:C$67,F12))</f>
        <v>58000</v>
      </c>
      <c r="K12" s="58" t="n">
        <f aca="false">IF(OR(E12="",F12=""),"",SUMIFS(I$7:I12,E$7:E12,E12,F$7:F12,F12))</f>
        <v>17400</v>
      </c>
      <c r="L12" s="58" t="n">
        <f aca="false">IF(OR(E12="",F12=""),"",J12-SUMIFS(I$7:I$506,E$7:E$506,E12,F$7:F$506,F12))</f>
        <v>40600</v>
      </c>
      <c r="M12" s="59" t="s">
        <v>76</v>
      </c>
      <c r="N12" s="40"/>
    </row>
    <row r="13" customFormat="false" ht="15" hidden="false" customHeight="true" outlineLevel="0" collapsed="false">
      <c r="A13" s="35"/>
      <c r="B13" s="54" t="n">
        <f aca="false">EOMONTH(C13,0)</f>
        <v>1</v>
      </c>
      <c r="C13" s="55"/>
      <c r="D13" s="40"/>
      <c r="E13" s="40"/>
      <c r="F13" s="40"/>
      <c r="G13" s="40"/>
      <c r="H13" s="40"/>
      <c r="I13" s="60"/>
      <c r="J13" s="61" t="str">
        <f aca="false">IF(OR(E13="",F13=""),"",SUMIFS(Presupuesto!G$7:G$67,Presupuesto!B$7:B$67,E13,Presupuesto!C$7:C$67,F13))</f>
        <v/>
      </c>
      <c r="K13" s="62" t="str">
        <f aca="false">IF(OR(E13="",F13=""),"",SUMIFS(I$7:I13,E$7:E13,E13,F$7:F13,F13))</f>
        <v/>
      </c>
      <c r="L13" s="62" t="str">
        <f aca="false">IF(OR(E13="",F13=""),"",J13-SUMIFS(I$7:I$506,E$7:E$506,E13,F$7:F$506,F13))</f>
        <v/>
      </c>
      <c r="N13" s="40"/>
    </row>
    <row r="14" customFormat="false" ht="15" hidden="false" customHeight="true" outlineLevel="0" collapsed="false">
      <c r="A14" s="35"/>
      <c r="B14" s="54" t="n">
        <f aca="false">EOMONTH(C14,0)</f>
        <v>1</v>
      </c>
      <c r="C14" s="55"/>
      <c r="D14" s="40"/>
      <c r="E14" s="40"/>
      <c r="F14" s="40"/>
      <c r="G14" s="40"/>
      <c r="H14" s="40"/>
      <c r="I14" s="60"/>
      <c r="J14" s="61" t="str">
        <f aca="false">IF(OR(E14="",F14=""),"",SUMIFS(Presupuesto!G$7:G$67,Presupuesto!B$7:B$67,E14,Presupuesto!C$7:C$67,F14))</f>
        <v/>
      </c>
      <c r="K14" s="62" t="str">
        <f aca="false">IF(OR(E14="",F14=""),"",SUMIFS(I$7:I14,E$7:E14,E14,F$7:F14,F14))</f>
        <v/>
      </c>
      <c r="L14" s="62" t="str">
        <f aca="false">IF(OR(E14="",F14=""),"",J14-SUMIFS(I$7:I$506,E$7:E$506,E14,F$7:F$506,F14))</f>
        <v/>
      </c>
      <c r="N14" s="40"/>
    </row>
    <row r="15" customFormat="false" ht="15" hidden="false" customHeight="true" outlineLevel="0" collapsed="false">
      <c r="A15" s="35"/>
      <c r="B15" s="54" t="n">
        <f aca="false">EOMONTH(C15,0)</f>
        <v>1</v>
      </c>
      <c r="C15" s="55"/>
      <c r="D15" s="40"/>
      <c r="E15" s="40"/>
      <c r="F15" s="40"/>
      <c r="G15" s="40"/>
      <c r="H15" s="40"/>
      <c r="I15" s="60"/>
      <c r="J15" s="61" t="str">
        <f aca="false">IF(OR(E15="",F15=""),"",SUMIFS(Presupuesto!G$7:G$67,Presupuesto!B$7:B$67,E15,Presupuesto!C$7:C$67,F15))</f>
        <v/>
      </c>
      <c r="K15" s="62" t="str">
        <f aca="false">IF(OR(E15="",F15=""),"",SUMIFS(I$7:I15,E$7:E15,E15,F$7:F15,F15))</f>
        <v/>
      </c>
      <c r="L15" s="62" t="str">
        <f aca="false">IF(OR(E15="",F15=""),"",J15-SUMIFS(I$7:I$506,E$7:E$506,E15,F$7:F$506,F15))</f>
        <v/>
      </c>
      <c r="N15" s="40"/>
    </row>
    <row r="16" customFormat="false" ht="15" hidden="false" customHeight="true" outlineLevel="0" collapsed="false">
      <c r="A16" s="35"/>
      <c r="B16" s="54" t="n">
        <f aca="false">EOMONTH(C16,0)</f>
        <v>1</v>
      </c>
      <c r="C16" s="55"/>
      <c r="D16" s="40"/>
      <c r="E16" s="40"/>
      <c r="F16" s="40"/>
      <c r="G16" s="40"/>
      <c r="H16" s="40"/>
      <c r="I16" s="60"/>
      <c r="J16" s="61" t="str">
        <f aca="false">IF(OR(E16="",F16=""),"",SUMIFS(Presupuesto!G$7:G$67,Presupuesto!B$7:B$67,E16,Presupuesto!C$7:C$67,F16))</f>
        <v/>
      </c>
      <c r="K16" s="62" t="str">
        <f aca="false">IF(OR(E16="",F16=""),"",SUMIFS(I$7:I16,E$7:E16,E16,F$7:F16,F16))</f>
        <v/>
      </c>
      <c r="L16" s="62" t="str">
        <f aca="false">IF(OR(E16="",F16=""),"",J16-SUMIFS(I$7:I$506,E$7:E$506,E16,F$7:F$506,F16))</f>
        <v/>
      </c>
      <c r="N16" s="40"/>
    </row>
    <row r="17" customFormat="false" ht="15" hidden="false" customHeight="true" outlineLevel="0" collapsed="false">
      <c r="A17" s="35"/>
      <c r="B17" s="54" t="n">
        <f aca="false">EOMONTH(C17,0)</f>
        <v>1</v>
      </c>
      <c r="C17" s="55"/>
      <c r="D17" s="40"/>
      <c r="E17" s="40"/>
      <c r="F17" s="40"/>
      <c r="G17" s="40"/>
      <c r="H17" s="40"/>
      <c r="I17" s="60"/>
      <c r="J17" s="61" t="str">
        <f aca="false">IF(OR(E17="",F17=""),"",SUMIFS(Presupuesto!G$7:G$67,Presupuesto!B$7:B$67,E17,Presupuesto!C$7:C$67,F17))</f>
        <v/>
      </c>
      <c r="K17" s="62" t="str">
        <f aca="false">IF(OR(E17="",F17=""),"",SUMIFS(I$7:I17,E$7:E17,E17,F$7:F17,F17))</f>
        <v/>
      </c>
      <c r="L17" s="62" t="str">
        <f aca="false">IF(OR(E17="",F17=""),"",J17-SUMIFS(I$7:I$506,E$7:E$506,E17,F$7:F$506,F17))</f>
        <v/>
      </c>
      <c r="N17" s="40"/>
    </row>
    <row r="18" customFormat="false" ht="15" hidden="false" customHeight="true" outlineLevel="0" collapsed="false">
      <c r="A18" s="35"/>
      <c r="B18" s="54" t="n">
        <f aca="false">EOMONTH(C18,0)</f>
        <v>1</v>
      </c>
      <c r="C18" s="55"/>
      <c r="D18" s="40"/>
      <c r="E18" s="40"/>
      <c r="F18" s="40"/>
      <c r="G18" s="40"/>
      <c r="H18" s="40"/>
      <c r="I18" s="60"/>
      <c r="J18" s="61" t="str">
        <f aca="false">IF(OR(E18="",F18=""),"",SUMIFS(Presupuesto!G$7:G$67,Presupuesto!B$7:B$67,E18,Presupuesto!C$7:C$67,F18))</f>
        <v/>
      </c>
      <c r="K18" s="62" t="str">
        <f aca="false">IF(OR(E18="",F18=""),"",SUMIFS(I$7:I18,E$7:E18,E18,F$7:F18,F18))</f>
        <v/>
      </c>
      <c r="L18" s="62" t="str">
        <f aca="false">IF(OR(E18="",F18=""),"",J18-SUMIFS(I$7:I$506,E$7:E$506,E18,F$7:F$506,F18))</f>
        <v/>
      </c>
      <c r="N18" s="40"/>
    </row>
    <row r="19" customFormat="false" ht="15" hidden="false" customHeight="true" outlineLevel="0" collapsed="false">
      <c r="A19" s="35"/>
      <c r="B19" s="54" t="n">
        <f aca="false">EOMONTH(C19,0)</f>
        <v>1</v>
      </c>
      <c r="C19" s="55"/>
      <c r="D19" s="40"/>
      <c r="E19" s="40"/>
      <c r="F19" s="40"/>
      <c r="G19" s="40"/>
      <c r="H19" s="40"/>
      <c r="I19" s="60"/>
      <c r="J19" s="61" t="str">
        <f aca="false">IF(OR(E19="",F19=""),"",SUMIFS(Presupuesto!G$7:G$67,Presupuesto!B$7:B$67,E19,Presupuesto!C$7:C$67,F19))</f>
        <v/>
      </c>
      <c r="K19" s="62" t="str">
        <f aca="false">IF(OR(E19="",F19=""),"",SUMIFS(I$7:I19,E$7:E19,E19,F$7:F19,F19))</f>
        <v/>
      </c>
      <c r="L19" s="62" t="str">
        <f aca="false">IF(OR(E19="",F19=""),"",J19-SUMIFS(I$7:I$506,E$7:E$506,E19,F$7:F$506,F19))</f>
        <v/>
      </c>
      <c r="N19" s="40"/>
    </row>
    <row r="20" customFormat="false" ht="15" hidden="false" customHeight="true" outlineLevel="0" collapsed="false">
      <c r="A20" s="35"/>
      <c r="B20" s="54" t="n">
        <f aca="false">EOMONTH(C20,0)</f>
        <v>1</v>
      </c>
      <c r="C20" s="55"/>
      <c r="D20" s="40"/>
      <c r="E20" s="40"/>
      <c r="F20" s="40"/>
      <c r="G20" s="40"/>
      <c r="H20" s="40"/>
      <c r="I20" s="60"/>
      <c r="J20" s="61" t="str">
        <f aca="false">IF(OR(E20="",F20=""),"",SUMIFS(Presupuesto!G$7:G$67,Presupuesto!B$7:B$67,E20,Presupuesto!C$7:C$67,F20))</f>
        <v/>
      </c>
      <c r="K20" s="62" t="str">
        <f aca="false">IF(OR(E20="",F20=""),"",SUMIFS(I$7:I20,E$7:E20,E20,F$7:F20,F20))</f>
        <v/>
      </c>
      <c r="L20" s="62" t="str">
        <f aca="false">IF(OR(E20="",F20=""),"",J20-SUMIFS(I$7:I$506,E$7:E$506,E20,F$7:F$506,F20))</f>
        <v/>
      </c>
      <c r="N20" s="40"/>
    </row>
    <row r="21" customFormat="false" ht="15.75" hidden="false" customHeight="true" outlineLevel="0" collapsed="false">
      <c r="A21" s="35"/>
      <c r="B21" s="54" t="n">
        <f aca="false">EOMONTH(C21,0)</f>
        <v>1</v>
      </c>
      <c r="C21" s="55"/>
      <c r="D21" s="40"/>
      <c r="E21" s="40"/>
      <c r="F21" s="40"/>
      <c r="G21" s="40"/>
      <c r="H21" s="40"/>
      <c r="I21" s="60"/>
      <c r="J21" s="61" t="str">
        <f aca="false">IF(OR(E21="",F21=""),"",SUMIFS(Presupuesto!G$7:G$67,Presupuesto!B$7:B$67,E21,Presupuesto!C$7:C$67,F21))</f>
        <v/>
      </c>
      <c r="K21" s="62" t="str">
        <f aca="false">IF(OR(E21="",F21=""),"",SUMIFS(I$7:I21,E$7:E21,E21,F$7:F21,F21))</f>
        <v/>
      </c>
      <c r="L21" s="62" t="str">
        <f aca="false">IF(OR(E21="",F21=""),"",J21-SUMIFS(I$7:I$506,E$7:E$506,E21,F$7:F$506,F21))</f>
        <v/>
      </c>
      <c r="N21" s="40"/>
    </row>
    <row r="22" customFormat="false" ht="15.75" hidden="false" customHeight="true" outlineLevel="0" collapsed="false">
      <c r="A22" s="35"/>
      <c r="B22" s="54" t="n">
        <f aca="false">EOMONTH(C22,0)</f>
        <v>1</v>
      </c>
      <c r="C22" s="55"/>
      <c r="D22" s="40"/>
      <c r="E22" s="40"/>
      <c r="F22" s="40"/>
      <c r="G22" s="40"/>
      <c r="H22" s="40"/>
      <c r="I22" s="60"/>
      <c r="J22" s="61" t="str">
        <f aca="false">IF(OR(E22="",F22=""),"",SUMIFS(Presupuesto!G$7:G$67,Presupuesto!B$7:B$67,E22,Presupuesto!C$7:C$67,F22))</f>
        <v/>
      </c>
      <c r="K22" s="62" t="str">
        <f aca="false">IF(OR(E22="",F22=""),"",SUMIFS(I$7:I22,E$7:E22,E22,F$7:F22,F22))</f>
        <v/>
      </c>
      <c r="L22" s="62" t="str">
        <f aca="false">IF(OR(E22="",F22=""),"",J22-SUMIFS(I$7:I$506,E$7:E$506,E22,F$7:F$506,F22))</f>
        <v/>
      </c>
      <c r="N22" s="40"/>
    </row>
    <row r="23" customFormat="false" ht="15.75" hidden="false" customHeight="true" outlineLevel="0" collapsed="false">
      <c r="A23" s="35"/>
      <c r="B23" s="54" t="n">
        <f aca="false">EOMONTH(C23,0)</f>
        <v>1</v>
      </c>
      <c r="C23" s="55"/>
      <c r="D23" s="40"/>
      <c r="E23" s="40"/>
      <c r="F23" s="40"/>
      <c r="G23" s="40"/>
      <c r="H23" s="40"/>
      <c r="I23" s="60"/>
      <c r="J23" s="61" t="str">
        <f aca="false">IF(OR(E23="",F23=""),"",SUMIFS(Presupuesto!G$7:G$67,Presupuesto!B$7:B$67,E23,Presupuesto!C$7:C$67,F23))</f>
        <v/>
      </c>
      <c r="K23" s="62" t="str">
        <f aca="false">IF(OR(E23="",F23=""),"",SUMIFS(I$7:I23,E$7:E23,E23,F$7:F23,F23))</f>
        <v/>
      </c>
      <c r="L23" s="62" t="str">
        <f aca="false">IF(OR(E23="",F23=""),"",J23-SUMIFS(I$7:I$506,E$7:E$506,E23,F$7:F$506,F23))</f>
        <v/>
      </c>
      <c r="N23" s="40"/>
    </row>
    <row r="24" customFormat="false" ht="15.75" hidden="false" customHeight="true" outlineLevel="0" collapsed="false">
      <c r="A24" s="35"/>
      <c r="B24" s="54" t="n">
        <f aca="false">EOMONTH(C24,0)</f>
        <v>1</v>
      </c>
      <c r="C24" s="55"/>
      <c r="D24" s="40"/>
      <c r="E24" s="40"/>
      <c r="F24" s="40"/>
      <c r="G24" s="40"/>
      <c r="H24" s="40"/>
      <c r="I24" s="60"/>
      <c r="J24" s="61" t="str">
        <f aca="false">IF(OR(E24="",F24=""),"",SUMIFS(Presupuesto!G$7:G$67,Presupuesto!B$7:B$67,E24,Presupuesto!C$7:C$67,F24))</f>
        <v/>
      </c>
      <c r="K24" s="62" t="str">
        <f aca="false">IF(OR(E24="",F24=""),"",SUMIFS(I$7:I24,E$7:E24,E24,F$7:F24,F24))</f>
        <v/>
      </c>
      <c r="L24" s="62" t="str">
        <f aca="false">IF(OR(E24="",F24=""),"",J24-SUMIFS(I$7:I$506,E$7:E$506,E24,F$7:F$506,F24))</f>
        <v/>
      </c>
      <c r="N24" s="40"/>
    </row>
    <row r="25" customFormat="false" ht="15.75" hidden="false" customHeight="true" outlineLevel="0" collapsed="false">
      <c r="A25" s="35"/>
      <c r="B25" s="54" t="n">
        <f aca="false">EOMONTH(C25,0)</f>
        <v>1</v>
      </c>
      <c r="C25" s="55"/>
      <c r="D25" s="40"/>
      <c r="E25" s="40"/>
      <c r="F25" s="40"/>
      <c r="G25" s="40"/>
      <c r="H25" s="40"/>
      <c r="I25" s="60"/>
      <c r="J25" s="61" t="str">
        <f aca="false">IF(OR(E25="",F25=""),"",SUMIFS(Presupuesto!G$7:G$67,Presupuesto!B$7:B$67,E25,Presupuesto!C$7:C$67,F25))</f>
        <v/>
      </c>
      <c r="K25" s="62" t="str">
        <f aca="false">IF(OR(E25="",F25=""),"",SUMIFS(I$7:I25,E$7:E25,E25,F$7:F25,F25))</f>
        <v/>
      </c>
      <c r="L25" s="62" t="str">
        <f aca="false">IF(OR(E25="",F25=""),"",J25-SUMIFS(I$7:I$506,E$7:E$506,E25,F$7:F$506,F25))</f>
        <v/>
      </c>
      <c r="N25" s="40"/>
    </row>
    <row r="26" customFormat="false" ht="15.75" hidden="false" customHeight="true" outlineLevel="0" collapsed="false">
      <c r="A26" s="35"/>
      <c r="B26" s="54" t="n">
        <f aca="false">EOMONTH(C26,0)</f>
        <v>1</v>
      </c>
      <c r="C26" s="55"/>
      <c r="D26" s="40"/>
      <c r="E26" s="40"/>
      <c r="F26" s="40"/>
      <c r="G26" s="40"/>
      <c r="H26" s="40"/>
      <c r="I26" s="60"/>
      <c r="J26" s="61" t="str">
        <f aca="false">IF(OR(E26="",F26=""),"",SUMIFS(Presupuesto!G$7:G$67,Presupuesto!B$7:B$67,E26,Presupuesto!C$7:C$67,F26))</f>
        <v/>
      </c>
      <c r="K26" s="62" t="str">
        <f aca="false">IF(OR(E26="",F26=""),"",SUMIFS(I$7:I26,E$7:E26,E26,F$7:F26,F26))</f>
        <v/>
      </c>
      <c r="L26" s="62" t="str">
        <f aca="false">IF(OR(E26="",F26=""),"",J26-SUMIFS(I$7:I$506,E$7:E$506,E26,F$7:F$506,F26))</f>
        <v/>
      </c>
      <c r="N26" s="40"/>
    </row>
    <row r="27" customFormat="false" ht="15.75" hidden="false" customHeight="true" outlineLevel="0" collapsed="false">
      <c r="A27" s="35"/>
      <c r="B27" s="54" t="n">
        <f aca="false">EOMONTH(C27,0)</f>
        <v>1</v>
      </c>
      <c r="C27" s="55"/>
      <c r="D27" s="40"/>
      <c r="E27" s="40"/>
      <c r="F27" s="40"/>
      <c r="G27" s="40"/>
      <c r="H27" s="40"/>
      <c r="I27" s="60"/>
      <c r="J27" s="61" t="str">
        <f aca="false">IF(OR(E27="",F27=""),"",SUMIFS(Presupuesto!G$7:G$67,Presupuesto!B$7:B$67,E27,Presupuesto!C$7:C$67,F27))</f>
        <v/>
      </c>
      <c r="K27" s="62" t="str">
        <f aca="false">IF(OR(E27="",F27=""),"",SUMIFS(I$7:I27,E$7:E27,E27,F$7:F27,F27))</f>
        <v/>
      </c>
      <c r="L27" s="62" t="str">
        <f aca="false">IF(OR(E27="",F27=""),"",J27-SUMIFS(I$7:I$506,E$7:E$506,E27,F$7:F$506,F27))</f>
        <v/>
      </c>
      <c r="N27" s="40"/>
    </row>
    <row r="28" customFormat="false" ht="15.75" hidden="false" customHeight="true" outlineLevel="0" collapsed="false">
      <c r="A28" s="35"/>
      <c r="B28" s="54" t="n">
        <f aca="false">EOMONTH(C28,0)</f>
        <v>1</v>
      </c>
      <c r="C28" s="55"/>
      <c r="D28" s="40"/>
      <c r="E28" s="40"/>
      <c r="F28" s="40"/>
      <c r="G28" s="40"/>
      <c r="H28" s="40"/>
      <c r="I28" s="60"/>
      <c r="J28" s="61" t="str">
        <f aca="false">IF(OR(E28="",F28=""),"",SUMIFS(Presupuesto!G$7:G$67,Presupuesto!B$7:B$67,E28,Presupuesto!C$7:C$67,F28))</f>
        <v/>
      </c>
      <c r="K28" s="62" t="str">
        <f aca="false">IF(OR(E28="",F28=""),"",SUMIFS(I$7:I28,E$7:E28,E28,F$7:F28,F28))</f>
        <v/>
      </c>
      <c r="L28" s="62" t="str">
        <f aca="false">IF(OR(E28="",F28=""),"",J28-SUMIFS(I$7:I$506,E$7:E$506,E28,F$7:F$506,F28))</f>
        <v/>
      </c>
      <c r="N28" s="40"/>
    </row>
    <row r="29" customFormat="false" ht="15.75" hidden="false" customHeight="true" outlineLevel="0" collapsed="false">
      <c r="A29" s="35"/>
      <c r="B29" s="54" t="n">
        <f aca="false">EOMONTH(C29,0)</f>
        <v>1</v>
      </c>
      <c r="C29" s="55"/>
      <c r="D29" s="40"/>
      <c r="E29" s="40"/>
      <c r="F29" s="40"/>
      <c r="G29" s="40"/>
      <c r="H29" s="40"/>
      <c r="I29" s="60"/>
      <c r="J29" s="61" t="str">
        <f aca="false">IF(OR(E29="",F29=""),"",SUMIFS(Presupuesto!G$7:G$67,Presupuesto!B$7:B$67,E29,Presupuesto!C$7:C$67,F29))</f>
        <v/>
      </c>
      <c r="K29" s="62" t="str">
        <f aca="false">IF(OR(E29="",F29=""),"",SUMIFS(I$7:I29,E$7:E29,E29,F$7:F29,F29))</f>
        <v/>
      </c>
      <c r="L29" s="62" t="str">
        <f aca="false">IF(OR(E29="",F29=""),"",J29-SUMIFS(I$7:I$506,E$7:E$506,E29,F$7:F$506,F29))</f>
        <v/>
      </c>
      <c r="N29" s="40"/>
    </row>
    <row r="30" customFormat="false" ht="15.75" hidden="false" customHeight="true" outlineLevel="0" collapsed="false">
      <c r="A30" s="35"/>
      <c r="B30" s="54" t="n">
        <f aca="false">EOMONTH(C30,0)</f>
        <v>1</v>
      </c>
      <c r="C30" s="55"/>
      <c r="D30" s="40"/>
      <c r="E30" s="40"/>
      <c r="F30" s="40"/>
      <c r="G30" s="40"/>
      <c r="H30" s="40"/>
      <c r="I30" s="60"/>
      <c r="J30" s="61" t="str">
        <f aca="false">IF(OR(E30="",F30=""),"",SUMIFS(Presupuesto!G$7:G$67,Presupuesto!B$7:B$67,E30,Presupuesto!C$7:C$67,F30))</f>
        <v/>
      </c>
      <c r="K30" s="62" t="str">
        <f aca="false">IF(OR(E30="",F30=""),"",SUMIFS(I$7:I30,E$7:E30,E30,F$7:F30,F30))</f>
        <v/>
      </c>
      <c r="L30" s="62" t="str">
        <f aca="false">IF(OR(E30="",F30=""),"",J30-SUMIFS(I$7:I$506,E$7:E$506,E30,F$7:F$506,F30))</f>
        <v/>
      </c>
      <c r="N30" s="40"/>
    </row>
    <row r="31" customFormat="false" ht="15.75" hidden="false" customHeight="true" outlineLevel="0" collapsed="false">
      <c r="A31" s="35"/>
      <c r="B31" s="54" t="n">
        <f aca="false">EOMONTH(C31,0)</f>
        <v>1</v>
      </c>
      <c r="C31" s="55"/>
      <c r="D31" s="40"/>
      <c r="E31" s="40"/>
      <c r="F31" s="40"/>
      <c r="G31" s="40"/>
      <c r="H31" s="40"/>
      <c r="I31" s="60"/>
      <c r="J31" s="61" t="str">
        <f aca="false">IF(OR(E31="",F31=""),"",SUMIFS(Presupuesto!G$7:G$67,Presupuesto!B$7:B$67,E31,Presupuesto!C$7:C$67,F31))</f>
        <v/>
      </c>
      <c r="K31" s="62" t="str">
        <f aca="false">IF(OR(E31="",F31=""),"",SUMIFS(I$7:I31,E$7:E31,E31,F$7:F31,F31))</f>
        <v/>
      </c>
      <c r="L31" s="62" t="str">
        <f aca="false">IF(OR(E31="",F31=""),"",J31-SUMIFS(I$7:I$506,E$7:E$506,E31,F$7:F$506,F31))</f>
        <v/>
      </c>
      <c r="N31" s="40"/>
    </row>
    <row r="32" customFormat="false" ht="15.75" hidden="false" customHeight="true" outlineLevel="0" collapsed="false">
      <c r="A32" s="35"/>
      <c r="B32" s="54" t="n">
        <f aca="false">EOMONTH(C32,0)</f>
        <v>1</v>
      </c>
      <c r="C32" s="55"/>
      <c r="D32" s="40"/>
      <c r="E32" s="40"/>
      <c r="F32" s="40"/>
      <c r="G32" s="40"/>
      <c r="H32" s="40"/>
      <c r="I32" s="60"/>
      <c r="J32" s="61" t="str">
        <f aca="false">IF(OR(E32="",F32=""),"",SUMIFS(Presupuesto!G$7:G$67,Presupuesto!B$7:B$67,E32,Presupuesto!C$7:C$67,F32))</f>
        <v/>
      </c>
      <c r="K32" s="62" t="str">
        <f aca="false">IF(OR(E32="",F32=""),"",SUMIFS(I$7:I32,E$7:E32,E32,F$7:F32,F32))</f>
        <v/>
      </c>
      <c r="L32" s="62" t="str">
        <f aca="false">IF(OR(E32="",F32=""),"",J32-SUMIFS(I$7:I$506,E$7:E$506,E32,F$7:F$506,F32))</f>
        <v/>
      </c>
      <c r="N32" s="40"/>
    </row>
    <row r="33" customFormat="false" ht="15.75" hidden="false" customHeight="true" outlineLevel="0" collapsed="false">
      <c r="A33" s="35"/>
      <c r="B33" s="54" t="n">
        <f aca="false">EOMONTH(C33,0)</f>
        <v>1</v>
      </c>
      <c r="C33" s="55"/>
      <c r="D33" s="40"/>
      <c r="E33" s="40"/>
      <c r="F33" s="40"/>
      <c r="G33" s="40"/>
      <c r="H33" s="40"/>
      <c r="I33" s="60"/>
      <c r="J33" s="61" t="str">
        <f aca="false">IF(OR(E33="",F33=""),"",SUMIFS(Presupuesto!G$7:G$67,Presupuesto!B$7:B$67,E33,Presupuesto!C$7:C$67,F33))</f>
        <v/>
      </c>
      <c r="K33" s="62" t="str">
        <f aca="false">IF(OR(E33="",F33=""),"",SUMIFS(I$7:I33,E$7:E33,E33,F$7:F33,F33))</f>
        <v/>
      </c>
      <c r="L33" s="62" t="str">
        <f aca="false">IF(OR(E33="",F33=""),"",J33-SUMIFS(I$7:I$506,E$7:E$506,E33,F$7:F$506,F33))</f>
        <v/>
      </c>
      <c r="N33" s="40"/>
    </row>
    <row r="34" customFormat="false" ht="15.75" hidden="false" customHeight="true" outlineLevel="0" collapsed="false">
      <c r="A34" s="35"/>
      <c r="B34" s="54" t="n">
        <f aca="false">EOMONTH(C34,0)</f>
        <v>1</v>
      </c>
      <c r="C34" s="55"/>
      <c r="D34" s="40"/>
      <c r="E34" s="40"/>
      <c r="F34" s="40"/>
      <c r="G34" s="40"/>
      <c r="H34" s="40"/>
      <c r="I34" s="60"/>
      <c r="J34" s="61" t="str">
        <f aca="false">IF(OR(E34="",F34=""),"",SUMIFS(Presupuesto!G$7:G$67,Presupuesto!B$7:B$67,E34,Presupuesto!C$7:C$67,F34))</f>
        <v/>
      </c>
      <c r="K34" s="62" t="str">
        <f aca="false">IF(OR(E34="",F34=""),"",SUMIFS(I$7:I34,E$7:E34,E34,F$7:F34,F34))</f>
        <v/>
      </c>
      <c r="L34" s="62" t="str">
        <f aca="false">IF(OR(E34="",F34=""),"",J34-SUMIFS(I$7:I$506,E$7:E$506,E34,F$7:F$506,F34))</f>
        <v/>
      </c>
      <c r="N34" s="40"/>
    </row>
    <row r="35" customFormat="false" ht="15.75" hidden="false" customHeight="true" outlineLevel="0" collapsed="false">
      <c r="A35" s="35"/>
      <c r="B35" s="54" t="n">
        <f aca="false">EOMONTH(C35,0)</f>
        <v>1</v>
      </c>
      <c r="C35" s="55"/>
      <c r="D35" s="40"/>
      <c r="E35" s="40"/>
      <c r="F35" s="40"/>
      <c r="G35" s="40"/>
      <c r="H35" s="40"/>
      <c r="I35" s="60"/>
      <c r="J35" s="61" t="str">
        <f aca="false">IF(OR(E35="",F35=""),"",SUMIFS(Presupuesto!G$7:G$67,Presupuesto!B$7:B$67,E35,Presupuesto!C$7:C$67,F35))</f>
        <v/>
      </c>
      <c r="K35" s="62" t="str">
        <f aca="false">IF(OR(E35="",F35=""),"",SUMIFS(I$7:I35,E$7:E35,E35,F$7:F35,F35))</f>
        <v/>
      </c>
      <c r="L35" s="62" t="str">
        <f aca="false">IF(OR(E35="",F35=""),"",J35-SUMIFS(I$7:I$506,E$7:E$506,E35,F$7:F$506,F35))</f>
        <v/>
      </c>
      <c r="N35" s="40"/>
    </row>
    <row r="36" customFormat="false" ht="15.75" hidden="false" customHeight="true" outlineLevel="0" collapsed="false">
      <c r="A36" s="35"/>
      <c r="B36" s="54" t="n">
        <f aca="false">EOMONTH(C36,0)</f>
        <v>1</v>
      </c>
      <c r="C36" s="55"/>
      <c r="D36" s="40"/>
      <c r="E36" s="40"/>
      <c r="F36" s="40"/>
      <c r="G36" s="40"/>
      <c r="H36" s="40"/>
      <c r="I36" s="60"/>
      <c r="J36" s="61" t="str">
        <f aca="false">IF(OR(E36="",F36=""),"",SUMIFS(Presupuesto!G$7:G$67,Presupuesto!B$7:B$67,E36,Presupuesto!C$7:C$67,F36))</f>
        <v/>
      </c>
      <c r="K36" s="62" t="str">
        <f aca="false">IF(OR(E36="",F36=""),"",SUMIFS(I$7:I36,E$7:E36,E36,F$7:F36,F36))</f>
        <v/>
      </c>
      <c r="L36" s="62" t="str">
        <f aca="false">IF(OR(E36="",F36=""),"",J36-SUMIFS(I$7:I$506,E$7:E$506,E36,F$7:F$506,F36))</f>
        <v/>
      </c>
      <c r="N36" s="40"/>
    </row>
    <row r="37" customFormat="false" ht="15.75" hidden="false" customHeight="true" outlineLevel="0" collapsed="false">
      <c r="A37" s="35"/>
      <c r="B37" s="54" t="n">
        <f aca="false">EOMONTH(C37,0)</f>
        <v>1</v>
      </c>
      <c r="C37" s="55"/>
      <c r="D37" s="40"/>
      <c r="E37" s="40"/>
      <c r="F37" s="40"/>
      <c r="G37" s="40"/>
      <c r="H37" s="40"/>
      <c r="I37" s="60"/>
      <c r="J37" s="61" t="str">
        <f aca="false">IF(OR(E37="",F37=""),"",SUMIFS(Presupuesto!G$7:G$67,Presupuesto!B$7:B$67,E37,Presupuesto!C$7:C$67,F37))</f>
        <v/>
      </c>
      <c r="K37" s="62" t="str">
        <f aca="false">IF(OR(E37="",F37=""),"",SUMIFS(I$7:I37,E$7:E37,E37,F$7:F37,F37))</f>
        <v/>
      </c>
      <c r="L37" s="62" t="str">
        <f aca="false">IF(OR(E37="",F37=""),"",J37-SUMIFS(I$7:I$506,E$7:E$506,E37,F$7:F$506,F37))</f>
        <v/>
      </c>
      <c r="N37" s="40"/>
    </row>
    <row r="38" customFormat="false" ht="15.75" hidden="false" customHeight="true" outlineLevel="0" collapsed="false">
      <c r="A38" s="35"/>
      <c r="B38" s="54" t="n">
        <f aca="false">EOMONTH(C38,0)</f>
        <v>1</v>
      </c>
      <c r="C38" s="55"/>
      <c r="D38" s="40"/>
      <c r="E38" s="40"/>
      <c r="F38" s="40"/>
      <c r="G38" s="40"/>
      <c r="H38" s="40"/>
      <c r="I38" s="60"/>
      <c r="J38" s="61" t="str">
        <f aca="false">IF(OR(E38="",F38=""),"",SUMIFS(Presupuesto!G$7:G$67,Presupuesto!B$7:B$67,E38,Presupuesto!C$7:C$67,F38))</f>
        <v/>
      </c>
      <c r="K38" s="62" t="str">
        <f aca="false">IF(OR(E38="",F38=""),"",SUMIFS(I$7:I38,E$7:E38,E38,F$7:F38,F38))</f>
        <v/>
      </c>
      <c r="L38" s="62" t="str">
        <f aca="false">IF(OR(E38="",F38=""),"",J38-SUMIFS(I$7:I$506,E$7:E$506,E38,F$7:F$506,F38))</f>
        <v/>
      </c>
      <c r="N38" s="40"/>
    </row>
    <row r="39" customFormat="false" ht="15.75" hidden="false" customHeight="true" outlineLevel="0" collapsed="false">
      <c r="A39" s="35"/>
      <c r="B39" s="54" t="n">
        <f aca="false">EOMONTH(C39,0)</f>
        <v>1</v>
      </c>
      <c r="C39" s="55"/>
      <c r="D39" s="40"/>
      <c r="E39" s="40"/>
      <c r="F39" s="40"/>
      <c r="G39" s="40"/>
      <c r="H39" s="40"/>
      <c r="I39" s="60"/>
      <c r="J39" s="61" t="str">
        <f aca="false">IF(OR(E39="",F39=""),"",SUMIFS(Presupuesto!G$7:G$67,Presupuesto!B$7:B$67,E39,Presupuesto!C$7:C$67,F39))</f>
        <v/>
      </c>
      <c r="K39" s="62" t="str">
        <f aca="false">IF(OR(E39="",F39=""),"",SUMIFS(I$7:I39,E$7:E39,E39,F$7:F39,F39))</f>
        <v/>
      </c>
      <c r="L39" s="62" t="str">
        <f aca="false">IF(OR(E39="",F39=""),"",J39-SUMIFS(I$7:I$506,E$7:E$506,E39,F$7:F$506,F39))</f>
        <v/>
      </c>
      <c r="N39" s="40"/>
    </row>
    <row r="40" customFormat="false" ht="15.75" hidden="false" customHeight="true" outlineLevel="0" collapsed="false">
      <c r="A40" s="35"/>
      <c r="B40" s="54" t="n">
        <f aca="false">EOMONTH(C40,0)</f>
        <v>1</v>
      </c>
      <c r="C40" s="55"/>
      <c r="D40" s="40"/>
      <c r="E40" s="40"/>
      <c r="F40" s="40"/>
      <c r="G40" s="40"/>
      <c r="H40" s="40"/>
      <c r="I40" s="60"/>
      <c r="J40" s="61" t="str">
        <f aca="false">IF(OR(E40="",F40=""),"",SUMIFS(Presupuesto!G$7:G$67,Presupuesto!B$7:B$67,E40,Presupuesto!C$7:C$67,F40))</f>
        <v/>
      </c>
      <c r="K40" s="62" t="str">
        <f aca="false">IF(OR(E40="",F40=""),"",SUMIFS(I$7:I40,E$7:E40,E40,F$7:F40,F40))</f>
        <v/>
      </c>
      <c r="L40" s="62" t="str">
        <f aca="false">IF(OR(E40="",F40=""),"",J40-SUMIFS(I$7:I$506,E$7:E$506,E40,F$7:F$506,F40))</f>
        <v/>
      </c>
      <c r="N40" s="40"/>
    </row>
    <row r="41" customFormat="false" ht="15.75" hidden="false" customHeight="true" outlineLevel="0" collapsed="false">
      <c r="A41" s="35"/>
      <c r="B41" s="54" t="n">
        <f aca="false">EOMONTH(C41,0)</f>
        <v>1</v>
      </c>
      <c r="C41" s="55"/>
      <c r="D41" s="40"/>
      <c r="E41" s="40"/>
      <c r="F41" s="40"/>
      <c r="G41" s="40"/>
      <c r="H41" s="40"/>
      <c r="I41" s="60"/>
      <c r="J41" s="61" t="str">
        <f aca="false">IF(OR(E41="",F41=""),"",SUMIFS(Presupuesto!G$7:G$67,Presupuesto!B$7:B$67,E41,Presupuesto!C$7:C$67,F41))</f>
        <v/>
      </c>
      <c r="K41" s="62" t="str">
        <f aca="false">IF(OR(E41="",F41=""),"",SUMIFS(I$7:I41,E$7:E41,E41,F$7:F41,F41))</f>
        <v/>
      </c>
      <c r="L41" s="62" t="str">
        <f aca="false">IF(OR(E41="",F41=""),"",J41-SUMIFS(I$7:I$506,E$7:E$506,E41,F$7:F$506,F41))</f>
        <v/>
      </c>
      <c r="N41" s="40"/>
    </row>
    <row r="42" customFormat="false" ht="15.75" hidden="false" customHeight="true" outlineLevel="0" collapsed="false">
      <c r="A42" s="35"/>
      <c r="B42" s="54" t="n">
        <f aca="false">EOMONTH(C42,0)</f>
        <v>1</v>
      </c>
      <c r="C42" s="55"/>
      <c r="D42" s="40"/>
      <c r="E42" s="40"/>
      <c r="F42" s="40"/>
      <c r="G42" s="40"/>
      <c r="H42" s="40"/>
      <c r="I42" s="60"/>
      <c r="J42" s="61" t="str">
        <f aca="false">IF(OR(E42="",F42=""),"",SUMIFS(Presupuesto!G$7:G$67,Presupuesto!B$7:B$67,E42,Presupuesto!C$7:C$67,F42))</f>
        <v/>
      </c>
      <c r="K42" s="62" t="str">
        <f aca="false">IF(OR(E42="",F42=""),"",SUMIFS(I$7:I42,E$7:E42,E42,F$7:F42,F42))</f>
        <v/>
      </c>
      <c r="L42" s="62" t="str">
        <f aca="false">IF(OR(E42="",F42=""),"",J42-SUMIFS(I$7:I$506,E$7:E$506,E42,F$7:F$506,F42))</f>
        <v/>
      </c>
      <c r="N42" s="40"/>
    </row>
    <row r="43" customFormat="false" ht="15.75" hidden="false" customHeight="true" outlineLevel="0" collapsed="false">
      <c r="A43" s="35"/>
      <c r="B43" s="54" t="n">
        <f aca="false">EOMONTH(C43,0)</f>
        <v>1</v>
      </c>
      <c r="C43" s="55"/>
      <c r="D43" s="40"/>
      <c r="E43" s="40"/>
      <c r="F43" s="40"/>
      <c r="G43" s="40"/>
      <c r="H43" s="40"/>
      <c r="I43" s="60"/>
      <c r="J43" s="61" t="str">
        <f aca="false">IF(OR(E43="",F43=""),"",SUMIFS(Presupuesto!G$7:G$67,Presupuesto!B$7:B$67,E43,Presupuesto!C$7:C$67,F43))</f>
        <v/>
      </c>
      <c r="K43" s="62" t="str">
        <f aca="false">IF(OR(E43="",F43=""),"",SUMIFS(I$7:I43,E$7:E43,E43,F$7:F43,F43))</f>
        <v/>
      </c>
      <c r="L43" s="62" t="str">
        <f aca="false">IF(OR(E43="",F43=""),"",J43-SUMIFS(I$7:I$506,E$7:E$506,E43,F$7:F$506,F43))</f>
        <v/>
      </c>
      <c r="N43" s="40"/>
    </row>
    <row r="44" customFormat="false" ht="15.75" hidden="false" customHeight="true" outlineLevel="0" collapsed="false">
      <c r="A44" s="35"/>
      <c r="B44" s="54" t="n">
        <f aca="false">EOMONTH(C44,0)</f>
        <v>1</v>
      </c>
      <c r="C44" s="55"/>
      <c r="D44" s="40"/>
      <c r="E44" s="40"/>
      <c r="F44" s="40"/>
      <c r="G44" s="40"/>
      <c r="H44" s="40"/>
      <c r="I44" s="60"/>
      <c r="J44" s="61" t="str">
        <f aca="false">IF(OR(E44="",F44=""),"",SUMIFS(Presupuesto!G$7:G$67,Presupuesto!B$7:B$67,E44,Presupuesto!C$7:C$67,F44))</f>
        <v/>
      </c>
      <c r="K44" s="62" t="str">
        <f aca="false">IF(OR(E44="",F44=""),"",SUMIFS(I$7:I44,E$7:E44,E44,F$7:F44,F44))</f>
        <v/>
      </c>
      <c r="L44" s="62" t="str">
        <f aca="false">IF(OR(E44="",F44=""),"",J44-SUMIFS(I$7:I$506,E$7:E$506,E44,F$7:F$506,F44))</f>
        <v/>
      </c>
      <c r="N44" s="40"/>
    </row>
    <row r="45" customFormat="false" ht="15.75" hidden="false" customHeight="true" outlineLevel="0" collapsed="false">
      <c r="A45" s="35"/>
      <c r="B45" s="54" t="n">
        <f aca="false">EOMONTH(C45,0)</f>
        <v>1</v>
      </c>
      <c r="C45" s="55"/>
      <c r="D45" s="40"/>
      <c r="E45" s="40"/>
      <c r="F45" s="40"/>
      <c r="G45" s="40"/>
      <c r="H45" s="40"/>
      <c r="I45" s="60"/>
      <c r="J45" s="61" t="str">
        <f aca="false">IF(OR(E45="",F45=""),"",SUMIFS(Presupuesto!G$7:G$67,Presupuesto!B$7:B$67,E45,Presupuesto!C$7:C$67,F45))</f>
        <v/>
      </c>
      <c r="K45" s="62" t="str">
        <f aca="false">IF(OR(E45="",F45=""),"",SUMIFS(I$7:I45,E$7:E45,E45,F$7:F45,F45))</f>
        <v/>
      </c>
      <c r="L45" s="62" t="str">
        <f aca="false">IF(OR(E45="",F45=""),"",J45-SUMIFS(I$7:I$506,E$7:E$506,E45,F$7:F$506,F45))</f>
        <v/>
      </c>
      <c r="N45" s="40"/>
    </row>
    <row r="46" customFormat="false" ht="15.75" hidden="false" customHeight="true" outlineLevel="0" collapsed="false">
      <c r="A46" s="35"/>
      <c r="B46" s="54" t="n">
        <f aca="false">EOMONTH(C46,0)</f>
        <v>1</v>
      </c>
      <c r="C46" s="55"/>
      <c r="D46" s="40"/>
      <c r="E46" s="40"/>
      <c r="F46" s="40"/>
      <c r="G46" s="40"/>
      <c r="H46" s="40"/>
      <c r="I46" s="60"/>
      <c r="J46" s="61" t="str">
        <f aca="false">IF(OR(E46="",F46=""),"",SUMIFS(Presupuesto!G$7:G$67,Presupuesto!B$7:B$67,E46,Presupuesto!C$7:C$67,F46))</f>
        <v/>
      </c>
      <c r="K46" s="62" t="str">
        <f aca="false">IF(OR(E46="",F46=""),"",SUMIFS(I$7:I46,E$7:E46,E46,F$7:F46,F46))</f>
        <v/>
      </c>
      <c r="L46" s="62" t="str">
        <f aca="false">IF(OR(E46="",F46=""),"",J46-SUMIFS(I$7:I$506,E$7:E$506,E46,F$7:F$506,F46))</f>
        <v/>
      </c>
      <c r="N46" s="40"/>
    </row>
    <row r="47" customFormat="false" ht="15.75" hidden="false" customHeight="true" outlineLevel="0" collapsed="false">
      <c r="A47" s="35"/>
      <c r="B47" s="54" t="n">
        <f aca="false">EOMONTH(C47,0)</f>
        <v>1</v>
      </c>
      <c r="C47" s="55"/>
      <c r="D47" s="40"/>
      <c r="E47" s="40"/>
      <c r="F47" s="40"/>
      <c r="G47" s="40"/>
      <c r="H47" s="40"/>
      <c r="I47" s="60"/>
      <c r="J47" s="61" t="str">
        <f aca="false">IF(OR(E47="",F47=""),"",SUMIFS(Presupuesto!G$7:G$67,Presupuesto!B$7:B$67,E47,Presupuesto!C$7:C$67,F47))</f>
        <v/>
      </c>
      <c r="K47" s="62" t="str">
        <f aca="false">IF(OR(E47="",F47=""),"",SUMIFS(I$7:I47,E$7:E47,E47,F$7:F47,F47))</f>
        <v/>
      </c>
      <c r="L47" s="62" t="str">
        <f aca="false">IF(OR(E47="",F47=""),"",J47-SUMIFS(I$7:I$506,E$7:E$506,E47,F$7:F$506,F47))</f>
        <v/>
      </c>
      <c r="N47" s="40"/>
    </row>
    <row r="48" customFormat="false" ht="15.75" hidden="false" customHeight="true" outlineLevel="0" collapsed="false">
      <c r="A48" s="35"/>
      <c r="B48" s="54" t="n">
        <f aca="false">EOMONTH(C48,0)</f>
        <v>1</v>
      </c>
      <c r="C48" s="55"/>
      <c r="D48" s="40"/>
      <c r="E48" s="40"/>
      <c r="F48" s="40"/>
      <c r="G48" s="40"/>
      <c r="H48" s="40"/>
      <c r="I48" s="60"/>
      <c r="J48" s="61" t="str">
        <f aca="false">IF(OR(E48="",F48=""),"",SUMIFS(Presupuesto!G$7:G$67,Presupuesto!B$7:B$67,E48,Presupuesto!C$7:C$67,F48))</f>
        <v/>
      </c>
      <c r="K48" s="62" t="str">
        <f aca="false">IF(OR(E48="",F48=""),"",SUMIFS(I$7:I48,E$7:E48,E48,F$7:F48,F48))</f>
        <v/>
      </c>
      <c r="L48" s="62" t="str">
        <f aca="false">IF(OR(E48="",F48=""),"",J48-SUMIFS(I$7:I$506,E$7:E$506,E48,F$7:F$506,F48))</f>
        <v/>
      </c>
      <c r="N48" s="40"/>
    </row>
    <row r="49" customFormat="false" ht="15.75" hidden="false" customHeight="true" outlineLevel="0" collapsed="false">
      <c r="A49" s="35"/>
      <c r="B49" s="54" t="n">
        <f aca="false">EOMONTH(C49,0)</f>
        <v>1</v>
      </c>
      <c r="C49" s="55"/>
      <c r="D49" s="40"/>
      <c r="E49" s="40"/>
      <c r="F49" s="40"/>
      <c r="G49" s="40"/>
      <c r="H49" s="40"/>
      <c r="I49" s="60"/>
      <c r="J49" s="61" t="str">
        <f aca="false">IF(OR(E49="",F49=""),"",SUMIFS(Presupuesto!G$7:G$67,Presupuesto!B$7:B$67,E49,Presupuesto!C$7:C$67,F49))</f>
        <v/>
      </c>
      <c r="K49" s="62" t="str">
        <f aca="false">IF(OR(E49="",F49=""),"",SUMIFS(I$7:I49,E$7:E49,E49,F$7:F49,F49))</f>
        <v/>
      </c>
      <c r="L49" s="62" t="str">
        <f aca="false">IF(OR(E49="",F49=""),"",J49-SUMIFS(I$7:I$506,E$7:E$506,E49,F$7:F$506,F49))</f>
        <v/>
      </c>
      <c r="N49" s="40"/>
    </row>
    <row r="50" customFormat="false" ht="15.75" hidden="false" customHeight="true" outlineLevel="0" collapsed="false">
      <c r="A50" s="35"/>
      <c r="B50" s="54" t="n">
        <f aca="false">EOMONTH(C50,0)</f>
        <v>1</v>
      </c>
      <c r="C50" s="55"/>
      <c r="D50" s="40"/>
      <c r="E50" s="40"/>
      <c r="F50" s="40"/>
      <c r="G50" s="40"/>
      <c r="H50" s="40"/>
      <c r="I50" s="60"/>
      <c r="J50" s="61" t="str">
        <f aca="false">IF(OR(E50="",F50=""),"",SUMIFS(Presupuesto!G$7:G$67,Presupuesto!B$7:B$67,E50,Presupuesto!C$7:C$67,F50))</f>
        <v/>
      </c>
      <c r="K50" s="62" t="str">
        <f aca="false">IF(OR(E50="",F50=""),"",SUMIFS(I$7:I50,E$7:E50,E50,F$7:F50,F50))</f>
        <v/>
      </c>
      <c r="L50" s="62" t="str">
        <f aca="false">IF(OR(E50="",F50=""),"",J50-SUMIFS(I$7:I$506,E$7:E$506,E50,F$7:F$506,F50))</f>
        <v/>
      </c>
      <c r="N50" s="40"/>
    </row>
    <row r="51" customFormat="false" ht="15.75" hidden="false" customHeight="true" outlineLevel="0" collapsed="false">
      <c r="A51" s="35"/>
      <c r="B51" s="54" t="n">
        <f aca="false">EOMONTH(C51,0)</f>
        <v>1</v>
      </c>
      <c r="C51" s="55"/>
      <c r="D51" s="40"/>
      <c r="E51" s="40"/>
      <c r="F51" s="40"/>
      <c r="G51" s="40"/>
      <c r="H51" s="40"/>
      <c r="I51" s="60"/>
      <c r="J51" s="61" t="str">
        <f aca="false">IF(OR(E51="",F51=""),"",SUMIFS(Presupuesto!G$7:G$67,Presupuesto!B$7:B$67,E51,Presupuesto!C$7:C$67,F51))</f>
        <v/>
      </c>
      <c r="K51" s="62" t="str">
        <f aca="false">IF(OR(E51="",F51=""),"",SUMIFS(I$7:I51,E$7:E51,E51,F$7:F51,F51))</f>
        <v/>
      </c>
      <c r="L51" s="62" t="str">
        <f aca="false">IF(OR(E51="",F51=""),"",J51-SUMIFS(I$7:I$506,E$7:E$506,E51,F$7:F$506,F51))</f>
        <v/>
      </c>
      <c r="N51" s="40"/>
    </row>
    <row r="52" customFormat="false" ht="15.75" hidden="false" customHeight="true" outlineLevel="0" collapsed="false">
      <c r="A52" s="35"/>
      <c r="B52" s="54" t="n">
        <f aca="false">EOMONTH(C52,0)</f>
        <v>1</v>
      </c>
      <c r="C52" s="55"/>
      <c r="D52" s="40"/>
      <c r="E52" s="40"/>
      <c r="F52" s="40"/>
      <c r="G52" s="40"/>
      <c r="H52" s="40"/>
      <c r="I52" s="60"/>
      <c r="J52" s="61" t="str">
        <f aca="false">IF(OR(E52="",F52=""),"",SUMIFS(Presupuesto!G$7:G$67,Presupuesto!B$7:B$67,E52,Presupuesto!C$7:C$67,F52))</f>
        <v/>
      </c>
      <c r="K52" s="62" t="str">
        <f aca="false">IF(OR(E52="",F52=""),"",SUMIFS(I$7:I52,E$7:E52,E52,F$7:F52,F52))</f>
        <v/>
      </c>
      <c r="L52" s="62" t="str">
        <f aca="false">IF(OR(E52="",F52=""),"",J52-SUMIFS(I$7:I$506,E$7:E$506,E52,F$7:F$506,F52))</f>
        <v/>
      </c>
      <c r="N52" s="40"/>
    </row>
    <row r="53" customFormat="false" ht="15.75" hidden="false" customHeight="true" outlineLevel="0" collapsed="false">
      <c r="A53" s="35"/>
      <c r="B53" s="54" t="n">
        <f aca="false">EOMONTH(C53,0)</f>
        <v>1</v>
      </c>
      <c r="C53" s="55"/>
      <c r="D53" s="40"/>
      <c r="E53" s="40"/>
      <c r="F53" s="40"/>
      <c r="G53" s="40"/>
      <c r="H53" s="40"/>
      <c r="I53" s="60"/>
      <c r="J53" s="61" t="str">
        <f aca="false">IF(OR(E53="",F53=""),"",SUMIFS(Presupuesto!G$7:G$67,Presupuesto!B$7:B$67,E53,Presupuesto!C$7:C$67,F53))</f>
        <v/>
      </c>
      <c r="K53" s="62" t="str">
        <f aca="false">IF(OR(E53="",F53=""),"",SUMIFS(I$7:I53,E$7:E53,E53,F$7:F53,F53))</f>
        <v/>
      </c>
      <c r="L53" s="62" t="str">
        <f aca="false">IF(OR(E53="",F53=""),"",J53-SUMIFS(I$7:I$506,E$7:E$506,E53,F$7:F$506,F53))</f>
        <v/>
      </c>
      <c r="N53" s="40"/>
    </row>
    <row r="54" customFormat="false" ht="15.75" hidden="false" customHeight="true" outlineLevel="0" collapsed="false">
      <c r="A54" s="35"/>
      <c r="B54" s="54" t="n">
        <f aca="false">EOMONTH(C54,0)</f>
        <v>1</v>
      </c>
      <c r="C54" s="55"/>
      <c r="D54" s="40"/>
      <c r="E54" s="40"/>
      <c r="F54" s="40"/>
      <c r="G54" s="40"/>
      <c r="H54" s="40"/>
      <c r="I54" s="60"/>
      <c r="J54" s="61" t="str">
        <f aca="false">IF(OR(E54="",F54=""),"",SUMIFS(Presupuesto!G$7:G$67,Presupuesto!B$7:B$67,E54,Presupuesto!C$7:C$67,F54))</f>
        <v/>
      </c>
      <c r="K54" s="62" t="str">
        <f aca="false">IF(OR(E54="",F54=""),"",SUMIFS(I$7:I54,E$7:E54,E54,F$7:F54,F54))</f>
        <v/>
      </c>
      <c r="L54" s="62" t="str">
        <f aca="false">IF(OR(E54="",F54=""),"",J54-SUMIFS(I$7:I$506,E$7:E$506,E54,F$7:F$506,F54))</f>
        <v/>
      </c>
      <c r="N54" s="40"/>
    </row>
    <row r="55" customFormat="false" ht="15.75" hidden="false" customHeight="true" outlineLevel="0" collapsed="false">
      <c r="A55" s="35"/>
      <c r="B55" s="54" t="n">
        <f aca="false">EOMONTH(C55,0)</f>
        <v>1</v>
      </c>
      <c r="C55" s="55"/>
      <c r="D55" s="40"/>
      <c r="E55" s="40"/>
      <c r="F55" s="40"/>
      <c r="G55" s="40"/>
      <c r="H55" s="40"/>
      <c r="I55" s="60"/>
      <c r="J55" s="61" t="str">
        <f aca="false">IF(OR(E55="",F55=""),"",SUMIFS(Presupuesto!G$7:G$67,Presupuesto!B$7:B$67,E55,Presupuesto!C$7:C$67,F55))</f>
        <v/>
      </c>
      <c r="K55" s="62" t="str">
        <f aca="false">IF(OR(E55="",F55=""),"",SUMIFS(I$7:I55,E$7:E55,E55,F$7:F55,F55))</f>
        <v/>
      </c>
      <c r="L55" s="62" t="str">
        <f aca="false">IF(OR(E55="",F55=""),"",J55-SUMIFS(I$7:I$506,E$7:E$506,E55,F$7:F$506,F55))</f>
        <v/>
      </c>
      <c r="N55" s="40"/>
    </row>
    <row r="56" customFormat="false" ht="15.75" hidden="false" customHeight="true" outlineLevel="0" collapsed="false">
      <c r="A56" s="35"/>
      <c r="B56" s="54" t="n">
        <f aca="false">EOMONTH(C56,0)</f>
        <v>1</v>
      </c>
      <c r="C56" s="55"/>
      <c r="D56" s="40"/>
      <c r="E56" s="40"/>
      <c r="F56" s="40"/>
      <c r="G56" s="40"/>
      <c r="H56" s="40"/>
      <c r="I56" s="60"/>
      <c r="J56" s="61" t="str">
        <f aca="false">IF(OR(E56="",F56=""),"",SUMIFS(Presupuesto!G$7:G$67,Presupuesto!B$7:B$67,E56,Presupuesto!C$7:C$67,F56))</f>
        <v/>
      </c>
      <c r="K56" s="62" t="str">
        <f aca="false">IF(OR(E56="",F56=""),"",SUMIFS(I$7:I56,E$7:E56,E56,F$7:F56,F56))</f>
        <v/>
      </c>
      <c r="L56" s="62" t="str">
        <f aca="false">IF(OR(E56="",F56=""),"",J56-SUMIFS(I$7:I$506,E$7:E$506,E56,F$7:F$506,F56))</f>
        <v/>
      </c>
      <c r="N56" s="40"/>
    </row>
    <row r="57" customFormat="false" ht="15.75" hidden="false" customHeight="true" outlineLevel="0" collapsed="false">
      <c r="A57" s="35"/>
      <c r="B57" s="54" t="n">
        <f aca="false">EOMONTH(C57,0)</f>
        <v>1</v>
      </c>
      <c r="C57" s="55"/>
      <c r="D57" s="40"/>
      <c r="E57" s="40"/>
      <c r="F57" s="40"/>
      <c r="G57" s="40"/>
      <c r="H57" s="40"/>
      <c r="I57" s="60"/>
      <c r="J57" s="61" t="str">
        <f aca="false">IF(OR(E57="",F57=""),"",SUMIFS(Presupuesto!G$7:G$67,Presupuesto!B$7:B$67,E57,Presupuesto!C$7:C$67,F57))</f>
        <v/>
      </c>
      <c r="K57" s="62" t="str">
        <f aca="false">IF(OR(E57="",F57=""),"",SUMIFS(I$7:I57,E$7:E57,E57,F$7:F57,F57))</f>
        <v/>
      </c>
      <c r="L57" s="62" t="str">
        <f aca="false">IF(OR(E57="",F57=""),"",J57-SUMIFS(I$7:I$506,E$7:E$506,E57,F$7:F$506,F57))</f>
        <v/>
      </c>
      <c r="N57" s="40"/>
    </row>
    <row r="58" customFormat="false" ht="15.75" hidden="false" customHeight="true" outlineLevel="0" collapsed="false">
      <c r="A58" s="35"/>
      <c r="B58" s="54" t="n">
        <f aca="false">EOMONTH(C58,0)</f>
        <v>1</v>
      </c>
      <c r="C58" s="55"/>
      <c r="D58" s="40"/>
      <c r="E58" s="40"/>
      <c r="F58" s="40"/>
      <c r="G58" s="40"/>
      <c r="H58" s="40"/>
      <c r="I58" s="60"/>
      <c r="J58" s="61" t="str">
        <f aca="false">IF(OR(E58="",F58=""),"",SUMIFS(Presupuesto!G$7:G$67,Presupuesto!B$7:B$67,E58,Presupuesto!C$7:C$67,F58))</f>
        <v/>
      </c>
      <c r="K58" s="62" t="str">
        <f aca="false">IF(OR(E58="",F58=""),"",SUMIFS(I$7:I58,E$7:E58,E58,F$7:F58,F58))</f>
        <v/>
      </c>
      <c r="L58" s="62" t="str">
        <f aca="false">IF(OR(E58="",F58=""),"",J58-SUMIFS(I$7:I$506,E$7:E$506,E58,F$7:F$506,F58))</f>
        <v/>
      </c>
      <c r="N58" s="40"/>
    </row>
    <row r="59" customFormat="false" ht="15.75" hidden="false" customHeight="true" outlineLevel="0" collapsed="false">
      <c r="A59" s="35"/>
      <c r="B59" s="54" t="n">
        <f aca="false">EOMONTH(C59,0)</f>
        <v>1</v>
      </c>
      <c r="C59" s="55"/>
      <c r="D59" s="40"/>
      <c r="E59" s="40"/>
      <c r="F59" s="40"/>
      <c r="G59" s="40"/>
      <c r="H59" s="40"/>
      <c r="I59" s="60"/>
      <c r="J59" s="61" t="str">
        <f aca="false">IF(OR(E59="",F59=""),"",SUMIFS(Presupuesto!G$7:G$67,Presupuesto!B$7:B$67,E59,Presupuesto!C$7:C$67,F59))</f>
        <v/>
      </c>
      <c r="K59" s="62" t="str">
        <f aca="false">IF(OR(E59="",F59=""),"",SUMIFS(I$7:I59,E$7:E59,E59,F$7:F59,F59))</f>
        <v/>
      </c>
      <c r="L59" s="62" t="str">
        <f aca="false">IF(OR(E59="",F59=""),"",J59-SUMIFS(I$7:I$506,E$7:E$506,E59,F$7:F$506,F59))</f>
        <v/>
      </c>
      <c r="N59" s="40"/>
    </row>
    <row r="60" customFormat="false" ht="15.75" hidden="false" customHeight="true" outlineLevel="0" collapsed="false">
      <c r="A60" s="35"/>
      <c r="B60" s="54" t="n">
        <f aca="false">EOMONTH(C60,0)</f>
        <v>1</v>
      </c>
      <c r="C60" s="55"/>
      <c r="D60" s="40"/>
      <c r="E60" s="40"/>
      <c r="F60" s="40"/>
      <c r="G60" s="40"/>
      <c r="H60" s="40"/>
      <c r="I60" s="60"/>
      <c r="J60" s="61" t="str">
        <f aca="false">IF(OR(E60="",F60=""),"",SUMIFS(Presupuesto!G$7:G$67,Presupuesto!B$7:B$67,E60,Presupuesto!C$7:C$67,F60))</f>
        <v/>
      </c>
      <c r="K60" s="62" t="str">
        <f aca="false">IF(OR(E60="",F60=""),"",SUMIFS(I$7:I60,E$7:E60,E60,F$7:F60,F60))</f>
        <v/>
      </c>
      <c r="L60" s="62" t="str">
        <f aca="false">IF(OR(E60="",F60=""),"",J60-SUMIFS(I$7:I$506,E$7:E$506,E60,F$7:F$506,F60))</f>
        <v/>
      </c>
      <c r="N60" s="40"/>
    </row>
    <row r="61" customFormat="false" ht="15.75" hidden="false" customHeight="true" outlineLevel="0" collapsed="false">
      <c r="A61" s="35"/>
      <c r="B61" s="54" t="n">
        <f aca="false">EOMONTH(C61,0)</f>
        <v>1</v>
      </c>
      <c r="C61" s="55"/>
      <c r="D61" s="40"/>
      <c r="E61" s="40"/>
      <c r="F61" s="40"/>
      <c r="G61" s="40"/>
      <c r="H61" s="40"/>
      <c r="I61" s="60"/>
      <c r="J61" s="61" t="str">
        <f aca="false">IF(OR(E61="",F61=""),"",SUMIFS(Presupuesto!G$7:G$67,Presupuesto!B$7:B$67,E61,Presupuesto!C$7:C$67,F61))</f>
        <v/>
      </c>
      <c r="K61" s="62" t="str">
        <f aca="false">IF(OR(E61="",F61=""),"",SUMIFS(I$7:I61,E$7:E61,E61,F$7:F61,F61))</f>
        <v/>
      </c>
      <c r="L61" s="62" t="str">
        <f aca="false">IF(OR(E61="",F61=""),"",J61-SUMIFS(I$7:I$506,E$7:E$506,E61,F$7:F$506,F61))</f>
        <v/>
      </c>
      <c r="N61" s="40"/>
    </row>
    <row r="62" customFormat="false" ht="15.75" hidden="false" customHeight="true" outlineLevel="0" collapsed="false">
      <c r="A62" s="35"/>
      <c r="B62" s="54" t="n">
        <f aca="false">EOMONTH(C62,0)</f>
        <v>1</v>
      </c>
      <c r="C62" s="55"/>
      <c r="D62" s="40"/>
      <c r="E62" s="40"/>
      <c r="F62" s="40"/>
      <c r="G62" s="40"/>
      <c r="H62" s="40"/>
      <c r="I62" s="60"/>
      <c r="J62" s="61" t="str">
        <f aca="false">IF(OR(E62="",F62=""),"",SUMIFS(Presupuesto!G$7:G$67,Presupuesto!B$7:B$67,E62,Presupuesto!C$7:C$67,F62))</f>
        <v/>
      </c>
      <c r="K62" s="62" t="str">
        <f aca="false">IF(OR(E62="",F62=""),"",SUMIFS(I$7:I62,E$7:E62,E62,F$7:F62,F62))</f>
        <v/>
      </c>
      <c r="L62" s="62" t="str">
        <f aca="false">IF(OR(E62="",F62=""),"",J62-SUMIFS(I$7:I$506,E$7:E$506,E62,F$7:F$506,F62))</f>
        <v/>
      </c>
      <c r="N62" s="40"/>
    </row>
    <row r="63" customFormat="false" ht="15.75" hidden="false" customHeight="true" outlineLevel="0" collapsed="false">
      <c r="A63" s="35"/>
      <c r="B63" s="54" t="n">
        <f aca="false">EOMONTH(C63,0)</f>
        <v>1</v>
      </c>
      <c r="C63" s="55"/>
      <c r="D63" s="40"/>
      <c r="E63" s="40"/>
      <c r="F63" s="40"/>
      <c r="G63" s="40"/>
      <c r="H63" s="40"/>
      <c r="I63" s="60"/>
      <c r="J63" s="61" t="str">
        <f aca="false">IF(OR(E63="",F63=""),"",SUMIFS(Presupuesto!G$7:G$67,Presupuesto!B$7:B$67,E63,Presupuesto!C$7:C$67,F63))</f>
        <v/>
      </c>
      <c r="K63" s="62" t="str">
        <f aca="false">IF(OR(E63="",F63=""),"",SUMIFS(I$7:I63,E$7:E63,E63,F$7:F63,F63))</f>
        <v/>
      </c>
      <c r="L63" s="62" t="str">
        <f aca="false">IF(OR(E63="",F63=""),"",J63-SUMIFS(I$7:I$506,E$7:E$506,E63,F$7:F$506,F63))</f>
        <v/>
      </c>
      <c r="N63" s="40"/>
    </row>
    <row r="64" customFormat="false" ht="15.75" hidden="false" customHeight="true" outlineLevel="0" collapsed="false">
      <c r="A64" s="35"/>
      <c r="B64" s="54" t="n">
        <f aca="false">EOMONTH(C64,0)</f>
        <v>1</v>
      </c>
      <c r="C64" s="55"/>
      <c r="D64" s="40"/>
      <c r="E64" s="40"/>
      <c r="F64" s="40"/>
      <c r="G64" s="40"/>
      <c r="H64" s="40"/>
      <c r="I64" s="60"/>
      <c r="J64" s="61" t="str">
        <f aca="false">IF(OR(E64="",F64=""),"",SUMIFS(Presupuesto!G$7:G$67,Presupuesto!B$7:B$67,E64,Presupuesto!C$7:C$67,F64))</f>
        <v/>
      </c>
      <c r="K64" s="62" t="str">
        <f aca="false">IF(OR(E64="",F64=""),"",SUMIFS(I$7:I64,E$7:E64,E64,F$7:F64,F64))</f>
        <v/>
      </c>
      <c r="L64" s="62" t="str">
        <f aca="false">IF(OR(E64="",F64=""),"",J64-SUMIFS(I$7:I$506,E$7:E$506,E64,F$7:F$506,F64))</f>
        <v/>
      </c>
      <c r="N64" s="40"/>
    </row>
    <row r="65" customFormat="false" ht="15.75" hidden="false" customHeight="true" outlineLevel="0" collapsed="false">
      <c r="A65" s="35"/>
      <c r="B65" s="54" t="n">
        <f aca="false">EOMONTH(C65,0)</f>
        <v>1</v>
      </c>
      <c r="C65" s="55"/>
      <c r="D65" s="40"/>
      <c r="E65" s="40"/>
      <c r="F65" s="40"/>
      <c r="G65" s="40"/>
      <c r="H65" s="40"/>
      <c r="I65" s="60"/>
      <c r="J65" s="61" t="str">
        <f aca="false">IF(OR(E65="",F65=""),"",SUMIFS(Presupuesto!G$7:G$67,Presupuesto!B$7:B$67,E65,Presupuesto!C$7:C$67,F65))</f>
        <v/>
      </c>
      <c r="K65" s="62" t="str">
        <f aca="false">IF(OR(E65="",F65=""),"",SUMIFS(I$7:I65,E$7:E65,E65,F$7:F65,F65))</f>
        <v/>
      </c>
      <c r="L65" s="62" t="str">
        <f aca="false">IF(OR(E65="",F65=""),"",J65-SUMIFS(I$7:I$506,E$7:E$506,E65,F$7:F$506,F65))</f>
        <v/>
      </c>
      <c r="N65" s="40"/>
    </row>
    <row r="66" customFormat="false" ht="15.75" hidden="false" customHeight="true" outlineLevel="0" collapsed="false">
      <c r="A66" s="35"/>
      <c r="B66" s="54" t="n">
        <f aca="false">EOMONTH(C66,0)</f>
        <v>1</v>
      </c>
      <c r="C66" s="55"/>
      <c r="D66" s="40"/>
      <c r="E66" s="40"/>
      <c r="F66" s="40"/>
      <c r="G66" s="40"/>
      <c r="H66" s="40"/>
      <c r="I66" s="60"/>
      <c r="J66" s="61" t="str">
        <f aca="false">IF(OR(E66="",F66=""),"",SUMIFS(Presupuesto!G$7:G$67,Presupuesto!B$7:B$67,E66,Presupuesto!C$7:C$67,F66))</f>
        <v/>
      </c>
      <c r="K66" s="62" t="str">
        <f aca="false">IF(OR(E66="",F66=""),"",SUMIFS(I$7:I66,E$7:E66,E66,F$7:F66,F66))</f>
        <v/>
      </c>
      <c r="L66" s="62" t="str">
        <f aca="false">IF(OR(E66="",F66=""),"",J66-SUMIFS(I$7:I$506,E$7:E$506,E66,F$7:F$506,F66))</f>
        <v/>
      </c>
      <c r="N66" s="40"/>
    </row>
    <row r="67" customFormat="false" ht="15.75" hidden="false" customHeight="true" outlineLevel="0" collapsed="false">
      <c r="A67" s="35"/>
      <c r="B67" s="54" t="n">
        <f aca="false">EOMONTH(C67,0)</f>
        <v>1</v>
      </c>
      <c r="C67" s="55"/>
      <c r="D67" s="40"/>
      <c r="E67" s="40"/>
      <c r="F67" s="40"/>
      <c r="G67" s="40"/>
      <c r="H67" s="40"/>
      <c r="I67" s="60"/>
      <c r="J67" s="61" t="str">
        <f aca="false">IF(OR(E67="",F67=""),"",SUMIFS(Presupuesto!G$7:G$67,Presupuesto!B$7:B$67,E67,Presupuesto!C$7:C$67,F67))</f>
        <v/>
      </c>
      <c r="K67" s="62" t="str">
        <f aca="false">IF(OR(E67="",F67=""),"",SUMIFS(I$7:I67,E$7:E67,E67,F$7:F67,F67))</f>
        <v/>
      </c>
      <c r="L67" s="62" t="str">
        <f aca="false">IF(OR(E67="",F67=""),"",J67-SUMIFS(I$7:I$506,E$7:E$506,E67,F$7:F$506,F67))</f>
        <v/>
      </c>
      <c r="N67" s="40"/>
    </row>
    <row r="68" customFormat="false" ht="15.75" hidden="false" customHeight="true" outlineLevel="0" collapsed="false">
      <c r="A68" s="35"/>
      <c r="B68" s="54" t="n">
        <f aca="false">EOMONTH(C68,0)</f>
        <v>1</v>
      </c>
      <c r="C68" s="55"/>
      <c r="D68" s="40"/>
      <c r="E68" s="40"/>
      <c r="F68" s="40"/>
      <c r="G68" s="40"/>
      <c r="H68" s="40"/>
      <c r="I68" s="60"/>
      <c r="J68" s="61" t="str">
        <f aca="false">IF(OR(E68="",F68=""),"",SUMIFS(Presupuesto!G$7:G$67,Presupuesto!B$7:B$67,E68,Presupuesto!C$7:C$67,F68))</f>
        <v/>
      </c>
      <c r="K68" s="62" t="str">
        <f aca="false">IF(OR(E68="",F68=""),"",SUMIFS(I$7:I68,E$7:E68,E68,F$7:F68,F68))</f>
        <v/>
      </c>
      <c r="L68" s="62" t="str">
        <f aca="false">IF(OR(E68="",F68=""),"",J68-SUMIFS(I$7:I$506,E$7:E$506,E68,F$7:F$506,F68))</f>
        <v/>
      </c>
      <c r="N68" s="40"/>
    </row>
    <row r="69" customFormat="false" ht="15.75" hidden="false" customHeight="true" outlineLevel="0" collapsed="false">
      <c r="A69" s="35"/>
      <c r="B69" s="54" t="n">
        <f aca="false">EOMONTH(C69,0)</f>
        <v>1</v>
      </c>
      <c r="C69" s="55"/>
      <c r="D69" s="40"/>
      <c r="E69" s="40"/>
      <c r="F69" s="40"/>
      <c r="G69" s="40"/>
      <c r="H69" s="40"/>
      <c r="I69" s="60"/>
      <c r="J69" s="61" t="str">
        <f aca="false">IF(OR(E69="",F69=""),"",SUMIFS(Presupuesto!G$7:G$67,Presupuesto!B$7:B$67,E69,Presupuesto!C$7:C$67,F69))</f>
        <v/>
      </c>
      <c r="K69" s="62" t="str">
        <f aca="false">IF(OR(E69="",F69=""),"",SUMIFS(I$7:I69,E$7:E69,E69,F$7:F69,F69))</f>
        <v/>
      </c>
      <c r="L69" s="62" t="str">
        <f aca="false">IF(OR(E69="",F69=""),"",J69-SUMIFS(I$7:I$506,E$7:E$506,E69,F$7:F$506,F69))</f>
        <v/>
      </c>
      <c r="N69" s="40"/>
    </row>
    <row r="70" customFormat="false" ht="15.75" hidden="false" customHeight="true" outlineLevel="0" collapsed="false">
      <c r="A70" s="35"/>
      <c r="B70" s="54" t="n">
        <f aca="false">EOMONTH(C70,0)</f>
        <v>1</v>
      </c>
      <c r="C70" s="55"/>
      <c r="D70" s="40"/>
      <c r="E70" s="40"/>
      <c r="F70" s="40"/>
      <c r="G70" s="40"/>
      <c r="H70" s="40"/>
      <c r="I70" s="60"/>
      <c r="J70" s="61" t="str">
        <f aca="false">IF(OR(E70="",F70=""),"",SUMIFS(Presupuesto!G$7:G$67,Presupuesto!B$7:B$67,E70,Presupuesto!C$7:C$67,F70))</f>
        <v/>
      </c>
      <c r="K70" s="62" t="str">
        <f aca="false">IF(OR(E70="",F70=""),"",SUMIFS(I$7:I70,E$7:E70,E70,F$7:F70,F70))</f>
        <v/>
      </c>
      <c r="L70" s="62" t="str">
        <f aca="false">IF(OR(E70="",F70=""),"",J70-SUMIFS(I$7:I$506,E$7:E$506,E70,F$7:F$506,F70))</f>
        <v/>
      </c>
      <c r="N70" s="40"/>
    </row>
    <row r="71" customFormat="false" ht="15.75" hidden="false" customHeight="true" outlineLevel="0" collapsed="false">
      <c r="A71" s="35"/>
      <c r="B71" s="54" t="n">
        <f aca="false">EOMONTH(C71,0)</f>
        <v>1</v>
      </c>
      <c r="C71" s="55"/>
      <c r="D71" s="40"/>
      <c r="E71" s="40"/>
      <c r="F71" s="40"/>
      <c r="G71" s="40"/>
      <c r="H71" s="40"/>
      <c r="I71" s="60"/>
      <c r="J71" s="61" t="str">
        <f aca="false">IF(OR(E71="",F71=""),"",SUMIFS(Presupuesto!G$7:G$67,Presupuesto!B$7:B$67,E71,Presupuesto!C$7:C$67,F71))</f>
        <v/>
      </c>
      <c r="K71" s="62" t="str">
        <f aca="false">IF(OR(E71="",F71=""),"",SUMIFS(I$7:I71,E$7:E71,E71,F$7:F71,F71))</f>
        <v/>
      </c>
      <c r="L71" s="62" t="str">
        <f aca="false">IF(OR(E71="",F71=""),"",J71-SUMIFS(I$7:I$506,E$7:E$506,E71,F$7:F$506,F71))</f>
        <v/>
      </c>
      <c r="N71" s="40"/>
    </row>
    <row r="72" customFormat="false" ht="15.75" hidden="false" customHeight="true" outlineLevel="0" collapsed="false">
      <c r="A72" s="35"/>
      <c r="B72" s="54" t="n">
        <f aca="false">EOMONTH(C72,0)</f>
        <v>1</v>
      </c>
      <c r="C72" s="55"/>
      <c r="D72" s="40"/>
      <c r="E72" s="40"/>
      <c r="F72" s="40"/>
      <c r="G72" s="40"/>
      <c r="H72" s="40"/>
      <c r="I72" s="60"/>
      <c r="J72" s="61" t="str">
        <f aca="false">IF(OR(E72="",F72=""),"",SUMIFS(Presupuesto!G$7:G$67,Presupuesto!B$7:B$67,E72,Presupuesto!C$7:C$67,F72))</f>
        <v/>
      </c>
      <c r="K72" s="62" t="str">
        <f aca="false">IF(OR(E72="",F72=""),"",SUMIFS(I$7:I72,E$7:E72,E72,F$7:F72,F72))</f>
        <v/>
      </c>
      <c r="L72" s="62" t="str">
        <f aca="false">IF(OR(E72="",F72=""),"",J72-SUMIFS(I$7:I$506,E$7:E$506,E72,F$7:F$506,F72))</f>
        <v/>
      </c>
      <c r="N72" s="40"/>
    </row>
    <row r="73" customFormat="false" ht="15.75" hidden="false" customHeight="true" outlineLevel="0" collapsed="false">
      <c r="A73" s="35"/>
      <c r="B73" s="54" t="n">
        <f aca="false">EOMONTH(C73,0)</f>
        <v>1</v>
      </c>
      <c r="C73" s="55"/>
      <c r="D73" s="40"/>
      <c r="E73" s="40"/>
      <c r="F73" s="40"/>
      <c r="G73" s="40"/>
      <c r="H73" s="40"/>
      <c r="I73" s="60"/>
      <c r="J73" s="61" t="str">
        <f aca="false">IF(OR(E73="",F73=""),"",SUMIFS(Presupuesto!G$7:G$67,Presupuesto!B$7:B$67,E73,Presupuesto!C$7:C$67,F73))</f>
        <v/>
      </c>
      <c r="K73" s="62" t="str">
        <f aca="false">IF(OR(E73="",F73=""),"",SUMIFS(I$7:I73,E$7:E73,E73,F$7:F73,F73))</f>
        <v/>
      </c>
      <c r="L73" s="62" t="str">
        <f aca="false">IF(OR(E73="",F73=""),"",J73-SUMIFS(I$7:I$506,E$7:E$506,E73,F$7:F$506,F73))</f>
        <v/>
      </c>
      <c r="N73" s="40"/>
    </row>
    <row r="74" customFormat="false" ht="15.75" hidden="false" customHeight="true" outlineLevel="0" collapsed="false">
      <c r="A74" s="35"/>
      <c r="B74" s="54" t="n">
        <f aca="false">EOMONTH(C74,0)</f>
        <v>1</v>
      </c>
      <c r="C74" s="55"/>
      <c r="D74" s="40"/>
      <c r="E74" s="40"/>
      <c r="F74" s="40"/>
      <c r="G74" s="40"/>
      <c r="H74" s="40"/>
      <c r="I74" s="60"/>
      <c r="J74" s="61" t="str">
        <f aca="false">IF(OR(E74="",F74=""),"",SUMIFS(Presupuesto!G$7:G$67,Presupuesto!B$7:B$67,E74,Presupuesto!C$7:C$67,F74))</f>
        <v/>
      </c>
      <c r="K74" s="62" t="str">
        <f aca="false">IF(OR(E74="",F74=""),"",SUMIFS(I$7:I74,E$7:E74,E74,F$7:F74,F74))</f>
        <v/>
      </c>
      <c r="L74" s="62" t="str">
        <f aca="false">IF(OR(E74="",F74=""),"",J74-SUMIFS(I$7:I$506,E$7:E$506,E74,F$7:F$506,F74))</f>
        <v/>
      </c>
      <c r="N74" s="40"/>
    </row>
    <row r="75" customFormat="false" ht="15.75" hidden="false" customHeight="true" outlineLevel="0" collapsed="false">
      <c r="A75" s="35"/>
      <c r="B75" s="54" t="n">
        <f aca="false">EOMONTH(C75,0)</f>
        <v>1</v>
      </c>
      <c r="C75" s="55"/>
      <c r="D75" s="40"/>
      <c r="E75" s="40"/>
      <c r="F75" s="40"/>
      <c r="G75" s="40"/>
      <c r="H75" s="40"/>
      <c r="I75" s="60"/>
      <c r="J75" s="61" t="str">
        <f aca="false">IF(OR(E75="",F75=""),"",SUMIFS(Presupuesto!G$7:G$67,Presupuesto!B$7:B$67,E75,Presupuesto!C$7:C$67,F75))</f>
        <v/>
      </c>
      <c r="K75" s="62" t="str">
        <f aca="false">IF(OR(E75="",F75=""),"",SUMIFS(I$7:I75,E$7:E75,E75,F$7:F75,F75))</f>
        <v/>
      </c>
      <c r="L75" s="62" t="str">
        <f aca="false">IF(OR(E75="",F75=""),"",J75-SUMIFS(I$7:I$506,E$7:E$506,E75,F$7:F$506,F75))</f>
        <v/>
      </c>
      <c r="N75" s="40"/>
    </row>
    <row r="76" customFormat="false" ht="15.75" hidden="false" customHeight="true" outlineLevel="0" collapsed="false">
      <c r="A76" s="35"/>
      <c r="B76" s="54" t="n">
        <f aca="false">EOMONTH(C76,0)</f>
        <v>1</v>
      </c>
      <c r="C76" s="55"/>
      <c r="D76" s="40"/>
      <c r="E76" s="40"/>
      <c r="F76" s="40"/>
      <c r="G76" s="40"/>
      <c r="H76" s="40"/>
      <c r="I76" s="60"/>
      <c r="J76" s="61" t="str">
        <f aca="false">IF(OR(E76="",F76=""),"",SUMIFS(Presupuesto!G$7:G$67,Presupuesto!B$7:B$67,E76,Presupuesto!C$7:C$67,F76))</f>
        <v/>
      </c>
      <c r="K76" s="62" t="str">
        <f aca="false">IF(OR(E76="",F76=""),"",SUMIFS(I$7:I76,E$7:E76,E76,F$7:F76,F76))</f>
        <v/>
      </c>
      <c r="L76" s="62" t="str">
        <f aca="false">IF(OR(E76="",F76=""),"",J76-SUMIFS(I$7:I$506,E$7:E$506,E76,F$7:F$506,F76))</f>
        <v/>
      </c>
      <c r="N76" s="40"/>
    </row>
    <row r="77" customFormat="false" ht="15.75" hidden="false" customHeight="true" outlineLevel="0" collapsed="false">
      <c r="A77" s="35"/>
      <c r="B77" s="54" t="n">
        <f aca="false">EOMONTH(C77,0)</f>
        <v>1</v>
      </c>
      <c r="C77" s="55"/>
      <c r="D77" s="40"/>
      <c r="E77" s="40"/>
      <c r="F77" s="40"/>
      <c r="G77" s="40"/>
      <c r="H77" s="40"/>
      <c r="I77" s="60"/>
      <c r="J77" s="61" t="str">
        <f aca="false">IF(OR(E77="",F77=""),"",SUMIFS(Presupuesto!G$7:G$67,Presupuesto!B$7:B$67,E77,Presupuesto!C$7:C$67,F77))</f>
        <v/>
      </c>
      <c r="K77" s="62" t="str">
        <f aca="false">IF(OR(E77="",F77=""),"",SUMIFS(I$7:I77,E$7:E77,E77,F$7:F77,F77))</f>
        <v/>
      </c>
      <c r="L77" s="62" t="str">
        <f aca="false">IF(OR(E77="",F77=""),"",J77-SUMIFS(I$7:I$506,E$7:E$506,E77,F$7:F$506,F77))</f>
        <v/>
      </c>
      <c r="N77" s="40"/>
    </row>
    <row r="78" customFormat="false" ht="15.75" hidden="false" customHeight="true" outlineLevel="0" collapsed="false">
      <c r="A78" s="35"/>
      <c r="B78" s="54" t="n">
        <f aca="false">EOMONTH(C78,0)</f>
        <v>1</v>
      </c>
      <c r="C78" s="55"/>
      <c r="D78" s="40"/>
      <c r="E78" s="40"/>
      <c r="F78" s="40"/>
      <c r="G78" s="40"/>
      <c r="H78" s="40"/>
      <c r="I78" s="60"/>
      <c r="J78" s="61" t="str">
        <f aca="false">IF(OR(E78="",F78=""),"",SUMIFS(Presupuesto!G$7:G$67,Presupuesto!B$7:B$67,E78,Presupuesto!C$7:C$67,F78))</f>
        <v/>
      </c>
      <c r="K78" s="62" t="str">
        <f aca="false">IF(OR(E78="",F78=""),"",SUMIFS(I$7:I78,E$7:E78,E78,F$7:F78,F78))</f>
        <v/>
      </c>
      <c r="L78" s="62" t="str">
        <f aca="false">IF(OR(E78="",F78=""),"",J78-SUMIFS(I$7:I$506,E$7:E$506,E78,F$7:F$506,F78))</f>
        <v/>
      </c>
      <c r="N78" s="40"/>
    </row>
    <row r="79" customFormat="false" ht="15.75" hidden="false" customHeight="true" outlineLevel="0" collapsed="false">
      <c r="A79" s="35"/>
      <c r="B79" s="54" t="n">
        <f aca="false">EOMONTH(C79,0)</f>
        <v>1</v>
      </c>
      <c r="C79" s="55"/>
      <c r="D79" s="40"/>
      <c r="E79" s="40"/>
      <c r="F79" s="40"/>
      <c r="G79" s="40"/>
      <c r="H79" s="40"/>
      <c r="I79" s="60"/>
      <c r="J79" s="61" t="str">
        <f aca="false">IF(OR(E79="",F79=""),"",SUMIFS(Presupuesto!G$7:G$67,Presupuesto!B$7:B$67,E79,Presupuesto!C$7:C$67,F79))</f>
        <v/>
      </c>
      <c r="K79" s="62" t="str">
        <f aca="false">IF(OR(E79="",F79=""),"",SUMIFS(I$7:I79,E$7:E79,E79,F$7:F79,F79))</f>
        <v/>
      </c>
      <c r="L79" s="62" t="str">
        <f aca="false">IF(OR(E79="",F79=""),"",J79-SUMIFS(I$7:I$506,E$7:E$506,E79,F$7:F$506,F79))</f>
        <v/>
      </c>
      <c r="N79" s="40"/>
    </row>
    <row r="80" customFormat="false" ht="15.75" hidden="false" customHeight="true" outlineLevel="0" collapsed="false">
      <c r="A80" s="35"/>
      <c r="B80" s="54" t="n">
        <f aca="false">EOMONTH(C80,0)</f>
        <v>1</v>
      </c>
      <c r="C80" s="55"/>
      <c r="D80" s="40"/>
      <c r="E80" s="40"/>
      <c r="F80" s="40"/>
      <c r="G80" s="40"/>
      <c r="H80" s="40"/>
      <c r="I80" s="60"/>
      <c r="J80" s="61" t="str">
        <f aca="false">IF(OR(E80="",F80=""),"",SUMIFS(Presupuesto!G$7:G$67,Presupuesto!B$7:B$67,E80,Presupuesto!C$7:C$67,F80))</f>
        <v/>
      </c>
      <c r="K80" s="62" t="str">
        <f aca="false">IF(OR(E80="",F80=""),"",SUMIFS(I$7:I80,E$7:E80,E80,F$7:F80,F80))</f>
        <v/>
      </c>
      <c r="L80" s="62" t="str">
        <f aca="false">IF(OR(E80="",F80=""),"",J80-SUMIFS(I$7:I$506,E$7:E$506,E80,F$7:F$506,F80))</f>
        <v/>
      </c>
      <c r="N80" s="40"/>
    </row>
    <row r="81" customFormat="false" ht="15.75" hidden="false" customHeight="true" outlineLevel="0" collapsed="false">
      <c r="A81" s="35"/>
      <c r="B81" s="54" t="n">
        <f aca="false">EOMONTH(C81,0)</f>
        <v>1</v>
      </c>
      <c r="C81" s="55"/>
      <c r="D81" s="40"/>
      <c r="E81" s="40"/>
      <c r="F81" s="40"/>
      <c r="G81" s="40"/>
      <c r="H81" s="40"/>
      <c r="I81" s="60"/>
      <c r="J81" s="61" t="str">
        <f aca="false">IF(OR(E81="",F81=""),"",SUMIFS(Presupuesto!G$7:G$67,Presupuesto!B$7:B$67,E81,Presupuesto!C$7:C$67,F81))</f>
        <v/>
      </c>
      <c r="K81" s="62" t="str">
        <f aca="false">IF(OR(E81="",F81=""),"",SUMIFS(I$7:I81,E$7:E81,E81,F$7:F81,F81))</f>
        <v/>
      </c>
      <c r="L81" s="62" t="str">
        <f aca="false">IF(OR(E81="",F81=""),"",J81-SUMIFS(I$7:I$506,E$7:E$506,E81,F$7:F$506,F81))</f>
        <v/>
      </c>
      <c r="N81" s="40"/>
    </row>
    <row r="82" customFormat="false" ht="15.75" hidden="false" customHeight="true" outlineLevel="0" collapsed="false">
      <c r="A82" s="35"/>
      <c r="B82" s="54" t="n">
        <f aca="false">EOMONTH(C82,0)</f>
        <v>1</v>
      </c>
      <c r="C82" s="55"/>
      <c r="D82" s="40"/>
      <c r="E82" s="40"/>
      <c r="F82" s="40"/>
      <c r="G82" s="40"/>
      <c r="H82" s="40"/>
      <c r="I82" s="60"/>
      <c r="J82" s="61" t="str">
        <f aca="false">IF(OR(E82="",F82=""),"",SUMIFS(Presupuesto!G$7:G$67,Presupuesto!B$7:B$67,E82,Presupuesto!C$7:C$67,F82))</f>
        <v/>
      </c>
      <c r="K82" s="62" t="str">
        <f aca="false">IF(OR(E82="",F82=""),"",SUMIFS(I$7:I82,E$7:E82,E82,F$7:F82,F82))</f>
        <v/>
      </c>
      <c r="L82" s="62" t="str">
        <f aca="false">IF(OR(E82="",F82=""),"",J82-SUMIFS(I$7:I$506,E$7:E$506,E82,F$7:F$506,F82))</f>
        <v/>
      </c>
      <c r="N82" s="40"/>
    </row>
    <row r="83" customFormat="false" ht="15.75" hidden="false" customHeight="true" outlineLevel="0" collapsed="false">
      <c r="A83" s="35"/>
      <c r="B83" s="54" t="n">
        <f aca="false">EOMONTH(C83,0)</f>
        <v>1</v>
      </c>
      <c r="C83" s="55"/>
      <c r="D83" s="40"/>
      <c r="E83" s="40"/>
      <c r="F83" s="40"/>
      <c r="G83" s="40"/>
      <c r="H83" s="40"/>
      <c r="I83" s="60"/>
      <c r="J83" s="61" t="str">
        <f aca="false">IF(OR(E83="",F83=""),"",SUMIFS(Presupuesto!G$7:G$67,Presupuesto!B$7:B$67,E83,Presupuesto!C$7:C$67,F83))</f>
        <v/>
      </c>
      <c r="K83" s="62" t="str">
        <f aca="false">IF(OR(E83="",F83=""),"",SUMIFS(I$7:I83,E$7:E83,E83,F$7:F83,F83))</f>
        <v/>
      </c>
      <c r="L83" s="62" t="str">
        <f aca="false">IF(OR(E83="",F83=""),"",J83-SUMIFS(I$7:I$506,E$7:E$506,E83,F$7:F$506,F83))</f>
        <v/>
      </c>
      <c r="N83" s="40"/>
    </row>
    <row r="84" customFormat="false" ht="15.75" hidden="false" customHeight="true" outlineLevel="0" collapsed="false">
      <c r="A84" s="35"/>
      <c r="B84" s="54" t="n">
        <f aca="false">EOMONTH(C84,0)</f>
        <v>1</v>
      </c>
      <c r="C84" s="55"/>
      <c r="D84" s="40"/>
      <c r="E84" s="40"/>
      <c r="F84" s="40"/>
      <c r="G84" s="40"/>
      <c r="H84" s="40"/>
      <c r="I84" s="60"/>
      <c r="J84" s="61" t="str">
        <f aca="false">IF(OR(E84="",F84=""),"",SUMIFS(Presupuesto!G$7:G$67,Presupuesto!B$7:B$67,E84,Presupuesto!C$7:C$67,F84))</f>
        <v/>
      </c>
      <c r="K84" s="62" t="str">
        <f aca="false">IF(OR(E84="",F84=""),"",SUMIFS(I$7:I84,E$7:E84,E84,F$7:F84,F84))</f>
        <v/>
      </c>
      <c r="L84" s="62" t="str">
        <f aca="false">IF(OR(E84="",F84=""),"",J84-SUMIFS(I$7:I$506,E$7:E$506,E84,F$7:F$506,F84))</f>
        <v/>
      </c>
      <c r="N84" s="40"/>
    </row>
    <row r="85" customFormat="false" ht="15.75" hidden="false" customHeight="true" outlineLevel="0" collapsed="false">
      <c r="A85" s="35"/>
      <c r="B85" s="54" t="n">
        <f aca="false">EOMONTH(C85,0)</f>
        <v>1</v>
      </c>
      <c r="C85" s="55"/>
      <c r="D85" s="40"/>
      <c r="E85" s="40"/>
      <c r="F85" s="40"/>
      <c r="G85" s="40"/>
      <c r="H85" s="40"/>
      <c r="I85" s="60"/>
      <c r="J85" s="61" t="str">
        <f aca="false">IF(OR(E85="",F85=""),"",SUMIFS(Presupuesto!G$7:G$67,Presupuesto!B$7:B$67,E85,Presupuesto!C$7:C$67,F85))</f>
        <v/>
      </c>
      <c r="K85" s="62" t="str">
        <f aca="false">IF(OR(E85="",F85=""),"",SUMIFS(I$7:I85,E$7:E85,E85,F$7:F85,F85))</f>
        <v/>
      </c>
      <c r="L85" s="62" t="str">
        <f aca="false">IF(OR(E85="",F85=""),"",J85-SUMIFS(I$7:I$506,E$7:E$506,E85,F$7:F$506,F85))</f>
        <v/>
      </c>
      <c r="N85" s="40"/>
    </row>
    <row r="86" customFormat="false" ht="15.75" hidden="false" customHeight="true" outlineLevel="0" collapsed="false">
      <c r="A86" s="35"/>
      <c r="B86" s="54" t="n">
        <f aca="false">EOMONTH(C86,0)</f>
        <v>1</v>
      </c>
      <c r="C86" s="55"/>
      <c r="D86" s="40"/>
      <c r="E86" s="40"/>
      <c r="F86" s="40"/>
      <c r="G86" s="40"/>
      <c r="H86" s="40"/>
      <c r="I86" s="60"/>
      <c r="J86" s="61" t="str">
        <f aca="false">IF(OR(E86="",F86=""),"",SUMIFS(Presupuesto!G$7:G$67,Presupuesto!B$7:B$67,E86,Presupuesto!C$7:C$67,F86))</f>
        <v/>
      </c>
      <c r="K86" s="62" t="str">
        <f aca="false">IF(OR(E86="",F86=""),"",SUMIFS(I$7:I86,E$7:E86,E86,F$7:F86,F86))</f>
        <v/>
      </c>
      <c r="L86" s="62" t="str">
        <f aca="false">IF(OR(E86="",F86=""),"",J86-SUMIFS(I$7:I$506,E$7:E$506,E86,F$7:F$506,F86))</f>
        <v/>
      </c>
      <c r="N86" s="40"/>
    </row>
    <row r="87" customFormat="false" ht="15.75" hidden="false" customHeight="true" outlineLevel="0" collapsed="false">
      <c r="A87" s="35"/>
      <c r="B87" s="54" t="n">
        <f aca="false">EOMONTH(C87,0)</f>
        <v>1</v>
      </c>
      <c r="C87" s="55"/>
      <c r="D87" s="40"/>
      <c r="E87" s="40"/>
      <c r="F87" s="40"/>
      <c r="G87" s="40"/>
      <c r="H87" s="40"/>
      <c r="I87" s="60"/>
      <c r="J87" s="61" t="str">
        <f aca="false">IF(OR(E87="",F87=""),"",SUMIFS(Presupuesto!G$7:G$67,Presupuesto!B$7:B$67,E87,Presupuesto!C$7:C$67,F87))</f>
        <v/>
      </c>
      <c r="K87" s="62" t="str">
        <f aca="false">IF(OR(E87="",F87=""),"",SUMIFS(I$7:I87,E$7:E87,E87,F$7:F87,F87))</f>
        <v/>
      </c>
      <c r="L87" s="62" t="str">
        <f aca="false">IF(OR(E87="",F87=""),"",J87-SUMIFS(I$7:I$506,E$7:E$506,E87,F$7:F$506,F87))</f>
        <v/>
      </c>
      <c r="N87" s="40"/>
    </row>
    <row r="88" customFormat="false" ht="15.75" hidden="false" customHeight="true" outlineLevel="0" collapsed="false">
      <c r="A88" s="35"/>
      <c r="B88" s="54" t="n">
        <f aca="false">EOMONTH(C88,0)</f>
        <v>1</v>
      </c>
      <c r="C88" s="55"/>
      <c r="D88" s="40"/>
      <c r="E88" s="40"/>
      <c r="F88" s="40"/>
      <c r="G88" s="40"/>
      <c r="H88" s="40"/>
      <c r="I88" s="60"/>
      <c r="J88" s="61" t="str">
        <f aca="false">IF(OR(E88="",F88=""),"",SUMIFS(Presupuesto!G$7:G$67,Presupuesto!B$7:B$67,E88,Presupuesto!C$7:C$67,F88))</f>
        <v/>
      </c>
      <c r="K88" s="62" t="str">
        <f aca="false">IF(OR(E88="",F88=""),"",SUMIFS(I$7:I88,E$7:E88,E88,F$7:F88,F88))</f>
        <v/>
      </c>
      <c r="L88" s="62" t="str">
        <f aca="false">IF(OR(E88="",F88=""),"",J88-SUMIFS(I$7:I$506,E$7:E$506,E88,F$7:F$506,F88))</f>
        <v/>
      </c>
      <c r="N88" s="40"/>
    </row>
    <row r="89" customFormat="false" ht="15.75" hidden="false" customHeight="true" outlineLevel="0" collapsed="false">
      <c r="A89" s="35"/>
      <c r="B89" s="54" t="n">
        <f aca="false">EOMONTH(C89,0)</f>
        <v>1</v>
      </c>
      <c r="C89" s="55"/>
      <c r="D89" s="40"/>
      <c r="E89" s="40"/>
      <c r="F89" s="40"/>
      <c r="G89" s="40"/>
      <c r="H89" s="40"/>
      <c r="I89" s="60"/>
      <c r="J89" s="61" t="str">
        <f aca="false">IF(OR(E89="",F89=""),"",SUMIFS(Presupuesto!G$7:G$67,Presupuesto!B$7:B$67,E89,Presupuesto!C$7:C$67,F89))</f>
        <v/>
      </c>
      <c r="K89" s="62" t="str">
        <f aca="false">IF(OR(E89="",F89=""),"",SUMIFS(I$7:I89,E$7:E89,E89,F$7:F89,F89))</f>
        <v/>
      </c>
      <c r="L89" s="62" t="str">
        <f aca="false">IF(OR(E89="",F89=""),"",J89-SUMIFS(I$7:I$506,E$7:E$506,E89,F$7:F$506,F89))</f>
        <v/>
      </c>
      <c r="N89" s="40"/>
    </row>
    <row r="90" customFormat="false" ht="15.75" hidden="false" customHeight="true" outlineLevel="0" collapsed="false">
      <c r="A90" s="35"/>
      <c r="B90" s="54" t="n">
        <f aca="false">EOMONTH(C90,0)</f>
        <v>1</v>
      </c>
      <c r="C90" s="55"/>
      <c r="D90" s="40"/>
      <c r="E90" s="40"/>
      <c r="F90" s="40"/>
      <c r="G90" s="40"/>
      <c r="H90" s="40"/>
      <c r="I90" s="60"/>
      <c r="J90" s="61" t="str">
        <f aca="false">IF(OR(E90="",F90=""),"",SUMIFS(Presupuesto!G$7:G$67,Presupuesto!B$7:B$67,E90,Presupuesto!C$7:C$67,F90))</f>
        <v/>
      </c>
      <c r="K90" s="62" t="str">
        <f aca="false">IF(OR(E90="",F90=""),"",SUMIFS(I$7:I90,E$7:E90,E90,F$7:F90,F90))</f>
        <v/>
      </c>
      <c r="L90" s="62" t="str">
        <f aca="false">IF(OR(E90="",F90=""),"",J90-SUMIFS(I$7:I$506,E$7:E$506,E90,F$7:F$506,F90))</f>
        <v/>
      </c>
      <c r="N90" s="40"/>
    </row>
    <row r="91" customFormat="false" ht="15.75" hidden="false" customHeight="true" outlineLevel="0" collapsed="false">
      <c r="A91" s="35"/>
      <c r="B91" s="54" t="n">
        <f aca="false">EOMONTH(C91,0)</f>
        <v>1</v>
      </c>
      <c r="C91" s="55"/>
      <c r="D91" s="40"/>
      <c r="E91" s="40"/>
      <c r="F91" s="40"/>
      <c r="G91" s="40"/>
      <c r="H91" s="40"/>
      <c r="I91" s="60"/>
      <c r="J91" s="61" t="str">
        <f aca="false">IF(OR(E91="",F91=""),"",SUMIFS(Presupuesto!G$7:G$67,Presupuesto!B$7:B$67,E91,Presupuesto!C$7:C$67,F91))</f>
        <v/>
      </c>
      <c r="K91" s="62" t="str">
        <f aca="false">IF(OR(E91="",F91=""),"",SUMIFS(I$7:I91,E$7:E91,E91,F$7:F91,F91))</f>
        <v/>
      </c>
      <c r="L91" s="62" t="str">
        <f aca="false">IF(OR(E91="",F91=""),"",J91-SUMIFS(I$7:I$506,E$7:E$506,E91,F$7:F$506,F91))</f>
        <v/>
      </c>
      <c r="N91" s="40"/>
    </row>
    <row r="92" customFormat="false" ht="15.75" hidden="false" customHeight="true" outlineLevel="0" collapsed="false">
      <c r="A92" s="35"/>
      <c r="B92" s="54" t="n">
        <f aca="false">EOMONTH(C92,0)</f>
        <v>1</v>
      </c>
      <c r="C92" s="55"/>
      <c r="D92" s="40"/>
      <c r="E92" s="40"/>
      <c r="F92" s="40"/>
      <c r="G92" s="40"/>
      <c r="H92" s="40"/>
      <c r="I92" s="60"/>
      <c r="J92" s="61" t="str">
        <f aca="false">IF(OR(E92="",F92=""),"",SUMIFS(Presupuesto!G$7:G$67,Presupuesto!B$7:B$67,E92,Presupuesto!C$7:C$67,F92))</f>
        <v/>
      </c>
      <c r="K92" s="62" t="str">
        <f aca="false">IF(OR(E92="",F92=""),"",SUMIFS(I$7:I92,E$7:E92,E92,F$7:F92,F92))</f>
        <v/>
      </c>
      <c r="L92" s="62" t="str">
        <f aca="false">IF(OR(E92="",F92=""),"",J92-SUMIFS(I$7:I$506,E$7:E$506,E92,F$7:F$506,F92))</f>
        <v/>
      </c>
      <c r="N92" s="40"/>
    </row>
    <row r="93" customFormat="false" ht="15.75" hidden="false" customHeight="true" outlineLevel="0" collapsed="false">
      <c r="A93" s="35"/>
      <c r="B93" s="54" t="n">
        <f aca="false">EOMONTH(C93,0)</f>
        <v>1</v>
      </c>
      <c r="C93" s="55"/>
      <c r="D93" s="40"/>
      <c r="E93" s="40"/>
      <c r="F93" s="40"/>
      <c r="G93" s="40"/>
      <c r="H93" s="40"/>
      <c r="I93" s="60"/>
      <c r="J93" s="61" t="str">
        <f aca="false">IF(OR(E93="",F93=""),"",SUMIFS(Presupuesto!G$7:G$67,Presupuesto!B$7:B$67,E93,Presupuesto!C$7:C$67,F93))</f>
        <v/>
      </c>
      <c r="K93" s="62" t="str">
        <f aca="false">IF(OR(E93="",F93=""),"",SUMIFS(I$7:I93,E$7:E93,E93,F$7:F93,F93))</f>
        <v/>
      </c>
      <c r="L93" s="62" t="str">
        <f aca="false">IF(OR(E93="",F93=""),"",J93-SUMIFS(I$7:I$506,E$7:E$506,E93,F$7:F$506,F93))</f>
        <v/>
      </c>
      <c r="N93" s="40"/>
    </row>
    <row r="94" customFormat="false" ht="15.75" hidden="false" customHeight="true" outlineLevel="0" collapsed="false">
      <c r="A94" s="35"/>
      <c r="B94" s="54" t="n">
        <f aca="false">EOMONTH(C94,0)</f>
        <v>1</v>
      </c>
      <c r="C94" s="55"/>
      <c r="D94" s="40"/>
      <c r="E94" s="40"/>
      <c r="F94" s="40"/>
      <c r="G94" s="40"/>
      <c r="H94" s="40"/>
      <c r="I94" s="60"/>
      <c r="J94" s="61" t="str">
        <f aca="false">IF(OR(E94="",F94=""),"",SUMIFS(Presupuesto!G$7:G$67,Presupuesto!B$7:B$67,E94,Presupuesto!C$7:C$67,F94))</f>
        <v/>
      </c>
      <c r="K94" s="62" t="str">
        <f aca="false">IF(OR(E94="",F94=""),"",SUMIFS(I$7:I94,E$7:E94,E94,F$7:F94,F94))</f>
        <v/>
      </c>
      <c r="L94" s="62" t="str">
        <f aca="false">IF(OR(E94="",F94=""),"",J94-SUMIFS(I$7:I$506,E$7:E$506,E94,F$7:F$506,F94))</f>
        <v/>
      </c>
      <c r="N94" s="40"/>
    </row>
    <row r="95" customFormat="false" ht="15.75" hidden="false" customHeight="true" outlineLevel="0" collapsed="false">
      <c r="A95" s="35"/>
      <c r="B95" s="54" t="n">
        <f aca="false">EOMONTH(C95,0)</f>
        <v>1</v>
      </c>
      <c r="C95" s="55"/>
      <c r="D95" s="40"/>
      <c r="E95" s="40"/>
      <c r="F95" s="40"/>
      <c r="G95" s="40"/>
      <c r="H95" s="40"/>
      <c r="I95" s="60"/>
      <c r="J95" s="61" t="str">
        <f aca="false">IF(OR(E95="",F95=""),"",SUMIFS(Presupuesto!G$7:G$67,Presupuesto!B$7:B$67,E95,Presupuesto!C$7:C$67,F95))</f>
        <v/>
      </c>
      <c r="K95" s="62" t="str">
        <f aca="false">IF(OR(E95="",F95=""),"",SUMIFS(I$7:I95,E$7:E95,E95,F$7:F95,F95))</f>
        <v/>
      </c>
      <c r="L95" s="62" t="str">
        <f aca="false">IF(OR(E95="",F95=""),"",J95-SUMIFS(I$7:I$506,E$7:E$506,E95,F$7:F$506,F95))</f>
        <v/>
      </c>
      <c r="N95" s="40"/>
    </row>
    <row r="96" customFormat="false" ht="15.75" hidden="false" customHeight="true" outlineLevel="0" collapsed="false">
      <c r="A96" s="35"/>
      <c r="B96" s="54" t="n">
        <f aca="false">EOMONTH(C96,0)</f>
        <v>1</v>
      </c>
      <c r="C96" s="55"/>
      <c r="D96" s="40"/>
      <c r="E96" s="40"/>
      <c r="F96" s="40"/>
      <c r="G96" s="40"/>
      <c r="H96" s="40"/>
      <c r="I96" s="60"/>
      <c r="J96" s="61" t="str">
        <f aca="false">IF(OR(E96="",F96=""),"",SUMIFS(Presupuesto!G$7:G$67,Presupuesto!B$7:B$67,E96,Presupuesto!C$7:C$67,F96))</f>
        <v/>
      </c>
      <c r="K96" s="62" t="str">
        <f aca="false">IF(OR(E96="",F96=""),"",SUMIFS(I$7:I96,E$7:E96,E96,F$7:F96,F96))</f>
        <v/>
      </c>
      <c r="L96" s="62" t="str">
        <f aca="false">IF(OR(E96="",F96=""),"",J96-SUMIFS(I$7:I$506,E$7:E$506,E96,F$7:F$506,F96))</f>
        <v/>
      </c>
      <c r="N96" s="40"/>
    </row>
    <row r="97" customFormat="false" ht="15.75" hidden="false" customHeight="true" outlineLevel="0" collapsed="false">
      <c r="A97" s="35"/>
      <c r="B97" s="54" t="n">
        <f aca="false">EOMONTH(C97,0)</f>
        <v>1</v>
      </c>
      <c r="C97" s="55"/>
      <c r="D97" s="40"/>
      <c r="E97" s="40"/>
      <c r="F97" s="40"/>
      <c r="G97" s="40"/>
      <c r="H97" s="40"/>
      <c r="I97" s="60"/>
      <c r="J97" s="61" t="str">
        <f aca="false">IF(OR(E97="",F97=""),"",SUMIFS(Presupuesto!G$7:G$67,Presupuesto!B$7:B$67,E97,Presupuesto!C$7:C$67,F97))</f>
        <v/>
      </c>
      <c r="K97" s="62" t="str">
        <f aca="false">IF(OR(E97="",F97=""),"",SUMIFS(I$7:I97,E$7:E97,E97,F$7:F97,F97))</f>
        <v/>
      </c>
      <c r="L97" s="62" t="str">
        <f aca="false">IF(OR(E97="",F97=""),"",J97-SUMIFS(I$7:I$506,E$7:E$506,E97,F$7:F$506,F97))</f>
        <v/>
      </c>
      <c r="N97" s="40"/>
    </row>
    <row r="98" customFormat="false" ht="15.75" hidden="false" customHeight="true" outlineLevel="0" collapsed="false">
      <c r="A98" s="35"/>
      <c r="B98" s="54" t="n">
        <f aca="false">EOMONTH(C98,0)</f>
        <v>1</v>
      </c>
      <c r="C98" s="55"/>
      <c r="D98" s="40"/>
      <c r="E98" s="40"/>
      <c r="F98" s="40"/>
      <c r="G98" s="40"/>
      <c r="H98" s="40"/>
      <c r="I98" s="60"/>
      <c r="J98" s="61" t="str">
        <f aca="false">IF(OR(E98="",F98=""),"",SUMIFS(Presupuesto!G$7:G$67,Presupuesto!B$7:B$67,E98,Presupuesto!C$7:C$67,F98))</f>
        <v/>
      </c>
      <c r="K98" s="62" t="str">
        <f aca="false">IF(OR(E98="",F98=""),"",SUMIFS(I$7:I98,E$7:E98,E98,F$7:F98,F98))</f>
        <v/>
      </c>
      <c r="L98" s="62" t="str">
        <f aca="false">IF(OR(E98="",F98=""),"",J98-SUMIFS(I$7:I$506,E$7:E$506,E98,F$7:F$506,F98))</f>
        <v/>
      </c>
      <c r="N98" s="40"/>
    </row>
    <row r="99" customFormat="false" ht="15.75" hidden="false" customHeight="true" outlineLevel="0" collapsed="false">
      <c r="A99" s="35"/>
      <c r="B99" s="54" t="n">
        <f aca="false">EOMONTH(C99,0)</f>
        <v>1</v>
      </c>
      <c r="C99" s="55"/>
      <c r="D99" s="40"/>
      <c r="E99" s="40"/>
      <c r="F99" s="40"/>
      <c r="G99" s="40"/>
      <c r="H99" s="40"/>
      <c r="I99" s="60"/>
      <c r="J99" s="61" t="str">
        <f aca="false">IF(OR(E99="",F99=""),"",SUMIFS(Presupuesto!G$7:G$67,Presupuesto!B$7:B$67,E99,Presupuesto!C$7:C$67,F99))</f>
        <v/>
      </c>
      <c r="K99" s="62" t="str">
        <f aca="false">IF(OR(E99="",F99=""),"",SUMIFS(I$7:I99,E$7:E99,E99,F$7:F99,F99))</f>
        <v/>
      </c>
      <c r="L99" s="62" t="str">
        <f aca="false">IF(OR(E99="",F99=""),"",J99-SUMIFS(I$7:I$506,E$7:E$506,E99,F$7:F$506,F99))</f>
        <v/>
      </c>
      <c r="N99" s="40"/>
    </row>
    <row r="100" customFormat="false" ht="15.75" hidden="false" customHeight="true" outlineLevel="0" collapsed="false">
      <c r="A100" s="35"/>
      <c r="B100" s="54" t="n">
        <f aca="false">EOMONTH(C100,0)</f>
        <v>1</v>
      </c>
      <c r="C100" s="55"/>
      <c r="D100" s="40"/>
      <c r="E100" s="40"/>
      <c r="F100" s="40"/>
      <c r="G100" s="40"/>
      <c r="H100" s="40"/>
      <c r="I100" s="60"/>
      <c r="J100" s="61" t="str">
        <f aca="false">IF(OR(E100="",F100=""),"",SUMIFS(Presupuesto!G$7:G$67,Presupuesto!B$7:B$67,E100,Presupuesto!C$7:C$67,F100))</f>
        <v/>
      </c>
      <c r="K100" s="62" t="str">
        <f aca="false">IF(OR(E100="",F100=""),"",SUMIFS(I$7:I100,E$7:E100,E100,F$7:F100,F100))</f>
        <v/>
      </c>
      <c r="L100" s="62" t="str">
        <f aca="false">IF(OR(E100="",F100=""),"",J100-SUMIFS(I$7:I$506,E$7:E$506,E100,F$7:F$506,F100))</f>
        <v/>
      </c>
      <c r="N100" s="40"/>
    </row>
    <row r="101" customFormat="false" ht="15.75" hidden="false" customHeight="true" outlineLevel="0" collapsed="false">
      <c r="A101" s="35"/>
      <c r="B101" s="54" t="n">
        <f aca="false">EOMONTH(C101,0)</f>
        <v>1</v>
      </c>
      <c r="C101" s="55"/>
      <c r="D101" s="40"/>
      <c r="E101" s="40"/>
      <c r="F101" s="40"/>
      <c r="G101" s="40"/>
      <c r="H101" s="40"/>
      <c r="I101" s="60"/>
      <c r="J101" s="61" t="str">
        <f aca="false">IF(OR(E101="",F101=""),"",SUMIFS(Presupuesto!G$7:G$67,Presupuesto!B$7:B$67,E101,Presupuesto!C$7:C$67,F101))</f>
        <v/>
      </c>
      <c r="K101" s="62" t="str">
        <f aca="false">IF(OR(E101="",F101=""),"",SUMIFS(I$7:I101,E$7:E101,E101,F$7:F101,F101))</f>
        <v/>
      </c>
      <c r="L101" s="62" t="str">
        <f aca="false">IF(OR(E101="",F101=""),"",J101-SUMIFS(I$7:I$506,E$7:E$506,E101,F$7:F$506,F101))</f>
        <v/>
      </c>
      <c r="N101" s="40"/>
    </row>
    <row r="102" customFormat="false" ht="15.75" hidden="false" customHeight="true" outlineLevel="0" collapsed="false">
      <c r="A102" s="35"/>
      <c r="B102" s="54" t="n">
        <f aca="false">EOMONTH(C102,0)</f>
        <v>1</v>
      </c>
      <c r="C102" s="55"/>
      <c r="D102" s="40"/>
      <c r="E102" s="40"/>
      <c r="F102" s="40"/>
      <c r="G102" s="40"/>
      <c r="H102" s="40"/>
      <c r="I102" s="60"/>
      <c r="J102" s="61" t="str">
        <f aca="false">IF(OR(E102="",F102=""),"",SUMIFS(Presupuesto!G$7:G$67,Presupuesto!B$7:B$67,E102,Presupuesto!C$7:C$67,F102))</f>
        <v/>
      </c>
      <c r="K102" s="62" t="str">
        <f aca="false">IF(OR(E102="",F102=""),"",SUMIFS(I$7:I102,E$7:E102,E102,F$7:F102,F102))</f>
        <v/>
      </c>
      <c r="L102" s="62" t="str">
        <f aca="false">IF(OR(E102="",F102=""),"",J102-SUMIFS(I$7:I$506,E$7:E$506,E102,F$7:F$506,F102))</f>
        <v/>
      </c>
      <c r="N102" s="40"/>
    </row>
    <row r="103" customFormat="false" ht="15.75" hidden="false" customHeight="true" outlineLevel="0" collapsed="false">
      <c r="A103" s="35"/>
      <c r="B103" s="54" t="n">
        <f aca="false">EOMONTH(C103,0)</f>
        <v>1</v>
      </c>
      <c r="C103" s="55"/>
      <c r="D103" s="40"/>
      <c r="E103" s="40"/>
      <c r="F103" s="40"/>
      <c r="G103" s="40"/>
      <c r="H103" s="40"/>
      <c r="I103" s="60"/>
      <c r="J103" s="61" t="str">
        <f aca="false">IF(OR(E103="",F103=""),"",SUMIFS(Presupuesto!G$7:G$67,Presupuesto!B$7:B$67,E103,Presupuesto!C$7:C$67,F103))</f>
        <v/>
      </c>
      <c r="K103" s="62" t="str">
        <f aca="false">IF(OR(E103="",F103=""),"",SUMIFS(I$7:I103,E$7:E103,E103,F$7:F103,F103))</f>
        <v/>
      </c>
      <c r="L103" s="62" t="str">
        <f aca="false">IF(OR(E103="",F103=""),"",J103-SUMIFS(I$7:I$506,E$7:E$506,E103,F$7:F$506,F103))</f>
        <v/>
      </c>
      <c r="N103" s="40"/>
    </row>
    <row r="104" customFormat="false" ht="15.75" hidden="false" customHeight="true" outlineLevel="0" collapsed="false">
      <c r="A104" s="35"/>
      <c r="B104" s="54" t="n">
        <f aca="false">EOMONTH(C104,0)</f>
        <v>1</v>
      </c>
      <c r="C104" s="55"/>
      <c r="D104" s="40"/>
      <c r="E104" s="40"/>
      <c r="F104" s="40"/>
      <c r="G104" s="40"/>
      <c r="H104" s="40"/>
      <c r="I104" s="60"/>
      <c r="J104" s="61" t="str">
        <f aca="false">IF(OR(E104="",F104=""),"",SUMIFS(Presupuesto!G$7:G$67,Presupuesto!B$7:B$67,E104,Presupuesto!C$7:C$67,F104))</f>
        <v/>
      </c>
      <c r="K104" s="62" t="str">
        <f aca="false">IF(OR(E104="",F104=""),"",SUMIFS(I$7:I104,E$7:E104,E104,F$7:F104,F104))</f>
        <v/>
      </c>
      <c r="L104" s="62" t="str">
        <f aca="false">IF(OR(E104="",F104=""),"",J104-SUMIFS(I$7:I$506,E$7:E$506,E104,F$7:F$506,F104))</f>
        <v/>
      </c>
      <c r="N104" s="40"/>
    </row>
    <row r="105" customFormat="false" ht="15.75" hidden="false" customHeight="true" outlineLevel="0" collapsed="false">
      <c r="A105" s="35"/>
      <c r="B105" s="54" t="n">
        <f aca="false">EOMONTH(C105,0)</f>
        <v>1</v>
      </c>
      <c r="C105" s="55"/>
      <c r="D105" s="40"/>
      <c r="E105" s="40"/>
      <c r="F105" s="40"/>
      <c r="G105" s="40"/>
      <c r="H105" s="40"/>
      <c r="I105" s="60"/>
      <c r="J105" s="61" t="str">
        <f aca="false">IF(OR(E105="",F105=""),"",SUMIFS(Presupuesto!G$7:G$67,Presupuesto!B$7:B$67,E105,Presupuesto!C$7:C$67,F105))</f>
        <v/>
      </c>
      <c r="K105" s="62" t="str">
        <f aca="false">IF(OR(E105="",F105=""),"",SUMIFS(I$7:I105,E$7:E105,E105,F$7:F105,F105))</f>
        <v/>
      </c>
      <c r="L105" s="62" t="str">
        <f aca="false">IF(OR(E105="",F105=""),"",J105-SUMIFS(I$7:I$506,E$7:E$506,E105,F$7:F$506,F105))</f>
        <v/>
      </c>
      <c r="N105" s="40"/>
    </row>
    <row r="106" customFormat="false" ht="15.75" hidden="false" customHeight="true" outlineLevel="0" collapsed="false">
      <c r="A106" s="35"/>
      <c r="B106" s="54" t="n">
        <f aca="false">EOMONTH(C106,0)</f>
        <v>1</v>
      </c>
      <c r="C106" s="55"/>
      <c r="D106" s="40"/>
      <c r="E106" s="40"/>
      <c r="F106" s="40"/>
      <c r="G106" s="40"/>
      <c r="H106" s="40"/>
      <c r="I106" s="60"/>
      <c r="J106" s="61" t="str">
        <f aca="false">IF(OR(E106="",F106=""),"",SUMIFS(Presupuesto!G$7:G$67,Presupuesto!B$7:B$67,E106,Presupuesto!C$7:C$67,F106))</f>
        <v/>
      </c>
      <c r="K106" s="62" t="str">
        <f aca="false">IF(OR(E106="",F106=""),"",SUMIFS(I$7:I106,E$7:E106,E106,F$7:F106,F106))</f>
        <v/>
      </c>
      <c r="L106" s="62" t="str">
        <f aca="false">IF(OR(E106="",F106=""),"",J106-SUMIFS(I$7:I$506,E$7:E$506,E106,F$7:F$506,F106))</f>
        <v/>
      </c>
      <c r="N106" s="40"/>
    </row>
    <row r="107" customFormat="false" ht="15.75" hidden="false" customHeight="true" outlineLevel="0" collapsed="false">
      <c r="A107" s="35"/>
      <c r="B107" s="54" t="n">
        <f aca="false">EOMONTH(C107,0)</f>
        <v>1</v>
      </c>
      <c r="C107" s="55"/>
      <c r="D107" s="40"/>
      <c r="E107" s="40"/>
      <c r="F107" s="40"/>
      <c r="G107" s="40"/>
      <c r="H107" s="40"/>
      <c r="I107" s="60"/>
      <c r="J107" s="61" t="str">
        <f aca="false">IF(OR(E107="",F107=""),"",SUMIFS(Presupuesto!G$7:G$67,Presupuesto!B$7:B$67,E107,Presupuesto!C$7:C$67,F107))</f>
        <v/>
      </c>
      <c r="K107" s="62" t="str">
        <f aca="false">IF(OR(E107="",F107=""),"",SUMIFS(I$7:I107,E$7:E107,E107,F$7:F107,F107))</f>
        <v/>
      </c>
      <c r="L107" s="62" t="str">
        <f aca="false">IF(OR(E107="",F107=""),"",J107-SUMIFS(I$7:I$506,E$7:E$506,E107,F$7:F$506,F107))</f>
        <v/>
      </c>
      <c r="N107" s="40"/>
    </row>
    <row r="108" customFormat="false" ht="15.75" hidden="false" customHeight="true" outlineLevel="0" collapsed="false">
      <c r="A108" s="35"/>
      <c r="B108" s="54" t="n">
        <f aca="false">EOMONTH(C108,0)</f>
        <v>1</v>
      </c>
      <c r="C108" s="55"/>
      <c r="D108" s="40"/>
      <c r="E108" s="40"/>
      <c r="F108" s="40"/>
      <c r="G108" s="40"/>
      <c r="H108" s="40"/>
      <c r="I108" s="60"/>
      <c r="J108" s="61" t="str">
        <f aca="false">IF(OR(E108="",F108=""),"",SUMIFS(Presupuesto!G$7:G$67,Presupuesto!B$7:B$67,E108,Presupuesto!C$7:C$67,F108))</f>
        <v/>
      </c>
      <c r="K108" s="62" t="str">
        <f aca="false">IF(OR(E108="",F108=""),"",SUMIFS(I$7:I108,E$7:E108,E108,F$7:F108,F108))</f>
        <v/>
      </c>
      <c r="L108" s="62" t="str">
        <f aca="false">IF(OR(E108="",F108=""),"",J108-SUMIFS(I$7:I$506,E$7:E$506,E108,F$7:F$506,F108))</f>
        <v/>
      </c>
      <c r="N108" s="40"/>
    </row>
    <row r="109" customFormat="false" ht="15.75" hidden="false" customHeight="true" outlineLevel="0" collapsed="false">
      <c r="A109" s="35"/>
      <c r="B109" s="54" t="n">
        <f aca="false">EOMONTH(C109,0)</f>
        <v>1</v>
      </c>
      <c r="C109" s="55"/>
      <c r="D109" s="40"/>
      <c r="E109" s="40"/>
      <c r="F109" s="40"/>
      <c r="G109" s="40"/>
      <c r="H109" s="40"/>
      <c r="I109" s="60"/>
      <c r="J109" s="61" t="str">
        <f aca="false">IF(OR(E109="",F109=""),"",SUMIFS(Presupuesto!G$7:G$67,Presupuesto!B$7:B$67,E109,Presupuesto!C$7:C$67,F109))</f>
        <v/>
      </c>
      <c r="K109" s="62" t="str">
        <f aca="false">IF(OR(E109="",F109=""),"",SUMIFS(I$7:I109,E$7:E109,E109,F$7:F109,F109))</f>
        <v/>
      </c>
      <c r="L109" s="62" t="str">
        <f aca="false">IF(OR(E109="",F109=""),"",J109-SUMIFS(I$7:I$506,E$7:E$506,E109,F$7:F$506,F109))</f>
        <v/>
      </c>
      <c r="N109" s="40"/>
    </row>
    <row r="110" customFormat="false" ht="15.75" hidden="false" customHeight="true" outlineLevel="0" collapsed="false">
      <c r="A110" s="35"/>
      <c r="B110" s="54" t="n">
        <f aca="false">EOMONTH(C110,0)</f>
        <v>1</v>
      </c>
      <c r="C110" s="55"/>
      <c r="D110" s="40"/>
      <c r="E110" s="40"/>
      <c r="F110" s="40"/>
      <c r="G110" s="40"/>
      <c r="H110" s="40"/>
      <c r="I110" s="60"/>
      <c r="J110" s="61" t="str">
        <f aca="false">IF(OR(E110="",F110=""),"",SUMIFS(Presupuesto!G$7:G$67,Presupuesto!B$7:B$67,E110,Presupuesto!C$7:C$67,F110))</f>
        <v/>
      </c>
      <c r="K110" s="62" t="str">
        <f aca="false">IF(OR(E110="",F110=""),"",SUMIFS(I$7:I110,E$7:E110,E110,F$7:F110,F110))</f>
        <v/>
      </c>
      <c r="L110" s="62" t="str">
        <f aca="false">IF(OR(E110="",F110=""),"",J110-SUMIFS(I$7:I$506,E$7:E$506,E110,F$7:F$506,F110))</f>
        <v/>
      </c>
      <c r="N110" s="40"/>
    </row>
    <row r="111" customFormat="false" ht="15.75" hidden="false" customHeight="true" outlineLevel="0" collapsed="false">
      <c r="A111" s="35"/>
      <c r="B111" s="54" t="n">
        <f aca="false">EOMONTH(C111,0)</f>
        <v>1</v>
      </c>
      <c r="C111" s="55"/>
      <c r="D111" s="40"/>
      <c r="E111" s="40"/>
      <c r="F111" s="40"/>
      <c r="G111" s="40"/>
      <c r="H111" s="40"/>
      <c r="I111" s="60"/>
      <c r="J111" s="61" t="str">
        <f aca="false">IF(OR(E111="",F111=""),"",SUMIFS(Presupuesto!G$7:G$67,Presupuesto!B$7:B$67,E111,Presupuesto!C$7:C$67,F111))</f>
        <v/>
      </c>
      <c r="K111" s="62" t="str">
        <f aca="false">IF(OR(E111="",F111=""),"",SUMIFS(I$7:I111,E$7:E111,E111,F$7:F111,F111))</f>
        <v/>
      </c>
      <c r="L111" s="62" t="str">
        <f aca="false">IF(OR(E111="",F111=""),"",J111-SUMIFS(I$7:I$506,E$7:E$506,E111,F$7:F$506,F111))</f>
        <v/>
      </c>
      <c r="N111" s="40"/>
    </row>
    <row r="112" customFormat="false" ht="15.75" hidden="false" customHeight="true" outlineLevel="0" collapsed="false">
      <c r="A112" s="35"/>
      <c r="B112" s="54" t="n">
        <f aca="false">EOMONTH(C112,0)</f>
        <v>1</v>
      </c>
      <c r="C112" s="55"/>
      <c r="D112" s="40"/>
      <c r="E112" s="40"/>
      <c r="F112" s="40"/>
      <c r="G112" s="40"/>
      <c r="H112" s="40"/>
      <c r="I112" s="60"/>
      <c r="J112" s="61" t="str">
        <f aca="false">IF(OR(E112="",F112=""),"",SUMIFS(Presupuesto!G$7:G$67,Presupuesto!B$7:B$67,E112,Presupuesto!C$7:C$67,F112))</f>
        <v/>
      </c>
      <c r="K112" s="62" t="str">
        <f aca="false">IF(OR(E112="",F112=""),"",SUMIFS(I$7:I112,E$7:E112,E112,F$7:F112,F112))</f>
        <v/>
      </c>
      <c r="L112" s="62" t="str">
        <f aca="false">IF(OR(E112="",F112=""),"",J112-SUMIFS(I$7:I$506,E$7:E$506,E112,F$7:F$506,F112))</f>
        <v/>
      </c>
      <c r="N112" s="40"/>
    </row>
    <row r="113" customFormat="false" ht="15.75" hidden="false" customHeight="true" outlineLevel="0" collapsed="false">
      <c r="A113" s="35"/>
      <c r="B113" s="54" t="n">
        <f aca="false">EOMONTH(C113,0)</f>
        <v>1</v>
      </c>
      <c r="C113" s="55"/>
      <c r="D113" s="40"/>
      <c r="E113" s="40"/>
      <c r="F113" s="40"/>
      <c r="G113" s="40"/>
      <c r="H113" s="40"/>
      <c r="I113" s="60"/>
      <c r="J113" s="61" t="str">
        <f aca="false">IF(OR(E113="",F113=""),"",SUMIFS(Presupuesto!G$7:G$67,Presupuesto!B$7:B$67,E113,Presupuesto!C$7:C$67,F113))</f>
        <v/>
      </c>
      <c r="K113" s="62" t="str">
        <f aca="false">IF(OR(E113="",F113=""),"",SUMIFS(I$7:I113,E$7:E113,E113,F$7:F113,F113))</f>
        <v/>
      </c>
      <c r="L113" s="62" t="str">
        <f aca="false">IF(OR(E113="",F113=""),"",J113-SUMIFS(I$7:I$506,E$7:E$506,E113,F$7:F$506,F113))</f>
        <v/>
      </c>
      <c r="N113" s="40"/>
    </row>
    <row r="114" customFormat="false" ht="15.75" hidden="false" customHeight="true" outlineLevel="0" collapsed="false">
      <c r="A114" s="35"/>
      <c r="B114" s="54" t="n">
        <f aca="false">EOMONTH(C114,0)</f>
        <v>1</v>
      </c>
      <c r="C114" s="55"/>
      <c r="D114" s="40"/>
      <c r="E114" s="40"/>
      <c r="F114" s="40"/>
      <c r="G114" s="40"/>
      <c r="H114" s="40"/>
      <c r="I114" s="60"/>
      <c r="J114" s="61" t="str">
        <f aca="false">IF(OR(E114="",F114=""),"",SUMIFS(Presupuesto!G$7:G$67,Presupuesto!B$7:B$67,E114,Presupuesto!C$7:C$67,F114))</f>
        <v/>
      </c>
      <c r="K114" s="62" t="str">
        <f aca="false">IF(OR(E114="",F114=""),"",SUMIFS(I$7:I114,E$7:E114,E114,F$7:F114,F114))</f>
        <v/>
      </c>
      <c r="L114" s="62" t="str">
        <f aca="false">IF(OR(E114="",F114=""),"",J114-SUMIFS(I$7:I$506,E$7:E$506,E114,F$7:F$506,F114))</f>
        <v/>
      </c>
      <c r="N114" s="40"/>
    </row>
    <row r="115" customFormat="false" ht="15.75" hidden="false" customHeight="true" outlineLevel="0" collapsed="false">
      <c r="A115" s="35"/>
      <c r="B115" s="54" t="n">
        <f aca="false">EOMONTH(C115,0)</f>
        <v>1</v>
      </c>
      <c r="C115" s="55"/>
      <c r="D115" s="40"/>
      <c r="E115" s="40"/>
      <c r="F115" s="40"/>
      <c r="G115" s="40"/>
      <c r="H115" s="40"/>
      <c r="I115" s="60"/>
      <c r="J115" s="61" t="str">
        <f aca="false">IF(OR(E115="",F115=""),"",SUMIFS(Presupuesto!G$7:G$67,Presupuesto!B$7:B$67,E115,Presupuesto!C$7:C$67,F115))</f>
        <v/>
      </c>
      <c r="K115" s="62" t="str">
        <f aca="false">IF(OR(E115="",F115=""),"",SUMIFS(I$7:I115,E$7:E115,E115,F$7:F115,F115))</f>
        <v/>
      </c>
      <c r="L115" s="62" t="str">
        <f aca="false">IF(OR(E115="",F115=""),"",J115-SUMIFS(I$7:I$506,E$7:E$506,E115,F$7:F$506,F115))</f>
        <v/>
      </c>
      <c r="N115" s="40"/>
    </row>
    <row r="116" customFormat="false" ht="15.75" hidden="false" customHeight="true" outlineLevel="0" collapsed="false">
      <c r="A116" s="35"/>
      <c r="B116" s="54" t="n">
        <f aca="false">EOMONTH(C116,0)</f>
        <v>1</v>
      </c>
      <c r="C116" s="55"/>
      <c r="D116" s="40"/>
      <c r="E116" s="40"/>
      <c r="F116" s="40"/>
      <c r="G116" s="40"/>
      <c r="H116" s="40"/>
      <c r="I116" s="60"/>
      <c r="J116" s="61" t="str">
        <f aca="false">IF(OR(E116="",F116=""),"",SUMIFS(Presupuesto!G$7:G$67,Presupuesto!B$7:B$67,E116,Presupuesto!C$7:C$67,F116))</f>
        <v/>
      </c>
      <c r="K116" s="62" t="str">
        <f aca="false">IF(OR(E116="",F116=""),"",SUMIFS(I$7:I116,E$7:E116,E116,F$7:F116,F116))</f>
        <v/>
      </c>
      <c r="L116" s="62" t="str">
        <f aca="false">IF(OR(E116="",F116=""),"",J116-SUMIFS(I$7:I$506,E$7:E$506,E116,F$7:F$506,F116))</f>
        <v/>
      </c>
      <c r="N116" s="40"/>
    </row>
    <row r="117" customFormat="false" ht="15.75" hidden="false" customHeight="true" outlineLevel="0" collapsed="false">
      <c r="A117" s="35"/>
      <c r="B117" s="54" t="n">
        <f aca="false">EOMONTH(C117,0)</f>
        <v>1</v>
      </c>
      <c r="C117" s="55"/>
      <c r="D117" s="40"/>
      <c r="E117" s="40"/>
      <c r="F117" s="40"/>
      <c r="G117" s="40"/>
      <c r="H117" s="40"/>
      <c r="I117" s="60"/>
      <c r="J117" s="61" t="str">
        <f aca="false">IF(OR(E117="",F117=""),"",SUMIFS(Presupuesto!G$7:G$67,Presupuesto!B$7:B$67,E117,Presupuesto!C$7:C$67,F117))</f>
        <v/>
      </c>
      <c r="K117" s="62" t="str">
        <f aca="false">IF(OR(E117="",F117=""),"",SUMIFS(I$7:I117,E$7:E117,E117,F$7:F117,F117))</f>
        <v/>
      </c>
      <c r="L117" s="62" t="str">
        <f aca="false">IF(OR(E117="",F117=""),"",J117-SUMIFS(I$7:I$506,E$7:E$506,E117,F$7:F$506,F117))</f>
        <v/>
      </c>
      <c r="N117" s="40"/>
    </row>
    <row r="118" customFormat="false" ht="15.75" hidden="false" customHeight="true" outlineLevel="0" collapsed="false">
      <c r="A118" s="35"/>
      <c r="B118" s="54" t="n">
        <f aca="false">EOMONTH(C118,0)</f>
        <v>1</v>
      </c>
      <c r="C118" s="55"/>
      <c r="D118" s="40"/>
      <c r="E118" s="40"/>
      <c r="F118" s="40"/>
      <c r="G118" s="40"/>
      <c r="H118" s="40"/>
      <c r="I118" s="60"/>
      <c r="J118" s="61" t="str">
        <f aca="false">IF(OR(E118="",F118=""),"",SUMIFS(Presupuesto!G$7:G$67,Presupuesto!B$7:B$67,E118,Presupuesto!C$7:C$67,F118))</f>
        <v/>
      </c>
      <c r="K118" s="62" t="str">
        <f aca="false">IF(OR(E118="",F118=""),"",SUMIFS(I$7:I118,E$7:E118,E118,F$7:F118,F118))</f>
        <v/>
      </c>
      <c r="L118" s="62" t="str">
        <f aca="false">IF(OR(E118="",F118=""),"",J118-SUMIFS(I$7:I$506,E$7:E$506,E118,F$7:F$506,F118))</f>
        <v/>
      </c>
      <c r="N118" s="40"/>
    </row>
    <row r="119" customFormat="false" ht="15.75" hidden="false" customHeight="true" outlineLevel="0" collapsed="false">
      <c r="A119" s="35"/>
      <c r="B119" s="54" t="n">
        <f aca="false">EOMONTH(C119,0)</f>
        <v>1</v>
      </c>
      <c r="C119" s="55"/>
      <c r="D119" s="40"/>
      <c r="E119" s="40"/>
      <c r="F119" s="40"/>
      <c r="G119" s="40"/>
      <c r="H119" s="40"/>
      <c r="I119" s="60"/>
      <c r="J119" s="61" t="str">
        <f aca="false">IF(OR(E119="",F119=""),"",SUMIFS(Presupuesto!G$7:G$67,Presupuesto!B$7:B$67,E119,Presupuesto!C$7:C$67,F119))</f>
        <v/>
      </c>
      <c r="K119" s="62" t="str">
        <f aca="false">IF(OR(E119="",F119=""),"",SUMIFS(I$7:I119,E$7:E119,E119,F$7:F119,F119))</f>
        <v/>
      </c>
      <c r="L119" s="62" t="str">
        <f aca="false">IF(OR(E119="",F119=""),"",J119-SUMIFS(I$7:I$506,E$7:E$506,E119,F$7:F$506,F119))</f>
        <v/>
      </c>
      <c r="N119" s="40"/>
    </row>
    <row r="120" customFormat="false" ht="15.75" hidden="false" customHeight="true" outlineLevel="0" collapsed="false">
      <c r="A120" s="35"/>
      <c r="B120" s="54" t="n">
        <f aca="false">EOMONTH(C120,0)</f>
        <v>1</v>
      </c>
      <c r="C120" s="55"/>
      <c r="D120" s="40"/>
      <c r="E120" s="40"/>
      <c r="F120" s="40"/>
      <c r="G120" s="40"/>
      <c r="H120" s="40"/>
      <c r="I120" s="60"/>
      <c r="J120" s="61" t="str">
        <f aca="false">IF(OR(E120="",F120=""),"",SUMIFS(Presupuesto!G$7:G$67,Presupuesto!B$7:B$67,E120,Presupuesto!C$7:C$67,F120))</f>
        <v/>
      </c>
      <c r="K120" s="62" t="str">
        <f aca="false">IF(OR(E120="",F120=""),"",SUMIFS(I$7:I120,E$7:E120,E120,F$7:F120,F120))</f>
        <v/>
      </c>
      <c r="L120" s="62" t="str">
        <f aca="false">IF(OR(E120="",F120=""),"",J120-SUMIFS(I$7:I$506,E$7:E$506,E120,F$7:F$506,F120))</f>
        <v/>
      </c>
      <c r="N120" s="40"/>
    </row>
    <row r="121" customFormat="false" ht="15.75" hidden="false" customHeight="true" outlineLevel="0" collapsed="false">
      <c r="A121" s="35"/>
      <c r="B121" s="54" t="n">
        <f aca="false">EOMONTH(C121,0)</f>
        <v>1</v>
      </c>
      <c r="C121" s="55"/>
      <c r="D121" s="40"/>
      <c r="E121" s="40"/>
      <c r="F121" s="40"/>
      <c r="G121" s="40"/>
      <c r="H121" s="40"/>
      <c r="I121" s="60"/>
      <c r="J121" s="61" t="str">
        <f aca="false">IF(OR(E121="",F121=""),"",SUMIFS(Presupuesto!G$7:G$67,Presupuesto!B$7:B$67,E121,Presupuesto!C$7:C$67,F121))</f>
        <v/>
      </c>
      <c r="K121" s="62" t="str">
        <f aca="false">IF(OR(E121="",F121=""),"",SUMIFS(I$7:I121,E$7:E121,E121,F$7:F121,F121))</f>
        <v/>
      </c>
      <c r="L121" s="62" t="str">
        <f aca="false">IF(OR(E121="",F121=""),"",J121-SUMIFS(I$7:I$506,E$7:E$506,E121,F$7:F$506,F121))</f>
        <v/>
      </c>
      <c r="N121" s="40"/>
    </row>
    <row r="122" customFormat="false" ht="15.75" hidden="false" customHeight="true" outlineLevel="0" collapsed="false">
      <c r="A122" s="35"/>
      <c r="B122" s="54" t="n">
        <f aca="false">EOMONTH(C122,0)</f>
        <v>1</v>
      </c>
      <c r="C122" s="55"/>
      <c r="D122" s="40"/>
      <c r="E122" s="40"/>
      <c r="F122" s="40"/>
      <c r="G122" s="40"/>
      <c r="H122" s="40"/>
      <c r="I122" s="60"/>
      <c r="J122" s="61" t="str">
        <f aca="false">IF(OR(E122="",F122=""),"",SUMIFS(Presupuesto!G$7:G$67,Presupuesto!B$7:B$67,E122,Presupuesto!C$7:C$67,F122))</f>
        <v/>
      </c>
      <c r="K122" s="62" t="str">
        <f aca="false">IF(OR(E122="",F122=""),"",SUMIFS(I$7:I122,E$7:E122,E122,F$7:F122,F122))</f>
        <v/>
      </c>
      <c r="L122" s="62" t="str">
        <f aca="false">IF(OR(E122="",F122=""),"",J122-SUMIFS(I$7:I$506,E$7:E$506,E122,F$7:F$506,F122))</f>
        <v/>
      </c>
      <c r="N122" s="40"/>
    </row>
    <row r="123" customFormat="false" ht="15.75" hidden="false" customHeight="true" outlineLevel="0" collapsed="false">
      <c r="A123" s="35"/>
      <c r="B123" s="54" t="n">
        <f aca="false">EOMONTH(C123,0)</f>
        <v>1</v>
      </c>
      <c r="C123" s="55"/>
      <c r="D123" s="40"/>
      <c r="E123" s="40"/>
      <c r="F123" s="40"/>
      <c r="G123" s="40"/>
      <c r="H123" s="40"/>
      <c r="I123" s="60"/>
      <c r="J123" s="61" t="str">
        <f aca="false">IF(OR(E123="",F123=""),"",SUMIFS(Presupuesto!G$7:G$67,Presupuesto!B$7:B$67,E123,Presupuesto!C$7:C$67,F123))</f>
        <v/>
      </c>
      <c r="K123" s="62" t="str">
        <f aca="false">IF(OR(E123="",F123=""),"",SUMIFS(I$7:I123,E$7:E123,E123,F$7:F123,F123))</f>
        <v/>
      </c>
      <c r="L123" s="62" t="str">
        <f aca="false">IF(OR(E123="",F123=""),"",J123-SUMIFS(I$7:I$506,E$7:E$506,E123,F$7:F$506,F123))</f>
        <v/>
      </c>
      <c r="N123" s="40"/>
    </row>
    <row r="124" customFormat="false" ht="15.75" hidden="false" customHeight="true" outlineLevel="0" collapsed="false">
      <c r="A124" s="35"/>
      <c r="B124" s="54" t="n">
        <f aca="false">EOMONTH(C124,0)</f>
        <v>1</v>
      </c>
      <c r="C124" s="55"/>
      <c r="D124" s="40"/>
      <c r="E124" s="40"/>
      <c r="F124" s="40"/>
      <c r="G124" s="40"/>
      <c r="H124" s="40"/>
      <c r="I124" s="60"/>
      <c r="J124" s="61" t="str">
        <f aca="false">IF(OR(E124="",F124=""),"",SUMIFS(Presupuesto!G$7:G$67,Presupuesto!B$7:B$67,E124,Presupuesto!C$7:C$67,F124))</f>
        <v/>
      </c>
      <c r="K124" s="62" t="str">
        <f aca="false">IF(OR(E124="",F124=""),"",SUMIFS(I$7:I124,E$7:E124,E124,F$7:F124,F124))</f>
        <v/>
      </c>
      <c r="L124" s="62" t="str">
        <f aca="false">IF(OR(E124="",F124=""),"",J124-SUMIFS(I$7:I$506,E$7:E$506,E124,F$7:F$506,F124))</f>
        <v/>
      </c>
      <c r="N124" s="40"/>
    </row>
    <row r="125" customFormat="false" ht="15.75" hidden="false" customHeight="true" outlineLevel="0" collapsed="false">
      <c r="A125" s="35"/>
      <c r="B125" s="54" t="n">
        <f aca="false">EOMONTH(C125,0)</f>
        <v>1</v>
      </c>
      <c r="C125" s="55"/>
      <c r="D125" s="40"/>
      <c r="E125" s="40"/>
      <c r="F125" s="40"/>
      <c r="G125" s="40"/>
      <c r="H125" s="40"/>
      <c r="I125" s="60"/>
      <c r="J125" s="61" t="str">
        <f aca="false">IF(OR(E125="",F125=""),"",SUMIFS(Presupuesto!G$7:G$67,Presupuesto!B$7:B$67,E125,Presupuesto!C$7:C$67,F125))</f>
        <v/>
      </c>
      <c r="K125" s="62" t="str">
        <f aca="false">IF(OR(E125="",F125=""),"",SUMIFS(I$7:I125,E$7:E125,E125,F$7:F125,F125))</f>
        <v/>
      </c>
      <c r="L125" s="62" t="str">
        <f aca="false">IF(OR(E125="",F125=""),"",J125-SUMIFS(I$7:I$506,E$7:E$506,E125,F$7:F$506,F125))</f>
        <v/>
      </c>
      <c r="N125" s="40"/>
    </row>
    <row r="126" customFormat="false" ht="15.75" hidden="false" customHeight="true" outlineLevel="0" collapsed="false">
      <c r="A126" s="35"/>
      <c r="B126" s="54" t="n">
        <f aca="false">EOMONTH(C126,0)</f>
        <v>1</v>
      </c>
      <c r="C126" s="55"/>
      <c r="D126" s="40"/>
      <c r="E126" s="40"/>
      <c r="F126" s="40"/>
      <c r="G126" s="40"/>
      <c r="H126" s="40"/>
      <c r="I126" s="60"/>
      <c r="J126" s="61" t="str">
        <f aca="false">IF(OR(E126="",F126=""),"",SUMIFS(Presupuesto!G$7:G$67,Presupuesto!B$7:B$67,E126,Presupuesto!C$7:C$67,F126))</f>
        <v/>
      </c>
      <c r="K126" s="62" t="str">
        <f aca="false">IF(OR(E126="",F126=""),"",SUMIFS(I$7:I126,E$7:E126,E126,F$7:F126,F126))</f>
        <v/>
      </c>
      <c r="L126" s="62" t="str">
        <f aca="false">IF(OR(E126="",F126=""),"",J126-SUMIFS(I$7:I$506,E$7:E$506,E126,F$7:F$506,F126))</f>
        <v/>
      </c>
      <c r="N126" s="40"/>
    </row>
    <row r="127" customFormat="false" ht="15.75" hidden="false" customHeight="true" outlineLevel="0" collapsed="false">
      <c r="A127" s="35"/>
      <c r="B127" s="54" t="n">
        <f aca="false">EOMONTH(C127,0)</f>
        <v>1</v>
      </c>
      <c r="C127" s="55"/>
      <c r="D127" s="40"/>
      <c r="E127" s="40"/>
      <c r="F127" s="40"/>
      <c r="G127" s="40"/>
      <c r="H127" s="40"/>
      <c r="I127" s="60"/>
      <c r="J127" s="61" t="str">
        <f aca="false">IF(OR(E127="",F127=""),"",SUMIFS(Presupuesto!G$7:G$67,Presupuesto!B$7:B$67,E127,Presupuesto!C$7:C$67,F127))</f>
        <v/>
      </c>
      <c r="K127" s="62" t="str">
        <f aca="false">IF(OR(E127="",F127=""),"",SUMIFS(I$7:I127,E$7:E127,E127,F$7:F127,F127))</f>
        <v/>
      </c>
      <c r="L127" s="62" t="str">
        <f aca="false">IF(OR(E127="",F127=""),"",J127-SUMIFS(I$7:I$506,E$7:E$506,E127,F$7:F$506,F127))</f>
        <v/>
      </c>
      <c r="N127" s="40"/>
    </row>
    <row r="128" customFormat="false" ht="15.75" hidden="false" customHeight="true" outlineLevel="0" collapsed="false">
      <c r="A128" s="35"/>
      <c r="B128" s="54" t="n">
        <f aca="false">EOMONTH(C128,0)</f>
        <v>1</v>
      </c>
      <c r="C128" s="55"/>
      <c r="D128" s="40"/>
      <c r="E128" s="40"/>
      <c r="F128" s="40"/>
      <c r="G128" s="40"/>
      <c r="H128" s="40"/>
      <c r="I128" s="60"/>
      <c r="J128" s="61" t="str">
        <f aca="false">IF(OR(E128="",F128=""),"",SUMIFS(Presupuesto!G$7:G$67,Presupuesto!B$7:B$67,E128,Presupuesto!C$7:C$67,F128))</f>
        <v/>
      </c>
      <c r="K128" s="62" t="str">
        <f aca="false">IF(OR(E128="",F128=""),"",SUMIFS(I$7:I128,E$7:E128,E128,F$7:F128,F128))</f>
        <v/>
      </c>
      <c r="L128" s="62" t="str">
        <f aca="false">IF(OR(E128="",F128=""),"",J128-SUMIFS(I$7:I$506,E$7:E$506,E128,F$7:F$506,F128))</f>
        <v/>
      </c>
      <c r="N128" s="40"/>
    </row>
    <row r="129" customFormat="false" ht="15.75" hidden="false" customHeight="true" outlineLevel="0" collapsed="false">
      <c r="A129" s="35"/>
      <c r="B129" s="54" t="n">
        <f aca="false">EOMONTH(C129,0)</f>
        <v>1</v>
      </c>
      <c r="C129" s="55"/>
      <c r="D129" s="40"/>
      <c r="E129" s="40"/>
      <c r="F129" s="40"/>
      <c r="G129" s="40"/>
      <c r="H129" s="40"/>
      <c r="I129" s="60"/>
      <c r="J129" s="61" t="str">
        <f aca="false">IF(OR(E129="",F129=""),"",SUMIFS(Presupuesto!G$7:G$67,Presupuesto!B$7:B$67,E129,Presupuesto!C$7:C$67,F129))</f>
        <v/>
      </c>
      <c r="K129" s="62" t="str">
        <f aca="false">IF(OR(E129="",F129=""),"",SUMIFS(I$7:I129,E$7:E129,E129,F$7:F129,F129))</f>
        <v/>
      </c>
      <c r="L129" s="62" t="str">
        <f aca="false">IF(OR(E129="",F129=""),"",J129-SUMIFS(I$7:I$506,E$7:E$506,E129,F$7:F$506,F129))</f>
        <v/>
      </c>
      <c r="N129" s="40"/>
    </row>
    <row r="130" customFormat="false" ht="15.75" hidden="false" customHeight="true" outlineLevel="0" collapsed="false">
      <c r="A130" s="35"/>
      <c r="B130" s="54" t="n">
        <f aca="false">EOMONTH(C130,0)</f>
        <v>1</v>
      </c>
      <c r="C130" s="55"/>
      <c r="D130" s="40"/>
      <c r="E130" s="40"/>
      <c r="F130" s="40"/>
      <c r="G130" s="40"/>
      <c r="H130" s="40"/>
      <c r="I130" s="60"/>
      <c r="J130" s="61" t="str">
        <f aca="false">IF(OR(E130="",F130=""),"",SUMIFS(Presupuesto!G$7:G$67,Presupuesto!B$7:B$67,E130,Presupuesto!C$7:C$67,F130))</f>
        <v/>
      </c>
      <c r="K130" s="62" t="str">
        <f aca="false">IF(OR(E130="",F130=""),"",SUMIFS(I$7:I130,E$7:E130,E130,F$7:F130,F130))</f>
        <v/>
      </c>
      <c r="L130" s="62" t="str">
        <f aca="false">IF(OR(E130="",F130=""),"",J130-SUMIFS(I$7:I$506,E$7:E$506,E130,F$7:F$506,F130))</f>
        <v/>
      </c>
      <c r="N130" s="40"/>
    </row>
    <row r="131" customFormat="false" ht="15.75" hidden="false" customHeight="true" outlineLevel="0" collapsed="false">
      <c r="A131" s="35"/>
      <c r="B131" s="54" t="n">
        <f aca="false">EOMONTH(C131,0)</f>
        <v>1</v>
      </c>
      <c r="C131" s="55"/>
      <c r="D131" s="40"/>
      <c r="E131" s="40"/>
      <c r="F131" s="40"/>
      <c r="G131" s="40"/>
      <c r="H131" s="40"/>
      <c r="I131" s="60"/>
      <c r="J131" s="61" t="str">
        <f aca="false">IF(OR(E131="",F131=""),"",SUMIFS(Presupuesto!G$7:G$67,Presupuesto!B$7:B$67,E131,Presupuesto!C$7:C$67,F131))</f>
        <v/>
      </c>
      <c r="K131" s="62" t="str">
        <f aca="false">IF(OR(E131="",F131=""),"",SUMIFS(I$7:I131,E$7:E131,E131,F$7:F131,F131))</f>
        <v/>
      </c>
      <c r="L131" s="62" t="str">
        <f aca="false">IF(OR(E131="",F131=""),"",J131-SUMIFS(I$7:I$506,E$7:E$506,E131,F$7:F$506,F131))</f>
        <v/>
      </c>
      <c r="N131" s="40"/>
    </row>
    <row r="132" customFormat="false" ht="15.75" hidden="false" customHeight="true" outlineLevel="0" collapsed="false">
      <c r="A132" s="35"/>
      <c r="B132" s="54" t="n">
        <f aca="false">EOMONTH(C132,0)</f>
        <v>1</v>
      </c>
      <c r="C132" s="55"/>
      <c r="D132" s="40"/>
      <c r="E132" s="40"/>
      <c r="F132" s="40"/>
      <c r="G132" s="40"/>
      <c r="H132" s="40"/>
      <c r="I132" s="60"/>
      <c r="J132" s="61" t="str">
        <f aca="false">IF(OR(E132="",F132=""),"",SUMIFS(Presupuesto!G$7:G$67,Presupuesto!B$7:B$67,E132,Presupuesto!C$7:C$67,F132))</f>
        <v/>
      </c>
      <c r="K132" s="62" t="str">
        <f aca="false">IF(OR(E132="",F132=""),"",SUMIFS(I$7:I132,E$7:E132,E132,F$7:F132,F132))</f>
        <v/>
      </c>
      <c r="L132" s="62" t="str">
        <f aca="false">IF(OR(E132="",F132=""),"",J132-SUMIFS(I$7:I$506,E$7:E$506,E132,F$7:F$506,F132))</f>
        <v/>
      </c>
      <c r="N132" s="40"/>
    </row>
    <row r="133" customFormat="false" ht="15.75" hidden="false" customHeight="true" outlineLevel="0" collapsed="false">
      <c r="A133" s="35"/>
      <c r="B133" s="54" t="n">
        <f aca="false">EOMONTH(C133,0)</f>
        <v>1</v>
      </c>
      <c r="C133" s="55"/>
      <c r="D133" s="40"/>
      <c r="E133" s="40"/>
      <c r="F133" s="40"/>
      <c r="G133" s="40"/>
      <c r="H133" s="40"/>
      <c r="I133" s="60"/>
      <c r="J133" s="61" t="str">
        <f aca="false">IF(OR(E133="",F133=""),"",SUMIFS(Presupuesto!G$7:G$67,Presupuesto!B$7:B$67,E133,Presupuesto!C$7:C$67,F133))</f>
        <v/>
      </c>
      <c r="K133" s="62" t="str">
        <f aca="false">IF(OR(E133="",F133=""),"",SUMIFS(I$7:I133,E$7:E133,E133,F$7:F133,F133))</f>
        <v/>
      </c>
      <c r="L133" s="62" t="str">
        <f aca="false">IF(OR(E133="",F133=""),"",J133-SUMIFS(I$7:I$506,E$7:E$506,E133,F$7:F$506,F133))</f>
        <v/>
      </c>
      <c r="N133" s="40"/>
    </row>
    <row r="134" customFormat="false" ht="15.75" hidden="false" customHeight="true" outlineLevel="0" collapsed="false">
      <c r="A134" s="35"/>
      <c r="B134" s="54" t="n">
        <f aca="false">EOMONTH(C134,0)</f>
        <v>1</v>
      </c>
      <c r="C134" s="55"/>
      <c r="D134" s="40"/>
      <c r="E134" s="40"/>
      <c r="F134" s="40"/>
      <c r="G134" s="40"/>
      <c r="H134" s="40"/>
      <c r="I134" s="60"/>
      <c r="J134" s="61" t="str">
        <f aca="false">IF(OR(E134="",F134=""),"",SUMIFS(Presupuesto!G$7:G$67,Presupuesto!B$7:B$67,E134,Presupuesto!C$7:C$67,F134))</f>
        <v/>
      </c>
      <c r="K134" s="62" t="str">
        <f aca="false">IF(OR(E134="",F134=""),"",SUMIFS(I$7:I134,E$7:E134,E134,F$7:F134,F134))</f>
        <v/>
      </c>
      <c r="L134" s="62" t="str">
        <f aca="false">IF(OR(E134="",F134=""),"",J134-SUMIFS(I$7:I$506,E$7:E$506,E134,F$7:F$506,F134))</f>
        <v/>
      </c>
      <c r="N134" s="40"/>
    </row>
    <row r="135" customFormat="false" ht="15.75" hidden="false" customHeight="true" outlineLevel="0" collapsed="false">
      <c r="A135" s="35"/>
      <c r="B135" s="54" t="n">
        <f aca="false">EOMONTH(C135,0)</f>
        <v>1</v>
      </c>
      <c r="C135" s="55"/>
      <c r="D135" s="40"/>
      <c r="E135" s="40"/>
      <c r="F135" s="40"/>
      <c r="G135" s="40"/>
      <c r="H135" s="40"/>
      <c r="I135" s="60"/>
      <c r="J135" s="61" t="str">
        <f aca="false">IF(OR(E135="",F135=""),"",SUMIFS(Presupuesto!G$7:G$67,Presupuesto!B$7:B$67,E135,Presupuesto!C$7:C$67,F135))</f>
        <v/>
      </c>
      <c r="K135" s="62" t="str">
        <f aca="false">IF(OR(E135="",F135=""),"",SUMIFS(I$7:I135,E$7:E135,E135,F$7:F135,F135))</f>
        <v/>
      </c>
      <c r="L135" s="62" t="str">
        <f aca="false">IF(OR(E135="",F135=""),"",J135-SUMIFS(I$7:I$506,E$7:E$506,E135,F$7:F$506,F135))</f>
        <v/>
      </c>
      <c r="N135" s="40"/>
    </row>
    <row r="136" customFormat="false" ht="15.75" hidden="false" customHeight="true" outlineLevel="0" collapsed="false">
      <c r="A136" s="35"/>
      <c r="B136" s="54" t="n">
        <f aca="false">EOMONTH(C136,0)</f>
        <v>1</v>
      </c>
      <c r="C136" s="55"/>
      <c r="D136" s="40"/>
      <c r="E136" s="40"/>
      <c r="F136" s="40"/>
      <c r="G136" s="40"/>
      <c r="H136" s="40"/>
      <c r="I136" s="60"/>
      <c r="J136" s="61" t="str">
        <f aca="false">IF(OR(E136="",F136=""),"",SUMIFS(Presupuesto!G$7:G$67,Presupuesto!B$7:B$67,E136,Presupuesto!C$7:C$67,F136))</f>
        <v/>
      </c>
      <c r="K136" s="62" t="str">
        <f aca="false">IF(OR(E136="",F136=""),"",SUMIFS(I$7:I136,E$7:E136,E136,F$7:F136,F136))</f>
        <v/>
      </c>
      <c r="L136" s="62" t="str">
        <f aca="false">IF(OR(E136="",F136=""),"",J136-SUMIFS(I$7:I$506,E$7:E$506,E136,F$7:F$506,F136))</f>
        <v/>
      </c>
      <c r="N136" s="40"/>
    </row>
    <row r="137" customFormat="false" ht="15.75" hidden="false" customHeight="true" outlineLevel="0" collapsed="false">
      <c r="A137" s="35"/>
      <c r="B137" s="54" t="n">
        <f aca="false">EOMONTH(C137,0)</f>
        <v>1</v>
      </c>
      <c r="C137" s="55"/>
      <c r="D137" s="40"/>
      <c r="E137" s="40"/>
      <c r="F137" s="40"/>
      <c r="G137" s="40"/>
      <c r="H137" s="40"/>
      <c r="I137" s="60"/>
      <c r="J137" s="61" t="str">
        <f aca="false">IF(OR(E137="",F137=""),"",SUMIFS(Presupuesto!G$7:G$67,Presupuesto!B$7:B$67,E137,Presupuesto!C$7:C$67,F137))</f>
        <v/>
      </c>
      <c r="K137" s="62" t="str">
        <f aca="false">IF(OR(E137="",F137=""),"",SUMIFS(I$7:I137,E$7:E137,E137,F$7:F137,F137))</f>
        <v/>
      </c>
      <c r="L137" s="62" t="str">
        <f aca="false">IF(OR(E137="",F137=""),"",J137-SUMIFS(I$7:I$506,E$7:E$506,E137,F$7:F$506,F137))</f>
        <v/>
      </c>
      <c r="N137" s="40"/>
    </row>
    <row r="138" customFormat="false" ht="15.75" hidden="false" customHeight="true" outlineLevel="0" collapsed="false">
      <c r="A138" s="35"/>
      <c r="B138" s="54" t="n">
        <f aca="false">EOMONTH(C138,0)</f>
        <v>1</v>
      </c>
      <c r="C138" s="55"/>
      <c r="D138" s="40"/>
      <c r="E138" s="40"/>
      <c r="F138" s="40"/>
      <c r="G138" s="40"/>
      <c r="H138" s="40"/>
      <c r="I138" s="60"/>
      <c r="J138" s="61" t="str">
        <f aca="false">IF(OR(E138="",F138=""),"",SUMIFS(Presupuesto!G$7:G$67,Presupuesto!B$7:B$67,E138,Presupuesto!C$7:C$67,F138))</f>
        <v/>
      </c>
      <c r="K138" s="62" t="str">
        <f aca="false">IF(OR(E138="",F138=""),"",SUMIFS(I$7:I138,E$7:E138,E138,F$7:F138,F138))</f>
        <v/>
      </c>
      <c r="L138" s="62" t="str">
        <f aca="false">IF(OR(E138="",F138=""),"",J138-SUMIFS(I$7:I$506,E$7:E$506,E138,F$7:F$506,F138))</f>
        <v/>
      </c>
      <c r="N138" s="40"/>
    </row>
    <row r="139" customFormat="false" ht="15.75" hidden="false" customHeight="true" outlineLevel="0" collapsed="false">
      <c r="A139" s="35"/>
      <c r="B139" s="54" t="n">
        <f aca="false">EOMONTH(C139,0)</f>
        <v>1</v>
      </c>
      <c r="C139" s="55"/>
      <c r="D139" s="40"/>
      <c r="E139" s="40"/>
      <c r="F139" s="40"/>
      <c r="G139" s="40"/>
      <c r="H139" s="40"/>
      <c r="I139" s="60"/>
      <c r="J139" s="61" t="str">
        <f aca="false">IF(OR(E139="",F139=""),"",SUMIFS(Presupuesto!G$7:G$67,Presupuesto!B$7:B$67,E139,Presupuesto!C$7:C$67,F139))</f>
        <v/>
      </c>
      <c r="K139" s="62" t="str">
        <f aca="false">IF(OR(E139="",F139=""),"",SUMIFS(I$7:I139,E$7:E139,E139,F$7:F139,F139))</f>
        <v/>
      </c>
      <c r="L139" s="62" t="str">
        <f aca="false">IF(OR(E139="",F139=""),"",J139-SUMIFS(I$7:I$506,E$7:E$506,E139,F$7:F$506,F139))</f>
        <v/>
      </c>
      <c r="N139" s="40"/>
    </row>
    <row r="140" customFormat="false" ht="15.75" hidden="false" customHeight="true" outlineLevel="0" collapsed="false">
      <c r="A140" s="35"/>
      <c r="B140" s="54" t="n">
        <f aca="false">EOMONTH(C140,0)</f>
        <v>1</v>
      </c>
      <c r="C140" s="55"/>
      <c r="D140" s="40"/>
      <c r="E140" s="40"/>
      <c r="F140" s="40"/>
      <c r="G140" s="40"/>
      <c r="H140" s="40"/>
      <c r="I140" s="60"/>
      <c r="J140" s="61" t="str">
        <f aca="false">IF(OR(E140="",F140=""),"",SUMIFS(Presupuesto!G$7:G$67,Presupuesto!B$7:B$67,E140,Presupuesto!C$7:C$67,F140))</f>
        <v/>
      </c>
      <c r="K140" s="62" t="str">
        <f aca="false">IF(OR(E140="",F140=""),"",SUMIFS(I$7:I140,E$7:E140,E140,F$7:F140,F140))</f>
        <v/>
      </c>
      <c r="L140" s="62" t="str">
        <f aca="false">IF(OR(E140="",F140=""),"",J140-SUMIFS(I$7:I$506,E$7:E$506,E140,F$7:F$506,F140))</f>
        <v/>
      </c>
      <c r="N140" s="40"/>
    </row>
    <row r="141" customFormat="false" ht="15.75" hidden="false" customHeight="true" outlineLevel="0" collapsed="false">
      <c r="A141" s="35"/>
      <c r="B141" s="54" t="n">
        <f aca="false">EOMONTH(C141,0)</f>
        <v>1</v>
      </c>
      <c r="C141" s="55"/>
      <c r="D141" s="40"/>
      <c r="E141" s="40"/>
      <c r="F141" s="40"/>
      <c r="G141" s="40"/>
      <c r="H141" s="40"/>
      <c r="I141" s="60"/>
      <c r="J141" s="61" t="str">
        <f aca="false">IF(OR(E141="",F141=""),"",SUMIFS(Presupuesto!G$7:G$67,Presupuesto!B$7:B$67,E141,Presupuesto!C$7:C$67,F141))</f>
        <v/>
      </c>
      <c r="K141" s="62" t="str">
        <f aca="false">IF(OR(E141="",F141=""),"",SUMIFS(I$7:I141,E$7:E141,E141,F$7:F141,F141))</f>
        <v/>
      </c>
      <c r="L141" s="62" t="str">
        <f aca="false">IF(OR(E141="",F141=""),"",J141-SUMIFS(I$7:I$506,E$7:E$506,E141,F$7:F$506,F141))</f>
        <v/>
      </c>
      <c r="N141" s="40"/>
    </row>
    <row r="142" customFormat="false" ht="15.75" hidden="false" customHeight="true" outlineLevel="0" collapsed="false">
      <c r="A142" s="35"/>
      <c r="B142" s="54" t="n">
        <f aca="false">EOMONTH(C142,0)</f>
        <v>1</v>
      </c>
      <c r="C142" s="55"/>
      <c r="D142" s="40"/>
      <c r="E142" s="40"/>
      <c r="F142" s="40"/>
      <c r="G142" s="40"/>
      <c r="H142" s="40"/>
      <c r="I142" s="60"/>
      <c r="J142" s="61" t="str">
        <f aca="false">IF(OR(E142="",F142=""),"",SUMIFS(Presupuesto!G$7:G$67,Presupuesto!B$7:B$67,E142,Presupuesto!C$7:C$67,F142))</f>
        <v/>
      </c>
      <c r="K142" s="62" t="str">
        <f aca="false">IF(OR(E142="",F142=""),"",SUMIFS(I$7:I142,E$7:E142,E142,F$7:F142,F142))</f>
        <v/>
      </c>
      <c r="L142" s="62" t="str">
        <f aca="false">IF(OR(E142="",F142=""),"",J142-SUMIFS(I$7:I$506,E$7:E$506,E142,F$7:F$506,F142))</f>
        <v/>
      </c>
      <c r="N142" s="40"/>
    </row>
    <row r="143" customFormat="false" ht="15.75" hidden="false" customHeight="true" outlineLevel="0" collapsed="false">
      <c r="A143" s="35"/>
      <c r="B143" s="54" t="n">
        <f aca="false">EOMONTH(C143,0)</f>
        <v>1</v>
      </c>
      <c r="C143" s="55"/>
      <c r="D143" s="40"/>
      <c r="E143" s="40"/>
      <c r="F143" s="40"/>
      <c r="G143" s="40"/>
      <c r="H143" s="40"/>
      <c r="I143" s="60"/>
      <c r="J143" s="61" t="str">
        <f aca="false">IF(OR(E143="",F143=""),"",SUMIFS(Presupuesto!G$7:G$67,Presupuesto!B$7:B$67,E143,Presupuesto!C$7:C$67,F143))</f>
        <v/>
      </c>
      <c r="K143" s="62" t="str">
        <f aca="false">IF(OR(E143="",F143=""),"",SUMIFS(I$7:I143,E$7:E143,E143,F$7:F143,F143))</f>
        <v/>
      </c>
      <c r="L143" s="62" t="str">
        <f aca="false">IF(OR(E143="",F143=""),"",J143-SUMIFS(I$7:I$506,E$7:E$506,E143,F$7:F$506,F143))</f>
        <v/>
      </c>
      <c r="N143" s="40"/>
    </row>
    <row r="144" customFormat="false" ht="15.75" hidden="false" customHeight="true" outlineLevel="0" collapsed="false">
      <c r="A144" s="35"/>
      <c r="B144" s="54" t="n">
        <f aca="false">EOMONTH(C144,0)</f>
        <v>1</v>
      </c>
      <c r="C144" s="55"/>
      <c r="D144" s="40"/>
      <c r="E144" s="40"/>
      <c r="F144" s="40"/>
      <c r="G144" s="40"/>
      <c r="H144" s="40"/>
      <c r="I144" s="60"/>
      <c r="J144" s="61" t="str">
        <f aca="false">IF(OR(E144="",F144=""),"",SUMIFS(Presupuesto!G$7:G$67,Presupuesto!B$7:B$67,E144,Presupuesto!C$7:C$67,F144))</f>
        <v/>
      </c>
      <c r="K144" s="62" t="str">
        <f aca="false">IF(OR(E144="",F144=""),"",SUMIFS(I$7:I144,E$7:E144,E144,F$7:F144,F144))</f>
        <v/>
      </c>
      <c r="L144" s="62" t="str">
        <f aca="false">IF(OR(E144="",F144=""),"",J144-SUMIFS(I$7:I$506,E$7:E$506,E144,F$7:F$506,F144))</f>
        <v/>
      </c>
      <c r="N144" s="40"/>
    </row>
    <row r="145" customFormat="false" ht="15.75" hidden="false" customHeight="true" outlineLevel="0" collapsed="false">
      <c r="A145" s="35"/>
      <c r="B145" s="54" t="n">
        <f aca="false">EOMONTH(C145,0)</f>
        <v>1</v>
      </c>
      <c r="C145" s="55"/>
      <c r="D145" s="40"/>
      <c r="E145" s="40"/>
      <c r="F145" s="40"/>
      <c r="G145" s="40"/>
      <c r="H145" s="40"/>
      <c r="I145" s="60"/>
      <c r="J145" s="61" t="str">
        <f aca="false">IF(OR(E145="",F145=""),"",SUMIFS(Presupuesto!G$7:G$67,Presupuesto!B$7:B$67,E145,Presupuesto!C$7:C$67,F145))</f>
        <v/>
      </c>
      <c r="K145" s="62" t="str">
        <f aca="false">IF(OR(E145="",F145=""),"",SUMIFS(I$7:I145,E$7:E145,E145,F$7:F145,F145))</f>
        <v/>
      </c>
      <c r="L145" s="62" t="str">
        <f aca="false">IF(OR(E145="",F145=""),"",J145-SUMIFS(I$7:I$506,E$7:E$506,E145,F$7:F$506,F145))</f>
        <v/>
      </c>
      <c r="N145" s="40"/>
    </row>
    <row r="146" customFormat="false" ht="15.75" hidden="false" customHeight="true" outlineLevel="0" collapsed="false">
      <c r="A146" s="35"/>
      <c r="B146" s="54" t="n">
        <f aca="false">EOMONTH(C146,0)</f>
        <v>1</v>
      </c>
      <c r="C146" s="55"/>
      <c r="D146" s="40"/>
      <c r="E146" s="40"/>
      <c r="F146" s="40"/>
      <c r="G146" s="40"/>
      <c r="H146" s="40"/>
      <c r="I146" s="60"/>
      <c r="J146" s="61" t="str">
        <f aca="false">IF(OR(E146="",F146=""),"",SUMIFS(Presupuesto!G$7:G$67,Presupuesto!B$7:B$67,E146,Presupuesto!C$7:C$67,F146))</f>
        <v/>
      </c>
      <c r="K146" s="62" t="str">
        <f aca="false">IF(OR(E146="",F146=""),"",SUMIFS(I$7:I146,E$7:E146,E146,F$7:F146,F146))</f>
        <v/>
      </c>
      <c r="L146" s="62" t="str">
        <f aca="false">IF(OR(E146="",F146=""),"",J146-SUMIFS(I$7:I$506,E$7:E$506,E146,F$7:F$506,F146))</f>
        <v/>
      </c>
      <c r="N146" s="40"/>
    </row>
    <row r="147" customFormat="false" ht="15.75" hidden="false" customHeight="true" outlineLevel="0" collapsed="false">
      <c r="A147" s="35"/>
      <c r="B147" s="54" t="n">
        <f aca="false">EOMONTH(C147,0)</f>
        <v>1</v>
      </c>
      <c r="C147" s="55"/>
      <c r="D147" s="40"/>
      <c r="E147" s="40"/>
      <c r="F147" s="40"/>
      <c r="G147" s="40"/>
      <c r="H147" s="40"/>
      <c r="I147" s="60"/>
      <c r="J147" s="61" t="str">
        <f aca="false">IF(OR(E147="",F147=""),"",SUMIFS(Presupuesto!G$7:G$67,Presupuesto!B$7:B$67,E147,Presupuesto!C$7:C$67,F147))</f>
        <v/>
      </c>
      <c r="K147" s="62" t="str">
        <f aca="false">IF(OR(E147="",F147=""),"",SUMIFS(I$7:I147,E$7:E147,E147,F$7:F147,F147))</f>
        <v/>
      </c>
      <c r="L147" s="62" t="str">
        <f aca="false">IF(OR(E147="",F147=""),"",J147-SUMIFS(I$7:I$506,E$7:E$506,E147,F$7:F$506,F147))</f>
        <v/>
      </c>
      <c r="N147" s="40"/>
    </row>
    <row r="148" customFormat="false" ht="15.75" hidden="false" customHeight="true" outlineLevel="0" collapsed="false">
      <c r="A148" s="35"/>
      <c r="B148" s="54" t="n">
        <f aca="false">EOMONTH(C148,0)</f>
        <v>1</v>
      </c>
      <c r="C148" s="55"/>
      <c r="D148" s="40"/>
      <c r="E148" s="40"/>
      <c r="F148" s="40"/>
      <c r="G148" s="40"/>
      <c r="H148" s="40"/>
      <c r="I148" s="60"/>
      <c r="J148" s="61" t="str">
        <f aca="false">IF(OR(E148="",F148=""),"",SUMIFS(Presupuesto!G$7:G$67,Presupuesto!B$7:B$67,E148,Presupuesto!C$7:C$67,F148))</f>
        <v/>
      </c>
      <c r="K148" s="62" t="str">
        <f aca="false">IF(OR(E148="",F148=""),"",SUMIFS(I$7:I148,E$7:E148,E148,F$7:F148,F148))</f>
        <v/>
      </c>
      <c r="L148" s="62" t="str">
        <f aca="false">IF(OR(E148="",F148=""),"",J148-SUMIFS(I$7:I$506,E$7:E$506,E148,F$7:F$506,F148))</f>
        <v/>
      </c>
      <c r="N148" s="40"/>
    </row>
    <row r="149" customFormat="false" ht="15.75" hidden="false" customHeight="true" outlineLevel="0" collapsed="false">
      <c r="A149" s="35"/>
      <c r="B149" s="54" t="n">
        <f aca="false">EOMONTH(C149,0)</f>
        <v>1</v>
      </c>
      <c r="C149" s="55"/>
      <c r="D149" s="40"/>
      <c r="E149" s="40"/>
      <c r="F149" s="40"/>
      <c r="G149" s="40"/>
      <c r="H149" s="40"/>
      <c r="I149" s="60"/>
      <c r="J149" s="61" t="str">
        <f aca="false">IF(OR(E149="",F149=""),"",SUMIFS(Presupuesto!G$7:G$67,Presupuesto!B$7:B$67,E149,Presupuesto!C$7:C$67,F149))</f>
        <v/>
      </c>
      <c r="K149" s="62" t="str">
        <f aca="false">IF(OR(E149="",F149=""),"",SUMIFS(I$7:I149,E$7:E149,E149,F$7:F149,F149))</f>
        <v/>
      </c>
      <c r="L149" s="62" t="str">
        <f aca="false">IF(OR(E149="",F149=""),"",J149-SUMIFS(I$7:I$506,E$7:E$506,E149,F$7:F$506,F149))</f>
        <v/>
      </c>
      <c r="N149" s="40"/>
    </row>
    <row r="150" customFormat="false" ht="15.75" hidden="false" customHeight="true" outlineLevel="0" collapsed="false">
      <c r="A150" s="35"/>
      <c r="B150" s="54" t="n">
        <f aca="false">EOMONTH(C150,0)</f>
        <v>1</v>
      </c>
      <c r="C150" s="55"/>
      <c r="D150" s="40"/>
      <c r="E150" s="40"/>
      <c r="F150" s="40"/>
      <c r="G150" s="40"/>
      <c r="H150" s="40"/>
      <c r="I150" s="60"/>
      <c r="J150" s="61" t="str">
        <f aca="false">IF(OR(E150="",F150=""),"",SUMIFS(Presupuesto!G$7:G$67,Presupuesto!B$7:B$67,E150,Presupuesto!C$7:C$67,F150))</f>
        <v/>
      </c>
      <c r="K150" s="62" t="str">
        <f aca="false">IF(OR(E150="",F150=""),"",SUMIFS(I$7:I150,E$7:E150,E150,F$7:F150,F150))</f>
        <v/>
      </c>
      <c r="L150" s="62" t="str">
        <f aca="false">IF(OR(E150="",F150=""),"",J150-SUMIFS(I$7:I$506,E$7:E$506,E150,F$7:F$506,F150))</f>
        <v/>
      </c>
      <c r="N150" s="40"/>
    </row>
    <row r="151" customFormat="false" ht="15.75" hidden="false" customHeight="true" outlineLevel="0" collapsed="false">
      <c r="A151" s="35"/>
      <c r="B151" s="54" t="n">
        <f aca="false">EOMONTH(C151,0)</f>
        <v>1</v>
      </c>
      <c r="C151" s="55"/>
      <c r="D151" s="40"/>
      <c r="E151" s="40"/>
      <c r="F151" s="40"/>
      <c r="G151" s="40"/>
      <c r="H151" s="40"/>
      <c r="I151" s="60"/>
      <c r="J151" s="61" t="str">
        <f aca="false">IF(OR(E151="",F151=""),"",SUMIFS(Presupuesto!G$7:G$67,Presupuesto!B$7:B$67,E151,Presupuesto!C$7:C$67,F151))</f>
        <v/>
      </c>
      <c r="K151" s="62" t="str">
        <f aca="false">IF(OR(E151="",F151=""),"",SUMIFS(I$7:I151,E$7:E151,E151,F$7:F151,F151))</f>
        <v/>
      </c>
      <c r="L151" s="62" t="str">
        <f aca="false">IF(OR(E151="",F151=""),"",J151-SUMIFS(I$7:I$506,E$7:E$506,E151,F$7:F$506,F151))</f>
        <v/>
      </c>
      <c r="N151" s="40"/>
    </row>
    <row r="152" customFormat="false" ht="15.75" hidden="false" customHeight="true" outlineLevel="0" collapsed="false">
      <c r="A152" s="35"/>
      <c r="B152" s="54" t="n">
        <f aca="false">EOMONTH(C152,0)</f>
        <v>1</v>
      </c>
      <c r="C152" s="55"/>
      <c r="D152" s="40"/>
      <c r="E152" s="40"/>
      <c r="F152" s="40"/>
      <c r="G152" s="40"/>
      <c r="H152" s="40"/>
      <c r="I152" s="60"/>
      <c r="J152" s="61" t="str">
        <f aca="false">IF(OR(E152="",F152=""),"",SUMIFS(Presupuesto!G$7:G$67,Presupuesto!B$7:B$67,E152,Presupuesto!C$7:C$67,F152))</f>
        <v/>
      </c>
      <c r="K152" s="62" t="str">
        <f aca="false">IF(OR(E152="",F152=""),"",SUMIFS(I$7:I152,E$7:E152,E152,F$7:F152,F152))</f>
        <v/>
      </c>
      <c r="L152" s="62" t="str">
        <f aca="false">IF(OR(E152="",F152=""),"",J152-SUMIFS(I$7:I$506,E$7:E$506,E152,F$7:F$506,F152))</f>
        <v/>
      </c>
      <c r="N152" s="40"/>
    </row>
    <row r="153" customFormat="false" ht="15.75" hidden="false" customHeight="true" outlineLevel="0" collapsed="false">
      <c r="A153" s="35"/>
      <c r="B153" s="54" t="n">
        <f aca="false">EOMONTH(C153,0)</f>
        <v>1</v>
      </c>
      <c r="C153" s="55"/>
      <c r="D153" s="40"/>
      <c r="E153" s="40"/>
      <c r="F153" s="40"/>
      <c r="G153" s="40"/>
      <c r="H153" s="40"/>
      <c r="I153" s="60"/>
      <c r="J153" s="61" t="str">
        <f aca="false">IF(OR(E153="",F153=""),"",SUMIFS(Presupuesto!G$7:G$67,Presupuesto!B$7:B$67,E153,Presupuesto!C$7:C$67,F153))</f>
        <v/>
      </c>
      <c r="K153" s="62" t="str">
        <f aca="false">IF(OR(E153="",F153=""),"",SUMIFS(I$7:I153,E$7:E153,E153,F$7:F153,F153))</f>
        <v/>
      </c>
      <c r="L153" s="62" t="str">
        <f aca="false">IF(OR(E153="",F153=""),"",J153-SUMIFS(I$7:I$506,E$7:E$506,E153,F$7:F$506,F153))</f>
        <v/>
      </c>
      <c r="N153" s="40"/>
    </row>
    <row r="154" customFormat="false" ht="15.75" hidden="false" customHeight="true" outlineLevel="0" collapsed="false">
      <c r="A154" s="35"/>
      <c r="B154" s="54" t="n">
        <f aca="false">EOMONTH(C154,0)</f>
        <v>1</v>
      </c>
      <c r="C154" s="55"/>
      <c r="D154" s="40"/>
      <c r="E154" s="40"/>
      <c r="F154" s="40"/>
      <c r="G154" s="40"/>
      <c r="H154" s="40"/>
      <c r="I154" s="60"/>
      <c r="J154" s="61" t="str">
        <f aca="false">IF(OR(E154="",F154=""),"",SUMIFS(Presupuesto!G$7:G$67,Presupuesto!B$7:B$67,E154,Presupuesto!C$7:C$67,F154))</f>
        <v/>
      </c>
      <c r="K154" s="62" t="str">
        <f aca="false">IF(OR(E154="",F154=""),"",SUMIFS(I$7:I154,E$7:E154,E154,F$7:F154,F154))</f>
        <v/>
      </c>
      <c r="L154" s="62" t="str">
        <f aca="false">IF(OR(E154="",F154=""),"",J154-SUMIFS(I$7:I$506,E$7:E$506,E154,F$7:F$506,F154))</f>
        <v/>
      </c>
      <c r="N154" s="40"/>
    </row>
    <row r="155" customFormat="false" ht="15.75" hidden="false" customHeight="true" outlineLevel="0" collapsed="false">
      <c r="A155" s="35"/>
      <c r="B155" s="54" t="n">
        <f aca="false">EOMONTH(C155,0)</f>
        <v>1</v>
      </c>
      <c r="C155" s="55"/>
      <c r="D155" s="40"/>
      <c r="E155" s="40"/>
      <c r="F155" s="40"/>
      <c r="G155" s="40"/>
      <c r="H155" s="40"/>
      <c r="I155" s="60"/>
      <c r="J155" s="61" t="str">
        <f aca="false">IF(OR(E155="",F155=""),"",SUMIFS(Presupuesto!G$7:G$67,Presupuesto!B$7:B$67,E155,Presupuesto!C$7:C$67,F155))</f>
        <v/>
      </c>
      <c r="K155" s="62" t="str">
        <f aca="false">IF(OR(E155="",F155=""),"",SUMIFS(I$7:I155,E$7:E155,E155,F$7:F155,F155))</f>
        <v/>
      </c>
      <c r="L155" s="62" t="str">
        <f aca="false">IF(OR(E155="",F155=""),"",J155-SUMIFS(I$7:I$506,E$7:E$506,E155,F$7:F$506,F155))</f>
        <v/>
      </c>
      <c r="N155" s="40"/>
    </row>
    <row r="156" customFormat="false" ht="15.75" hidden="false" customHeight="true" outlineLevel="0" collapsed="false">
      <c r="A156" s="35"/>
      <c r="B156" s="54" t="n">
        <f aca="false">EOMONTH(C156,0)</f>
        <v>1</v>
      </c>
      <c r="C156" s="55"/>
      <c r="D156" s="40"/>
      <c r="E156" s="40"/>
      <c r="F156" s="40"/>
      <c r="G156" s="40"/>
      <c r="H156" s="40"/>
      <c r="I156" s="60"/>
      <c r="J156" s="61" t="str">
        <f aca="false">IF(OR(E156="",F156=""),"",SUMIFS(Presupuesto!G$7:G$67,Presupuesto!B$7:B$67,E156,Presupuesto!C$7:C$67,F156))</f>
        <v/>
      </c>
      <c r="K156" s="62" t="str">
        <f aca="false">IF(OR(E156="",F156=""),"",SUMIFS(I$7:I156,E$7:E156,E156,F$7:F156,F156))</f>
        <v/>
      </c>
      <c r="L156" s="62" t="str">
        <f aca="false">IF(OR(E156="",F156=""),"",J156-SUMIFS(I$7:I$506,E$7:E$506,E156,F$7:F$506,F156))</f>
        <v/>
      </c>
      <c r="N156" s="40"/>
    </row>
    <row r="157" customFormat="false" ht="15.75" hidden="false" customHeight="true" outlineLevel="0" collapsed="false">
      <c r="A157" s="35"/>
      <c r="B157" s="54" t="n">
        <f aca="false">EOMONTH(C157,0)</f>
        <v>1</v>
      </c>
      <c r="C157" s="55"/>
      <c r="D157" s="40"/>
      <c r="E157" s="40"/>
      <c r="F157" s="40"/>
      <c r="G157" s="40"/>
      <c r="H157" s="40"/>
      <c r="I157" s="60"/>
      <c r="J157" s="61" t="str">
        <f aca="false">IF(OR(E157="",F157=""),"",SUMIFS(Presupuesto!G$7:G$67,Presupuesto!B$7:B$67,E157,Presupuesto!C$7:C$67,F157))</f>
        <v/>
      </c>
      <c r="K157" s="62" t="str">
        <f aca="false">IF(OR(E157="",F157=""),"",SUMIFS(I$7:I157,E$7:E157,E157,F$7:F157,F157))</f>
        <v/>
      </c>
      <c r="L157" s="62" t="str">
        <f aca="false">IF(OR(E157="",F157=""),"",J157-SUMIFS(I$7:I$506,E$7:E$506,E157,F$7:F$506,F157))</f>
        <v/>
      </c>
      <c r="N157" s="40"/>
    </row>
    <row r="158" customFormat="false" ht="15.75" hidden="false" customHeight="true" outlineLevel="0" collapsed="false">
      <c r="A158" s="35"/>
      <c r="B158" s="54" t="n">
        <f aca="false">EOMONTH(C158,0)</f>
        <v>1</v>
      </c>
      <c r="C158" s="55"/>
      <c r="D158" s="40"/>
      <c r="E158" s="40"/>
      <c r="F158" s="40"/>
      <c r="G158" s="40"/>
      <c r="H158" s="40"/>
      <c r="I158" s="60"/>
      <c r="J158" s="61" t="str">
        <f aca="false">IF(OR(E158="",F158=""),"",SUMIFS(Presupuesto!G$7:G$67,Presupuesto!B$7:B$67,E158,Presupuesto!C$7:C$67,F158))</f>
        <v/>
      </c>
      <c r="K158" s="62" t="str">
        <f aca="false">IF(OR(E158="",F158=""),"",SUMIFS(I$7:I158,E$7:E158,E158,F$7:F158,F158))</f>
        <v/>
      </c>
      <c r="L158" s="62" t="str">
        <f aca="false">IF(OR(E158="",F158=""),"",J158-SUMIFS(I$7:I$506,E$7:E$506,E158,F$7:F$506,F158))</f>
        <v/>
      </c>
      <c r="N158" s="40"/>
    </row>
    <row r="159" customFormat="false" ht="15.75" hidden="false" customHeight="true" outlineLevel="0" collapsed="false">
      <c r="A159" s="35"/>
      <c r="B159" s="54" t="n">
        <f aca="false">EOMONTH(C159,0)</f>
        <v>1</v>
      </c>
      <c r="C159" s="55"/>
      <c r="D159" s="40"/>
      <c r="E159" s="40"/>
      <c r="F159" s="40"/>
      <c r="G159" s="40"/>
      <c r="H159" s="40"/>
      <c r="I159" s="60"/>
      <c r="J159" s="61" t="str">
        <f aca="false">IF(OR(E159="",F159=""),"",SUMIFS(Presupuesto!G$7:G$67,Presupuesto!B$7:B$67,E159,Presupuesto!C$7:C$67,F159))</f>
        <v/>
      </c>
      <c r="K159" s="62" t="str">
        <f aca="false">IF(OR(E159="",F159=""),"",SUMIFS(I$7:I159,E$7:E159,E159,F$7:F159,F159))</f>
        <v/>
      </c>
      <c r="L159" s="62" t="str">
        <f aca="false">IF(OR(E159="",F159=""),"",J159-SUMIFS(I$7:I$506,E$7:E$506,E159,F$7:F$506,F159))</f>
        <v/>
      </c>
      <c r="N159" s="40"/>
    </row>
    <row r="160" customFormat="false" ht="15.75" hidden="false" customHeight="true" outlineLevel="0" collapsed="false">
      <c r="A160" s="35"/>
      <c r="B160" s="54" t="n">
        <f aca="false">EOMONTH(C160,0)</f>
        <v>1</v>
      </c>
      <c r="C160" s="55"/>
      <c r="D160" s="40"/>
      <c r="E160" s="40"/>
      <c r="F160" s="40"/>
      <c r="G160" s="40"/>
      <c r="H160" s="40"/>
      <c r="I160" s="60"/>
      <c r="J160" s="61" t="str">
        <f aca="false">IF(OR(E160="",F160=""),"",SUMIFS(Presupuesto!G$7:G$67,Presupuesto!B$7:B$67,E160,Presupuesto!C$7:C$67,F160))</f>
        <v/>
      </c>
      <c r="K160" s="62" t="str">
        <f aca="false">IF(OR(E160="",F160=""),"",SUMIFS(I$7:I160,E$7:E160,E160,F$7:F160,F160))</f>
        <v/>
      </c>
      <c r="L160" s="62" t="str">
        <f aca="false">IF(OR(E160="",F160=""),"",J160-SUMIFS(I$7:I$506,E$7:E$506,E160,F$7:F$506,F160))</f>
        <v/>
      </c>
      <c r="N160" s="40"/>
    </row>
    <row r="161" customFormat="false" ht="15.75" hidden="false" customHeight="true" outlineLevel="0" collapsed="false">
      <c r="A161" s="35"/>
      <c r="B161" s="54" t="n">
        <f aca="false">EOMONTH(C161,0)</f>
        <v>1</v>
      </c>
      <c r="C161" s="55"/>
      <c r="D161" s="40"/>
      <c r="E161" s="40"/>
      <c r="F161" s="40"/>
      <c r="G161" s="40"/>
      <c r="H161" s="40"/>
      <c r="I161" s="60"/>
      <c r="J161" s="61" t="str">
        <f aca="false">IF(OR(E161="",F161=""),"",SUMIFS(Presupuesto!G$7:G$67,Presupuesto!B$7:B$67,E161,Presupuesto!C$7:C$67,F161))</f>
        <v/>
      </c>
      <c r="K161" s="62" t="str">
        <f aca="false">IF(OR(E161="",F161=""),"",SUMIFS(I$7:I161,E$7:E161,E161,F$7:F161,F161))</f>
        <v/>
      </c>
      <c r="L161" s="62" t="str">
        <f aca="false">IF(OR(E161="",F161=""),"",J161-SUMIFS(I$7:I$506,E$7:E$506,E161,F$7:F$506,F161))</f>
        <v/>
      </c>
      <c r="N161" s="40"/>
    </row>
    <row r="162" customFormat="false" ht="15.75" hidden="false" customHeight="true" outlineLevel="0" collapsed="false">
      <c r="A162" s="35"/>
      <c r="B162" s="54" t="n">
        <f aca="false">EOMONTH(C162,0)</f>
        <v>1</v>
      </c>
      <c r="C162" s="55"/>
      <c r="D162" s="40"/>
      <c r="E162" s="40"/>
      <c r="F162" s="40"/>
      <c r="G162" s="40"/>
      <c r="H162" s="40"/>
      <c r="I162" s="60"/>
      <c r="J162" s="61" t="str">
        <f aca="false">IF(OR(E162="",F162=""),"",SUMIFS(Presupuesto!G$7:G$67,Presupuesto!B$7:B$67,E162,Presupuesto!C$7:C$67,F162))</f>
        <v/>
      </c>
      <c r="K162" s="62" t="str">
        <f aca="false">IF(OR(E162="",F162=""),"",SUMIFS(I$7:I162,E$7:E162,E162,F$7:F162,F162))</f>
        <v/>
      </c>
      <c r="L162" s="62" t="str">
        <f aca="false">IF(OR(E162="",F162=""),"",J162-SUMIFS(I$7:I$506,E$7:E$506,E162,F$7:F$506,F162))</f>
        <v/>
      </c>
      <c r="N162" s="40"/>
    </row>
    <row r="163" customFormat="false" ht="15.75" hidden="false" customHeight="true" outlineLevel="0" collapsed="false">
      <c r="A163" s="35"/>
      <c r="B163" s="54" t="n">
        <f aca="false">EOMONTH(C163,0)</f>
        <v>1</v>
      </c>
      <c r="C163" s="55"/>
      <c r="D163" s="40"/>
      <c r="E163" s="40"/>
      <c r="F163" s="40"/>
      <c r="G163" s="40"/>
      <c r="H163" s="40"/>
      <c r="I163" s="60"/>
      <c r="J163" s="61" t="str">
        <f aca="false">IF(OR(E163="",F163=""),"",SUMIFS(Presupuesto!G$7:G$67,Presupuesto!B$7:B$67,E163,Presupuesto!C$7:C$67,F163))</f>
        <v/>
      </c>
      <c r="K163" s="62" t="str">
        <f aca="false">IF(OR(E163="",F163=""),"",SUMIFS(I$7:I163,E$7:E163,E163,F$7:F163,F163))</f>
        <v/>
      </c>
      <c r="L163" s="62" t="str">
        <f aca="false">IF(OR(E163="",F163=""),"",J163-SUMIFS(I$7:I$506,E$7:E$506,E163,F$7:F$506,F163))</f>
        <v/>
      </c>
      <c r="N163" s="40"/>
    </row>
    <row r="164" customFormat="false" ht="15.75" hidden="false" customHeight="true" outlineLevel="0" collapsed="false">
      <c r="A164" s="35"/>
      <c r="B164" s="54" t="n">
        <f aca="false">EOMONTH(C164,0)</f>
        <v>1</v>
      </c>
      <c r="C164" s="55"/>
      <c r="D164" s="40"/>
      <c r="E164" s="40"/>
      <c r="F164" s="40"/>
      <c r="G164" s="40"/>
      <c r="H164" s="40"/>
      <c r="I164" s="60"/>
      <c r="J164" s="61" t="str">
        <f aca="false">IF(OR(E164="",F164=""),"",SUMIFS(Presupuesto!G$7:G$67,Presupuesto!B$7:B$67,E164,Presupuesto!C$7:C$67,F164))</f>
        <v/>
      </c>
      <c r="K164" s="62" t="str">
        <f aca="false">IF(OR(E164="",F164=""),"",SUMIFS(I$7:I164,E$7:E164,E164,F$7:F164,F164))</f>
        <v/>
      </c>
      <c r="L164" s="62" t="str">
        <f aca="false">IF(OR(E164="",F164=""),"",J164-SUMIFS(I$7:I$506,E$7:E$506,E164,F$7:F$506,F164))</f>
        <v/>
      </c>
      <c r="N164" s="40"/>
    </row>
    <row r="165" customFormat="false" ht="15.75" hidden="false" customHeight="true" outlineLevel="0" collapsed="false">
      <c r="A165" s="35"/>
      <c r="B165" s="54" t="n">
        <f aca="false">EOMONTH(C165,0)</f>
        <v>1</v>
      </c>
      <c r="C165" s="55"/>
      <c r="D165" s="40"/>
      <c r="E165" s="40"/>
      <c r="F165" s="40"/>
      <c r="G165" s="40"/>
      <c r="H165" s="40"/>
      <c r="I165" s="60"/>
      <c r="J165" s="61" t="str">
        <f aca="false">IF(OR(E165="",F165=""),"",SUMIFS(Presupuesto!G$7:G$67,Presupuesto!B$7:B$67,E165,Presupuesto!C$7:C$67,F165))</f>
        <v/>
      </c>
      <c r="K165" s="62" t="str">
        <f aca="false">IF(OR(E165="",F165=""),"",SUMIFS(I$7:I165,E$7:E165,E165,F$7:F165,F165))</f>
        <v/>
      </c>
      <c r="L165" s="62" t="str">
        <f aca="false">IF(OR(E165="",F165=""),"",J165-SUMIFS(I$7:I$506,E$7:E$506,E165,F$7:F$506,F165))</f>
        <v/>
      </c>
      <c r="N165" s="40"/>
    </row>
    <row r="166" customFormat="false" ht="15.75" hidden="false" customHeight="true" outlineLevel="0" collapsed="false">
      <c r="A166" s="35"/>
      <c r="B166" s="54" t="n">
        <f aca="false">EOMONTH(C166,0)</f>
        <v>1</v>
      </c>
      <c r="C166" s="55"/>
      <c r="D166" s="40"/>
      <c r="E166" s="40"/>
      <c r="F166" s="40"/>
      <c r="G166" s="40"/>
      <c r="H166" s="40"/>
      <c r="I166" s="60"/>
      <c r="J166" s="61" t="str">
        <f aca="false">IF(OR(E166="",F166=""),"",SUMIFS(Presupuesto!G$7:G$67,Presupuesto!B$7:B$67,E166,Presupuesto!C$7:C$67,F166))</f>
        <v/>
      </c>
      <c r="K166" s="62" t="str">
        <f aca="false">IF(OR(E166="",F166=""),"",SUMIFS(I$7:I166,E$7:E166,E166,F$7:F166,F166))</f>
        <v/>
      </c>
      <c r="L166" s="62" t="str">
        <f aca="false">IF(OR(E166="",F166=""),"",J166-SUMIFS(I$7:I$506,E$7:E$506,E166,F$7:F$506,F166))</f>
        <v/>
      </c>
      <c r="N166" s="40"/>
    </row>
    <row r="167" customFormat="false" ht="15.75" hidden="false" customHeight="true" outlineLevel="0" collapsed="false">
      <c r="A167" s="35"/>
      <c r="B167" s="54" t="n">
        <f aca="false">EOMONTH(C167,0)</f>
        <v>1</v>
      </c>
      <c r="C167" s="55"/>
      <c r="D167" s="40"/>
      <c r="E167" s="40"/>
      <c r="F167" s="40"/>
      <c r="G167" s="40"/>
      <c r="H167" s="40"/>
      <c r="I167" s="60"/>
      <c r="J167" s="61" t="str">
        <f aca="false">IF(OR(E167="",F167=""),"",SUMIFS(Presupuesto!G$7:G$67,Presupuesto!B$7:B$67,E167,Presupuesto!C$7:C$67,F167))</f>
        <v/>
      </c>
      <c r="K167" s="62" t="str">
        <f aca="false">IF(OR(E167="",F167=""),"",SUMIFS(I$7:I167,E$7:E167,E167,F$7:F167,F167))</f>
        <v/>
      </c>
      <c r="L167" s="62" t="str">
        <f aca="false">IF(OR(E167="",F167=""),"",J167-SUMIFS(I$7:I$506,E$7:E$506,E167,F$7:F$506,F167))</f>
        <v/>
      </c>
      <c r="N167" s="40"/>
    </row>
    <row r="168" customFormat="false" ht="15.75" hidden="false" customHeight="true" outlineLevel="0" collapsed="false">
      <c r="A168" s="35"/>
      <c r="B168" s="54" t="n">
        <f aca="false">EOMONTH(C168,0)</f>
        <v>1</v>
      </c>
      <c r="C168" s="55"/>
      <c r="D168" s="40"/>
      <c r="E168" s="40"/>
      <c r="F168" s="40"/>
      <c r="G168" s="40"/>
      <c r="H168" s="40"/>
      <c r="I168" s="60"/>
      <c r="J168" s="61" t="str">
        <f aca="false">IF(OR(E168="",F168=""),"",SUMIFS(Presupuesto!G$7:G$67,Presupuesto!B$7:B$67,E168,Presupuesto!C$7:C$67,F168))</f>
        <v/>
      </c>
      <c r="K168" s="62" t="str">
        <f aca="false">IF(OR(E168="",F168=""),"",SUMIFS(I$7:I168,E$7:E168,E168,F$7:F168,F168))</f>
        <v/>
      </c>
      <c r="L168" s="62" t="str">
        <f aca="false">IF(OR(E168="",F168=""),"",J168-SUMIFS(I$7:I$506,E$7:E$506,E168,F$7:F$506,F168))</f>
        <v/>
      </c>
      <c r="N168" s="40"/>
    </row>
    <row r="169" customFormat="false" ht="15.75" hidden="false" customHeight="true" outlineLevel="0" collapsed="false">
      <c r="A169" s="35"/>
      <c r="B169" s="54" t="n">
        <f aca="false">EOMONTH(C169,0)</f>
        <v>1</v>
      </c>
      <c r="C169" s="55"/>
      <c r="D169" s="40"/>
      <c r="E169" s="40"/>
      <c r="F169" s="40"/>
      <c r="G169" s="40"/>
      <c r="H169" s="40"/>
      <c r="I169" s="60"/>
      <c r="J169" s="61" t="str">
        <f aca="false">IF(OR(E169="",F169=""),"",SUMIFS(Presupuesto!G$7:G$67,Presupuesto!B$7:B$67,E169,Presupuesto!C$7:C$67,F169))</f>
        <v/>
      </c>
      <c r="K169" s="62" t="str">
        <f aca="false">IF(OR(E169="",F169=""),"",SUMIFS(I$7:I169,E$7:E169,E169,F$7:F169,F169))</f>
        <v/>
      </c>
      <c r="L169" s="62" t="str">
        <f aca="false">IF(OR(E169="",F169=""),"",J169-SUMIFS(I$7:I$506,E$7:E$506,E169,F$7:F$506,F169))</f>
        <v/>
      </c>
      <c r="N169" s="40"/>
    </row>
    <row r="170" customFormat="false" ht="15.75" hidden="false" customHeight="true" outlineLevel="0" collapsed="false">
      <c r="A170" s="35"/>
      <c r="B170" s="54" t="n">
        <f aca="false">EOMONTH(C170,0)</f>
        <v>1</v>
      </c>
      <c r="C170" s="55"/>
      <c r="D170" s="40"/>
      <c r="E170" s="40"/>
      <c r="F170" s="40"/>
      <c r="G170" s="40"/>
      <c r="H170" s="40"/>
      <c r="I170" s="60"/>
      <c r="J170" s="61" t="str">
        <f aca="false">IF(OR(E170="",F170=""),"",SUMIFS(Presupuesto!G$7:G$67,Presupuesto!B$7:B$67,E170,Presupuesto!C$7:C$67,F170))</f>
        <v/>
      </c>
      <c r="K170" s="62" t="str">
        <f aca="false">IF(OR(E170="",F170=""),"",SUMIFS(I$7:I170,E$7:E170,E170,F$7:F170,F170))</f>
        <v/>
      </c>
      <c r="L170" s="62" t="str">
        <f aca="false">IF(OR(E170="",F170=""),"",J170-SUMIFS(I$7:I$506,E$7:E$506,E170,F$7:F$506,F170))</f>
        <v/>
      </c>
      <c r="N170" s="40"/>
    </row>
    <row r="171" customFormat="false" ht="15.75" hidden="false" customHeight="true" outlineLevel="0" collapsed="false">
      <c r="A171" s="35"/>
      <c r="B171" s="54" t="n">
        <f aca="false">EOMONTH(C171,0)</f>
        <v>1</v>
      </c>
      <c r="C171" s="55"/>
      <c r="D171" s="40"/>
      <c r="E171" s="40"/>
      <c r="F171" s="40"/>
      <c r="G171" s="40"/>
      <c r="H171" s="40"/>
      <c r="I171" s="60"/>
      <c r="J171" s="61" t="str">
        <f aca="false">IF(OR(E171="",F171=""),"",SUMIFS(Presupuesto!G$7:G$67,Presupuesto!B$7:B$67,E171,Presupuesto!C$7:C$67,F171))</f>
        <v/>
      </c>
      <c r="K171" s="62" t="str">
        <f aca="false">IF(OR(E171="",F171=""),"",SUMIFS(I$7:I171,E$7:E171,E171,F$7:F171,F171))</f>
        <v/>
      </c>
      <c r="L171" s="62" t="str">
        <f aca="false">IF(OR(E171="",F171=""),"",J171-SUMIFS(I$7:I$506,E$7:E$506,E171,F$7:F$506,F171))</f>
        <v/>
      </c>
      <c r="N171" s="40"/>
    </row>
    <row r="172" customFormat="false" ht="15.75" hidden="false" customHeight="true" outlineLevel="0" collapsed="false">
      <c r="A172" s="35"/>
      <c r="B172" s="54" t="n">
        <f aca="false">EOMONTH(C172,0)</f>
        <v>1</v>
      </c>
      <c r="C172" s="55"/>
      <c r="D172" s="40"/>
      <c r="E172" s="40"/>
      <c r="F172" s="40"/>
      <c r="G172" s="40"/>
      <c r="H172" s="40"/>
      <c r="I172" s="60"/>
      <c r="J172" s="61" t="str">
        <f aca="false">IF(OR(E172="",F172=""),"",SUMIFS(Presupuesto!G$7:G$67,Presupuesto!B$7:B$67,E172,Presupuesto!C$7:C$67,F172))</f>
        <v/>
      </c>
      <c r="K172" s="62" t="str">
        <f aca="false">IF(OR(E172="",F172=""),"",SUMIFS(I$7:I172,E$7:E172,E172,F$7:F172,F172))</f>
        <v/>
      </c>
      <c r="L172" s="62" t="str">
        <f aca="false">IF(OR(E172="",F172=""),"",J172-SUMIFS(I$7:I$506,E$7:E$506,E172,F$7:F$506,F172))</f>
        <v/>
      </c>
      <c r="N172" s="40"/>
    </row>
    <row r="173" customFormat="false" ht="15.75" hidden="false" customHeight="true" outlineLevel="0" collapsed="false">
      <c r="A173" s="35"/>
      <c r="B173" s="54" t="n">
        <f aca="false">EOMONTH(C173,0)</f>
        <v>1</v>
      </c>
      <c r="C173" s="55"/>
      <c r="D173" s="40"/>
      <c r="E173" s="40"/>
      <c r="F173" s="40"/>
      <c r="G173" s="40"/>
      <c r="H173" s="40"/>
      <c r="I173" s="60"/>
      <c r="J173" s="61" t="str">
        <f aca="false">IF(OR(E173="",F173=""),"",SUMIFS(Presupuesto!G$7:G$67,Presupuesto!B$7:B$67,E173,Presupuesto!C$7:C$67,F173))</f>
        <v/>
      </c>
      <c r="K173" s="62" t="str">
        <f aca="false">IF(OR(E173="",F173=""),"",SUMIFS(I$7:I173,E$7:E173,E173,F$7:F173,F173))</f>
        <v/>
      </c>
      <c r="L173" s="62" t="str">
        <f aca="false">IF(OR(E173="",F173=""),"",J173-SUMIFS(I$7:I$506,E$7:E$506,E173,F$7:F$506,F173))</f>
        <v/>
      </c>
      <c r="N173" s="40"/>
    </row>
    <row r="174" customFormat="false" ht="15.75" hidden="false" customHeight="true" outlineLevel="0" collapsed="false">
      <c r="A174" s="35"/>
      <c r="B174" s="54" t="n">
        <f aca="false">EOMONTH(C174,0)</f>
        <v>1</v>
      </c>
      <c r="C174" s="55"/>
      <c r="D174" s="40"/>
      <c r="E174" s="40"/>
      <c r="F174" s="40"/>
      <c r="G174" s="40"/>
      <c r="H174" s="40"/>
      <c r="I174" s="60"/>
      <c r="J174" s="61" t="str">
        <f aca="false">IF(OR(E174="",F174=""),"",SUMIFS(Presupuesto!G$7:G$67,Presupuesto!B$7:B$67,E174,Presupuesto!C$7:C$67,F174))</f>
        <v/>
      </c>
      <c r="K174" s="62" t="str">
        <f aca="false">IF(OR(E174="",F174=""),"",SUMIFS(I$7:I174,E$7:E174,E174,F$7:F174,F174))</f>
        <v/>
      </c>
      <c r="L174" s="62" t="str">
        <f aca="false">IF(OR(E174="",F174=""),"",J174-SUMIFS(I$7:I$506,E$7:E$506,E174,F$7:F$506,F174))</f>
        <v/>
      </c>
      <c r="N174" s="40"/>
    </row>
    <row r="175" customFormat="false" ht="15.75" hidden="false" customHeight="true" outlineLevel="0" collapsed="false">
      <c r="A175" s="35"/>
      <c r="B175" s="54" t="n">
        <f aca="false">EOMONTH(C175,0)</f>
        <v>1</v>
      </c>
      <c r="C175" s="55"/>
      <c r="D175" s="40"/>
      <c r="E175" s="40"/>
      <c r="F175" s="40"/>
      <c r="G175" s="40"/>
      <c r="H175" s="40"/>
      <c r="I175" s="60"/>
      <c r="J175" s="61" t="str">
        <f aca="false">IF(OR(E175="",F175=""),"",SUMIFS(Presupuesto!G$7:G$67,Presupuesto!B$7:B$67,E175,Presupuesto!C$7:C$67,F175))</f>
        <v/>
      </c>
      <c r="K175" s="62" t="str">
        <f aca="false">IF(OR(E175="",F175=""),"",SUMIFS(I$7:I175,E$7:E175,E175,F$7:F175,F175))</f>
        <v/>
      </c>
      <c r="L175" s="62" t="str">
        <f aca="false">IF(OR(E175="",F175=""),"",J175-SUMIFS(I$7:I$506,E$7:E$506,E175,F$7:F$506,F175))</f>
        <v/>
      </c>
      <c r="N175" s="40"/>
    </row>
    <row r="176" customFormat="false" ht="15.75" hidden="false" customHeight="true" outlineLevel="0" collapsed="false">
      <c r="A176" s="35"/>
      <c r="B176" s="54" t="n">
        <f aca="false">EOMONTH(C176,0)</f>
        <v>1</v>
      </c>
      <c r="C176" s="55"/>
      <c r="D176" s="40"/>
      <c r="E176" s="40"/>
      <c r="F176" s="40"/>
      <c r="G176" s="40"/>
      <c r="H176" s="40"/>
      <c r="I176" s="60"/>
      <c r="J176" s="61" t="str">
        <f aca="false">IF(OR(E176="",F176=""),"",SUMIFS(Presupuesto!G$7:G$67,Presupuesto!B$7:B$67,E176,Presupuesto!C$7:C$67,F176))</f>
        <v/>
      </c>
      <c r="K176" s="62" t="str">
        <f aca="false">IF(OR(E176="",F176=""),"",SUMIFS(I$7:I176,E$7:E176,E176,F$7:F176,F176))</f>
        <v/>
      </c>
      <c r="L176" s="62" t="str">
        <f aca="false">IF(OR(E176="",F176=""),"",J176-SUMIFS(I$7:I$506,E$7:E$506,E176,F$7:F$506,F176))</f>
        <v/>
      </c>
      <c r="N176" s="40"/>
    </row>
    <row r="177" customFormat="false" ht="15.75" hidden="false" customHeight="true" outlineLevel="0" collapsed="false">
      <c r="A177" s="35"/>
      <c r="B177" s="54" t="n">
        <f aca="false">EOMONTH(C177,0)</f>
        <v>1</v>
      </c>
      <c r="C177" s="55"/>
      <c r="D177" s="40"/>
      <c r="E177" s="40"/>
      <c r="F177" s="40"/>
      <c r="G177" s="40"/>
      <c r="H177" s="40"/>
      <c r="I177" s="60"/>
      <c r="J177" s="61" t="str">
        <f aca="false">IF(OR(E177="",F177=""),"",SUMIFS(Presupuesto!G$7:G$67,Presupuesto!B$7:B$67,E177,Presupuesto!C$7:C$67,F177))</f>
        <v/>
      </c>
      <c r="K177" s="62" t="str">
        <f aca="false">IF(OR(E177="",F177=""),"",SUMIFS(I$7:I177,E$7:E177,E177,F$7:F177,F177))</f>
        <v/>
      </c>
      <c r="L177" s="62" t="str">
        <f aca="false">IF(OR(E177="",F177=""),"",J177-SUMIFS(I$7:I$506,E$7:E$506,E177,F$7:F$506,F177))</f>
        <v/>
      </c>
      <c r="N177" s="40"/>
    </row>
    <row r="178" customFormat="false" ht="15.75" hidden="false" customHeight="true" outlineLevel="0" collapsed="false">
      <c r="A178" s="35"/>
      <c r="B178" s="54" t="n">
        <f aca="false">EOMONTH(C178,0)</f>
        <v>1</v>
      </c>
      <c r="C178" s="55"/>
      <c r="D178" s="40"/>
      <c r="E178" s="40"/>
      <c r="F178" s="40"/>
      <c r="G178" s="40"/>
      <c r="H178" s="40"/>
      <c r="I178" s="60"/>
      <c r="J178" s="61" t="str">
        <f aca="false">IF(OR(E178="",F178=""),"",SUMIFS(Presupuesto!G$7:G$67,Presupuesto!B$7:B$67,E178,Presupuesto!C$7:C$67,F178))</f>
        <v/>
      </c>
      <c r="K178" s="62" t="str">
        <f aca="false">IF(OR(E178="",F178=""),"",SUMIFS(I$7:I178,E$7:E178,E178,F$7:F178,F178))</f>
        <v/>
      </c>
      <c r="L178" s="62" t="str">
        <f aca="false">IF(OR(E178="",F178=""),"",J178-SUMIFS(I$7:I$506,E$7:E$506,E178,F$7:F$506,F178))</f>
        <v/>
      </c>
      <c r="N178" s="40"/>
    </row>
    <row r="179" customFormat="false" ht="15.75" hidden="false" customHeight="true" outlineLevel="0" collapsed="false">
      <c r="A179" s="35"/>
      <c r="B179" s="54" t="n">
        <f aca="false">EOMONTH(C179,0)</f>
        <v>1</v>
      </c>
      <c r="C179" s="55"/>
      <c r="D179" s="40"/>
      <c r="E179" s="40"/>
      <c r="F179" s="40"/>
      <c r="G179" s="40"/>
      <c r="H179" s="40"/>
      <c r="I179" s="60"/>
      <c r="J179" s="61" t="str">
        <f aca="false">IF(OR(E179="",F179=""),"",SUMIFS(Presupuesto!G$7:G$67,Presupuesto!B$7:B$67,E179,Presupuesto!C$7:C$67,F179))</f>
        <v/>
      </c>
      <c r="K179" s="62" t="str">
        <f aca="false">IF(OR(E179="",F179=""),"",SUMIFS(I$7:I179,E$7:E179,E179,F$7:F179,F179))</f>
        <v/>
      </c>
      <c r="L179" s="62" t="str">
        <f aca="false">IF(OR(E179="",F179=""),"",J179-SUMIFS(I$7:I$506,E$7:E$506,E179,F$7:F$506,F179))</f>
        <v/>
      </c>
      <c r="N179" s="40"/>
    </row>
    <row r="180" customFormat="false" ht="15.75" hidden="false" customHeight="true" outlineLevel="0" collapsed="false">
      <c r="A180" s="35"/>
      <c r="B180" s="54" t="n">
        <f aca="false">EOMONTH(C180,0)</f>
        <v>1</v>
      </c>
      <c r="C180" s="55"/>
      <c r="D180" s="40"/>
      <c r="E180" s="40"/>
      <c r="F180" s="40"/>
      <c r="G180" s="40"/>
      <c r="H180" s="40"/>
      <c r="I180" s="60"/>
      <c r="J180" s="61" t="str">
        <f aca="false">IF(OR(E180="",F180=""),"",SUMIFS(Presupuesto!G$7:G$67,Presupuesto!B$7:B$67,E180,Presupuesto!C$7:C$67,F180))</f>
        <v/>
      </c>
      <c r="K180" s="62" t="str">
        <f aca="false">IF(OR(E180="",F180=""),"",SUMIFS(I$7:I180,E$7:E180,E180,F$7:F180,F180))</f>
        <v/>
      </c>
      <c r="L180" s="62" t="str">
        <f aca="false">IF(OR(E180="",F180=""),"",J180-SUMIFS(I$7:I$506,E$7:E$506,E180,F$7:F$506,F180))</f>
        <v/>
      </c>
      <c r="N180" s="40"/>
    </row>
    <row r="181" customFormat="false" ht="15.75" hidden="false" customHeight="true" outlineLevel="0" collapsed="false">
      <c r="A181" s="35"/>
      <c r="B181" s="54" t="n">
        <f aca="false">EOMONTH(C181,0)</f>
        <v>1</v>
      </c>
      <c r="C181" s="55"/>
      <c r="D181" s="40"/>
      <c r="E181" s="40"/>
      <c r="F181" s="40"/>
      <c r="G181" s="40"/>
      <c r="H181" s="40"/>
      <c r="I181" s="60"/>
      <c r="J181" s="61" t="str">
        <f aca="false">IF(OR(E181="",F181=""),"",SUMIFS(Presupuesto!G$7:G$67,Presupuesto!B$7:B$67,E181,Presupuesto!C$7:C$67,F181))</f>
        <v/>
      </c>
      <c r="K181" s="62" t="str">
        <f aca="false">IF(OR(E181="",F181=""),"",SUMIFS(I$7:I181,E$7:E181,E181,F$7:F181,F181))</f>
        <v/>
      </c>
      <c r="L181" s="62" t="str">
        <f aca="false">IF(OR(E181="",F181=""),"",J181-SUMIFS(I$7:I$506,E$7:E$506,E181,F$7:F$506,F181))</f>
        <v/>
      </c>
      <c r="N181" s="40"/>
    </row>
    <row r="182" customFormat="false" ht="15.75" hidden="false" customHeight="true" outlineLevel="0" collapsed="false">
      <c r="A182" s="35"/>
      <c r="B182" s="54" t="n">
        <f aca="false">EOMONTH(C182,0)</f>
        <v>1</v>
      </c>
      <c r="C182" s="55"/>
      <c r="D182" s="40"/>
      <c r="E182" s="40"/>
      <c r="F182" s="40"/>
      <c r="G182" s="40"/>
      <c r="H182" s="40"/>
      <c r="I182" s="60"/>
      <c r="J182" s="61" t="str">
        <f aca="false">IF(OR(E182="",F182=""),"",SUMIFS(Presupuesto!G$7:G$67,Presupuesto!B$7:B$67,E182,Presupuesto!C$7:C$67,F182))</f>
        <v/>
      </c>
      <c r="K182" s="62" t="str">
        <f aca="false">IF(OR(E182="",F182=""),"",SUMIFS(I$7:I182,E$7:E182,E182,F$7:F182,F182))</f>
        <v/>
      </c>
      <c r="L182" s="62" t="str">
        <f aca="false">IF(OR(E182="",F182=""),"",J182-SUMIFS(I$7:I$506,E$7:E$506,E182,F$7:F$506,F182))</f>
        <v/>
      </c>
      <c r="N182" s="40"/>
    </row>
    <row r="183" customFormat="false" ht="15.75" hidden="false" customHeight="true" outlineLevel="0" collapsed="false">
      <c r="A183" s="35"/>
      <c r="B183" s="54" t="n">
        <f aca="false">EOMONTH(C183,0)</f>
        <v>1</v>
      </c>
      <c r="C183" s="55"/>
      <c r="D183" s="40"/>
      <c r="E183" s="40"/>
      <c r="F183" s="40"/>
      <c r="G183" s="40"/>
      <c r="H183" s="40"/>
      <c r="I183" s="60"/>
      <c r="J183" s="61" t="str">
        <f aca="false">IF(OR(E183="",F183=""),"",SUMIFS(Presupuesto!G$7:G$67,Presupuesto!B$7:B$67,E183,Presupuesto!C$7:C$67,F183))</f>
        <v/>
      </c>
      <c r="K183" s="62" t="str">
        <f aca="false">IF(OR(E183="",F183=""),"",SUMIFS(I$7:I183,E$7:E183,E183,F$7:F183,F183))</f>
        <v/>
      </c>
      <c r="L183" s="62" t="str">
        <f aca="false">IF(OR(E183="",F183=""),"",J183-SUMIFS(I$7:I$506,E$7:E$506,E183,F$7:F$506,F183))</f>
        <v/>
      </c>
      <c r="N183" s="40"/>
    </row>
    <row r="184" customFormat="false" ht="15.75" hidden="false" customHeight="true" outlineLevel="0" collapsed="false">
      <c r="A184" s="35"/>
      <c r="B184" s="54" t="n">
        <f aca="false">EOMONTH(C184,0)</f>
        <v>1</v>
      </c>
      <c r="C184" s="55"/>
      <c r="D184" s="40"/>
      <c r="E184" s="40"/>
      <c r="F184" s="40"/>
      <c r="G184" s="40"/>
      <c r="H184" s="40"/>
      <c r="I184" s="60"/>
      <c r="J184" s="61" t="str">
        <f aca="false">IF(OR(E184="",F184=""),"",SUMIFS(Presupuesto!G$7:G$67,Presupuesto!B$7:B$67,E184,Presupuesto!C$7:C$67,F184))</f>
        <v/>
      </c>
      <c r="K184" s="62" t="str">
        <f aca="false">IF(OR(E184="",F184=""),"",SUMIFS(I$7:I184,E$7:E184,E184,F$7:F184,F184))</f>
        <v/>
      </c>
      <c r="L184" s="62" t="str">
        <f aca="false">IF(OR(E184="",F184=""),"",J184-SUMIFS(I$7:I$506,E$7:E$506,E184,F$7:F$506,F184))</f>
        <v/>
      </c>
      <c r="N184" s="40"/>
    </row>
    <row r="185" customFormat="false" ht="15.75" hidden="false" customHeight="true" outlineLevel="0" collapsed="false">
      <c r="A185" s="35"/>
      <c r="B185" s="54" t="n">
        <f aca="false">EOMONTH(C185,0)</f>
        <v>1</v>
      </c>
      <c r="C185" s="55"/>
      <c r="D185" s="40"/>
      <c r="E185" s="40"/>
      <c r="F185" s="40"/>
      <c r="G185" s="40"/>
      <c r="H185" s="40"/>
      <c r="I185" s="60"/>
      <c r="J185" s="61" t="str">
        <f aca="false">IF(OR(E185="",F185=""),"",SUMIFS(Presupuesto!G$7:G$67,Presupuesto!B$7:B$67,E185,Presupuesto!C$7:C$67,F185))</f>
        <v/>
      </c>
      <c r="K185" s="62" t="str">
        <f aca="false">IF(OR(E185="",F185=""),"",SUMIFS(I$7:I185,E$7:E185,E185,F$7:F185,F185))</f>
        <v/>
      </c>
      <c r="L185" s="62" t="str">
        <f aca="false">IF(OR(E185="",F185=""),"",J185-SUMIFS(I$7:I$506,E$7:E$506,E185,F$7:F$506,F185))</f>
        <v/>
      </c>
      <c r="N185" s="40"/>
    </row>
    <row r="186" customFormat="false" ht="15.75" hidden="false" customHeight="true" outlineLevel="0" collapsed="false">
      <c r="A186" s="35"/>
      <c r="B186" s="54" t="n">
        <f aca="false">EOMONTH(C186,0)</f>
        <v>1</v>
      </c>
      <c r="C186" s="55"/>
      <c r="D186" s="40"/>
      <c r="E186" s="40"/>
      <c r="F186" s="40"/>
      <c r="G186" s="40"/>
      <c r="H186" s="40"/>
      <c r="I186" s="60"/>
      <c r="J186" s="61" t="str">
        <f aca="false">IF(OR(E186="",F186=""),"",SUMIFS(Presupuesto!G$7:G$67,Presupuesto!B$7:B$67,E186,Presupuesto!C$7:C$67,F186))</f>
        <v/>
      </c>
      <c r="K186" s="62" t="str">
        <f aca="false">IF(OR(E186="",F186=""),"",SUMIFS(I$7:I186,E$7:E186,E186,F$7:F186,F186))</f>
        <v/>
      </c>
      <c r="L186" s="62" t="str">
        <f aca="false">IF(OR(E186="",F186=""),"",J186-SUMIFS(I$7:I$506,E$7:E$506,E186,F$7:F$506,F186))</f>
        <v/>
      </c>
      <c r="N186" s="40"/>
    </row>
    <row r="187" customFormat="false" ht="15.75" hidden="false" customHeight="true" outlineLevel="0" collapsed="false">
      <c r="A187" s="35"/>
      <c r="B187" s="54" t="n">
        <f aca="false">EOMONTH(C187,0)</f>
        <v>1</v>
      </c>
      <c r="C187" s="55"/>
      <c r="D187" s="40"/>
      <c r="E187" s="40"/>
      <c r="F187" s="40"/>
      <c r="G187" s="40"/>
      <c r="H187" s="40"/>
      <c r="I187" s="60"/>
      <c r="J187" s="61" t="str">
        <f aca="false">IF(OR(E187="",F187=""),"",SUMIFS(Presupuesto!G$7:G$67,Presupuesto!B$7:B$67,E187,Presupuesto!C$7:C$67,F187))</f>
        <v/>
      </c>
      <c r="K187" s="62" t="str">
        <f aca="false">IF(OR(E187="",F187=""),"",SUMIFS(I$7:I187,E$7:E187,E187,F$7:F187,F187))</f>
        <v/>
      </c>
      <c r="L187" s="62" t="str">
        <f aca="false">IF(OR(E187="",F187=""),"",J187-SUMIFS(I$7:I$506,E$7:E$506,E187,F$7:F$506,F187))</f>
        <v/>
      </c>
      <c r="N187" s="40"/>
    </row>
    <row r="188" customFormat="false" ht="15.75" hidden="false" customHeight="true" outlineLevel="0" collapsed="false">
      <c r="A188" s="35"/>
      <c r="B188" s="54" t="n">
        <f aca="false">EOMONTH(C188,0)</f>
        <v>1</v>
      </c>
      <c r="C188" s="55"/>
      <c r="D188" s="40"/>
      <c r="E188" s="40"/>
      <c r="F188" s="40"/>
      <c r="G188" s="40"/>
      <c r="H188" s="40"/>
      <c r="I188" s="60"/>
      <c r="J188" s="61" t="str">
        <f aca="false">IF(OR(E188="",F188=""),"",SUMIFS(Presupuesto!G$7:G$67,Presupuesto!B$7:B$67,E188,Presupuesto!C$7:C$67,F188))</f>
        <v/>
      </c>
      <c r="K188" s="62" t="str">
        <f aca="false">IF(OR(E188="",F188=""),"",SUMIFS(I$7:I188,E$7:E188,E188,F$7:F188,F188))</f>
        <v/>
      </c>
      <c r="L188" s="62" t="str">
        <f aca="false">IF(OR(E188="",F188=""),"",J188-SUMIFS(I$7:I$506,E$7:E$506,E188,F$7:F$506,F188))</f>
        <v/>
      </c>
      <c r="N188" s="40"/>
    </row>
    <row r="189" customFormat="false" ht="15.75" hidden="false" customHeight="true" outlineLevel="0" collapsed="false">
      <c r="A189" s="35"/>
      <c r="B189" s="54" t="n">
        <f aca="false">EOMONTH(C189,0)</f>
        <v>1</v>
      </c>
      <c r="C189" s="55"/>
      <c r="D189" s="40"/>
      <c r="E189" s="40"/>
      <c r="F189" s="40"/>
      <c r="G189" s="40"/>
      <c r="H189" s="40"/>
      <c r="I189" s="60"/>
      <c r="J189" s="61" t="str">
        <f aca="false">IF(OR(E189="",F189=""),"",SUMIFS(Presupuesto!G$7:G$67,Presupuesto!B$7:B$67,E189,Presupuesto!C$7:C$67,F189))</f>
        <v/>
      </c>
      <c r="K189" s="62" t="str">
        <f aca="false">IF(OR(E189="",F189=""),"",SUMIFS(I$7:I189,E$7:E189,E189,F$7:F189,F189))</f>
        <v/>
      </c>
      <c r="L189" s="62" t="str">
        <f aca="false">IF(OR(E189="",F189=""),"",J189-SUMIFS(I$7:I$506,E$7:E$506,E189,F$7:F$506,F189))</f>
        <v/>
      </c>
      <c r="N189" s="40"/>
    </row>
    <row r="190" customFormat="false" ht="15.75" hidden="false" customHeight="true" outlineLevel="0" collapsed="false">
      <c r="A190" s="35"/>
      <c r="B190" s="54" t="n">
        <f aca="false">EOMONTH(C190,0)</f>
        <v>1</v>
      </c>
      <c r="C190" s="55"/>
      <c r="D190" s="40"/>
      <c r="E190" s="40"/>
      <c r="F190" s="40"/>
      <c r="G190" s="40"/>
      <c r="H190" s="40"/>
      <c r="I190" s="60"/>
      <c r="J190" s="61" t="str">
        <f aca="false">IF(OR(E190="",F190=""),"",SUMIFS(Presupuesto!G$7:G$67,Presupuesto!B$7:B$67,E190,Presupuesto!C$7:C$67,F190))</f>
        <v/>
      </c>
      <c r="K190" s="62" t="str">
        <f aca="false">IF(OR(E190="",F190=""),"",SUMIFS(I$7:I190,E$7:E190,E190,F$7:F190,F190))</f>
        <v/>
      </c>
      <c r="L190" s="62" t="str">
        <f aca="false">IF(OR(E190="",F190=""),"",J190-SUMIFS(I$7:I$506,E$7:E$506,E190,F$7:F$506,F190))</f>
        <v/>
      </c>
      <c r="N190" s="40"/>
    </row>
    <row r="191" customFormat="false" ht="15.75" hidden="false" customHeight="true" outlineLevel="0" collapsed="false">
      <c r="A191" s="35"/>
      <c r="B191" s="54" t="n">
        <f aca="false">EOMONTH(C191,0)</f>
        <v>1</v>
      </c>
      <c r="C191" s="55"/>
      <c r="D191" s="40"/>
      <c r="E191" s="40"/>
      <c r="F191" s="40"/>
      <c r="G191" s="40"/>
      <c r="H191" s="40"/>
      <c r="I191" s="60"/>
      <c r="J191" s="61" t="str">
        <f aca="false">IF(OR(E191="",F191=""),"",SUMIFS(Presupuesto!G$7:G$67,Presupuesto!B$7:B$67,E191,Presupuesto!C$7:C$67,F191))</f>
        <v/>
      </c>
      <c r="K191" s="62" t="str">
        <f aca="false">IF(OR(E191="",F191=""),"",SUMIFS(I$7:I191,E$7:E191,E191,F$7:F191,F191))</f>
        <v/>
      </c>
      <c r="L191" s="62" t="str">
        <f aca="false">IF(OR(E191="",F191=""),"",J191-SUMIFS(I$7:I$506,E$7:E$506,E191,F$7:F$506,F191))</f>
        <v/>
      </c>
      <c r="N191" s="40"/>
    </row>
    <row r="192" customFormat="false" ht="15.75" hidden="false" customHeight="true" outlineLevel="0" collapsed="false">
      <c r="A192" s="35"/>
      <c r="B192" s="54" t="n">
        <f aca="false">EOMONTH(C192,0)</f>
        <v>1</v>
      </c>
      <c r="C192" s="55"/>
      <c r="D192" s="40"/>
      <c r="E192" s="40"/>
      <c r="F192" s="40"/>
      <c r="G192" s="40"/>
      <c r="H192" s="40"/>
      <c r="I192" s="60"/>
      <c r="J192" s="61" t="str">
        <f aca="false">IF(OR(E192="",F192=""),"",SUMIFS(Presupuesto!G$7:G$67,Presupuesto!B$7:B$67,E192,Presupuesto!C$7:C$67,F192))</f>
        <v/>
      </c>
      <c r="K192" s="62" t="str">
        <f aca="false">IF(OR(E192="",F192=""),"",SUMIFS(I$7:I192,E$7:E192,E192,F$7:F192,F192))</f>
        <v/>
      </c>
      <c r="L192" s="62" t="str">
        <f aca="false">IF(OR(E192="",F192=""),"",J192-SUMIFS(I$7:I$506,E$7:E$506,E192,F$7:F$506,F192))</f>
        <v/>
      </c>
      <c r="N192" s="40"/>
    </row>
    <row r="193" customFormat="false" ht="15.75" hidden="false" customHeight="true" outlineLevel="0" collapsed="false">
      <c r="A193" s="35"/>
      <c r="B193" s="54" t="n">
        <f aca="false">EOMONTH(C193,0)</f>
        <v>1</v>
      </c>
      <c r="C193" s="55"/>
      <c r="D193" s="40"/>
      <c r="E193" s="40"/>
      <c r="F193" s="40"/>
      <c r="G193" s="40"/>
      <c r="H193" s="40"/>
      <c r="I193" s="60"/>
      <c r="J193" s="61" t="str">
        <f aca="false">IF(OR(E193="",F193=""),"",SUMIFS(Presupuesto!G$7:G$67,Presupuesto!B$7:B$67,E193,Presupuesto!C$7:C$67,F193))</f>
        <v/>
      </c>
      <c r="K193" s="62" t="str">
        <f aca="false">IF(OR(E193="",F193=""),"",SUMIFS(I$7:I193,E$7:E193,E193,F$7:F193,F193))</f>
        <v/>
      </c>
      <c r="L193" s="62" t="str">
        <f aca="false">IF(OR(E193="",F193=""),"",J193-SUMIFS(I$7:I$506,E$7:E$506,E193,F$7:F$506,F193))</f>
        <v/>
      </c>
      <c r="N193" s="40"/>
    </row>
    <row r="194" customFormat="false" ht="15.75" hidden="false" customHeight="true" outlineLevel="0" collapsed="false">
      <c r="A194" s="35"/>
      <c r="B194" s="54" t="n">
        <f aca="false">EOMONTH(C194,0)</f>
        <v>1</v>
      </c>
      <c r="C194" s="55"/>
      <c r="D194" s="40"/>
      <c r="E194" s="40"/>
      <c r="F194" s="40"/>
      <c r="G194" s="40"/>
      <c r="H194" s="40"/>
      <c r="I194" s="60"/>
      <c r="J194" s="61" t="str">
        <f aca="false">IF(OR(E194="",F194=""),"",SUMIFS(Presupuesto!G$7:G$67,Presupuesto!B$7:B$67,E194,Presupuesto!C$7:C$67,F194))</f>
        <v/>
      </c>
      <c r="K194" s="62" t="str">
        <f aca="false">IF(OR(E194="",F194=""),"",SUMIFS(I$7:I194,E$7:E194,E194,F$7:F194,F194))</f>
        <v/>
      </c>
      <c r="L194" s="62" t="str">
        <f aca="false">IF(OR(E194="",F194=""),"",J194-SUMIFS(I$7:I$506,E$7:E$506,E194,F$7:F$506,F194))</f>
        <v/>
      </c>
      <c r="N194" s="40"/>
    </row>
    <row r="195" customFormat="false" ht="15.75" hidden="false" customHeight="true" outlineLevel="0" collapsed="false">
      <c r="A195" s="35"/>
      <c r="B195" s="54" t="n">
        <f aca="false">EOMONTH(C195,0)</f>
        <v>1</v>
      </c>
      <c r="C195" s="55"/>
      <c r="D195" s="40"/>
      <c r="E195" s="40"/>
      <c r="F195" s="40"/>
      <c r="G195" s="40"/>
      <c r="H195" s="40"/>
      <c r="I195" s="60"/>
      <c r="J195" s="61" t="str">
        <f aca="false">IF(OR(E195="",F195=""),"",SUMIFS(Presupuesto!G$7:G$67,Presupuesto!B$7:B$67,E195,Presupuesto!C$7:C$67,F195))</f>
        <v/>
      </c>
      <c r="K195" s="62" t="str">
        <f aca="false">IF(OR(E195="",F195=""),"",SUMIFS(I$7:I195,E$7:E195,E195,F$7:F195,F195))</f>
        <v/>
      </c>
      <c r="L195" s="62" t="str">
        <f aca="false">IF(OR(E195="",F195=""),"",J195-SUMIFS(I$7:I$506,E$7:E$506,E195,F$7:F$506,F195))</f>
        <v/>
      </c>
      <c r="N195" s="40"/>
    </row>
    <row r="196" customFormat="false" ht="15.75" hidden="false" customHeight="true" outlineLevel="0" collapsed="false">
      <c r="A196" s="35"/>
      <c r="B196" s="54" t="n">
        <f aca="false">EOMONTH(C196,0)</f>
        <v>1</v>
      </c>
      <c r="C196" s="55"/>
      <c r="D196" s="40"/>
      <c r="E196" s="40"/>
      <c r="F196" s="40"/>
      <c r="G196" s="40"/>
      <c r="H196" s="40"/>
      <c r="I196" s="60"/>
      <c r="J196" s="61" t="str">
        <f aca="false">IF(OR(E196="",F196=""),"",SUMIFS(Presupuesto!G$7:G$67,Presupuesto!B$7:B$67,E196,Presupuesto!C$7:C$67,F196))</f>
        <v/>
      </c>
      <c r="K196" s="62" t="str">
        <f aca="false">IF(OR(E196="",F196=""),"",SUMIFS(I$7:I196,E$7:E196,E196,F$7:F196,F196))</f>
        <v/>
      </c>
      <c r="L196" s="62" t="str">
        <f aca="false">IF(OR(E196="",F196=""),"",J196-SUMIFS(I$7:I$506,E$7:E$506,E196,F$7:F$506,F196))</f>
        <v/>
      </c>
      <c r="N196" s="40"/>
    </row>
    <row r="197" customFormat="false" ht="15.75" hidden="false" customHeight="true" outlineLevel="0" collapsed="false">
      <c r="A197" s="35"/>
      <c r="B197" s="54" t="n">
        <f aca="false">EOMONTH(C197,0)</f>
        <v>1</v>
      </c>
      <c r="C197" s="55"/>
      <c r="D197" s="40"/>
      <c r="E197" s="40"/>
      <c r="F197" s="40"/>
      <c r="G197" s="40"/>
      <c r="H197" s="40"/>
      <c r="I197" s="60"/>
      <c r="J197" s="61" t="str">
        <f aca="false">IF(OR(E197="",F197=""),"",SUMIFS(Presupuesto!G$7:G$67,Presupuesto!B$7:B$67,E197,Presupuesto!C$7:C$67,F197))</f>
        <v/>
      </c>
      <c r="K197" s="62" t="str">
        <f aca="false">IF(OR(E197="",F197=""),"",SUMIFS(I$7:I197,E$7:E197,E197,F$7:F197,F197))</f>
        <v/>
      </c>
      <c r="L197" s="62" t="str">
        <f aca="false">IF(OR(E197="",F197=""),"",J197-SUMIFS(I$7:I$506,E$7:E$506,E197,F$7:F$506,F197))</f>
        <v/>
      </c>
      <c r="N197" s="40"/>
    </row>
    <row r="198" customFormat="false" ht="15.75" hidden="false" customHeight="true" outlineLevel="0" collapsed="false">
      <c r="A198" s="35"/>
      <c r="B198" s="54" t="n">
        <f aca="false">EOMONTH(C198,0)</f>
        <v>1</v>
      </c>
      <c r="C198" s="55"/>
      <c r="D198" s="40"/>
      <c r="E198" s="40"/>
      <c r="F198" s="40"/>
      <c r="G198" s="40"/>
      <c r="H198" s="40"/>
      <c r="I198" s="60"/>
      <c r="J198" s="61" t="str">
        <f aca="false">IF(OR(E198="",F198=""),"",SUMIFS(Presupuesto!G$7:G$67,Presupuesto!B$7:B$67,E198,Presupuesto!C$7:C$67,F198))</f>
        <v/>
      </c>
      <c r="K198" s="62" t="str">
        <f aca="false">IF(OR(E198="",F198=""),"",SUMIFS(I$7:I198,E$7:E198,E198,F$7:F198,F198))</f>
        <v/>
      </c>
      <c r="L198" s="62" t="str">
        <f aca="false">IF(OR(E198="",F198=""),"",J198-SUMIFS(I$7:I$506,E$7:E$506,E198,F$7:F$506,F198))</f>
        <v/>
      </c>
      <c r="N198" s="40"/>
    </row>
    <row r="199" customFormat="false" ht="15.75" hidden="false" customHeight="true" outlineLevel="0" collapsed="false">
      <c r="A199" s="35"/>
      <c r="B199" s="54" t="n">
        <f aca="false">EOMONTH(C199,0)</f>
        <v>1</v>
      </c>
      <c r="C199" s="55"/>
      <c r="D199" s="40"/>
      <c r="E199" s="40"/>
      <c r="F199" s="40"/>
      <c r="G199" s="40"/>
      <c r="H199" s="40"/>
      <c r="I199" s="60"/>
      <c r="J199" s="61" t="str">
        <f aca="false">IF(OR(E199="",F199=""),"",SUMIFS(Presupuesto!G$7:G$67,Presupuesto!B$7:B$67,E199,Presupuesto!C$7:C$67,F199))</f>
        <v/>
      </c>
      <c r="K199" s="62" t="str">
        <f aca="false">IF(OR(E199="",F199=""),"",SUMIFS(I$7:I199,E$7:E199,E199,F$7:F199,F199))</f>
        <v/>
      </c>
      <c r="L199" s="62" t="str">
        <f aca="false">IF(OR(E199="",F199=""),"",J199-SUMIFS(I$7:I$506,E$7:E$506,E199,F$7:F$506,F199))</f>
        <v/>
      </c>
      <c r="N199" s="40"/>
    </row>
    <row r="200" customFormat="false" ht="15.75" hidden="false" customHeight="true" outlineLevel="0" collapsed="false">
      <c r="A200" s="35"/>
      <c r="B200" s="54" t="n">
        <f aca="false">EOMONTH(C200,0)</f>
        <v>1</v>
      </c>
      <c r="C200" s="55"/>
      <c r="D200" s="40"/>
      <c r="E200" s="40"/>
      <c r="F200" s="40"/>
      <c r="G200" s="40"/>
      <c r="H200" s="40"/>
      <c r="I200" s="60"/>
      <c r="J200" s="61" t="str">
        <f aca="false">IF(OR(E200="",F200=""),"",SUMIFS(Presupuesto!G$7:G$67,Presupuesto!B$7:B$67,E200,Presupuesto!C$7:C$67,F200))</f>
        <v/>
      </c>
      <c r="K200" s="62" t="str">
        <f aca="false">IF(OR(E200="",F200=""),"",SUMIFS(I$7:I200,E$7:E200,E200,F$7:F200,F200))</f>
        <v/>
      </c>
      <c r="L200" s="62" t="str">
        <f aca="false">IF(OR(E200="",F200=""),"",J200-SUMIFS(I$7:I$506,E$7:E$506,E200,F$7:F$506,F200))</f>
        <v/>
      </c>
      <c r="N200" s="40"/>
    </row>
    <row r="201" customFormat="false" ht="15.75" hidden="false" customHeight="true" outlineLevel="0" collapsed="false">
      <c r="A201" s="35"/>
      <c r="B201" s="54" t="n">
        <f aca="false">EOMONTH(C201,0)</f>
        <v>1</v>
      </c>
      <c r="C201" s="55"/>
      <c r="D201" s="40"/>
      <c r="E201" s="40"/>
      <c r="F201" s="40"/>
      <c r="G201" s="40"/>
      <c r="H201" s="40"/>
      <c r="I201" s="60"/>
      <c r="J201" s="61" t="str">
        <f aca="false">IF(OR(E201="",F201=""),"",SUMIFS(Presupuesto!G$7:G$67,Presupuesto!B$7:B$67,E201,Presupuesto!C$7:C$67,F201))</f>
        <v/>
      </c>
      <c r="K201" s="62" t="str">
        <f aca="false">IF(OR(E201="",F201=""),"",SUMIFS(I$7:I201,E$7:E201,E201,F$7:F201,F201))</f>
        <v/>
      </c>
      <c r="L201" s="62" t="str">
        <f aca="false">IF(OR(E201="",F201=""),"",J201-SUMIFS(I$7:I$506,E$7:E$506,E201,F$7:F$506,F201))</f>
        <v/>
      </c>
      <c r="N201" s="40"/>
    </row>
    <row r="202" customFormat="false" ht="15.75" hidden="false" customHeight="true" outlineLevel="0" collapsed="false">
      <c r="A202" s="35"/>
      <c r="B202" s="54" t="n">
        <f aca="false">EOMONTH(C202,0)</f>
        <v>1</v>
      </c>
      <c r="C202" s="55"/>
      <c r="D202" s="40"/>
      <c r="E202" s="40"/>
      <c r="F202" s="40"/>
      <c r="G202" s="40"/>
      <c r="H202" s="40"/>
      <c r="I202" s="60"/>
      <c r="J202" s="61" t="str">
        <f aca="false">IF(OR(E202="",F202=""),"",SUMIFS(Presupuesto!G$7:G$67,Presupuesto!B$7:B$67,E202,Presupuesto!C$7:C$67,F202))</f>
        <v/>
      </c>
      <c r="K202" s="62" t="str">
        <f aca="false">IF(OR(E202="",F202=""),"",SUMIFS(I$7:I202,E$7:E202,E202,F$7:F202,F202))</f>
        <v/>
      </c>
      <c r="L202" s="62" t="str">
        <f aca="false">IF(OR(E202="",F202=""),"",J202-SUMIFS(I$7:I$506,E$7:E$506,E202,F$7:F$506,F202))</f>
        <v/>
      </c>
      <c r="N202" s="40"/>
    </row>
    <row r="203" customFormat="false" ht="15.75" hidden="false" customHeight="true" outlineLevel="0" collapsed="false">
      <c r="A203" s="35"/>
      <c r="B203" s="54" t="n">
        <f aca="false">EOMONTH(C203,0)</f>
        <v>1</v>
      </c>
      <c r="C203" s="55"/>
      <c r="D203" s="40"/>
      <c r="E203" s="40"/>
      <c r="F203" s="40"/>
      <c r="G203" s="40"/>
      <c r="H203" s="40"/>
      <c r="I203" s="60"/>
      <c r="J203" s="61" t="str">
        <f aca="false">IF(OR(E203="",F203=""),"",SUMIFS(Presupuesto!G$7:G$67,Presupuesto!B$7:B$67,E203,Presupuesto!C$7:C$67,F203))</f>
        <v/>
      </c>
      <c r="K203" s="62" t="str">
        <f aca="false">IF(OR(E203="",F203=""),"",SUMIFS(I$7:I203,E$7:E203,E203,F$7:F203,F203))</f>
        <v/>
      </c>
      <c r="L203" s="62" t="str">
        <f aca="false">IF(OR(E203="",F203=""),"",J203-SUMIFS(I$7:I$506,E$7:E$506,E203,F$7:F$506,F203))</f>
        <v/>
      </c>
      <c r="N203" s="40"/>
    </row>
    <row r="204" customFormat="false" ht="15.75" hidden="false" customHeight="true" outlineLevel="0" collapsed="false">
      <c r="A204" s="35"/>
      <c r="B204" s="54" t="n">
        <f aca="false">EOMONTH(C204,0)</f>
        <v>1</v>
      </c>
      <c r="C204" s="55"/>
      <c r="D204" s="40"/>
      <c r="E204" s="40"/>
      <c r="F204" s="40"/>
      <c r="G204" s="40"/>
      <c r="H204" s="40"/>
      <c r="I204" s="60"/>
      <c r="J204" s="61" t="str">
        <f aca="false">IF(OR(E204="",F204=""),"",SUMIFS(Presupuesto!G$7:G$67,Presupuesto!B$7:B$67,E204,Presupuesto!C$7:C$67,F204))</f>
        <v/>
      </c>
      <c r="K204" s="62" t="str">
        <f aca="false">IF(OR(E204="",F204=""),"",SUMIFS(I$7:I204,E$7:E204,E204,F$7:F204,F204))</f>
        <v/>
      </c>
      <c r="L204" s="62" t="str">
        <f aca="false">IF(OR(E204="",F204=""),"",J204-SUMIFS(I$7:I$506,E$7:E$506,E204,F$7:F$506,F204))</f>
        <v/>
      </c>
      <c r="N204" s="40"/>
    </row>
    <row r="205" customFormat="false" ht="15.75" hidden="false" customHeight="true" outlineLevel="0" collapsed="false">
      <c r="A205" s="35"/>
      <c r="B205" s="54" t="n">
        <f aca="false">EOMONTH(C205,0)</f>
        <v>1</v>
      </c>
      <c r="C205" s="55"/>
      <c r="D205" s="40"/>
      <c r="E205" s="40"/>
      <c r="F205" s="40"/>
      <c r="G205" s="40"/>
      <c r="H205" s="40"/>
      <c r="I205" s="60"/>
      <c r="J205" s="61" t="str">
        <f aca="false">IF(OR(E205="",F205=""),"",SUMIFS(Presupuesto!G$7:G$67,Presupuesto!B$7:B$67,E205,Presupuesto!C$7:C$67,F205))</f>
        <v/>
      </c>
      <c r="K205" s="62" t="str">
        <f aca="false">IF(OR(E205="",F205=""),"",SUMIFS(I$7:I205,E$7:E205,E205,F$7:F205,F205))</f>
        <v/>
      </c>
      <c r="L205" s="62" t="str">
        <f aca="false">IF(OR(E205="",F205=""),"",J205-SUMIFS(I$7:I$506,E$7:E$506,E205,F$7:F$506,F205))</f>
        <v/>
      </c>
      <c r="N205" s="40"/>
    </row>
    <row r="206" customFormat="false" ht="15.75" hidden="false" customHeight="true" outlineLevel="0" collapsed="false">
      <c r="A206" s="35"/>
      <c r="B206" s="54" t="n">
        <f aca="false">EOMONTH(C206,0)</f>
        <v>1</v>
      </c>
      <c r="C206" s="55"/>
      <c r="D206" s="40"/>
      <c r="E206" s="40"/>
      <c r="F206" s="40"/>
      <c r="G206" s="40"/>
      <c r="H206" s="40"/>
      <c r="I206" s="60"/>
      <c r="J206" s="61" t="str">
        <f aca="false">IF(OR(E206="",F206=""),"",SUMIFS(Presupuesto!G$7:G$67,Presupuesto!B$7:B$67,E206,Presupuesto!C$7:C$67,F206))</f>
        <v/>
      </c>
      <c r="K206" s="62" t="str">
        <f aca="false">IF(OR(E206="",F206=""),"",SUMIFS(I$7:I206,E$7:E206,E206,F$7:F206,F206))</f>
        <v/>
      </c>
      <c r="L206" s="62" t="str">
        <f aca="false">IF(OR(E206="",F206=""),"",J206-SUMIFS(I$7:I$506,E$7:E$506,E206,F$7:F$506,F206))</f>
        <v/>
      </c>
      <c r="N206" s="40"/>
    </row>
    <row r="207" customFormat="false" ht="15.75" hidden="false" customHeight="true" outlineLevel="0" collapsed="false">
      <c r="A207" s="35"/>
      <c r="B207" s="54" t="n">
        <f aca="false">EOMONTH(C207,0)</f>
        <v>1</v>
      </c>
      <c r="C207" s="55"/>
      <c r="D207" s="40"/>
      <c r="E207" s="40"/>
      <c r="F207" s="40"/>
      <c r="G207" s="40"/>
      <c r="H207" s="40"/>
      <c r="I207" s="60"/>
      <c r="J207" s="61" t="str">
        <f aca="false">IF(OR(E207="",F207=""),"",SUMIFS(Presupuesto!G$7:G$67,Presupuesto!B$7:B$67,E207,Presupuesto!C$7:C$67,F207))</f>
        <v/>
      </c>
      <c r="K207" s="62" t="str">
        <f aca="false">IF(OR(E207="",F207=""),"",SUMIFS(I$7:I207,E$7:E207,E207,F$7:F207,F207))</f>
        <v/>
      </c>
      <c r="L207" s="62" t="str">
        <f aca="false">IF(OR(E207="",F207=""),"",J207-SUMIFS(I$7:I$506,E$7:E$506,E207,F$7:F$506,F207))</f>
        <v/>
      </c>
      <c r="N207" s="40"/>
    </row>
    <row r="208" customFormat="false" ht="15.75" hidden="false" customHeight="true" outlineLevel="0" collapsed="false">
      <c r="A208" s="35"/>
      <c r="B208" s="54" t="n">
        <f aca="false">EOMONTH(C208,0)</f>
        <v>1</v>
      </c>
      <c r="C208" s="55"/>
      <c r="D208" s="40"/>
      <c r="E208" s="40"/>
      <c r="F208" s="40"/>
      <c r="G208" s="40"/>
      <c r="H208" s="40"/>
      <c r="I208" s="60"/>
      <c r="J208" s="61" t="str">
        <f aca="false">IF(OR(E208="",F208=""),"",SUMIFS(Presupuesto!G$7:G$67,Presupuesto!B$7:B$67,E208,Presupuesto!C$7:C$67,F208))</f>
        <v/>
      </c>
      <c r="K208" s="62" t="str">
        <f aca="false">IF(OR(E208="",F208=""),"",SUMIFS(I$7:I208,E$7:E208,E208,F$7:F208,F208))</f>
        <v/>
      </c>
      <c r="L208" s="62" t="str">
        <f aca="false">IF(OR(E208="",F208=""),"",J208-SUMIFS(I$7:I$506,E$7:E$506,E208,F$7:F$506,F208))</f>
        <v/>
      </c>
      <c r="N208" s="40"/>
    </row>
    <row r="209" customFormat="false" ht="15.75" hidden="false" customHeight="true" outlineLevel="0" collapsed="false">
      <c r="A209" s="35"/>
      <c r="B209" s="54" t="n">
        <f aca="false">EOMONTH(C209,0)</f>
        <v>1</v>
      </c>
      <c r="C209" s="55"/>
      <c r="D209" s="40"/>
      <c r="E209" s="40"/>
      <c r="F209" s="40"/>
      <c r="G209" s="40"/>
      <c r="H209" s="40"/>
      <c r="I209" s="60"/>
      <c r="J209" s="61" t="str">
        <f aca="false">IF(OR(E209="",F209=""),"",SUMIFS(Presupuesto!G$7:G$67,Presupuesto!B$7:B$67,E209,Presupuesto!C$7:C$67,F209))</f>
        <v/>
      </c>
      <c r="K209" s="62" t="str">
        <f aca="false">IF(OR(E209="",F209=""),"",SUMIFS(I$7:I209,E$7:E209,E209,F$7:F209,F209))</f>
        <v/>
      </c>
      <c r="L209" s="62" t="str">
        <f aca="false">IF(OR(E209="",F209=""),"",J209-SUMIFS(I$7:I$506,E$7:E$506,E209,F$7:F$506,F209))</f>
        <v/>
      </c>
      <c r="N209" s="40"/>
    </row>
    <row r="210" customFormat="false" ht="15.75" hidden="false" customHeight="true" outlineLevel="0" collapsed="false">
      <c r="A210" s="35"/>
      <c r="B210" s="54" t="n">
        <f aca="false">EOMONTH(C210,0)</f>
        <v>1</v>
      </c>
      <c r="C210" s="55"/>
      <c r="D210" s="40"/>
      <c r="E210" s="40"/>
      <c r="F210" s="40"/>
      <c r="G210" s="40"/>
      <c r="H210" s="40"/>
      <c r="I210" s="60"/>
      <c r="J210" s="61" t="str">
        <f aca="false">IF(OR(E210="",F210=""),"",SUMIFS(Presupuesto!G$7:G$67,Presupuesto!B$7:B$67,E210,Presupuesto!C$7:C$67,F210))</f>
        <v/>
      </c>
      <c r="K210" s="62" t="str">
        <f aca="false">IF(OR(E210="",F210=""),"",SUMIFS(I$7:I210,E$7:E210,E210,F$7:F210,F210))</f>
        <v/>
      </c>
      <c r="L210" s="62" t="str">
        <f aca="false">IF(OR(E210="",F210=""),"",J210-SUMIFS(I$7:I$506,E$7:E$506,E210,F$7:F$506,F210))</f>
        <v/>
      </c>
      <c r="N210" s="40"/>
    </row>
    <row r="211" customFormat="false" ht="15.75" hidden="false" customHeight="true" outlineLevel="0" collapsed="false">
      <c r="A211" s="35"/>
      <c r="B211" s="54" t="n">
        <f aca="false">EOMONTH(C211,0)</f>
        <v>1</v>
      </c>
      <c r="C211" s="55"/>
      <c r="D211" s="40"/>
      <c r="E211" s="40"/>
      <c r="F211" s="40"/>
      <c r="G211" s="40"/>
      <c r="H211" s="40"/>
      <c r="I211" s="60"/>
      <c r="J211" s="61" t="str">
        <f aca="false">IF(OR(E211="",F211=""),"",SUMIFS(Presupuesto!G$7:G$67,Presupuesto!B$7:B$67,E211,Presupuesto!C$7:C$67,F211))</f>
        <v/>
      </c>
      <c r="K211" s="62" t="str">
        <f aca="false">IF(OR(E211="",F211=""),"",SUMIFS(I$7:I211,E$7:E211,E211,F$7:F211,F211))</f>
        <v/>
      </c>
      <c r="L211" s="62" t="str">
        <f aca="false">IF(OR(E211="",F211=""),"",J211-SUMIFS(I$7:I$506,E$7:E$506,E211,F$7:F$506,F211))</f>
        <v/>
      </c>
      <c r="N211" s="40"/>
    </row>
    <row r="212" customFormat="false" ht="15.75" hidden="false" customHeight="true" outlineLevel="0" collapsed="false">
      <c r="A212" s="35"/>
      <c r="B212" s="54" t="n">
        <f aca="false">EOMONTH(C212,0)</f>
        <v>1</v>
      </c>
      <c r="C212" s="55"/>
      <c r="D212" s="40"/>
      <c r="E212" s="40"/>
      <c r="F212" s="40"/>
      <c r="G212" s="40"/>
      <c r="H212" s="40"/>
      <c r="I212" s="60"/>
      <c r="J212" s="61" t="str">
        <f aca="false">IF(OR(E212="",F212=""),"",SUMIFS(Presupuesto!G$7:G$67,Presupuesto!B$7:B$67,E212,Presupuesto!C$7:C$67,F212))</f>
        <v/>
      </c>
      <c r="K212" s="62" t="str">
        <f aca="false">IF(OR(E212="",F212=""),"",SUMIFS(I$7:I212,E$7:E212,E212,F$7:F212,F212))</f>
        <v/>
      </c>
      <c r="L212" s="62" t="str">
        <f aca="false">IF(OR(E212="",F212=""),"",J212-SUMIFS(I$7:I$506,E$7:E$506,E212,F$7:F$506,F212))</f>
        <v/>
      </c>
      <c r="N212" s="40"/>
    </row>
    <row r="213" customFormat="false" ht="15.75" hidden="false" customHeight="true" outlineLevel="0" collapsed="false">
      <c r="A213" s="35"/>
      <c r="B213" s="54" t="n">
        <f aca="false">EOMONTH(C213,0)</f>
        <v>1</v>
      </c>
      <c r="C213" s="55"/>
      <c r="D213" s="40"/>
      <c r="E213" s="40"/>
      <c r="F213" s="40"/>
      <c r="G213" s="40"/>
      <c r="H213" s="40"/>
      <c r="I213" s="60"/>
      <c r="J213" s="61" t="str">
        <f aca="false">IF(OR(E213="",F213=""),"",SUMIFS(Presupuesto!G$7:G$67,Presupuesto!B$7:B$67,E213,Presupuesto!C$7:C$67,F213))</f>
        <v/>
      </c>
      <c r="K213" s="62" t="str">
        <f aca="false">IF(OR(E213="",F213=""),"",SUMIFS(I$7:I213,E$7:E213,E213,F$7:F213,F213))</f>
        <v/>
      </c>
      <c r="L213" s="62" t="str">
        <f aca="false">IF(OR(E213="",F213=""),"",J213-SUMIFS(I$7:I$506,E$7:E$506,E213,F$7:F$506,F213))</f>
        <v/>
      </c>
      <c r="N213" s="40"/>
    </row>
    <row r="214" customFormat="false" ht="15.75" hidden="false" customHeight="true" outlineLevel="0" collapsed="false">
      <c r="A214" s="35"/>
      <c r="B214" s="54" t="n">
        <f aca="false">EOMONTH(C214,0)</f>
        <v>1</v>
      </c>
      <c r="C214" s="55"/>
      <c r="D214" s="40"/>
      <c r="E214" s="40"/>
      <c r="F214" s="40"/>
      <c r="G214" s="40"/>
      <c r="H214" s="40"/>
      <c r="I214" s="60"/>
      <c r="J214" s="61" t="str">
        <f aca="false">IF(OR(E214="",F214=""),"",SUMIFS(Presupuesto!G$7:G$67,Presupuesto!B$7:B$67,E214,Presupuesto!C$7:C$67,F214))</f>
        <v/>
      </c>
      <c r="K214" s="62" t="str">
        <f aca="false">IF(OR(E214="",F214=""),"",SUMIFS(I$7:I214,E$7:E214,E214,F$7:F214,F214))</f>
        <v/>
      </c>
      <c r="L214" s="62" t="str">
        <f aca="false">IF(OR(E214="",F214=""),"",J214-SUMIFS(I$7:I$506,E$7:E$506,E214,F$7:F$506,F214))</f>
        <v/>
      </c>
      <c r="N214" s="40"/>
    </row>
    <row r="215" customFormat="false" ht="15.75" hidden="false" customHeight="true" outlineLevel="0" collapsed="false">
      <c r="A215" s="35"/>
      <c r="B215" s="54" t="n">
        <f aca="false">EOMONTH(C215,0)</f>
        <v>1</v>
      </c>
      <c r="C215" s="55"/>
      <c r="D215" s="40"/>
      <c r="E215" s="40"/>
      <c r="F215" s="40"/>
      <c r="G215" s="40"/>
      <c r="H215" s="40"/>
      <c r="I215" s="60"/>
      <c r="J215" s="61" t="str">
        <f aca="false">IF(OR(E215="",F215=""),"",SUMIFS(Presupuesto!G$7:G$67,Presupuesto!B$7:B$67,E215,Presupuesto!C$7:C$67,F215))</f>
        <v/>
      </c>
      <c r="K215" s="62" t="str">
        <f aca="false">IF(OR(E215="",F215=""),"",SUMIFS(I$7:I215,E$7:E215,E215,F$7:F215,F215))</f>
        <v/>
      </c>
      <c r="L215" s="62" t="str">
        <f aca="false">IF(OR(E215="",F215=""),"",J215-SUMIFS(I$7:I$506,E$7:E$506,E215,F$7:F$506,F215))</f>
        <v/>
      </c>
      <c r="N215" s="40"/>
    </row>
    <row r="216" customFormat="false" ht="15.75" hidden="false" customHeight="true" outlineLevel="0" collapsed="false">
      <c r="A216" s="35"/>
      <c r="B216" s="54" t="n">
        <f aca="false">EOMONTH(C216,0)</f>
        <v>1</v>
      </c>
      <c r="C216" s="55"/>
      <c r="D216" s="40"/>
      <c r="E216" s="40"/>
      <c r="F216" s="40"/>
      <c r="G216" s="40"/>
      <c r="H216" s="40"/>
      <c r="I216" s="60"/>
      <c r="J216" s="61" t="str">
        <f aca="false">IF(OR(E216="",F216=""),"",SUMIFS(Presupuesto!G$7:G$67,Presupuesto!B$7:B$67,E216,Presupuesto!C$7:C$67,F216))</f>
        <v/>
      </c>
      <c r="K216" s="62" t="str">
        <f aca="false">IF(OR(E216="",F216=""),"",SUMIFS(I$7:I216,E$7:E216,E216,F$7:F216,F216))</f>
        <v/>
      </c>
      <c r="L216" s="62" t="str">
        <f aca="false">IF(OR(E216="",F216=""),"",J216-SUMIFS(I$7:I$506,E$7:E$506,E216,F$7:F$506,F216))</f>
        <v/>
      </c>
      <c r="N216" s="40"/>
    </row>
    <row r="217" customFormat="false" ht="15.75" hidden="false" customHeight="true" outlineLevel="0" collapsed="false">
      <c r="A217" s="35"/>
      <c r="B217" s="54" t="n">
        <f aca="false">EOMONTH(C217,0)</f>
        <v>1</v>
      </c>
      <c r="C217" s="55"/>
      <c r="D217" s="40"/>
      <c r="E217" s="40"/>
      <c r="F217" s="40"/>
      <c r="G217" s="40"/>
      <c r="H217" s="40"/>
      <c r="I217" s="60"/>
      <c r="J217" s="61" t="str">
        <f aca="false">IF(OR(E217="",F217=""),"",SUMIFS(Presupuesto!G$7:G$67,Presupuesto!B$7:B$67,E217,Presupuesto!C$7:C$67,F217))</f>
        <v/>
      </c>
      <c r="K217" s="62" t="str">
        <f aca="false">IF(OR(E217="",F217=""),"",SUMIFS(I$7:I217,E$7:E217,E217,F$7:F217,F217))</f>
        <v/>
      </c>
      <c r="L217" s="62" t="str">
        <f aca="false">IF(OR(E217="",F217=""),"",J217-SUMIFS(I$7:I$506,E$7:E$506,E217,F$7:F$506,F217))</f>
        <v/>
      </c>
      <c r="N217" s="40"/>
    </row>
    <row r="218" customFormat="false" ht="15.75" hidden="false" customHeight="true" outlineLevel="0" collapsed="false">
      <c r="A218" s="35"/>
      <c r="B218" s="54" t="n">
        <f aca="false">EOMONTH(C218,0)</f>
        <v>1</v>
      </c>
      <c r="C218" s="55"/>
      <c r="D218" s="40"/>
      <c r="E218" s="40"/>
      <c r="F218" s="40"/>
      <c r="G218" s="40"/>
      <c r="H218" s="40"/>
      <c r="I218" s="60"/>
      <c r="J218" s="61" t="str">
        <f aca="false">IF(OR(E218="",F218=""),"",SUMIFS(Presupuesto!G$7:G$67,Presupuesto!B$7:B$67,E218,Presupuesto!C$7:C$67,F218))</f>
        <v/>
      </c>
      <c r="K218" s="62" t="str">
        <f aca="false">IF(OR(E218="",F218=""),"",SUMIFS(I$7:I218,E$7:E218,E218,F$7:F218,F218))</f>
        <v/>
      </c>
      <c r="L218" s="62" t="str">
        <f aca="false">IF(OR(E218="",F218=""),"",J218-SUMIFS(I$7:I$506,E$7:E$506,E218,F$7:F$506,F218))</f>
        <v/>
      </c>
      <c r="N218" s="40"/>
    </row>
    <row r="219" customFormat="false" ht="15.75" hidden="false" customHeight="true" outlineLevel="0" collapsed="false">
      <c r="A219" s="35"/>
      <c r="B219" s="54" t="n">
        <f aca="false">EOMONTH(C219,0)</f>
        <v>1</v>
      </c>
      <c r="C219" s="55"/>
      <c r="D219" s="40"/>
      <c r="E219" s="40"/>
      <c r="F219" s="40"/>
      <c r="G219" s="40"/>
      <c r="H219" s="40"/>
      <c r="I219" s="60"/>
      <c r="J219" s="61" t="str">
        <f aca="false">IF(OR(E219="",F219=""),"",SUMIFS(Presupuesto!G$7:G$67,Presupuesto!B$7:B$67,E219,Presupuesto!C$7:C$67,F219))</f>
        <v/>
      </c>
      <c r="K219" s="62" t="str">
        <f aca="false">IF(OR(E219="",F219=""),"",SUMIFS(I$7:I219,E$7:E219,E219,F$7:F219,F219))</f>
        <v/>
      </c>
      <c r="L219" s="62" t="str">
        <f aca="false">IF(OR(E219="",F219=""),"",J219-SUMIFS(I$7:I$506,E$7:E$506,E219,F$7:F$506,F219))</f>
        <v/>
      </c>
      <c r="N219" s="40"/>
    </row>
    <row r="220" customFormat="false" ht="15.75" hidden="false" customHeight="true" outlineLevel="0" collapsed="false">
      <c r="A220" s="35"/>
      <c r="B220" s="54" t="n">
        <f aca="false">EOMONTH(C220,0)</f>
        <v>1</v>
      </c>
      <c r="C220" s="55"/>
      <c r="D220" s="40"/>
      <c r="E220" s="40"/>
      <c r="F220" s="40"/>
      <c r="G220" s="40"/>
      <c r="H220" s="40"/>
      <c r="I220" s="60"/>
      <c r="J220" s="61" t="str">
        <f aca="false">IF(OR(E220="",F220=""),"",SUMIFS(Presupuesto!G$7:G$67,Presupuesto!B$7:B$67,E220,Presupuesto!C$7:C$67,F220))</f>
        <v/>
      </c>
      <c r="K220" s="62" t="str">
        <f aca="false">IF(OR(E220="",F220=""),"",SUMIFS(I$7:I220,E$7:E220,E220,F$7:F220,F220))</f>
        <v/>
      </c>
      <c r="L220" s="62" t="str">
        <f aca="false">IF(OR(E220="",F220=""),"",J220-SUMIFS(I$7:I$506,E$7:E$506,E220,F$7:F$506,F220))</f>
        <v/>
      </c>
      <c r="N220" s="40"/>
    </row>
    <row r="221" customFormat="false" ht="15.75" hidden="false" customHeight="true" outlineLevel="0" collapsed="false">
      <c r="A221" s="35"/>
      <c r="B221" s="54" t="n">
        <f aca="false">EOMONTH(C221,0)</f>
        <v>1</v>
      </c>
      <c r="C221" s="55"/>
      <c r="D221" s="40"/>
      <c r="E221" s="40"/>
      <c r="F221" s="40"/>
      <c r="G221" s="40"/>
      <c r="H221" s="40"/>
      <c r="I221" s="60"/>
      <c r="J221" s="61" t="str">
        <f aca="false">IF(OR(E221="",F221=""),"",SUMIFS(Presupuesto!G$7:G$67,Presupuesto!B$7:B$67,E221,Presupuesto!C$7:C$67,F221))</f>
        <v/>
      </c>
      <c r="K221" s="62" t="str">
        <f aca="false">IF(OR(E221="",F221=""),"",SUMIFS(I$7:I221,E$7:E221,E221,F$7:F221,F221))</f>
        <v/>
      </c>
      <c r="L221" s="62" t="str">
        <f aca="false">IF(OR(E221="",F221=""),"",J221-SUMIFS(I$7:I$506,E$7:E$506,E221,F$7:F$506,F221))</f>
        <v/>
      </c>
      <c r="N221" s="40"/>
    </row>
    <row r="222" customFormat="false" ht="15.75" hidden="false" customHeight="true" outlineLevel="0" collapsed="false">
      <c r="A222" s="35"/>
      <c r="B222" s="54" t="n">
        <f aca="false">EOMONTH(C222,0)</f>
        <v>1</v>
      </c>
      <c r="C222" s="55"/>
      <c r="D222" s="40"/>
      <c r="E222" s="40"/>
      <c r="F222" s="40"/>
      <c r="G222" s="40"/>
      <c r="H222" s="40"/>
      <c r="I222" s="60"/>
      <c r="J222" s="61" t="str">
        <f aca="false">IF(OR(E222="",F222=""),"",SUMIFS(Presupuesto!G$7:G$67,Presupuesto!B$7:B$67,E222,Presupuesto!C$7:C$67,F222))</f>
        <v/>
      </c>
      <c r="K222" s="62" t="str">
        <f aca="false">IF(OR(E222="",F222=""),"",SUMIFS(I$7:I222,E$7:E222,E222,F$7:F222,F222))</f>
        <v/>
      </c>
      <c r="L222" s="62" t="str">
        <f aca="false">IF(OR(E222="",F222=""),"",J222-SUMIFS(I$7:I$506,E$7:E$506,E222,F$7:F$506,F222))</f>
        <v/>
      </c>
      <c r="N222" s="40"/>
    </row>
    <row r="223" customFormat="false" ht="15.75" hidden="false" customHeight="true" outlineLevel="0" collapsed="false">
      <c r="A223" s="35"/>
      <c r="B223" s="54" t="n">
        <f aca="false">EOMONTH(C223,0)</f>
        <v>1</v>
      </c>
      <c r="C223" s="55"/>
      <c r="D223" s="40"/>
      <c r="E223" s="40"/>
      <c r="F223" s="40"/>
      <c r="G223" s="40"/>
      <c r="H223" s="40"/>
      <c r="I223" s="60"/>
      <c r="J223" s="61" t="str">
        <f aca="false">IF(OR(E223="",F223=""),"",SUMIFS(Presupuesto!G$7:G$67,Presupuesto!B$7:B$67,E223,Presupuesto!C$7:C$67,F223))</f>
        <v/>
      </c>
      <c r="K223" s="62" t="str">
        <f aca="false">IF(OR(E223="",F223=""),"",SUMIFS(I$7:I223,E$7:E223,E223,F$7:F223,F223))</f>
        <v/>
      </c>
      <c r="L223" s="62" t="str">
        <f aca="false">IF(OR(E223="",F223=""),"",J223-SUMIFS(I$7:I$506,E$7:E$506,E223,F$7:F$506,F223))</f>
        <v/>
      </c>
      <c r="N223" s="40"/>
    </row>
    <row r="224" customFormat="false" ht="15.75" hidden="false" customHeight="true" outlineLevel="0" collapsed="false">
      <c r="A224" s="35"/>
      <c r="B224" s="54" t="n">
        <f aca="false">EOMONTH(C224,0)</f>
        <v>1</v>
      </c>
      <c r="C224" s="55"/>
      <c r="D224" s="40"/>
      <c r="E224" s="40"/>
      <c r="F224" s="40"/>
      <c r="G224" s="40"/>
      <c r="H224" s="40"/>
      <c r="I224" s="60"/>
      <c r="J224" s="61" t="str">
        <f aca="false">IF(OR(E224="",F224=""),"",SUMIFS(Presupuesto!G$7:G$67,Presupuesto!B$7:B$67,E224,Presupuesto!C$7:C$67,F224))</f>
        <v/>
      </c>
      <c r="K224" s="62" t="str">
        <f aca="false">IF(OR(E224="",F224=""),"",SUMIFS(I$7:I224,E$7:E224,E224,F$7:F224,F224))</f>
        <v/>
      </c>
      <c r="L224" s="62" t="str">
        <f aca="false">IF(OR(E224="",F224=""),"",J224-SUMIFS(I$7:I$506,E$7:E$506,E224,F$7:F$506,F224))</f>
        <v/>
      </c>
      <c r="N224" s="40"/>
    </row>
    <row r="225" customFormat="false" ht="15.75" hidden="false" customHeight="true" outlineLevel="0" collapsed="false">
      <c r="A225" s="35"/>
      <c r="B225" s="54" t="n">
        <f aca="false">EOMONTH(C225,0)</f>
        <v>1</v>
      </c>
      <c r="C225" s="55"/>
      <c r="D225" s="40"/>
      <c r="E225" s="40"/>
      <c r="F225" s="40"/>
      <c r="G225" s="40"/>
      <c r="H225" s="40"/>
      <c r="I225" s="60"/>
      <c r="J225" s="61" t="str">
        <f aca="false">IF(OR(E225="",F225=""),"",SUMIFS(Presupuesto!G$7:G$67,Presupuesto!B$7:B$67,E225,Presupuesto!C$7:C$67,F225))</f>
        <v/>
      </c>
      <c r="K225" s="62" t="str">
        <f aca="false">IF(OR(E225="",F225=""),"",SUMIFS(I$7:I225,E$7:E225,E225,F$7:F225,F225))</f>
        <v/>
      </c>
      <c r="L225" s="62" t="str">
        <f aca="false">IF(OR(E225="",F225=""),"",J225-SUMIFS(I$7:I$506,E$7:E$506,E225,F$7:F$506,F225))</f>
        <v/>
      </c>
      <c r="N225" s="40"/>
    </row>
    <row r="226" customFormat="false" ht="15.75" hidden="false" customHeight="true" outlineLevel="0" collapsed="false">
      <c r="A226" s="35"/>
      <c r="B226" s="54" t="n">
        <f aca="false">EOMONTH(C226,0)</f>
        <v>1</v>
      </c>
      <c r="C226" s="55"/>
      <c r="D226" s="40"/>
      <c r="E226" s="40"/>
      <c r="F226" s="40"/>
      <c r="G226" s="40"/>
      <c r="H226" s="40"/>
      <c r="I226" s="60"/>
      <c r="J226" s="61" t="str">
        <f aca="false">IF(OR(E226="",F226=""),"",SUMIFS(Presupuesto!G$7:G$67,Presupuesto!B$7:B$67,E226,Presupuesto!C$7:C$67,F226))</f>
        <v/>
      </c>
      <c r="K226" s="62" t="str">
        <f aca="false">IF(OR(E226="",F226=""),"",SUMIFS(I$7:I226,E$7:E226,E226,F$7:F226,F226))</f>
        <v/>
      </c>
      <c r="L226" s="62" t="str">
        <f aca="false">IF(OR(E226="",F226=""),"",J226-SUMIFS(I$7:I$506,E$7:E$506,E226,F$7:F$506,F226))</f>
        <v/>
      </c>
      <c r="N226" s="40"/>
    </row>
    <row r="227" customFormat="false" ht="15.75" hidden="false" customHeight="true" outlineLevel="0" collapsed="false">
      <c r="A227" s="35"/>
      <c r="B227" s="54" t="n">
        <f aca="false">EOMONTH(C227,0)</f>
        <v>1</v>
      </c>
      <c r="C227" s="55"/>
      <c r="D227" s="40"/>
      <c r="E227" s="40"/>
      <c r="F227" s="40"/>
      <c r="G227" s="40"/>
      <c r="H227" s="40"/>
      <c r="I227" s="60"/>
      <c r="J227" s="61" t="str">
        <f aca="false">IF(OR(E227="",F227=""),"",SUMIFS(Presupuesto!G$7:G$67,Presupuesto!B$7:B$67,E227,Presupuesto!C$7:C$67,F227))</f>
        <v/>
      </c>
      <c r="K227" s="62" t="str">
        <f aca="false">IF(OR(E227="",F227=""),"",SUMIFS(I$7:I227,E$7:E227,E227,F$7:F227,F227))</f>
        <v/>
      </c>
      <c r="L227" s="62" t="str">
        <f aca="false">IF(OR(E227="",F227=""),"",J227-SUMIFS(I$7:I$506,E$7:E$506,E227,F$7:F$506,F227))</f>
        <v/>
      </c>
      <c r="N227" s="40"/>
    </row>
    <row r="228" customFormat="false" ht="15.75" hidden="false" customHeight="true" outlineLevel="0" collapsed="false">
      <c r="A228" s="35"/>
      <c r="B228" s="54" t="n">
        <f aca="false">EOMONTH(C228,0)</f>
        <v>1</v>
      </c>
      <c r="C228" s="55"/>
      <c r="D228" s="40"/>
      <c r="E228" s="40"/>
      <c r="F228" s="40"/>
      <c r="G228" s="40"/>
      <c r="H228" s="40"/>
      <c r="I228" s="60"/>
      <c r="J228" s="61" t="str">
        <f aca="false">IF(OR(E228="",F228=""),"",SUMIFS(Presupuesto!G$7:G$67,Presupuesto!B$7:B$67,E228,Presupuesto!C$7:C$67,F228))</f>
        <v/>
      </c>
      <c r="K228" s="62" t="str">
        <f aca="false">IF(OR(E228="",F228=""),"",SUMIFS(I$7:I228,E$7:E228,E228,F$7:F228,F228))</f>
        <v/>
      </c>
      <c r="L228" s="62" t="str">
        <f aca="false">IF(OR(E228="",F228=""),"",J228-SUMIFS(I$7:I$506,E$7:E$506,E228,F$7:F$506,F228))</f>
        <v/>
      </c>
      <c r="N228" s="40"/>
    </row>
    <row r="229" customFormat="false" ht="15.75" hidden="false" customHeight="true" outlineLevel="0" collapsed="false">
      <c r="A229" s="35"/>
      <c r="B229" s="54" t="n">
        <f aca="false">EOMONTH(C229,0)</f>
        <v>1</v>
      </c>
      <c r="C229" s="55"/>
      <c r="D229" s="40"/>
      <c r="E229" s="40"/>
      <c r="F229" s="40"/>
      <c r="G229" s="40"/>
      <c r="H229" s="40"/>
      <c r="I229" s="60"/>
      <c r="J229" s="61" t="str">
        <f aca="false">IF(OR(E229="",F229=""),"",SUMIFS(Presupuesto!G$7:G$67,Presupuesto!B$7:B$67,E229,Presupuesto!C$7:C$67,F229))</f>
        <v/>
      </c>
      <c r="K229" s="62" t="str">
        <f aca="false">IF(OR(E229="",F229=""),"",SUMIFS(I$7:I229,E$7:E229,E229,F$7:F229,F229))</f>
        <v/>
      </c>
      <c r="L229" s="62" t="str">
        <f aca="false">IF(OR(E229="",F229=""),"",J229-SUMIFS(I$7:I$506,E$7:E$506,E229,F$7:F$506,F229))</f>
        <v/>
      </c>
      <c r="N229" s="40"/>
    </row>
    <row r="230" customFormat="false" ht="15.75" hidden="false" customHeight="true" outlineLevel="0" collapsed="false">
      <c r="A230" s="35"/>
      <c r="B230" s="54" t="n">
        <f aca="false">EOMONTH(C230,0)</f>
        <v>1</v>
      </c>
      <c r="C230" s="55"/>
      <c r="D230" s="40"/>
      <c r="E230" s="40"/>
      <c r="F230" s="40"/>
      <c r="G230" s="40"/>
      <c r="H230" s="40"/>
      <c r="I230" s="60"/>
      <c r="J230" s="61" t="str">
        <f aca="false">IF(OR(E230="",F230=""),"",SUMIFS(Presupuesto!G$7:G$67,Presupuesto!B$7:B$67,E230,Presupuesto!C$7:C$67,F230))</f>
        <v/>
      </c>
      <c r="K230" s="62" t="str">
        <f aca="false">IF(OR(E230="",F230=""),"",SUMIFS(I$7:I230,E$7:E230,E230,F$7:F230,F230))</f>
        <v/>
      </c>
      <c r="L230" s="62" t="str">
        <f aca="false">IF(OR(E230="",F230=""),"",J230-SUMIFS(I$7:I$506,E$7:E$506,E230,F$7:F$506,F230))</f>
        <v/>
      </c>
      <c r="N230" s="40"/>
    </row>
    <row r="231" customFormat="false" ht="15.75" hidden="false" customHeight="true" outlineLevel="0" collapsed="false">
      <c r="A231" s="35"/>
      <c r="B231" s="54" t="n">
        <f aca="false">EOMONTH(C231,0)</f>
        <v>1</v>
      </c>
      <c r="C231" s="55"/>
      <c r="D231" s="40"/>
      <c r="E231" s="40"/>
      <c r="F231" s="40"/>
      <c r="G231" s="40"/>
      <c r="H231" s="40"/>
      <c r="I231" s="60"/>
      <c r="J231" s="61" t="str">
        <f aca="false">IF(OR(E231="",F231=""),"",SUMIFS(Presupuesto!G$7:G$67,Presupuesto!B$7:B$67,E231,Presupuesto!C$7:C$67,F231))</f>
        <v/>
      </c>
      <c r="K231" s="62" t="str">
        <f aca="false">IF(OR(E231="",F231=""),"",SUMIFS(I$7:I231,E$7:E231,E231,F$7:F231,F231))</f>
        <v/>
      </c>
      <c r="L231" s="62" t="str">
        <f aca="false">IF(OR(E231="",F231=""),"",J231-SUMIFS(I$7:I$506,E$7:E$506,E231,F$7:F$506,F231))</f>
        <v/>
      </c>
      <c r="N231" s="40"/>
    </row>
    <row r="232" customFormat="false" ht="15.75" hidden="false" customHeight="true" outlineLevel="0" collapsed="false">
      <c r="A232" s="35"/>
      <c r="B232" s="54" t="n">
        <f aca="false">EOMONTH(C232,0)</f>
        <v>1</v>
      </c>
      <c r="C232" s="55"/>
      <c r="D232" s="40"/>
      <c r="E232" s="40"/>
      <c r="F232" s="40"/>
      <c r="G232" s="40"/>
      <c r="H232" s="40"/>
      <c r="I232" s="60"/>
      <c r="J232" s="61" t="str">
        <f aca="false">IF(OR(E232="",F232=""),"",SUMIFS(Presupuesto!G$7:G$67,Presupuesto!B$7:B$67,E232,Presupuesto!C$7:C$67,F232))</f>
        <v/>
      </c>
      <c r="K232" s="62" t="str">
        <f aca="false">IF(OR(E232="",F232=""),"",SUMIFS(I$7:I232,E$7:E232,E232,F$7:F232,F232))</f>
        <v/>
      </c>
      <c r="L232" s="62" t="str">
        <f aca="false">IF(OR(E232="",F232=""),"",J232-SUMIFS(I$7:I$506,E$7:E$506,E232,F$7:F$506,F232))</f>
        <v/>
      </c>
      <c r="N232" s="40"/>
    </row>
    <row r="233" customFormat="false" ht="15.75" hidden="false" customHeight="true" outlineLevel="0" collapsed="false">
      <c r="A233" s="35"/>
      <c r="B233" s="54" t="n">
        <f aca="false">EOMONTH(C233,0)</f>
        <v>1</v>
      </c>
      <c r="C233" s="55"/>
      <c r="D233" s="40"/>
      <c r="E233" s="40"/>
      <c r="F233" s="40"/>
      <c r="G233" s="40"/>
      <c r="H233" s="40"/>
      <c r="I233" s="60"/>
      <c r="J233" s="61" t="str">
        <f aca="false">IF(OR(E233="",F233=""),"",SUMIFS(Presupuesto!G$7:G$67,Presupuesto!B$7:B$67,E233,Presupuesto!C$7:C$67,F233))</f>
        <v/>
      </c>
      <c r="K233" s="62" t="str">
        <f aca="false">IF(OR(E233="",F233=""),"",SUMIFS(I$7:I233,E$7:E233,E233,F$7:F233,F233))</f>
        <v/>
      </c>
      <c r="L233" s="62" t="str">
        <f aca="false">IF(OR(E233="",F233=""),"",J233-SUMIFS(I$7:I$506,E$7:E$506,E233,F$7:F$506,F233))</f>
        <v/>
      </c>
      <c r="N233" s="40"/>
    </row>
    <row r="234" customFormat="false" ht="15.75" hidden="false" customHeight="true" outlineLevel="0" collapsed="false">
      <c r="A234" s="35"/>
      <c r="B234" s="54" t="n">
        <f aca="false">EOMONTH(C234,0)</f>
        <v>1</v>
      </c>
      <c r="C234" s="55"/>
      <c r="D234" s="40"/>
      <c r="E234" s="40"/>
      <c r="F234" s="40"/>
      <c r="G234" s="40"/>
      <c r="H234" s="40"/>
      <c r="I234" s="60"/>
      <c r="J234" s="61" t="str">
        <f aca="false">IF(OR(E234="",F234=""),"",SUMIFS(Presupuesto!G$7:G$67,Presupuesto!B$7:B$67,E234,Presupuesto!C$7:C$67,F234))</f>
        <v/>
      </c>
      <c r="K234" s="62" t="str">
        <f aca="false">IF(OR(E234="",F234=""),"",SUMIFS(I$7:I234,E$7:E234,E234,F$7:F234,F234))</f>
        <v/>
      </c>
      <c r="L234" s="62" t="str">
        <f aca="false">IF(OR(E234="",F234=""),"",J234-SUMIFS(I$7:I$506,E$7:E$506,E234,F$7:F$506,F234))</f>
        <v/>
      </c>
      <c r="N234" s="40"/>
    </row>
    <row r="235" customFormat="false" ht="15.75" hidden="false" customHeight="true" outlineLevel="0" collapsed="false">
      <c r="A235" s="35"/>
      <c r="B235" s="54" t="n">
        <f aca="false">EOMONTH(C235,0)</f>
        <v>1</v>
      </c>
      <c r="C235" s="55"/>
      <c r="D235" s="40"/>
      <c r="E235" s="40"/>
      <c r="F235" s="40"/>
      <c r="G235" s="40"/>
      <c r="H235" s="40"/>
      <c r="I235" s="60"/>
      <c r="J235" s="61" t="str">
        <f aca="false">IF(OR(E235="",F235=""),"",SUMIFS(Presupuesto!G$7:G$67,Presupuesto!B$7:B$67,E235,Presupuesto!C$7:C$67,F235))</f>
        <v/>
      </c>
      <c r="K235" s="62" t="str">
        <f aca="false">IF(OR(E235="",F235=""),"",SUMIFS(I$7:I235,E$7:E235,E235,F$7:F235,F235))</f>
        <v/>
      </c>
      <c r="L235" s="62" t="str">
        <f aca="false">IF(OR(E235="",F235=""),"",J235-SUMIFS(I$7:I$506,E$7:E$506,E235,F$7:F$506,F235))</f>
        <v/>
      </c>
      <c r="N235" s="40"/>
    </row>
    <row r="236" customFormat="false" ht="15.75" hidden="false" customHeight="true" outlineLevel="0" collapsed="false">
      <c r="A236" s="35"/>
      <c r="B236" s="54" t="n">
        <f aca="false">EOMONTH(C236,0)</f>
        <v>1</v>
      </c>
      <c r="C236" s="55"/>
      <c r="D236" s="40"/>
      <c r="E236" s="40"/>
      <c r="F236" s="40"/>
      <c r="G236" s="40"/>
      <c r="H236" s="40"/>
      <c r="I236" s="60"/>
      <c r="J236" s="61" t="str">
        <f aca="false">IF(OR(E236="",F236=""),"",SUMIFS(Presupuesto!G$7:G$67,Presupuesto!B$7:B$67,E236,Presupuesto!C$7:C$67,F236))</f>
        <v/>
      </c>
      <c r="K236" s="62" t="str">
        <f aca="false">IF(OR(E236="",F236=""),"",SUMIFS(I$7:I236,E$7:E236,E236,F$7:F236,F236))</f>
        <v/>
      </c>
      <c r="L236" s="62" t="str">
        <f aca="false">IF(OR(E236="",F236=""),"",J236-SUMIFS(I$7:I$506,E$7:E$506,E236,F$7:F$506,F236))</f>
        <v/>
      </c>
      <c r="N236" s="40"/>
    </row>
    <row r="237" customFormat="false" ht="15.75" hidden="false" customHeight="true" outlineLevel="0" collapsed="false">
      <c r="A237" s="35"/>
      <c r="B237" s="54" t="n">
        <f aca="false">EOMONTH(C237,0)</f>
        <v>1</v>
      </c>
      <c r="C237" s="55"/>
      <c r="D237" s="40"/>
      <c r="E237" s="40"/>
      <c r="F237" s="40"/>
      <c r="G237" s="40"/>
      <c r="H237" s="40"/>
      <c r="I237" s="60"/>
      <c r="J237" s="61" t="str">
        <f aca="false">IF(OR(E237="",F237=""),"",SUMIFS(Presupuesto!G$7:G$67,Presupuesto!B$7:B$67,E237,Presupuesto!C$7:C$67,F237))</f>
        <v/>
      </c>
      <c r="K237" s="62" t="str">
        <f aca="false">IF(OR(E237="",F237=""),"",SUMIFS(I$7:I237,E$7:E237,E237,F$7:F237,F237))</f>
        <v/>
      </c>
      <c r="L237" s="62" t="str">
        <f aca="false">IF(OR(E237="",F237=""),"",J237-SUMIFS(I$7:I$506,E$7:E$506,E237,F$7:F$506,F237))</f>
        <v/>
      </c>
      <c r="N237" s="40"/>
    </row>
    <row r="238" customFormat="false" ht="15.75" hidden="false" customHeight="true" outlineLevel="0" collapsed="false">
      <c r="A238" s="35"/>
      <c r="B238" s="54" t="n">
        <f aca="false">EOMONTH(C238,0)</f>
        <v>1</v>
      </c>
      <c r="C238" s="55"/>
      <c r="D238" s="40"/>
      <c r="E238" s="40"/>
      <c r="F238" s="40"/>
      <c r="G238" s="40"/>
      <c r="H238" s="40"/>
      <c r="I238" s="60"/>
      <c r="J238" s="61" t="str">
        <f aca="false">IF(OR(E238="",F238=""),"",SUMIFS(Presupuesto!G$7:G$67,Presupuesto!B$7:B$67,E238,Presupuesto!C$7:C$67,F238))</f>
        <v/>
      </c>
      <c r="K238" s="62" t="str">
        <f aca="false">IF(OR(E238="",F238=""),"",SUMIFS(I$7:I238,E$7:E238,E238,F$7:F238,F238))</f>
        <v/>
      </c>
      <c r="L238" s="62" t="str">
        <f aca="false">IF(OR(E238="",F238=""),"",J238-SUMIFS(I$7:I$506,E$7:E$506,E238,F$7:F$506,F238))</f>
        <v/>
      </c>
      <c r="N238" s="40"/>
    </row>
    <row r="239" customFormat="false" ht="15.75" hidden="false" customHeight="true" outlineLevel="0" collapsed="false">
      <c r="A239" s="35"/>
      <c r="B239" s="54" t="n">
        <f aca="false">EOMONTH(C239,0)</f>
        <v>1</v>
      </c>
      <c r="C239" s="55"/>
      <c r="D239" s="40"/>
      <c r="E239" s="40"/>
      <c r="F239" s="40"/>
      <c r="G239" s="40"/>
      <c r="H239" s="40"/>
      <c r="I239" s="60"/>
      <c r="J239" s="61" t="str">
        <f aca="false">IF(OR(E239="",F239=""),"",SUMIFS(Presupuesto!G$7:G$67,Presupuesto!B$7:B$67,E239,Presupuesto!C$7:C$67,F239))</f>
        <v/>
      </c>
      <c r="K239" s="62" t="str">
        <f aca="false">IF(OR(E239="",F239=""),"",SUMIFS(I$7:I239,E$7:E239,E239,F$7:F239,F239))</f>
        <v/>
      </c>
      <c r="L239" s="62" t="str">
        <f aca="false">IF(OR(E239="",F239=""),"",J239-SUMIFS(I$7:I$506,E$7:E$506,E239,F$7:F$506,F239))</f>
        <v/>
      </c>
      <c r="N239" s="40"/>
    </row>
    <row r="240" customFormat="false" ht="15.75" hidden="false" customHeight="true" outlineLevel="0" collapsed="false">
      <c r="A240" s="35"/>
      <c r="B240" s="54" t="n">
        <f aca="false">EOMONTH(C240,0)</f>
        <v>1</v>
      </c>
      <c r="C240" s="55"/>
      <c r="D240" s="40"/>
      <c r="E240" s="40"/>
      <c r="F240" s="40"/>
      <c r="G240" s="40"/>
      <c r="H240" s="40"/>
      <c r="I240" s="60"/>
      <c r="J240" s="61" t="str">
        <f aca="false">IF(OR(E240="",F240=""),"",SUMIFS(Presupuesto!G$7:G$67,Presupuesto!B$7:B$67,E240,Presupuesto!C$7:C$67,F240))</f>
        <v/>
      </c>
      <c r="K240" s="62" t="str">
        <f aca="false">IF(OR(E240="",F240=""),"",SUMIFS(I$7:I240,E$7:E240,E240,F$7:F240,F240))</f>
        <v/>
      </c>
      <c r="L240" s="62" t="str">
        <f aca="false">IF(OR(E240="",F240=""),"",J240-SUMIFS(I$7:I$506,E$7:E$506,E240,F$7:F$506,F240))</f>
        <v/>
      </c>
      <c r="N240" s="40"/>
    </row>
    <row r="241" customFormat="false" ht="15.75" hidden="false" customHeight="true" outlineLevel="0" collapsed="false">
      <c r="A241" s="35"/>
      <c r="B241" s="54" t="n">
        <f aca="false">EOMONTH(C241,0)</f>
        <v>1</v>
      </c>
      <c r="C241" s="55"/>
      <c r="D241" s="40"/>
      <c r="E241" s="40"/>
      <c r="F241" s="40"/>
      <c r="G241" s="40"/>
      <c r="H241" s="40"/>
      <c r="I241" s="60"/>
      <c r="J241" s="61" t="str">
        <f aca="false">IF(OR(E241="",F241=""),"",SUMIFS(Presupuesto!G$7:G$67,Presupuesto!B$7:B$67,E241,Presupuesto!C$7:C$67,F241))</f>
        <v/>
      </c>
      <c r="K241" s="62" t="str">
        <f aca="false">IF(OR(E241="",F241=""),"",SUMIFS(I$7:I241,E$7:E241,E241,F$7:F241,F241))</f>
        <v/>
      </c>
      <c r="L241" s="62" t="str">
        <f aca="false">IF(OR(E241="",F241=""),"",J241-SUMIFS(I$7:I$506,E$7:E$506,E241,F$7:F$506,F241))</f>
        <v/>
      </c>
      <c r="N241" s="40"/>
    </row>
    <row r="242" customFormat="false" ht="15.75" hidden="false" customHeight="true" outlineLevel="0" collapsed="false">
      <c r="A242" s="35"/>
      <c r="B242" s="54" t="n">
        <f aca="false">EOMONTH(C242,0)</f>
        <v>1</v>
      </c>
      <c r="C242" s="55"/>
      <c r="D242" s="40"/>
      <c r="E242" s="40"/>
      <c r="F242" s="40"/>
      <c r="G242" s="40"/>
      <c r="H242" s="40"/>
      <c r="I242" s="60"/>
      <c r="J242" s="61" t="str">
        <f aca="false">IF(OR(E242="",F242=""),"",SUMIFS(Presupuesto!G$7:G$67,Presupuesto!B$7:B$67,E242,Presupuesto!C$7:C$67,F242))</f>
        <v/>
      </c>
      <c r="K242" s="62" t="str">
        <f aca="false">IF(OR(E242="",F242=""),"",SUMIFS(I$7:I242,E$7:E242,E242,F$7:F242,F242))</f>
        <v/>
      </c>
      <c r="L242" s="62" t="str">
        <f aca="false">IF(OR(E242="",F242=""),"",J242-SUMIFS(I$7:I$506,E$7:E$506,E242,F$7:F$506,F242))</f>
        <v/>
      </c>
      <c r="N242" s="40"/>
    </row>
    <row r="243" customFormat="false" ht="15.75" hidden="false" customHeight="true" outlineLevel="0" collapsed="false">
      <c r="A243" s="35"/>
      <c r="B243" s="54" t="n">
        <f aca="false">EOMONTH(C243,0)</f>
        <v>1</v>
      </c>
      <c r="C243" s="55"/>
      <c r="D243" s="40"/>
      <c r="E243" s="40"/>
      <c r="F243" s="40"/>
      <c r="G243" s="40"/>
      <c r="H243" s="40"/>
      <c r="I243" s="60"/>
      <c r="J243" s="61" t="str">
        <f aca="false">IF(OR(E243="",F243=""),"",SUMIFS(Presupuesto!G$7:G$67,Presupuesto!B$7:B$67,E243,Presupuesto!C$7:C$67,F243))</f>
        <v/>
      </c>
      <c r="K243" s="62" t="str">
        <f aca="false">IF(OR(E243="",F243=""),"",SUMIFS(I$7:I243,E$7:E243,E243,F$7:F243,F243))</f>
        <v/>
      </c>
      <c r="L243" s="62" t="str">
        <f aca="false">IF(OR(E243="",F243=""),"",J243-SUMIFS(I$7:I$506,E$7:E$506,E243,F$7:F$506,F243))</f>
        <v/>
      </c>
      <c r="N243" s="40"/>
    </row>
    <row r="244" customFormat="false" ht="15.75" hidden="false" customHeight="true" outlineLevel="0" collapsed="false">
      <c r="A244" s="35"/>
      <c r="B244" s="54" t="n">
        <f aca="false">EOMONTH(C244,0)</f>
        <v>1</v>
      </c>
      <c r="C244" s="55"/>
      <c r="D244" s="40"/>
      <c r="E244" s="40"/>
      <c r="F244" s="40"/>
      <c r="G244" s="40"/>
      <c r="H244" s="40"/>
      <c r="I244" s="60"/>
      <c r="J244" s="61" t="str">
        <f aca="false">IF(OR(E244="",F244=""),"",SUMIFS(Presupuesto!G$7:G$67,Presupuesto!B$7:B$67,E244,Presupuesto!C$7:C$67,F244))</f>
        <v/>
      </c>
      <c r="K244" s="62" t="str">
        <f aca="false">IF(OR(E244="",F244=""),"",SUMIFS(I$7:I244,E$7:E244,E244,F$7:F244,F244))</f>
        <v/>
      </c>
      <c r="L244" s="62" t="str">
        <f aca="false">IF(OR(E244="",F244=""),"",J244-SUMIFS(I$7:I$506,E$7:E$506,E244,F$7:F$506,F244))</f>
        <v/>
      </c>
      <c r="N244" s="40"/>
    </row>
    <row r="245" customFormat="false" ht="15.75" hidden="false" customHeight="true" outlineLevel="0" collapsed="false">
      <c r="A245" s="35"/>
      <c r="B245" s="54" t="n">
        <f aca="false">EOMONTH(C245,0)</f>
        <v>1</v>
      </c>
      <c r="C245" s="55"/>
      <c r="D245" s="40"/>
      <c r="E245" s="40"/>
      <c r="F245" s="40"/>
      <c r="G245" s="40"/>
      <c r="H245" s="40"/>
      <c r="I245" s="60"/>
      <c r="J245" s="61" t="str">
        <f aca="false">IF(OR(E245="",F245=""),"",SUMIFS(Presupuesto!G$7:G$67,Presupuesto!B$7:B$67,E245,Presupuesto!C$7:C$67,F245))</f>
        <v/>
      </c>
      <c r="K245" s="62" t="str">
        <f aca="false">IF(OR(E245="",F245=""),"",SUMIFS(I$7:I245,E$7:E245,E245,F$7:F245,F245))</f>
        <v/>
      </c>
      <c r="L245" s="62" t="str">
        <f aca="false">IF(OR(E245="",F245=""),"",J245-SUMIFS(I$7:I$506,E$7:E$506,E245,F$7:F$506,F245))</f>
        <v/>
      </c>
      <c r="N245" s="40"/>
    </row>
    <row r="246" customFormat="false" ht="15.75" hidden="false" customHeight="true" outlineLevel="0" collapsed="false">
      <c r="A246" s="35"/>
      <c r="B246" s="54" t="n">
        <f aca="false">EOMONTH(C246,0)</f>
        <v>1</v>
      </c>
      <c r="C246" s="55"/>
      <c r="D246" s="40"/>
      <c r="E246" s="40"/>
      <c r="F246" s="40"/>
      <c r="G246" s="40"/>
      <c r="H246" s="40"/>
      <c r="I246" s="60"/>
      <c r="J246" s="61" t="str">
        <f aca="false">IF(OR(E246="",F246=""),"",SUMIFS(Presupuesto!G$7:G$67,Presupuesto!B$7:B$67,E246,Presupuesto!C$7:C$67,F246))</f>
        <v/>
      </c>
      <c r="K246" s="62" t="str">
        <f aca="false">IF(OR(E246="",F246=""),"",SUMIFS(I$7:I246,E$7:E246,E246,F$7:F246,F246))</f>
        <v/>
      </c>
      <c r="L246" s="62" t="str">
        <f aca="false">IF(OR(E246="",F246=""),"",J246-SUMIFS(I$7:I$506,E$7:E$506,E246,F$7:F$506,F246))</f>
        <v/>
      </c>
      <c r="N246" s="40"/>
    </row>
    <row r="247" customFormat="false" ht="15.75" hidden="false" customHeight="true" outlineLevel="0" collapsed="false">
      <c r="A247" s="35"/>
      <c r="B247" s="54" t="n">
        <f aca="false">EOMONTH(C247,0)</f>
        <v>1</v>
      </c>
      <c r="C247" s="55"/>
      <c r="D247" s="40"/>
      <c r="E247" s="40"/>
      <c r="F247" s="40"/>
      <c r="G247" s="40"/>
      <c r="H247" s="40"/>
      <c r="I247" s="60"/>
      <c r="J247" s="61" t="str">
        <f aca="false">IF(OR(E247="",F247=""),"",SUMIFS(Presupuesto!G$7:G$67,Presupuesto!B$7:B$67,E247,Presupuesto!C$7:C$67,F247))</f>
        <v/>
      </c>
      <c r="K247" s="62" t="str">
        <f aca="false">IF(OR(E247="",F247=""),"",SUMIFS(I$7:I247,E$7:E247,E247,F$7:F247,F247))</f>
        <v/>
      </c>
      <c r="L247" s="62" t="str">
        <f aca="false">IF(OR(E247="",F247=""),"",J247-SUMIFS(I$7:I$506,E$7:E$506,E247,F$7:F$506,F247))</f>
        <v/>
      </c>
      <c r="N247" s="40"/>
    </row>
    <row r="248" customFormat="false" ht="15.75" hidden="false" customHeight="true" outlineLevel="0" collapsed="false">
      <c r="A248" s="35"/>
      <c r="B248" s="54" t="n">
        <f aca="false">EOMONTH(C248,0)</f>
        <v>1</v>
      </c>
      <c r="C248" s="55"/>
      <c r="D248" s="40"/>
      <c r="E248" s="40"/>
      <c r="F248" s="40"/>
      <c r="G248" s="40"/>
      <c r="H248" s="40"/>
      <c r="I248" s="60"/>
      <c r="J248" s="61" t="str">
        <f aca="false">IF(OR(E248="",F248=""),"",SUMIFS(Presupuesto!G$7:G$67,Presupuesto!B$7:B$67,E248,Presupuesto!C$7:C$67,F248))</f>
        <v/>
      </c>
      <c r="K248" s="62" t="str">
        <f aca="false">IF(OR(E248="",F248=""),"",SUMIFS(I$7:I248,E$7:E248,E248,F$7:F248,F248))</f>
        <v/>
      </c>
      <c r="L248" s="62" t="str">
        <f aca="false">IF(OR(E248="",F248=""),"",J248-SUMIFS(I$7:I$506,E$7:E$506,E248,F$7:F$506,F248))</f>
        <v/>
      </c>
      <c r="N248" s="40"/>
    </row>
    <row r="249" customFormat="false" ht="15.75" hidden="false" customHeight="true" outlineLevel="0" collapsed="false">
      <c r="A249" s="35"/>
      <c r="B249" s="54" t="n">
        <f aca="false">EOMONTH(C249,0)</f>
        <v>1</v>
      </c>
      <c r="C249" s="55"/>
      <c r="D249" s="40"/>
      <c r="E249" s="40"/>
      <c r="F249" s="40"/>
      <c r="G249" s="40"/>
      <c r="H249" s="40"/>
      <c r="I249" s="60"/>
      <c r="J249" s="61" t="str">
        <f aca="false">IF(OR(E249="",F249=""),"",SUMIFS(Presupuesto!G$7:G$67,Presupuesto!B$7:B$67,E249,Presupuesto!C$7:C$67,F249))</f>
        <v/>
      </c>
      <c r="K249" s="62" t="str">
        <f aca="false">IF(OR(E249="",F249=""),"",SUMIFS(I$7:I249,E$7:E249,E249,F$7:F249,F249))</f>
        <v/>
      </c>
      <c r="L249" s="62" t="str">
        <f aca="false">IF(OR(E249="",F249=""),"",J249-SUMIFS(I$7:I$506,E$7:E$506,E249,F$7:F$506,F249))</f>
        <v/>
      </c>
      <c r="N249" s="40"/>
    </row>
    <row r="250" customFormat="false" ht="15.75" hidden="false" customHeight="true" outlineLevel="0" collapsed="false">
      <c r="A250" s="35"/>
      <c r="B250" s="54" t="n">
        <f aca="false">EOMONTH(C250,0)</f>
        <v>1</v>
      </c>
      <c r="C250" s="55"/>
      <c r="D250" s="40"/>
      <c r="E250" s="40"/>
      <c r="F250" s="40"/>
      <c r="G250" s="40"/>
      <c r="H250" s="40"/>
      <c r="I250" s="60"/>
      <c r="J250" s="61" t="str">
        <f aca="false">IF(OR(E250="",F250=""),"",SUMIFS(Presupuesto!G$7:G$67,Presupuesto!B$7:B$67,E250,Presupuesto!C$7:C$67,F250))</f>
        <v/>
      </c>
      <c r="K250" s="62" t="str">
        <f aca="false">IF(OR(E250="",F250=""),"",SUMIFS(I$7:I250,E$7:E250,E250,F$7:F250,F250))</f>
        <v/>
      </c>
      <c r="L250" s="62" t="str">
        <f aca="false">IF(OR(E250="",F250=""),"",J250-SUMIFS(I$7:I$506,E$7:E$506,E250,F$7:F$506,F250))</f>
        <v/>
      </c>
      <c r="N250" s="40"/>
    </row>
    <row r="251" customFormat="false" ht="15.75" hidden="false" customHeight="true" outlineLevel="0" collapsed="false">
      <c r="A251" s="35"/>
      <c r="B251" s="54" t="str">
        <f aca="false">IF(C251="","",DATE(YEAR(C251),MONTH(C251)+1,0))</f>
        <v/>
      </c>
      <c r="C251" s="55"/>
      <c r="D251" s="40"/>
      <c r="E251" s="40"/>
      <c r="F251" s="40"/>
      <c r="G251" s="40"/>
      <c r="H251" s="40"/>
      <c r="I251" s="60"/>
      <c r="J251" s="61" t="str">
        <f aca="false">IF(OR(E251="",F251=""),"",SUMIFS(Presupuesto!G$7:G$67,Presupuesto!B$7:B$67,E251,Presupuesto!C$7:C$67,F251))</f>
        <v/>
      </c>
      <c r="K251" s="62" t="str">
        <f aca="false">IF(OR(E251="",F251=""),"",SUMIFS(I$7:I251,E$7:E251,E251,F$7:F251,F251))</f>
        <v/>
      </c>
      <c r="L251" s="62" t="str">
        <f aca="false">IF(OR(E251="",F251=""),"",J251-SUMIFS(I$7:I$506,E$7:E$506,E251,F$7:F$506,F251))</f>
        <v/>
      </c>
      <c r="N251" s="40"/>
    </row>
    <row r="252" customFormat="false" ht="15.75" hidden="false" customHeight="true" outlineLevel="0" collapsed="false">
      <c r="A252" s="35"/>
      <c r="B252" s="54" t="str">
        <f aca="false">IF(C252="","",DATE(YEAR(C252),MONTH(C252)+1,0))</f>
        <v/>
      </c>
      <c r="C252" s="55"/>
      <c r="D252" s="40"/>
      <c r="E252" s="40"/>
      <c r="F252" s="40"/>
      <c r="G252" s="40"/>
      <c r="H252" s="40"/>
      <c r="I252" s="60"/>
      <c r="J252" s="61" t="str">
        <f aca="false">IF(OR(E252="",F252=""),"",SUMIFS(Presupuesto!G$7:G$67,Presupuesto!B$7:B$67,E252,Presupuesto!C$7:C$67,F252))</f>
        <v/>
      </c>
      <c r="K252" s="62" t="str">
        <f aca="false">IF(OR(E252="",F252=""),"",SUMIFS(I$7:I252,E$7:E252,E252,F$7:F252,F252))</f>
        <v/>
      </c>
      <c r="L252" s="62" t="str">
        <f aca="false">IF(OR(E252="",F252=""),"",J252-SUMIFS(I$7:I$506,E$7:E$506,E252,F$7:F$506,F252))</f>
        <v/>
      </c>
      <c r="N252" s="40"/>
    </row>
    <row r="253" customFormat="false" ht="15.75" hidden="false" customHeight="true" outlineLevel="0" collapsed="false">
      <c r="A253" s="35"/>
      <c r="B253" s="54" t="str">
        <f aca="false">IF(C253="","",DATE(YEAR(C253),MONTH(C253)+1,0))</f>
        <v/>
      </c>
      <c r="C253" s="55"/>
      <c r="D253" s="40"/>
      <c r="E253" s="40"/>
      <c r="F253" s="40"/>
      <c r="G253" s="40"/>
      <c r="H253" s="40"/>
      <c r="I253" s="60"/>
      <c r="J253" s="61" t="str">
        <f aca="false">IF(OR(E253="",F253=""),"",SUMIFS(Presupuesto!G$7:G$67,Presupuesto!B$7:B$67,E253,Presupuesto!C$7:C$67,F253))</f>
        <v/>
      </c>
      <c r="K253" s="62" t="str">
        <f aca="false">IF(OR(E253="",F253=""),"",SUMIFS(I$7:I253,E$7:E253,E253,F$7:F253,F253))</f>
        <v/>
      </c>
      <c r="L253" s="62" t="str">
        <f aca="false">IF(OR(E253="",F253=""),"",J253-SUMIFS(I$7:I$506,E$7:E$506,E253,F$7:F$506,F253))</f>
        <v/>
      </c>
      <c r="N253" s="40"/>
    </row>
    <row r="254" customFormat="false" ht="15.75" hidden="false" customHeight="true" outlineLevel="0" collapsed="false">
      <c r="A254" s="35"/>
      <c r="B254" s="54" t="str">
        <f aca="false">IF(C254="","",DATE(YEAR(C254),MONTH(C254)+1,0))</f>
        <v/>
      </c>
      <c r="C254" s="55"/>
      <c r="D254" s="40"/>
      <c r="E254" s="40"/>
      <c r="F254" s="40"/>
      <c r="G254" s="40"/>
      <c r="H254" s="40"/>
      <c r="I254" s="60"/>
      <c r="J254" s="61" t="str">
        <f aca="false">IF(OR(E254="",F254=""),"",SUMIFS(Presupuesto!G$7:G$67,Presupuesto!B$7:B$67,E254,Presupuesto!C$7:C$67,F254))</f>
        <v/>
      </c>
      <c r="K254" s="62" t="str">
        <f aca="false">IF(OR(E254="",F254=""),"",SUMIFS(I$7:I254,E$7:E254,E254,F$7:F254,F254))</f>
        <v/>
      </c>
      <c r="L254" s="62" t="str">
        <f aca="false">IF(OR(E254="",F254=""),"",J254-SUMIFS(I$7:I$506,E$7:E$506,E254,F$7:F$506,F254))</f>
        <v/>
      </c>
      <c r="N254" s="40"/>
    </row>
    <row r="255" customFormat="false" ht="15.75" hidden="false" customHeight="true" outlineLevel="0" collapsed="false">
      <c r="A255" s="35"/>
      <c r="B255" s="54" t="str">
        <f aca="false">IF(C255="","",DATE(YEAR(C255),MONTH(C255)+1,0))</f>
        <v/>
      </c>
      <c r="C255" s="55"/>
      <c r="D255" s="40"/>
      <c r="E255" s="40"/>
      <c r="F255" s="40"/>
      <c r="G255" s="40"/>
      <c r="H255" s="40"/>
      <c r="I255" s="60"/>
      <c r="J255" s="61" t="str">
        <f aca="false">IF(OR(E255="",F255=""),"",SUMIFS(Presupuesto!G$7:G$67,Presupuesto!B$7:B$67,E255,Presupuesto!C$7:C$67,F255))</f>
        <v/>
      </c>
      <c r="K255" s="62" t="str">
        <f aca="false">IF(OR(E255="",F255=""),"",SUMIFS(I$7:I255,E$7:E255,E255,F$7:F255,F255))</f>
        <v/>
      </c>
      <c r="L255" s="62" t="str">
        <f aca="false">IF(OR(E255="",F255=""),"",J255-SUMIFS(I$7:I$506,E$7:E$506,E255,F$7:F$506,F255))</f>
        <v/>
      </c>
      <c r="N255" s="40"/>
    </row>
    <row r="256" customFormat="false" ht="15.75" hidden="false" customHeight="true" outlineLevel="0" collapsed="false">
      <c r="A256" s="35"/>
      <c r="B256" s="54" t="str">
        <f aca="false">IF(C256="","",DATE(YEAR(C256),MONTH(C256)+1,0))</f>
        <v/>
      </c>
      <c r="C256" s="55"/>
      <c r="D256" s="40"/>
      <c r="E256" s="40"/>
      <c r="F256" s="40"/>
      <c r="G256" s="40"/>
      <c r="H256" s="40"/>
      <c r="I256" s="60"/>
      <c r="J256" s="61" t="str">
        <f aca="false">IF(OR(E256="",F256=""),"",SUMIFS(Presupuesto!G$7:G$67,Presupuesto!B$7:B$67,E256,Presupuesto!C$7:C$67,F256))</f>
        <v/>
      </c>
      <c r="K256" s="62" t="str">
        <f aca="false">IF(OR(E256="",F256=""),"",SUMIFS(I$7:I256,E$7:E256,E256,F$7:F256,F256))</f>
        <v/>
      </c>
      <c r="L256" s="62" t="str">
        <f aca="false">IF(OR(E256="",F256=""),"",J256-SUMIFS(I$7:I$506,E$7:E$506,E256,F$7:F$506,F256))</f>
        <v/>
      </c>
      <c r="N256" s="40"/>
    </row>
    <row r="257" customFormat="false" ht="15.75" hidden="false" customHeight="true" outlineLevel="0" collapsed="false">
      <c r="A257" s="35"/>
      <c r="B257" s="54" t="str">
        <f aca="false">IF(C257="","",DATE(YEAR(C257),MONTH(C257)+1,0))</f>
        <v/>
      </c>
      <c r="C257" s="55"/>
      <c r="D257" s="40"/>
      <c r="E257" s="40"/>
      <c r="F257" s="40"/>
      <c r="G257" s="40"/>
      <c r="H257" s="40"/>
      <c r="I257" s="60"/>
      <c r="J257" s="61" t="str">
        <f aca="false">IF(OR(E257="",F257=""),"",SUMIFS(Presupuesto!G$7:G$67,Presupuesto!B$7:B$67,E257,Presupuesto!C$7:C$67,F257))</f>
        <v/>
      </c>
      <c r="K257" s="62" t="str">
        <f aca="false">IF(OR(E257="",F257=""),"",SUMIFS(I$7:I257,E$7:E257,E257,F$7:F257,F257))</f>
        <v/>
      </c>
      <c r="L257" s="62" t="str">
        <f aca="false">IF(OR(E257="",F257=""),"",J257-SUMIFS(I$7:I$506,E$7:E$506,E257,F$7:F$506,F257))</f>
        <v/>
      </c>
      <c r="N257" s="40"/>
    </row>
    <row r="258" customFormat="false" ht="15.75" hidden="false" customHeight="true" outlineLevel="0" collapsed="false">
      <c r="A258" s="35"/>
      <c r="B258" s="54" t="str">
        <f aca="false">IF(C258="","",DATE(YEAR(C258),MONTH(C258)+1,0))</f>
        <v/>
      </c>
      <c r="C258" s="55"/>
      <c r="D258" s="40"/>
      <c r="E258" s="40"/>
      <c r="F258" s="40"/>
      <c r="G258" s="40"/>
      <c r="H258" s="40"/>
      <c r="I258" s="60"/>
      <c r="J258" s="61" t="str">
        <f aca="false">IF(OR(E258="",F258=""),"",SUMIFS(Presupuesto!G$7:G$67,Presupuesto!B$7:B$67,E258,Presupuesto!C$7:C$67,F258))</f>
        <v/>
      </c>
      <c r="K258" s="62" t="str">
        <f aca="false">IF(OR(E258="",F258=""),"",SUMIFS(I$7:I258,E$7:E258,E258,F$7:F258,F258))</f>
        <v/>
      </c>
      <c r="L258" s="62" t="str">
        <f aca="false">IF(OR(E258="",F258=""),"",J258-SUMIFS(I$7:I$506,E$7:E$506,E258,F$7:F$506,F258))</f>
        <v/>
      </c>
      <c r="N258" s="40"/>
    </row>
    <row r="259" customFormat="false" ht="15.75" hidden="false" customHeight="true" outlineLevel="0" collapsed="false">
      <c r="A259" s="35"/>
      <c r="B259" s="54" t="str">
        <f aca="false">IF(C259="","",DATE(YEAR(C259),MONTH(C259)+1,0))</f>
        <v/>
      </c>
      <c r="C259" s="55"/>
      <c r="D259" s="40"/>
      <c r="E259" s="40"/>
      <c r="F259" s="40"/>
      <c r="G259" s="40"/>
      <c r="H259" s="40"/>
      <c r="I259" s="60"/>
      <c r="J259" s="61" t="str">
        <f aca="false">IF(OR(E259="",F259=""),"",SUMIFS(Presupuesto!G$7:G$67,Presupuesto!B$7:B$67,E259,Presupuesto!C$7:C$67,F259))</f>
        <v/>
      </c>
      <c r="K259" s="62" t="str">
        <f aca="false">IF(OR(E259="",F259=""),"",SUMIFS(I$7:I259,E$7:E259,E259,F$7:F259,F259))</f>
        <v/>
      </c>
      <c r="L259" s="62" t="str">
        <f aca="false">IF(OR(E259="",F259=""),"",J259-SUMIFS(I$7:I$506,E$7:E$506,E259,F$7:F$506,F259))</f>
        <v/>
      </c>
      <c r="N259" s="40"/>
    </row>
    <row r="260" customFormat="false" ht="15.75" hidden="false" customHeight="true" outlineLevel="0" collapsed="false">
      <c r="A260" s="35"/>
      <c r="B260" s="54" t="str">
        <f aca="false">IF(C260="","",DATE(YEAR(C260),MONTH(C260)+1,0))</f>
        <v/>
      </c>
      <c r="C260" s="55"/>
      <c r="D260" s="40"/>
      <c r="E260" s="40"/>
      <c r="F260" s="40"/>
      <c r="G260" s="40"/>
      <c r="H260" s="40"/>
      <c r="I260" s="60"/>
      <c r="J260" s="61" t="str">
        <f aca="false">IF(OR(E260="",F260=""),"",SUMIFS(Presupuesto!G$7:G$67,Presupuesto!B$7:B$67,E260,Presupuesto!C$7:C$67,F260))</f>
        <v/>
      </c>
      <c r="K260" s="62" t="str">
        <f aca="false">IF(OR(E260="",F260=""),"",SUMIFS(I$7:I260,E$7:E260,E260,F$7:F260,F260))</f>
        <v/>
      </c>
      <c r="L260" s="62" t="str">
        <f aca="false">IF(OR(E260="",F260=""),"",J260-SUMIFS(I$7:I$506,E$7:E$506,E260,F$7:F$506,F260))</f>
        <v/>
      </c>
      <c r="N260" s="40"/>
    </row>
    <row r="261" customFormat="false" ht="15.75" hidden="false" customHeight="true" outlineLevel="0" collapsed="false">
      <c r="A261" s="35"/>
      <c r="B261" s="54" t="str">
        <f aca="false">IF(C261="","",DATE(YEAR(C261),MONTH(C261)+1,0))</f>
        <v/>
      </c>
      <c r="C261" s="55"/>
      <c r="D261" s="40"/>
      <c r="E261" s="40"/>
      <c r="F261" s="40"/>
      <c r="G261" s="40"/>
      <c r="H261" s="40"/>
      <c r="I261" s="60"/>
      <c r="J261" s="61" t="str">
        <f aca="false">IF(OR(E261="",F261=""),"",SUMIFS(Presupuesto!G$7:G$67,Presupuesto!B$7:B$67,E261,Presupuesto!C$7:C$67,F261))</f>
        <v/>
      </c>
      <c r="K261" s="62" t="str">
        <f aca="false">IF(OR(E261="",F261=""),"",SUMIFS(I$7:I261,E$7:E261,E261,F$7:F261,F261))</f>
        <v/>
      </c>
      <c r="L261" s="62" t="str">
        <f aca="false">IF(OR(E261="",F261=""),"",J261-SUMIFS(I$7:I$506,E$7:E$506,E261,F$7:F$506,F261))</f>
        <v/>
      </c>
      <c r="N261" s="40"/>
    </row>
    <row r="262" customFormat="false" ht="15.75" hidden="false" customHeight="true" outlineLevel="0" collapsed="false">
      <c r="A262" s="35"/>
      <c r="B262" s="54" t="str">
        <f aca="false">IF(C262="","",DATE(YEAR(C262),MONTH(C262)+1,0))</f>
        <v/>
      </c>
      <c r="C262" s="55"/>
      <c r="D262" s="40"/>
      <c r="E262" s="40"/>
      <c r="F262" s="40"/>
      <c r="G262" s="40"/>
      <c r="H262" s="40"/>
      <c r="I262" s="60"/>
      <c r="J262" s="61" t="str">
        <f aca="false">IF(OR(E262="",F262=""),"",SUMIFS(Presupuesto!G$7:G$67,Presupuesto!B$7:B$67,E262,Presupuesto!C$7:C$67,F262))</f>
        <v/>
      </c>
      <c r="K262" s="62" t="str">
        <f aca="false">IF(OR(E262="",F262=""),"",SUMIFS(I$7:I262,E$7:E262,E262,F$7:F262,F262))</f>
        <v/>
      </c>
      <c r="L262" s="62" t="str">
        <f aca="false">IF(OR(E262="",F262=""),"",J262-SUMIFS(I$7:I$506,E$7:E$506,E262,F$7:F$506,F262))</f>
        <v/>
      </c>
      <c r="N262" s="40"/>
    </row>
    <row r="263" customFormat="false" ht="15.75" hidden="false" customHeight="true" outlineLevel="0" collapsed="false">
      <c r="A263" s="35"/>
      <c r="B263" s="54" t="str">
        <f aca="false">IF(C263="","",DATE(YEAR(C263),MONTH(C263)+1,0))</f>
        <v/>
      </c>
      <c r="C263" s="55"/>
      <c r="D263" s="40"/>
      <c r="E263" s="40"/>
      <c r="F263" s="40"/>
      <c r="G263" s="40"/>
      <c r="H263" s="40"/>
      <c r="I263" s="60"/>
      <c r="J263" s="61" t="str">
        <f aca="false">IF(OR(E263="",F263=""),"",SUMIFS(Presupuesto!G$7:G$67,Presupuesto!B$7:B$67,E263,Presupuesto!C$7:C$67,F263))</f>
        <v/>
      </c>
      <c r="K263" s="62" t="str">
        <f aca="false">IF(OR(E263="",F263=""),"",SUMIFS(I$7:I263,E$7:E263,E263,F$7:F263,F263))</f>
        <v/>
      </c>
      <c r="L263" s="62" t="str">
        <f aca="false">IF(OR(E263="",F263=""),"",J263-SUMIFS(I$7:I$506,E$7:E$506,E263,F$7:F$506,F263))</f>
        <v/>
      </c>
      <c r="N263" s="40"/>
    </row>
    <row r="264" customFormat="false" ht="15.75" hidden="false" customHeight="true" outlineLevel="0" collapsed="false">
      <c r="A264" s="35"/>
      <c r="B264" s="54" t="str">
        <f aca="false">IF(C264="","",DATE(YEAR(C264),MONTH(C264)+1,0))</f>
        <v/>
      </c>
      <c r="C264" s="55"/>
      <c r="D264" s="40"/>
      <c r="E264" s="40"/>
      <c r="F264" s="40"/>
      <c r="G264" s="40"/>
      <c r="H264" s="40"/>
      <c r="I264" s="60"/>
      <c r="J264" s="61" t="str">
        <f aca="false">IF(OR(E264="",F264=""),"",SUMIFS(Presupuesto!G$7:G$67,Presupuesto!B$7:B$67,E264,Presupuesto!C$7:C$67,F264))</f>
        <v/>
      </c>
      <c r="K264" s="62" t="str">
        <f aca="false">IF(OR(E264="",F264=""),"",SUMIFS(I$7:I264,E$7:E264,E264,F$7:F264,F264))</f>
        <v/>
      </c>
      <c r="L264" s="62" t="str">
        <f aca="false">IF(OR(E264="",F264=""),"",J264-SUMIFS(I$7:I$506,E$7:E$506,E264,F$7:F$506,F264))</f>
        <v/>
      </c>
      <c r="N264" s="40"/>
    </row>
    <row r="265" customFormat="false" ht="15.75" hidden="false" customHeight="true" outlineLevel="0" collapsed="false">
      <c r="A265" s="35"/>
      <c r="B265" s="54" t="str">
        <f aca="false">IF(C265="","",DATE(YEAR(C265),MONTH(C265)+1,0))</f>
        <v/>
      </c>
      <c r="C265" s="55"/>
      <c r="D265" s="40"/>
      <c r="E265" s="40"/>
      <c r="F265" s="40"/>
      <c r="G265" s="40"/>
      <c r="H265" s="40"/>
      <c r="I265" s="60"/>
      <c r="J265" s="61" t="str">
        <f aca="false">IF(OR(E265="",F265=""),"",SUMIFS(Presupuesto!G$7:G$67,Presupuesto!B$7:B$67,E265,Presupuesto!C$7:C$67,F265))</f>
        <v/>
      </c>
      <c r="K265" s="62" t="str">
        <f aca="false">IF(OR(E265="",F265=""),"",SUMIFS(I$7:I265,E$7:E265,E265,F$7:F265,F265))</f>
        <v/>
      </c>
      <c r="L265" s="62" t="str">
        <f aca="false">IF(OR(E265="",F265=""),"",J265-SUMIFS(I$7:I$506,E$7:E$506,E265,F$7:F$506,F265))</f>
        <v/>
      </c>
      <c r="N265" s="40"/>
    </row>
    <row r="266" customFormat="false" ht="15.75" hidden="false" customHeight="true" outlineLevel="0" collapsed="false">
      <c r="A266" s="35"/>
      <c r="B266" s="54" t="str">
        <f aca="false">IF(C266="","",DATE(YEAR(C266),MONTH(C266)+1,0))</f>
        <v/>
      </c>
      <c r="C266" s="55"/>
      <c r="D266" s="40"/>
      <c r="E266" s="40"/>
      <c r="F266" s="40"/>
      <c r="G266" s="40"/>
      <c r="H266" s="40"/>
      <c r="I266" s="60"/>
      <c r="J266" s="61" t="str">
        <f aca="false">IF(OR(E266="",F266=""),"",SUMIFS(Presupuesto!G$7:G$67,Presupuesto!B$7:B$67,E266,Presupuesto!C$7:C$67,F266))</f>
        <v/>
      </c>
      <c r="K266" s="62" t="str">
        <f aca="false">IF(OR(E266="",F266=""),"",SUMIFS(I$7:I266,E$7:E266,E266,F$7:F266,F266))</f>
        <v/>
      </c>
      <c r="L266" s="62" t="str">
        <f aca="false">IF(OR(E266="",F266=""),"",J266-SUMIFS(I$7:I$506,E$7:E$506,E266,F$7:F$506,F266))</f>
        <v/>
      </c>
      <c r="N266" s="40"/>
    </row>
    <row r="267" customFormat="false" ht="15.75" hidden="false" customHeight="true" outlineLevel="0" collapsed="false">
      <c r="A267" s="35"/>
      <c r="B267" s="54" t="str">
        <f aca="false">IF(C267="","",DATE(YEAR(C267),MONTH(C267)+1,0))</f>
        <v/>
      </c>
      <c r="C267" s="55"/>
      <c r="D267" s="40"/>
      <c r="E267" s="40"/>
      <c r="F267" s="40"/>
      <c r="G267" s="40"/>
      <c r="H267" s="40"/>
      <c r="I267" s="60"/>
      <c r="J267" s="61" t="str">
        <f aca="false">IF(OR(E267="",F267=""),"",SUMIFS(Presupuesto!G$7:G$67,Presupuesto!B$7:B$67,E267,Presupuesto!C$7:C$67,F267))</f>
        <v/>
      </c>
      <c r="K267" s="62" t="str">
        <f aca="false">IF(OR(E267="",F267=""),"",SUMIFS(I$7:I267,E$7:E267,E267,F$7:F267,F267))</f>
        <v/>
      </c>
      <c r="L267" s="62" t="str">
        <f aca="false">IF(OR(E267="",F267=""),"",J267-SUMIFS(I$7:I$506,E$7:E$506,E267,F$7:F$506,F267))</f>
        <v/>
      </c>
      <c r="N267" s="40"/>
    </row>
    <row r="268" customFormat="false" ht="15.75" hidden="false" customHeight="true" outlineLevel="0" collapsed="false">
      <c r="A268" s="35"/>
      <c r="B268" s="54" t="str">
        <f aca="false">IF(C268="","",DATE(YEAR(C268),MONTH(C268)+1,0))</f>
        <v/>
      </c>
      <c r="C268" s="55"/>
      <c r="D268" s="40"/>
      <c r="E268" s="40"/>
      <c r="F268" s="40"/>
      <c r="G268" s="40"/>
      <c r="H268" s="40"/>
      <c r="I268" s="60"/>
      <c r="J268" s="61" t="str">
        <f aca="false">IF(OR(E268="",F268=""),"",SUMIFS(Presupuesto!G$7:G$67,Presupuesto!B$7:B$67,E268,Presupuesto!C$7:C$67,F268))</f>
        <v/>
      </c>
      <c r="K268" s="62" t="str">
        <f aca="false">IF(OR(E268="",F268=""),"",SUMIFS(I$7:I268,E$7:E268,E268,F$7:F268,F268))</f>
        <v/>
      </c>
      <c r="L268" s="62" t="str">
        <f aca="false">IF(OR(E268="",F268=""),"",J268-SUMIFS(I$7:I$506,E$7:E$506,E268,F$7:F$506,F268))</f>
        <v/>
      </c>
      <c r="N268" s="40"/>
    </row>
    <row r="269" customFormat="false" ht="15.75" hidden="false" customHeight="true" outlineLevel="0" collapsed="false">
      <c r="A269" s="35"/>
      <c r="B269" s="54" t="str">
        <f aca="false">IF(C269="","",DATE(YEAR(C269),MONTH(C269)+1,0))</f>
        <v/>
      </c>
      <c r="C269" s="55"/>
      <c r="D269" s="40"/>
      <c r="E269" s="40"/>
      <c r="F269" s="40"/>
      <c r="G269" s="40"/>
      <c r="H269" s="40"/>
      <c r="I269" s="60"/>
      <c r="J269" s="61" t="str">
        <f aca="false">IF(OR(E269="",F269=""),"",SUMIFS(Presupuesto!G$7:G$67,Presupuesto!B$7:B$67,E269,Presupuesto!C$7:C$67,F269))</f>
        <v/>
      </c>
      <c r="K269" s="62" t="str">
        <f aca="false">IF(OR(E269="",F269=""),"",SUMIFS(I$7:I269,E$7:E269,E269,F$7:F269,F269))</f>
        <v/>
      </c>
      <c r="L269" s="62" t="str">
        <f aca="false">IF(OR(E269="",F269=""),"",J269-SUMIFS(I$7:I$506,E$7:E$506,E269,F$7:F$506,F269))</f>
        <v/>
      </c>
      <c r="N269" s="40"/>
    </row>
    <row r="270" customFormat="false" ht="15.75" hidden="false" customHeight="true" outlineLevel="0" collapsed="false">
      <c r="A270" s="35"/>
      <c r="B270" s="54" t="str">
        <f aca="false">IF(C270="","",DATE(YEAR(C270),MONTH(C270)+1,0))</f>
        <v/>
      </c>
      <c r="C270" s="55"/>
      <c r="D270" s="40"/>
      <c r="E270" s="40"/>
      <c r="F270" s="40"/>
      <c r="G270" s="40"/>
      <c r="H270" s="40"/>
      <c r="I270" s="60"/>
      <c r="J270" s="61" t="str">
        <f aca="false">IF(OR(E270="",F270=""),"",SUMIFS(Presupuesto!G$7:G$67,Presupuesto!B$7:B$67,E270,Presupuesto!C$7:C$67,F270))</f>
        <v/>
      </c>
      <c r="K270" s="62" t="str">
        <f aca="false">IF(OR(E270="",F270=""),"",SUMIFS(I$7:I270,E$7:E270,E270,F$7:F270,F270))</f>
        <v/>
      </c>
      <c r="L270" s="62" t="str">
        <f aca="false">IF(OR(E270="",F270=""),"",J270-SUMIFS(I$7:I$506,E$7:E$506,E270,F$7:F$506,F270))</f>
        <v/>
      </c>
      <c r="N270" s="40"/>
    </row>
    <row r="271" customFormat="false" ht="15.75" hidden="false" customHeight="true" outlineLevel="0" collapsed="false">
      <c r="A271" s="35"/>
      <c r="B271" s="54" t="str">
        <f aca="false">IF(C271="","",DATE(YEAR(C271),MONTH(C271)+1,0))</f>
        <v/>
      </c>
      <c r="C271" s="55"/>
      <c r="D271" s="40"/>
      <c r="E271" s="40"/>
      <c r="F271" s="40"/>
      <c r="G271" s="40"/>
      <c r="H271" s="40"/>
      <c r="I271" s="60"/>
      <c r="J271" s="61" t="str">
        <f aca="false">IF(OR(E271="",F271=""),"",SUMIFS(Presupuesto!G$7:G$67,Presupuesto!B$7:B$67,E271,Presupuesto!C$7:C$67,F271))</f>
        <v/>
      </c>
      <c r="K271" s="62" t="str">
        <f aca="false">IF(OR(E271="",F271=""),"",SUMIFS(I$7:I271,E$7:E271,E271,F$7:F271,F271))</f>
        <v/>
      </c>
      <c r="L271" s="62" t="str">
        <f aca="false">IF(OR(E271="",F271=""),"",J271-SUMIFS(I$7:I$506,E$7:E$506,E271,F$7:F$506,F271))</f>
        <v/>
      </c>
      <c r="N271" s="40"/>
    </row>
    <row r="272" customFormat="false" ht="15.75" hidden="false" customHeight="true" outlineLevel="0" collapsed="false">
      <c r="A272" s="35"/>
      <c r="B272" s="54" t="str">
        <f aca="false">IF(C272="","",DATE(YEAR(C272),MONTH(C272)+1,0))</f>
        <v/>
      </c>
      <c r="C272" s="55"/>
      <c r="D272" s="40"/>
      <c r="E272" s="40"/>
      <c r="F272" s="40"/>
      <c r="G272" s="40"/>
      <c r="H272" s="40"/>
      <c r="I272" s="60"/>
      <c r="J272" s="61" t="str">
        <f aca="false">IF(OR(E272="",F272=""),"",SUMIFS(Presupuesto!G$7:G$67,Presupuesto!B$7:B$67,E272,Presupuesto!C$7:C$67,F272))</f>
        <v/>
      </c>
      <c r="K272" s="62" t="str">
        <f aca="false">IF(OR(E272="",F272=""),"",SUMIFS(I$7:I272,E$7:E272,E272,F$7:F272,F272))</f>
        <v/>
      </c>
      <c r="L272" s="62" t="str">
        <f aca="false">IF(OR(E272="",F272=""),"",J272-SUMIFS(I$7:I$506,E$7:E$506,E272,F$7:F$506,F272))</f>
        <v/>
      </c>
      <c r="N272" s="40"/>
    </row>
    <row r="273" customFormat="false" ht="15.75" hidden="false" customHeight="true" outlineLevel="0" collapsed="false">
      <c r="A273" s="35"/>
      <c r="B273" s="54" t="str">
        <f aca="false">IF(C273="","",DATE(YEAR(C273),MONTH(C273)+1,0))</f>
        <v/>
      </c>
      <c r="C273" s="55"/>
      <c r="D273" s="40"/>
      <c r="E273" s="40"/>
      <c r="F273" s="40"/>
      <c r="G273" s="40"/>
      <c r="H273" s="40"/>
      <c r="I273" s="60"/>
      <c r="J273" s="61" t="str">
        <f aca="false">IF(OR(E273="",F273=""),"",SUMIFS(Presupuesto!G$7:G$67,Presupuesto!B$7:B$67,E273,Presupuesto!C$7:C$67,F273))</f>
        <v/>
      </c>
      <c r="K273" s="62" t="str">
        <f aca="false">IF(OR(E273="",F273=""),"",SUMIFS(I$7:I273,E$7:E273,E273,F$7:F273,F273))</f>
        <v/>
      </c>
      <c r="L273" s="62" t="str">
        <f aca="false">IF(OR(E273="",F273=""),"",J273-SUMIFS(I$7:I$506,E$7:E$506,E273,F$7:F$506,F273))</f>
        <v/>
      </c>
      <c r="N273" s="40"/>
    </row>
    <row r="274" customFormat="false" ht="15.75" hidden="false" customHeight="true" outlineLevel="0" collapsed="false">
      <c r="A274" s="35"/>
      <c r="B274" s="54" t="str">
        <f aca="false">IF(C274="","",DATE(YEAR(C274),MONTH(C274)+1,0))</f>
        <v/>
      </c>
      <c r="C274" s="55"/>
      <c r="D274" s="40"/>
      <c r="E274" s="40"/>
      <c r="F274" s="40"/>
      <c r="G274" s="40"/>
      <c r="H274" s="40"/>
      <c r="I274" s="60"/>
      <c r="J274" s="61" t="str">
        <f aca="false">IF(OR(E274="",F274=""),"",SUMIFS(Presupuesto!G$7:G$67,Presupuesto!B$7:B$67,E274,Presupuesto!C$7:C$67,F274))</f>
        <v/>
      </c>
      <c r="K274" s="62" t="str">
        <f aca="false">IF(OR(E274="",F274=""),"",SUMIFS(I$7:I274,E$7:E274,E274,F$7:F274,F274))</f>
        <v/>
      </c>
      <c r="L274" s="62" t="str">
        <f aca="false">IF(OR(E274="",F274=""),"",J274-SUMIFS(I$7:I$506,E$7:E$506,E274,F$7:F$506,F274))</f>
        <v/>
      </c>
      <c r="N274" s="40"/>
    </row>
    <row r="275" customFormat="false" ht="15.75" hidden="false" customHeight="true" outlineLevel="0" collapsed="false">
      <c r="A275" s="35"/>
      <c r="B275" s="54" t="str">
        <f aca="false">IF(C275="","",DATE(YEAR(C275),MONTH(C275)+1,0))</f>
        <v/>
      </c>
      <c r="C275" s="55"/>
      <c r="D275" s="40"/>
      <c r="E275" s="40"/>
      <c r="F275" s="40"/>
      <c r="G275" s="40"/>
      <c r="H275" s="40"/>
      <c r="I275" s="60"/>
      <c r="J275" s="61" t="str">
        <f aca="false">IF(OR(E275="",F275=""),"",SUMIFS(Presupuesto!G$7:G$67,Presupuesto!B$7:B$67,E275,Presupuesto!C$7:C$67,F275))</f>
        <v/>
      </c>
      <c r="K275" s="62" t="str">
        <f aca="false">IF(OR(E275="",F275=""),"",SUMIFS(I$7:I275,E$7:E275,E275,F$7:F275,F275))</f>
        <v/>
      </c>
      <c r="L275" s="62" t="str">
        <f aca="false">IF(OR(E275="",F275=""),"",J275-SUMIFS(I$7:I$506,E$7:E$506,E275,F$7:F$506,F275))</f>
        <v/>
      </c>
      <c r="N275" s="40"/>
    </row>
    <row r="276" customFormat="false" ht="15.75" hidden="false" customHeight="true" outlineLevel="0" collapsed="false">
      <c r="A276" s="35"/>
      <c r="B276" s="54" t="str">
        <f aca="false">IF(C276="","",DATE(YEAR(C276),MONTH(C276)+1,0))</f>
        <v/>
      </c>
      <c r="C276" s="55"/>
      <c r="D276" s="40"/>
      <c r="E276" s="40"/>
      <c r="F276" s="40"/>
      <c r="G276" s="40"/>
      <c r="H276" s="40"/>
      <c r="I276" s="60"/>
      <c r="J276" s="61" t="str">
        <f aca="false">IF(OR(E276="",F276=""),"",SUMIFS(Presupuesto!G$7:G$67,Presupuesto!B$7:B$67,E276,Presupuesto!C$7:C$67,F276))</f>
        <v/>
      </c>
      <c r="K276" s="62" t="str">
        <f aca="false">IF(OR(E276="",F276=""),"",SUMIFS(I$7:I276,E$7:E276,E276,F$7:F276,F276))</f>
        <v/>
      </c>
      <c r="L276" s="62" t="str">
        <f aca="false">IF(OR(E276="",F276=""),"",J276-SUMIFS(I$7:I$506,E$7:E$506,E276,F$7:F$506,F276))</f>
        <v/>
      </c>
      <c r="N276" s="40"/>
    </row>
    <row r="277" customFormat="false" ht="15.75" hidden="false" customHeight="true" outlineLevel="0" collapsed="false">
      <c r="A277" s="35"/>
      <c r="B277" s="54" t="str">
        <f aca="false">IF(C277="","",DATE(YEAR(C277),MONTH(C277)+1,0))</f>
        <v/>
      </c>
      <c r="C277" s="55"/>
      <c r="D277" s="40"/>
      <c r="E277" s="40"/>
      <c r="F277" s="40"/>
      <c r="G277" s="40"/>
      <c r="H277" s="40"/>
      <c r="I277" s="60"/>
      <c r="J277" s="61" t="str">
        <f aca="false">IF(OR(E277="",F277=""),"",SUMIFS(Presupuesto!G$7:G$67,Presupuesto!B$7:B$67,E277,Presupuesto!C$7:C$67,F277))</f>
        <v/>
      </c>
      <c r="K277" s="62" t="str">
        <f aca="false">IF(OR(E277="",F277=""),"",SUMIFS(I$7:I277,E$7:E277,E277,F$7:F277,F277))</f>
        <v/>
      </c>
      <c r="L277" s="62" t="str">
        <f aca="false">IF(OR(E277="",F277=""),"",J277-SUMIFS(I$7:I$506,E$7:E$506,E277,F$7:F$506,F277))</f>
        <v/>
      </c>
      <c r="N277" s="40"/>
    </row>
    <row r="278" customFormat="false" ht="15.75" hidden="false" customHeight="true" outlineLevel="0" collapsed="false">
      <c r="A278" s="35"/>
      <c r="B278" s="54" t="str">
        <f aca="false">IF(C278="","",DATE(YEAR(C278),MONTH(C278)+1,0))</f>
        <v/>
      </c>
      <c r="C278" s="55"/>
      <c r="D278" s="40"/>
      <c r="E278" s="40"/>
      <c r="F278" s="40"/>
      <c r="G278" s="40"/>
      <c r="H278" s="40"/>
      <c r="I278" s="60"/>
      <c r="J278" s="61" t="str">
        <f aca="false">IF(OR(E278="",F278=""),"",SUMIFS(Presupuesto!G$7:G$67,Presupuesto!B$7:B$67,E278,Presupuesto!C$7:C$67,F278))</f>
        <v/>
      </c>
      <c r="K278" s="62" t="str">
        <f aca="false">IF(OR(E278="",F278=""),"",SUMIFS(I$7:I278,E$7:E278,E278,F$7:F278,F278))</f>
        <v/>
      </c>
      <c r="L278" s="62" t="str">
        <f aca="false">IF(OR(E278="",F278=""),"",J278-SUMIFS(I$7:I$506,E$7:E$506,E278,F$7:F$506,F278))</f>
        <v/>
      </c>
      <c r="N278" s="40"/>
    </row>
    <row r="279" customFormat="false" ht="15.75" hidden="false" customHeight="true" outlineLevel="0" collapsed="false">
      <c r="A279" s="35"/>
      <c r="B279" s="54" t="str">
        <f aca="false">IF(C279="","",DATE(YEAR(C279),MONTH(C279)+1,0))</f>
        <v/>
      </c>
      <c r="C279" s="55"/>
      <c r="D279" s="40"/>
      <c r="E279" s="40"/>
      <c r="F279" s="40"/>
      <c r="G279" s="40"/>
      <c r="H279" s="40"/>
      <c r="I279" s="60"/>
      <c r="J279" s="61" t="str">
        <f aca="false">IF(OR(E279="",F279=""),"",SUMIFS(Presupuesto!G$7:G$67,Presupuesto!B$7:B$67,E279,Presupuesto!C$7:C$67,F279))</f>
        <v/>
      </c>
      <c r="K279" s="62" t="str">
        <f aca="false">IF(OR(E279="",F279=""),"",SUMIFS(I$7:I279,E$7:E279,E279,F$7:F279,F279))</f>
        <v/>
      </c>
      <c r="L279" s="62" t="str">
        <f aca="false">IF(OR(E279="",F279=""),"",J279-SUMIFS(I$7:I$506,E$7:E$506,E279,F$7:F$506,F279))</f>
        <v/>
      </c>
      <c r="N279" s="40"/>
    </row>
    <row r="280" customFormat="false" ht="15.75" hidden="false" customHeight="true" outlineLevel="0" collapsed="false">
      <c r="A280" s="35"/>
      <c r="B280" s="54" t="str">
        <f aca="false">IF(C280="","",DATE(YEAR(C280),MONTH(C280)+1,0))</f>
        <v/>
      </c>
      <c r="C280" s="55"/>
      <c r="D280" s="40"/>
      <c r="E280" s="40"/>
      <c r="F280" s="40"/>
      <c r="G280" s="40"/>
      <c r="H280" s="40"/>
      <c r="I280" s="60"/>
      <c r="J280" s="61" t="str">
        <f aca="false">IF(OR(E280="",F280=""),"",SUMIFS(Presupuesto!G$7:G$67,Presupuesto!B$7:B$67,E280,Presupuesto!C$7:C$67,F280))</f>
        <v/>
      </c>
      <c r="K280" s="62" t="str">
        <f aca="false">IF(OR(E280="",F280=""),"",SUMIFS(I$7:I280,E$7:E280,E280,F$7:F280,F280))</f>
        <v/>
      </c>
      <c r="L280" s="62" t="str">
        <f aca="false">IF(OR(E280="",F280=""),"",J280-SUMIFS(I$7:I$506,E$7:E$506,E280,F$7:F$506,F280))</f>
        <v/>
      </c>
      <c r="N280" s="40"/>
    </row>
    <row r="281" customFormat="false" ht="15.75" hidden="false" customHeight="true" outlineLevel="0" collapsed="false">
      <c r="A281" s="35"/>
      <c r="B281" s="54" t="str">
        <f aca="false">IF(C281="","",DATE(YEAR(C281),MONTH(C281)+1,0))</f>
        <v/>
      </c>
      <c r="C281" s="55"/>
      <c r="D281" s="40"/>
      <c r="E281" s="40"/>
      <c r="F281" s="40"/>
      <c r="G281" s="40"/>
      <c r="H281" s="40"/>
      <c r="I281" s="60"/>
      <c r="J281" s="61" t="str">
        <f aca="false">IF(OR(E281="",F281=""),"",SUMIFS(Presupuesto!G$7:G$67,Presupuesto!B$7:B$67,E281,Presupuesto!C$7:C$67,F281))</f>
        <v/>
      </c>
      <c r="K281" s="62" t="str">
        <f aca="false">IF(OR(E281="",F281=""),"",SUMIFS(I$7:I281,E$7:E281,E281,F$7:F281,F281))</f>
        <v/>
      </c>
      <c r="L281" s="62" t="str">
        <f aca="false">IF(OR(E281="",F281=""),"",J281-SUMIFS(I$7:I$506,E$7:E$506,E281,F$7:F$506,F281))</f>
        <v/>
      </c>
      <c r="N281" s="40"/>
    </row>
    <row r="282" customFormat="false" ht="15.75" hidden="false" customHeight="true" outlineLevel="0" collapsed="false">
      <c r="A282" s="35"/>
      <c r="B282" s="54" t="str">
        <f aca="false">IF(C282="","",DATE(YEAR(C282),MONTH(C282)+1,0))</f>
        <v/>
      </c>
      <c r="C282" s="55"/>
      <c r="D282" s="40"/>
      <c r="E282" s="40"/>
      <c r="F282" s="40"/>
      <c r="G282" s="40"/>
      <c r="H282" s="40"/>
      <c r="I282" s="60"/>
      <c r="J282" s="61" t="str">
        <f aca="false">IF(OR(E282="",F282=""),"",SUMIFS(Presupuesto!G$7:G$67,Presupuesto!B$7:B$67,E282,Presupuesto!C$7:C$67,F282))</f>
        <v/>
      </c>
      <c r="K282" s="62" t="str">
        <f aca="false">IF(OR(E282="",F282=""),"",SUMIFS(I$7:I282,E$7:E282,E282,F$7:F282,F282))</f>
        <v/>
      </c>
      <c r="L282" s="62" t="str">
        <f aca="false">IF(OR(E282="",F282=""),"",J282-SUMIFS(I$7:I$506,E$7:E$506,E282,F$7:F$506,F282))</f>
        <v/>
      </c>
      <c r="N282" s="40"/>
    </row>
    <row r="283" customFormat="false" ht="15.75" hidden="false" customHeight="true" outlineLevel="0" collapsed="false">
      <c r="A283" s="35"/>
      <c r="B283" s="54" t="str">
        <f aca="false">IF(C283="","",DATE(YEAR(C283),MONTH(C283)+1,0))</f>
        <v/>
      </c>
      <c r="C283" s="55"/>
      <c r="D283" s="40"/>
      <c r="E283" s="40"/>
      <c r="F283" s="40"/>
      <c r="G283" s="40"/>
      <c r="H283" s="40"/>
      <c r="I283" s="60"/>
      <c r="J283" s="61" t="str">
        <f aca="false">IF(OR(E283="",F283=""),"",SUMIFS(Presupuesto!G$7:G$67,Presupuesto!B$7:B$67,E283,Presupuesto!C$7:C$67,F283))</f>
        <v/>
      </c>
      <c r="K283" s="62" t="str">
        <f aca="false">IF(OR(E283="",F283=""),"",SUMIFS(I$7:I283,E$7:E283,E283,F$7:F283,F283))</f>
        <v/>
      </c>
      <c r="L283" s="62" t="str">
        <f aca="false">IF(OR(E283="",F283=""),"",J283-SUMIFS(I$7:I$506,E$7:E$506,E283,F$7:F$506,F283))</f>
        <v/>
      </c>
      <c r="N283" s="40"/>
    </row>
    <row r="284" customFormat="false" ht="15.75" hidden="false" customHeight="true" outlineLevel="0" collapsed="false">
      <c r="A284" s="35"/>
      <c r="B284" s="54" t="str">
        <f aca="false">IF(C284="","",DATE(YEAR(C284),MONTH(C284)+1,0))</f>
        <v/>
      </c>
      <c r="C284" s="55"/>
      <c r="D284" s="40"/>
      <c r="E284" s="40"/>
      <c r="F284" s="40"/>
      <c r="G284" s="40"/>
      <c r="H284" s="40"/>
      <c r="I284" s="60"/>
      <c r="J284" s="61" t="str">
        <f aca="false">IF(OR(E284="",F284=""),"",SUMIFS(Presupuesto!G$7:G$67,Presupuesto!B$7:B$67,E284,Presupuesto!C$7:C$67,F284))</f>
        <v/>
      </c>
      <c r="K284" s="62" t="str">
        <f aca="false">IF(OR(E284="",F284=""),"",SUMIFS(I$7:I284,E$7:E284,E284,F$7:F284,F284))</f>
        <v/>
      </c>
      <c r="L284" s="62" t="str">
        <f aca="false">IF(OR(E284="",F284=""),"",J284-SUMIFS(I$7:I$506,E$7:E$506,E284,F$7:F$506,F284))</f>
        <v/>
      </c>
      <c r="N284" s="40"/>
    </row>
    <row r="285" customFormat="false" ht="15.75" hidden="false" customHeight="true" outlineLevel="0" collapsed="false">
      <c r="A285" s="35"/>
      <c r="B285" s="54" t="str">
        <f aca="false">IF(C285="","",DATE(YEAR(C285),MONTH(C285)+1,0))</f>
        <v/>
      </c>
      <c r="C285" s="55"/>
      <c r="D285" s="40"/>
      <c r="E285" s="40"/>
      <c r="F285" s="40"/>
      <c r="G285" s="40"/>
      <c r="H285" s="40"/>
      <c r="I285" s="60"/>
      <c r="J285" s="61" t="str">
        <f aca="false">IF(OR(E285="",F285=""),"",SUMIFS(Presupuesto!G$7:G$67,Presupuesto!B$7:B$67,E285,Presupuesto!C$7:C$67,F285))</f>
        <v/>
      </c>
      <c r="K285" s="62" t="str">
        <f aca="false">IF(OR(E285="",F285=""),"",SUMIFS(I$7:I285,E$7:E285,E285,F$7:F285,F285))</f>
        <v/>
      </c>
      <c r="L285" s="62" t="str">
        <f aca="false">IF(OR(E285="",F285=""),"",J285-SUMIFS(I$7:I$506,E$7:E$506,E285,F$7:F$506,F285))</f>
        <v/>
      </c>
      <c r="N285" s="40"/>
    </row>
    <row r="286" customFormat="false" ht="15.75" hidden="false" customHeight="true" outlineLevel="0" collapsed="false">
      <c r="A286" s="35"/>
      <c r="B286" s="54" t="str">
        <f aca="false">IF(C286="","",DATE(YEAR(C286),MONTH(C286)+1,0))</f>
        <v/>
      </c>
      <c r="C286" s="55"/>
      <c r="D286" s="40"/>
      <c r="E286" s="40"/>
      <c r="F286" s="40"/>
      <c r="G286" s="40"/>
      <c r="H286" s="40"/>
      <c r="I286" s="60"/>
      <c r="J286" s="61" t="str">
        <f aca="false">IF(OR(E286="",F286=""),"",SUMIFS(Presupuesto!G$7:G$67,Presupuesto!B$7:B$67,E286,Presupuesto!C$7:C$67,F286))</f>
        <v/>
      </c>
      <c r="K286" s="62" t="str">
        <f aca="false">IF(OR(E286="",F286=""),"",SUMIFS(I$7:I286,E$7:E286,E286,F$7:F286,F286))</f>
        <v/>
      </c>
      <c r="L286" s="62" t="str">
        <f aca="false">IF(OR(E286="",F286=""),"",J286-SUMIFS(I$7:I$506,E$7:E$506,E286,F$7:F$506,F286))</f>
        <v/>
      </c>
      <c r="N286" s="40"/>
    </row>
    <row r="287" customFormat="false" ht="15.75" hidden="false" customHeight="true" outlineLevel="0" collapsed="false">
      <c r="A287" s="35"/>
      <c r="B287" s="54" t="str">
        <f aca="false">IF(C287="","",DATE(YEAR(C287),MONTH(C287)+1,0))</f>
        <v/>
      </c>
      <c r="C287" s="55"/>
      <c r="D287" s="40"/>
      <c r="E287" s="40"/>
      <c r="F287" s="40"/>
      <c r="G287" s="40"/>
      <c r="H287" s="40"/>
      <c r="I287" s="60"/>
      <c r="J287" s="61" t="str">
        <f aca="false">IF(OR(E287="",F287=""),"",SUMIFS(Presupuesto!G$7:G$67,Presupuesto!B$7:B$67,E287,Presupuesto!C$7:C$67,F287))</f>
        <v/>
      </c>
      <c r="K287" s="62" t="str">
        <f aca="false">IF(OR(E287="",F287=""),"",SUMIFS(I$7:I287,E$7:E287,E287,F$7:F287,F287))</f>
        <v/>
      </c>
      <c r="L287" s="62" t="str">
        <f aca="false">IF(OR(E287="",F287=""),"",J287-SUMIFS(I$7:I$506,E$7:E$506,E287,F$7:F$506,F287))</f>
        <v/>
      </c>
      <c r="N287" s="40"/>
    </row>
    <row r="288" customFormat="false" ht="15.75" hidden="false" customHeight="true" outlineLevel="0" collapsed="false">
      <c r="A288" s="35"/>
      <c r="B288" s="54" t="str">
        <f aca="false">IF(C288="","",DATE(YEAR(C288),MONTH(C288)+1,0))</f>
        <v/>
      </c>
      <c r="C288" s="55"/>
      <c r="D288" s="40"/>
      <c r="E288" s="40"/>
      <c r="F288" s="40"/>
      <c r="G288" s="40"/>
      <c r="H288" s="40"/>
      <c r="I288" s="60"/>
      <c r="J288" s="61" t="str">
        <f aca="false">IF(OR(E288="",F288=""),"",SUMIFS(Presupuesto!G$7:G$67,Presupuesto!B$7:B$67,E288,Presupuesto!C$7:C$67,F288))</f>
        <v/>
      </c>
      <c r="K288" s="62" t="str">
        <f aca="false">IF(OR(E288="",F288=""),"",SUMIFS(I$7:I288,E$7:E288,E288,F$7:F288,F288))</f>
        <v/>
      </c>
      <c r="L288" s="62" t="str">
        <f aca="false">IF(OR(E288="",F288=""),"",J288-SUMIFS(I$7:I$506,E$7:E$506,E288,F$7:F$506,F288))</f>
        <v/>
      </c>
      <c r="N288" s="40"/>
    </row>
    <row r="289" customFormat="false" ht="15.75" hidden="false" customHeight="true" outlineLevel="0" collapsed="false">
      <c r="A289" s="35"/>
      <c r="B289" s="54" t="str">
        <f aca="false">IF(C289="","",DATE(YEAR(C289),MONTH(C289)+1,0))</f>
        <v/>
      </c>
      <c r="C289" s="55"/>
      <c r="D289" s="40"/>
      <c r="E289" s="40"/>
      <c r="F289" s="40"/>
      <c r="G289" s="40"/>
      <c r="H289" s="40"/>
      <c r="I289" s="60"/>
      <c r="J289" s="61" t="str">
        <f aca="false">IF(OR(E289="",F289=""),"",SUMIFS(Presupuesto!G$7:G$67,Presupuesto!B$7:B$67,E289,Presupuesto!C$7:C$67,F289))</f>
        <v/>
      </c>
      <c r="K289" s="62" t="str">
        <f aca="false">IF(OR(E289="",F289=""),"",SUMIFS(I$7:I289,E$7:E289,E289,F$7:F289,F289))</f>
        <v/>
      </c>
      <c r="L289" s="62" t="str">
        <f aca="false">IF(OR(E289="",F289=""),"",J289-SUMIFS(I$7:I$506,E$7:E$506,E289,F$7:F$506,F289))</f>
        <v/>
      </c>
      <c r="N289" s="40"/>
    </row>
    <row r="290" customFormat="false" ht="15.75" hidden="false" customHeight="true" outlineLevel="0" collapsed="false">
      <c r="A290" s="35"/>
      <c r="B290" s="54" t="str">
        <f aca="false">IF(C290="","",DATE(YEAR(C290),MONTH(C290)+1,0))</f>
        <v/>
      </c>
      <c r="C290" s="55"/>
      <c r="D290" s="40"/>
      <c r="E290" s="40"/>
      <c r="F290" s="40"/>
      <c r="G290" s="40"/>
      <c r="H290" s="40"/>
      <c r="I290" s="60"/>
      <c r="J290" s="61" t="str">
        <f aca="false">IF(OR(E290="",F290=""),"",SUMIFS(Presupuesto!G$7:G$67,Presupuesto!B$7:B$67,E290,Presupuesto!C$7:C$67,F290))</f>
        <v/>
      </c>
      <c r="K290" s="62" t="str">
        <f aca="false">IF(OR(E290="",F290=""),"",SUMIFS(I$7:I290,E$7:E290,E290,F$7:F290,F290))</f>
        <v/>
      </c>
      <c r="L290" s="62" t="str">
        <f aca="false">IF(OR(E290="",F290=""),"",J290-SUMIFS(I$7:I$506,E$7:E$506,E290,F$7:F$506,F290))</f>
        <v/>
      </c>
      <c r="N290" s="40"/>
    </row>
    <row r="291" customFormat="false" ht="15.75" hidden="false" customHeight="true" outlineLevel="0" collapsed="false">
      <c r="A291" s="35"/>
      <c r="B291" s="54" t="str">
        <f aca="false">IF(C291="","",DATE(YEAR(C291),MONTH(C291)+1,0))</f>
        <v/>
      </c>
      <c r="C291" s="55"/>
      <c r="D291" s="40"/>
      <c r="E291" s="40"/>
      <c r="F291" s="40"/>
      <c r="G291" s="40"/>
      <c r="H291" s="40"/>
      <c r="I291" s="60"/>
      <c r="J291" s="61" t="str">
        <f aca="false">IF(OR(E291="",F291=""),"",SUMIFS(Presupuesto!G$7:G$67,Presupuesto!B$7:B$67,E291,Presupuesto!C$7:C$67,F291))</f>
        <v/>
      </c>
      <c r="K291" s="62" t="str">
        <f aca="false">IF(OR(E291="",F291=""),"",SUMIFS(I$7:I291,E$7:E291,E291,F$7:F291,F291))</f>
        <v/>
      </c>
      <c r="L291" s="62" t="str">
        <f aca="false">IF(OR(E291="",F291=""),"",J291-SUMIFS(I$7:I$506,E$7:E$506,E291,F$7:F$506,F291))</f>
        <v/>
      </c>
      <c r="N291" s="40"/>
    </row>
    <row r="292" customFormat="false" ht="15.75" hidden="false" customHeight="true" outlineLevel="0" collapsed="false">
      <c r="A292" s="35"/>
      <c r="B292" s="54" t="str">
        <f aca="false">IF(C292="","",DATE(YEAR(C292),MONTH(C292)+1,0))</f>
        <v/>
      </c>
      <c r="C292" s="55"/>
      <c r="D292" s="40"/>
      <c r="E292" s="40"/>
      <c r="F292" s="40"/>
      <c r="G292" s="40"/>
      <c r="H292" s="40"/>
      <c r="I292" s="60"/>
      <c r="J292" s="61" t="str">
        <f aca="false">IF(OR(E292="",F292=""),"",SUMIFS(Presupuesto!G$7:G$67,Presupuesto!B$7:B$67,E292,Presupuesto!C$7:C$67,F292))</f>
        <v/>
      </c>
      <c r="K292" s="62" t="str">
        <f aca="false">IF(OR(E292="",F292=""),"",SUMIFS(I$7:I292,E$7:E292,E292,F$7:F292,F292))</f>
        <v/>
      </c>
      <c r="L292" s="62" t="str">
        <f aca="false">IF(OR(E292="",F292=""),"",J292-SUMIFS(I$7:I$506,E$7:E$506,E292,F$7:F$506,F292))</f>
        <v/>
      </c>
      <c r="N292" s="40"/>
    </row>
    <row r="293" customFormat="false" ht="15.75" hidden="false" customHeight="true" outlineLevel="0" collapsed="false">
      <c r="A293" s="35"/>
      <c r="B293" s="54" t="str">
        <f aca="false">IF(C293="","",DATE(YEAR(C293),MONTH(C293)+1,0))</f>
        <v/>
      </c>
      <c r="C293" s="55"/>
      <c r="D293" s="40"/>
      <c r="E293" s="40"/>
      <c r="F293" s="40"/>
      <c r="G293" s="40"/>
      <c r="H293" s="40"/>
      <c r="I293" s="60"/>
      <c r="J293" s="61" t="str">
        <f aca="false">IF(OR(E293="",F293=""),"",SUMIFS(Presupuesto!G$7:G$67,Presupuesto!B$7:B$67,E293,Presupuesto!C$7:C$67,F293))</f>
        <v/>
      </c>
      <c r="K293" s="62" t="str">
        <f aca="false">IF(OR(E293="",F293=""),"",SUMIFS(I$7:I293,E$7:E293,E293,F$7:F293,F293))</f>
        <v/>
      </c>
      <c r="L293" s="62" t="str">
        <f aca="false">IF(OR(E293="",F293=""),"",J293-SUMIFS(I$7:I$506,E$7:E$506,E293,F$7:F$506,F293))</f>
        <v/>
      </c>
      <c r="N293" s="40"/>
    </row>
    <row r="294" customFormat="false" ht="15.75" hidden="false" customHeight="true" outlineLevel="0" collapsed="false">
      <c r="A294" s="35"/>
      <c r="B294" s="54" t="str">
        <f aca="false">IF(C294="","",DATE(YEAR(C294),MONTH(C294)+1,0))</f>
        <v/>
      </c>
      <c r="C294" s="55"/>
      <c r="D294" s="40"/>
      <c r="E294" s="40"/>
      <c r="F294" s="40"/>
      <c r="G294" s="40"/>
      <c r="H294" s="40"/>
      <c r="I294" s="60"/>
      <c r="J294" s="61" t="str">
        <f aca="false">IF(OR(E294="",F294=""),"",SUMIFS(Presupuesto!G$7:G$67,Presupuesto!B$7:B$67,E294,Presupuesto!C$7:C$67,F294))</f>
        <v/>
      </c>
      <c r="K294" s="62" t="str">
        <f aca="false">IF(OR(E294="",F294=""),"",SUMIFS(I$7:I294,E$7:E294,E294,F$7:F294,F294))</f>
        <v/>
      </c>
      <c r="L294" s="62" t="str">
        <f aca="false">IF(OR(E294="",F294=""),"",J294-SUMIFS(I$7:I$506,E$7:E$506,E294,F$7:F$506,F294))</f>
        <v/>
      </c>
      <c r="N294" s="40"/>
    </row>
    <row r="295" customFormat="false" ht="15.75" hidden="false" customHeight="true" outlineLevel="0" collapsed="false">
      <c r="A295" s="35"/>
      <c r="B295" s="54" t="str">
        <f aca="false">IF(C295="","",DATE(YEAR(C295),MONTH(C295)+1,0))</f>
        <v/>
      </c>
      <c r="C295" s="55"/>
      <c r="D295" s="40"/>
      <c r="E295" s="40"/>
      <c r="F295" s="40"/>
      <c r="G295" s="40"/>
      <c r="H295" s="40"/>
      <c r="I295" s="60"/>
      <c r="J295" s="61" t="str">
        <f aca="false">IF(OR(E295="",F295=""),"",SUMIFS(Presupuesto!G$7:G$67,Presupuesto!B$7:B$67,E295,Presupuesto!C$7:C$67,F295))</f>
        <v/>
      </c>
      <c r="K295" s="62" t="str">
        <f aca="false">IF(OR(E295="",F295=""),"",SUMIFS(I$7:I295,E$7:E295,E295,F$7:F295,F295))</f>
        <v/>
      </c>
      <c r="L295" s="62" t="str">
        <f aca="false">IF(OR(E295="",F295=""),"",J295-SUMIFS(I$7:I$506,E$7:E$506,E295,F$7:F$506,F295))</f>
        <v/>
      </c>
      <c r="N295" s="40"/>
    </row>
    <row r="296" customFormat="false" ht="15.75" hidden="false" customHeight="true" outlineLevel="0" collapsed="false">
      <c r="A296" s="35"/>
      <c r="B296" s="54" t="str">
        <f aca="false">IF(C296="","",DATE(YEAR(C296),MONTH(C296)+1,0))</f>
        <v/>
      </c>
      <c r="C296" s="55"/>
      <c r="D296" s="40"/>
      <c r="E296" s="40"/>
      <c r="F296" s="40"/>
      <c r="G296" s="40"/>
      <c r="H296" s="40"/>
      <c r="I296" s="60"/>
      <c r="J296" s="61" t="str">
        <f aca="false">IF(OR(E296="",F296=""),"",SUMIFS(Presupuesto!G$7:G$67,Presupuesto!B$7:B$67,E296,Presupuesto!C$7:C$67,F296))</f>
        <v/>
      </c>
      <c r="K296" s="62" t="str">
        <f aca="false">IF(OR(E296="",F296=""),"",SUMIFS(I$7:I296,E$7:E296,E296,F$7:F296,F296))</f>
        <v/>
      </c>
      <c r="L296" s="62" t="str">
        <f aca="false">IF(OR(E296="",F296=""),"",J296-SUMIFS(I$7:I$506,E$7:E$506,E296,F$7:F$506,F296))</f>
        <v/>
      </c>
      <c r="N296" s="40"/>
    </row>
    <row r="297" customFormat="false" ht="15.75" hidden="false" customHeight="true" outlineLevel="0" collapsed="false">
      <c r="A297" s="35"/>
      <c r="B297" s="54" t="str">
        <f aca="false">IF(C297="","",DATE(YEAR(C297),MONTH(C297)+1,0))</f>
        <v/>
      </c>
      <c r="C297" s="55"/>
      <c r="D297" s="40"/>
      <c r="E297" s="40"/>
      <c r="F297" s="40"/>
      <c r="G297" s="40"/>
      <c r="H297" s="40"/>
      <c r="I297" s="60"/>
      <c r="J297" s="61" t="str">
        <f aca="false">IF(OR(E297="",F297=""),"",SUMIFS(Presupuesto!G$7:G$67,Presupuesto!B$7:B$67,E297,Presupuesto!C$7:C$67,F297))</f>
        <v/>
      </c>
      <c r="K297" s="62" t="str">
        <f aca="false">IF(OR(E297="",F297=""),"",SUMIFS(I$7:I297,E$7:E297,E297,F$7:F297,F297))</f>
        <v/>
      </c>
      <c r="L297" s="62" t="str">
        <f aca="false">IF(OR(E297="",F297=""),"",J297-SUMIFS(I$7:I$506,E$7:E$506,E297,F$7:F$506,F297))</f>
        <v/>
      </c>
      <c r="N297" s="40"/>
    </row>
    <row r="298" customFormat="false" ht="15.75" hidden="false" customHeight="true" outlineLevel="0" collapsed="false">
      <c r="A298" s="35"/>
      <c r="B298" s="54" t="str">
        <f aca="false">IF(C298="","",DATE(YEAR(C298),MONTH(C298)+1,0))</f>
        <v/>
      </c>
      <c r="C298" s="55"/>
      <c r="D298" s="40"/>
      <c r="E298" s="40"/>
      <c r="F298" s="40"/>
      <c r="G298" s="40"/>
      <c r="H298" s="40"/>
      <c r="I298" s="60"/>
      <c r="J298" s="61" t="str">
        <f aca="false">IF(OR(E298="",F298=""),"",SUMIFS(Presupuesto!G$7:G$67,Presupuesto!B$7:B$67,E298,Presupuesto!C$7:C$67,F298))</f>
        <v/>
      </c>
      <c r="K298" s="62" t="str">
        <f aca="false">IF(OR(E298="",F298=""),"",SUMIFS(I$7:I298,E$7:E298,E298,F$7:F298,F298))</f>
        <v/>
      </c>
      <c r="L298" s="62" t="str">
        <f aca="false">IF(OR(E298="",F298=""),"",J298-SUMIFS(I$7:I$506,E$7:E$506,E298,F$7:F$506,F298))</f>
        <v/>
      </c>
      <c r="N298" s="40"/>
    </row>
    <row r="299" customFormat="false" ht="15.75" hidden="false" customHeight="true" outlineLevel="0" collapsed="false">
      <c r="A299" s="35"/>
      <c r="B299" s="54" t="str">
        <f aca="false">IF(C299="","",DATE(YEAR(C299),MONTH(C299)+1,0))</f>
        <v/>
      </c>
      <c r="C299" s="55"/>
      <c r="D299" s="40"/>
      <c r="E299" s="40"/>
      <c r="F299" s="40"/>
      <c r="G299" s="40"/>
      <c r="H299" s="40"/>
      <c r="I299" s="60"/>
      <c r="J299" s="61" t="str">
        <f aca="false">IF(OR(E299="",F299=""),"",SUMIFS(Presupuesto!G$7:G$67,Presupuesto!B$7:B$67,E299,Presupuesto!C$7:C$67,F299))</f>
        <v/>
      </c>
      <c r="K299" s="62" t="str">
        <f aca="false">IF(OR(E299="",F299=""),"",SUMIFS(I$7:I299,E$7:E299,E299,F$7:F299,F299))</f>
        <v/>
      </c>
      <c r="L299" s="62" t="str">
        <f aca="false">IF(OR(E299="",F299=""),"",J299-SUMIFS(I$7:I$506,E$7:E$506,E299,F$7:F$506,F299))</f>
        <v/>
      </c>
      <c r="N299" s="40"/>
    </row>
    <row r="300" customFormat="false" ht="15.75" hidden="false" customHeight="true" outlineLevel="0" collapsed="false">
      <c r="A300" s="35"/>
      <c r="B300" s="54" t="str">
        <f aca="false">IF(C300="","",DATE(YEAR(C300),MONTH(C300)+1,0))</f>
        <v/>
      </c>
      <c r="C300" s="55"/>
      <c r="D300" s="40"/>
      <c r="E300" s="40"/>
      <c r="F300" s="40"/>
      <c r="G300" s="40"/>
      <c r="H300" s="40"/>
      <c r="I300" s="60"/>
      <c r="J300" s="61" t="str">
        <f aca="false">IF(OR(E300="",F300=""),"",SUMIFS(Presupuesto!G$7:G$67,Presupuesto!B$7:B$67,E300,Presupuesto!C$7:C$67,F300))</f>
        <v/>
      </c>
      <c r="K300" s="62" t="str">
        <f aca="false">IF(OR(E300="",F300=""),"",SUMIFS(I$7:I300,E$7:E300,E300,F$7:F300,F300))</f>
        <v/>
      </c>
      <c r="L300" s="62" t="str">
        <f aca="false">IF(OR(E300="",F300=""),"",J300-SUMIFS(I$7:I$506,E$7:E$506,E300,F$7:F$506,F300))</f>
        <v/>
      </c>
      <c r="N300" s="40"/>
    </row>
    <row r="301" customFormat="false" ht="15.75" hidden="false" customHeight="true" outlineLevel="0" collapsed="false">
      <c r="A301" s="35"/>
      <c r="B301" s="54" t="str">
        <f aca="false">IF(C301="","",DATE(YEAR(C301),MONTH(C301)+1,0))</f>
        <v/>
      </c>
      <c r="C301" s="55"/>
      <c r="D301" s="40"/>
      <c r="E301" s="40"/>
      <c r="F301" s="40"/>
      <c r="G301" s="40"/>
      <c r="H301" s="40"/>
      <c r="I301" s="60"/>
      <c r="J301" s="61" t="str">
        <f aca="false">IF(OR(E301="",F301=""),"",SUMIFS(Presupuesto!G$7:G$67,Presupuesto!B$7:B$67,E301,Presupuesto!C$7:C$67,F301))</f>
        <v/>
      </c>
      <c r="K301" s="62" t="str">
        <f aca="false">IF(OR(E301="",F301=""),"",SUMIFS(I$7:I301,E$7:E301,E301,F$7:F301,F301))</f>
        <v/>
      </c>
      <c r="L301" s="62" t="str">
        <f aca="false">IF(OR(E301="",F301=""),"",J301-SUMIFS(I$7:I$506,E$7:E$506,E301,F$7:F$506,F301))</f>
        <v/>
      </c>
      <c r="N301" s="40"/>
    </row>
    <row r="302" customFormat="false" ht="15.75" hidden="false" customHeight="true" outlineLevel="0" collapsed="false">
      <c r="A302" s="35"/>
      <c r="B302" s="54" t="str">
        <f aca="false">IF(C302="","",DATE(YEAR(C302),MONTH(C302)+1,0))</f>
        <v/>
      </c>
      <c r="C302" s="55"/>
      <c r="D302" s="40"/>
      <c r="E302" s="40"/>
      <c r="F302" s="40"/>
      <c r="G302" s="40"/>
      <c r="H302" s="40"/>
      <c r="I302" s="60"/>
      <c r="J302" s="61" t="str">
        <f aca="false">IF(OR(E302="",F302=""),"",SUMIFS(Presupuesto!G$7:G$67,Presupuesto!B$7:B$67,E302,Presupuesto!C$7:C$67,F302))</f>
        <v/>
      </c>
      <c r="K302" s="62" t="str">
        <f aca="false">IF(OR(E302="",F302=""),"",SUMIFS(I$7:I302,E$7:E302,E302,F$7:F302,F302))</f>
        <v/>
      </c>
      <c r="L302" s="62" t="str">
        <f aca="false">IF(OR(E302="",F302=""),"",J302-SUMIFS(I$7:I$506,E$7:E$506,E302,F$7:F$506,F302))</f>
        <v/>
      </c>
      <c r="N302" s="40"/>
    </row>
    <row r="303" customFormat="false" ht="15.75" hidden="false" customHeight="true" outlineLevel="0" collapsed="false">
      <c r="A303" s="35"/>
      <c r="B303" s="54" t="str">
        <f aca="false">IF(C303="","",DATE(YEAR(C303),MONTH(C303)+1,0))</f>
        <v/>
      </c>
      <c r="C303" s="55"/>
      <c r="D303" s="40"/>
      <c r="E303" s="40"/>
      <c r="F303" s="40"/>
      <c r="G303" s="40"/>
      <c r="H303" s="40"/>
      <c r="I303" s="60"/>
      <c r="J303" s="61" t="str">
        <f aca="false">IF(OR(E303="",F303=""),"",SUMIFS(Presupuesto!G$7:G$67,Presupuesto!B$7:B$67,E303,Presupuesto!C$7:C$67,F303))</f>
        <v/>
      </c>
      <c r="K303" s="62" t="str">
        <f aca="false">IF(OR(E303="",F303=""),"",SUMIFS(I$7:I303,E$7:E303,E303,F$7:F303,F303))</f>
        <v/>
      </c>
      <c r="L303" s="62" t="str">
        <f aca="false">IF(OR(E303="",F303=""),"",J303-SUMIFS(I$7:I$506,E$7:E$506,E303,F$7:F$506,F303))</f>
        <v/>
      </c>
      <c r="N303" s="40"/>
    </row>
    <row r="304" customFormat="false" ht="15.75" hidden="false" customHeight="true" outlineLevel="0" collapsed="false">
      <c r="A304" s="35"/>
      <c r="B304" s="54" t="str">
        <f aca="false">IF(C304="","",DATE(YEAR(C304),MONTH(C304)+1,0))</f>
        <v/>
      </c>
      <c r="C304" s="55"/>
      <c r="D304" s="40"/>
      <c r="E304" s="40"/>
      <c r="F304" s="40"/>
      <c r="G304" s="40"/>
      <c r="H304" s="40"/>
      <c r="I304" s="60"/>
      <c r="J304" s="61" t="str">
        <f aca="false">IF(OR(E304="",F304=""),"",SUMIFS(Presupuesto!G$7:G$67,Presupuesto!B$7:B$67,E304,Presupuesto!C$7:C$67,F304))</f>
        <v/>
      </c>
      <c r="K304" s="62" t="str">
        <f aca="false">IF(OR(E304="",F304=""),"",SUMIFS(I$7:I304,E$7:E304,E304,F$7:F304,F304))</f>
        <v/>
      </c>
      <c r="L304" s="62" t="str">
        <f aca="false">IF(OR(E304="",F304=""),"",J304-SUMIFS(I$7:I$506,E$7:E$506,E304,F$7:F$506,F304))</f>
        <v/>
      </c>
      <c r="N304" s="40"/>
    </row>
    <row r="305" customFormat="false" ht="15.75" hidden="false" customHeight="true" outlineLevel="0" collapsed="false">
      <c r="A305" s="35"/>
      <c r="B305" s="54" t="str">
        <f aca="false">IF(C305="","",DATE(YEAR(C305),MONTH(C305)+1,0))</f>
        <v/>
      </c>
      <c r="C305" s="55"/>
      <c r="D305" s="40"/>
      <c r="E305" s="40"/>
      <c r="F305" s="40"/>
      <c r="G305" s="40"/>
      <c r="H305" s="40"/>
      <c r="I305" s="60"/>
      <c r="J305" s="61" t="str">
        <f aca="false">IF(OR(E305="",F305=""),"",SUMIFS(Presupuesto!G$7:G$67,Presupuesto!B$7:B$67,E305,Presupuesto!C$7:C$67,F305))</f>
        <v/>
      </c>
      <c r="K305" s="62" t="str">
        <f aca="false">IF(OR(E305="",F305=""),"",SUMIFS(I$7:I305,E$7:E305,E305,F$7:F305,F305))</f>
        <v/>
      </c>
      <c r="L305" s="62" t="str">
        <f aca="false">IF(OR(E305="",F305=""),"",J305-SUMIFS(I$7:I$506,E$7:E$506,E305,F$7:F$506,F305))</f>
        <v/>
      </c>
      <c r="N305" s="40"/>
    </row>
    <row r="306" customFormat="false" ht="15.75" hidden="false" customHeight="true" outlineLevel="0" collapsed="false">
      <c r="A306" s="35"/>
      <c r="B306" s="54" t="str">
        <f aca="false">IF(C306="","",DATE(YEAR(C306),MONTH(C306)+1,0))</f>
        <v/>
      </c>
      <c r="C306" s="55"/>
      <c r="D306" s="40"/>
      <c r="E306" s="40"/>
      <c r="F306" s="40"/>
      <c r="G306" s="40"/>
      <c r="H306" s="40"/>
      <c r="I306" s="60"/>
      <c r="J306" s="61" t="str">
        <f aca="false">IF(OR(E306="",F306=""),"",SUMIFS(Presupuesto!G$7:G$67,Presupuesto!B$7:B$67,E306,Presupuesto!C$7:C$67,F306))</f>
        <v/>
      </c>
      <c r="K306" s="62" t="str">
        <f aca="false">IF(OR(E306="",F306=""),"",SUMIFS(I$7:I306,E$7:E306,E306,F$7:F306,F306))</f>
        <v/>
      </c>
      <c r="L306" s="62" t="str">
        <f aca="false">IF(OR(E306="",F306=""),"",J306-SUMIFS(I$7:I$506,E$7:E$506,E306,F$7:F$506,F306))</f>
        <v/>
      </c>
      <c r="N306" s="40"/>
    </row>
    <row r="307" customFormat="false" ht="15.75" hidden="false" customHeight="true" outlineLevel="0" collapsed="false">
      <c r="A307" s="35"/>
      <c r="B307" s="54" t="str">
        <f aca="false">IF(C307="","",DATE(YEAR(C307),MONTH(C307)+1,0))</f>
        <v/>
      </c>
      <c r="C307" s="55"/>
      <c r="D307" s="40"/>
      <c r="E307" s="40"/>
      <c r="F307" s="40"/>
      <c r="G307" s="40"/>
      <c r="H307" s="40"/>
      <c r="I307" s="60"/>
      <c r="J307" s="61" t="str">
        <f aca="false">IF(OR(E307="",F307=""),"",SUMIFS(Presupuesto!G$7:G$67,Presupuesto!B$7:B$67,E307,Presupuesto!C$7:C$67,F307))</f>
        <v/>
      </c>
      <c r="K307" s="62" t="str">
        <f aca="false">IF(OR(E307="",F307=""),"",SUMIFS(I$7:I307,E$7:E307,E307,F$7:F307,F307))</f>
        <v/>
      </c>
      <c r="L307" s="62" t="str">
        <f aca="false">IF(OR(E307="",F307=""),"",J307-SUMIFS(I$7:I$506,E$7:E$506,E307,F$7:F$506,F307))</f>
        <v/>
      </c>
      <c r="N307" s="40"/>
    </row>
    <row r="308" customFormat="false" ht="15.75" hidden="false" customHeight="true" outlineLevel="0" collapsed="false">
      <c r="A308" s="35"/>
      <c r="B308" s="54" t="str">
        <f aca="false">IF(C308="","",DATE(YEAR(C308),MONTH(C308)+1,0))</f>
        <v/>
      </c>
      <c r="C308" s="55"/>
      <c r="D308" s="40"/>
      <c r="E308" s="40"/>
      <c r="F308" s="40"/>
      <c r="G308" s="40"/>
      <c r="H308" s="40"/>
      <c r="I308" s="60"/>
      <c r="J308" s="61" t="str">
        <f aca="false">IF(OR(E308="",F308=""),"",SUMIFS(Presupuesto!G$7:G$67,Presupuesto!B$7:B$67,E308,Presupuesto!C$7:C$67,F308))</f>
        <v/>
      </c>
      <c r="K308" s="62" t="str">
        <f aca="false">IF(OR(E308="",F308=""),"",SUMIFS(I$7:I308,E$7:E308,E308,F$7:F308,F308))</f>
        <v/>
      </c>
      <c r="L308" s="62" t="str">
        <f aca="false">IF(OR(E308="",F308=""),"",J308-SUMIFS(I$7:I$506,E$7:E$506,E308,F$7:F$506,F308))</f>
        <v/>
      </c>
      <c r="N308" s="40"/>
    </row>
    <row r="309" customFormat="false" ht="15.75" hidden="false" customHeight="true" outlineLevel="0" collapsed="false">
      <c r="A309" s="35"/>
      <c r="B309" s="54" t="str">
        <f aca="false">IF(C309="","",DATE(YEAR(C309),MONTH(C309)+1,0))</f>
        <v/>
      </c>
      <c r="C309" s="55"/>
      <c r="D309" s="40"/>
      <c r="E309" s="40"/>
      <c r="F309" s="40"/>
      <c r="G309" s="40"/>
      <c r="H309" s="40"/>
      <c r="I309" s="60"/>
      <c r="J309" s="61" t="str">
        <f aca="false">IF(OR(E309="",F309=""),"",SUMIFS(Presupuesto!G$7:G$67,Presupuesto!B$7:B$67,E309,Presupuesto!C$7:C$67,F309))</f>
        <v/>
      </c>
      <c r="K309" s="62" t="str">
        <f aca="false">IF(OR(E309="",F309=""),"",SUMIFS(I$7:I309,E$7:E309,E309,F$7:F309,F309))</f>
        <v/>
      </c>
      <c r="L309" s="62" t="str">
        <f aca="false">IF(OR(E309="",F309=""),"",J309-SUMIFS(I$7:I$506,E$7:E$506,E309,F$7:F$506,F309))</f>
        <v/>
      </c>
      <c r="N309" s="40"/>
    </row>
    <row r="310" customFormat="false" ht="15.75" hidden="false" customHeight="true" outlineLevel="0" collapsed="false">
      <c r="A310" s="35"/>
      <c r="B310" s="54" t="str">
        <f aca="false">IF(C310="","",DATE(YEAR(C310),MONTH(C310)+1,0))</f>
        <v/>
      </c>
      <c r="C310" s="55"/>
      <c r="D310" s="40"/>
      <c r="E310" s="40"/>
      <c r="F310" s="40"/>
      <c r="G310" s="40"/>
      <c r="H310" s="40"/>
      <c r="I310" s="60"/>
      <c r="J310" s="61" t="str">
        <f aca="false">IF(OR(E310="",F310=""),"",SUMIFS(Presupuesto!G$7:G$67,Presupuesto!B$7:B$67,E310,Presupuesto!C$7:C$67,F310))</f>
        <v/>
      </c>
      <c r="K310" s="62" t="str">
        <f aca="false">IF(OR(E310="",F310=""),"",SUMIFS(I$7:I310,E$7:E310,E310,F$7:F310,F310))</f>
        <v/>
      </c>
      <c r="L310" s="62" t="str">
        <f aca="false">IF(OR(E310="",F310=""),"",J310-SUMIFS(I$7:I$506,E$7:E$506,E310,F$7:F$506,F310))</f>
        <v/>
      </c>
      <c r="N310" s="40"/>
    </row>
    <row r="311" customFormat="false" ht="15.75" hidden="false" customHeight="true" outlineLevel="0" collapsed="false">
      <c r="A311" s="35"/>
      <c r="B311" s="54" t="str">
        <f aca="false">IF(C311="","",DATE(YEAR(C311),MONTH(C311)+1,0))</f>
        <v/>
      </c>
      <c r="C311" s="55"/>
      <c r="D311" s="40"/>
      <c r="E311" s="40"/>
      <c r="F311" s="40"/>
      <c r="G311" s="40"/>
      <c r="H311" s="40"/>
      <c r="I311" s="60"/>
      <c r="J311" s="61" t="str">
        <f aca="false">IF(OR(E311="",F311=""),"",SUMIFS(Presupuesto!G$7:G$67,Presupuesto!B$7:B$67,E311,Presupuesto!C$7:C$67,F311))</f>
        <v/>
      </c>
      <c r="K311" s="62" t="str">
        <f aca="false">IF(OR(E311="",F311=""),"",SUMIFS(I$7:I311,E$7:E311,E311,F$7:F311,F311))</f>
        <v/>
      </c>
      <c r="L311" s="62" t="str">
        <f aca="false">IF(OR(E311="",F311=""),"",J311-SUMIFS(I$7:I$506,E$7:E$506,E311,F$7:F$506,F311))</f>
        <v/>
      </c>
      <c r="N311" s="40"/>
    </row>
    <row r="312" customFormat="false" ht="15.75" hidden="false" customHeight="true" outlineLevel="0" collapsed="false">
      <c r="A312" s="35"/>
      <c r="B312" s="54" t="str">
        <f aca="false">IF(C312="","",DATE(YEAR(C312),MONTH(C312)+1,0))</f>
        <v/>
      </c>
      <c r="C312" s="55"/>
      <c r="D312" s="40"/>
      <c r="E312" s="40"/>
      <c r="F312" s="40"/>
      <c r="G312" s="40"/>
      <c r="H312" s="40"/>
      <c r="I312" s="60"/>
      <c r="J312" s="61" t="str">
        <f aca="false">IF(OR(E312="",F312=""),"",SUMIFS(Presupuesto!G$7:G$67,Presupuesto!B$7:B$67,E312,Presupuesto!C$7:C$67,F312))</f>
        <v/>
      </c>
      <c r="K312" s="62" t="str">
        <f aca="false">IF(OR(E312="",F312=""),"",SUMIFS(I$7:I312,E$7:E312,E312,F$7:F312,F312))</f>
        <v/>
      </c>
      <c r="L312" s="62" t="str">
        <f aca="false">IF(OR(E312="",F312=""),"",J312-SUMIFS(I$7:I$506,E$7:E$506,E312,F$7:F$506,F312))</f>
        <v/>
      </c>
      <c r="N312" s="40"/>
    </row>
    <row r="313" customFormat="false" ht="15.75" hidden="false" customHeight="true" outlineLevel="0" collapsed="false">
      <c r="A313" s="35"/>
      <c r="B313" s="54" t="str">
        <f aca="false">IF(C313="","",DATE(YEAR(C313),MONTH(C313)+1,0))</f>
        <v/>
      </c>
      <c r="C313" s="55"/>
      <c r="D313" s="40"/>
      <c r="E313" s="40"/>
      <c r="F313" s="40"/>
      <c r="G313" s="40"/>
      <c r="H313" s="40"/>
      <c r="I313" s="60"/>
      <c r="J313" s="61" t="str">
        <f aca="false">IF(OR(E313="",F313=""),"",SUMIFS(Presupuesto!G$7:G$67,Presupuesto!B$7:B$67,E313,Presupuesto!C$7:C$67,F313))</f>
        <v/>
      </c>
      <c r="K313" s="62" t="str">
        <f aca="false">IF(OR(E313="",F313=""),"",SUMIFS(I$7:I313,E$7:E313,E313,F$7:F313,F313))</f>
        <v/>
      </c>
      <c r="L313" s="62" t="str">
        <f aca="false">IF(OR(E313="",F313=""),"",J313-SUMIFS(I$7:I$506,E$7:E$506,E313,F$7:F$506,F313))</f>
        <v/>
      </c>
      <c r="N313" s="40"/>
    </row>
    <row r="314" customFormat="false" ht="15.75" hidden="false" customHeight="true" outlineLevel="0" collapsed="false">
      <c r="A314" s="35"/>
      <c r="B314" s="54" t="str">
        <f aca="false">IF(C314="","",DATE(YEAR(C314),MONTH(C314)+1,0))</f>
        <v/>
      </c>
      <c r="C314" s="55"/>
      <c r="D314" s="40"/>
      <c r="E314" s="40"/>
      <c r="F314" s="40"/>
      <c r="G314" s="40"/>
      <c r="H314" s="40"/>
      <c r="I314" s="60"/>
      <c r="J314" s="61" t="str">
        <f aca="false">IF(OR(E314="",F314=""),"",SUMIFS(Presupuesto!G$7:G$67,Presupuesto!B$7:B$67,E314,Presupuesto!C$7:C$67,F314))</f>
        <v/>
      </c>
      <c r="K314" s="62" t="str">
        <f aca="false">IF(OR(E314="",F314=""),"",SUMIFS(I$7:I314,E$7:E314,E314,F$7:F314,F314))</f>
        <v/>
      </c>
      <c r="L314" s="62" t="str">
        <f aca="false">IF(OR(E314="",F314=""),"",J314-SUMIFS(I$7:I$506,E$7:E$506,E314,F$7:F$506,F314))</f>
        <v/>
      </c>
      <c r="N314" s="40"/>
    </row>
    <row r="315" customFormat="false" ht="15.75" hidden="false" customHeight="true" outlineLevel="0" collapsed="false">
      <c r="A315" s="35"/>
      <c r="B315" s="54" t="str">
        <f aca="false">IF(C315="","",DATE(YEAR(C315),MONTH(C315)+1,0))</f>
        <v/>
      </c>
      <c r="C315" s="55"/>
      <c r="D315" s="40"/>
      <c r="E315" s="40"/>
      <c r="F315" s="40"/>
      <c r="G315" s="40"/>
      <c r="H315" s="40"/>
      <c r="I315" s="60"/>
      <c r="J315" s="61" t="str">
        <f aca="false">IF(OR(E315="",F315=""),"",SUMIFS(Presupuesto!G$7:G$67,Presupuesto!B$7:B$67,E315,Presupuesto!C$7:C$67,F315))</f>
        <v/>
      </c>
      <c r="K315" s="62" t="str">
        <f aca="false">IF(OR(E315="",F315=""),"",SUMIFS(I$7:I315,E$7:E315,E315,F$7:F315,F315))</f>
        <v/>
      </c>
      <c r="L315" s="62" t="str">
        <f aca="false">IF(OR(E315="",F315=""),"",J315-SUMIFS(I$7:I$506,E$7:E$506,E315,F$7:F$506,F315))</f>
        <v/>
      </c>
      <c r="N315" s="40"/>
    </row>
    <row r="316" customFormat="false" ht="15.75" hidden="false" customHeight="true" outlineLevel="0" collapsed="false">
      <c r="A316" s="35"/>
      <c r="B316" s="54" t="str">
        <f aca="false">IF(C316="","",DATE(YEAR(C316),MONTH(C316)+1,0))</f>
        <v/>
      </c>
      <c r="C316" s="55"/>
      <c r="D316" s="40"/>
      <c r="E316" s="40"/>
      <c r="F316" s="40"/>
      <c r="G316" s="40"/>
      <c r="H316" s="40"/>
      <c r="I316" s="60"/>
      <c r="J316" s="61" t="str">
        <f aca="false">IF(OR(E316="",F316=""),"",SUMIFS(Presupuesto!G$7:G$67,Presupuesto!B$7:B$67,E316,Presupuesto!C$7:C$67,F316))</f>
        <v/>
      </c>
      <c r="K316" s="62" t="str">
        <f aca="false">IF(OR(E316="",F316=""),"",SUMIFS(I$7:I316,E$7:E316,E316,F$7:F316,F316))</f>
        <v/>
      </c>
      <c r="L316" s="62" t="str">
        <f aca="false">IF(OR(E316="",F316=""),"",J316-SUMIFS(I$7:I$506,E$7:E$506,E316,F$7:F$506,F316))</f>
        <v/>
      </c>
      <c r="N316" s="40"/>
    </row>
    <row r="317" customFormat="false" ht="15.75" hidden="false" customHeight="true" outlineLevel="0" collapsed="false">
      <c r="A317" s="35"/>
      <c r="B317" s="54" t="str">
        <f aca="false">IF(C317="","",DATE(YEAR(C317),MONTH(C317)+1,0))</f>
        <v/>
      </c>
      <c r="C317" s="55"/>
      <c r="D317" s="40"/>
      <c r="E317" s="40"/>
      <c r="F317" s="40"/>
      <c r="G317" s="40"/>
      <c r="H317" s="40"/>
      <c r="I317" s="60"/>
      <c r="J317" s="61" t="str">
        <f aca="false">IF(OR(E317="",F317=""),"",SUMIFS(Presupuesto!G$7:G$67,Presupuesto!B$7:B$67,E317,Presupuesto!C$7:C$67,F317))</f>
        <v/>
      </c>
      <c r="K317" s="62" t="str">
        <f aca="false">IF(OR(E317="",F317=""),"",SUMIFS(I$7:I317,E$7:E317,E317,F$7:F317,F317))</f>
        <v/>
      </c>
      <c r="L317" s="62" t="str">
        <f aca="false">IF(OR(E317="",F317=""),"",J317-SUMIFS(I$7:I$506,E$7:E$506,E317,F$7:F$506,F317))</f>
        <v/>
      </c>
      <c r="N317" s="40"/>
    </row>
    <row r="318" customFormat="false" ht="15.75" hidden="false" customHeight="true" outlineLevel="0" collapsed="false">
      <c r="A318" s="35"/>
      <c r="B318" s="54" t="str">
        <f aca="false">IF(C318="","",DATE(YEAR(C318),MONTH(C318)+1,0))</f>
        <v/>
      </c>
      <c r="C318" s="55"/>
      <c r="D318" s="40"/>
      <c r="E318" s="40"/>
      <c r="F318" s="40"/>
      <c r="G318" s="40"/>
      <c r="H318" s="40"/>
      <c r="I318" s="60"/>
      <c r="J318" s="61" t="str">
        <f aca="false">IF(OR(E318="",F318=""),"",SUMIFS(Presupuesto!G$7:G$67,Presupuesto!B$7:B$67,E318,Presupuesto!C$7:C$67,F318))</f>
        <v/>
      </c>
      <c r="K318" s="62" t="str">
        <f aca="false">IF(OR(E318="",F318=""),"",SUMIFS(I$7:I318,E$7:E318,E318,F$7:F318,F318))</f>
        <v/>
      </c>
      <c r="L318" s="62" t="str">
        <f aca="false">IF(OR(E318="",F318=""),"",J318-SUMIFS(I$7:I$506,E$7:E$506,E318,F$7:F$506,F318))</f>
        <v/>
      </c>
      <c r="N318" s="40"/>
    </row>
    <row r="319" customFormat="false" ht="15.75" hidden="false" customHeight="true" outlineLevel="0" collapsed="false">
      <c r="A319" s="35"/>
      <c r="B319" s="54" t="str">
        <f aca="false">IF(C319="","",DATE(YEAR(C319),MONTH(C319)+1,0))</f>
        <v/>
      </c>
      <c r="C319" s="55"/>
      <c r="D319" s="40"/>
      <c r="E319" s="40"/>
      <c r="F319" s="40"/>
      <c r="G319" s="40"/>
      <c r="H319" s="40"/>
      <c r="I319" s="60"/>
      <c r="J319" s="61" t="str">
        <f aca="false">IF(OR(E319="",F319=""),"",SUMIFS(Presupuesto!G$7:G$67,Presupuesto!B$7:B$67,E319,Presupuesto!C$7:C$67,F319))</f>
        <v/>
      </c>
      <c r="K319" s="62" t="str">
        <f aca="false">IF(OR(E319="",F319=""),"",SUMIFS(I$7:I319,E$7:E319,E319,F$7:F319,F319))</f>
        <v/>
      </c>
      <c r="L319" s="62" t="str">
        <f aca="false">IF(OR(E319="",F319=""),"",J319-SUMIFS(I$7:I$506,E$7:E$506,E319,F$7:F$506,F319))</f>
        <v/>
      </c>
      <c r="N319" s="40"/>
    </row>
    <row r="320" customFormat="false" ht="15.75" hidden="false" customHeight="true" outlineLevel="0" collapsed="false">
      <c r="A320" s="35"/>
      <c r="B320" s="54" t="str">
        <f aca="false">IF(C320="","",DATE(YEAR(C320),MONTH(C320)+1,0))</f>
        <v/>
      </c>
      <c r="C320" s="55"/>
      <c r="D320" s="40"/>
      <c r="E320" s="40"/>
      <c r="F320" s="40"/>
      <c r="G320" s="40"/>
      <c r="H320" s="40"/>
      <c r="I320" s="60"/>
      <c r="J320" s="61" t="str">
        <f aca="false">IF(OR(E320="",F320=""),"",SUMIFS(Presupuesto!G$7:G$67,Presupuesto!B$7:B$67,E320,Presupuesto!C$7:C$67,F320))</f>
        <v/>
      </c>
      <c r="K320" s="62" t="str">
        <f aca="false">IF(OR(E320="",F320=""),"",SUMIFS(I$7:I320,E$7:E320,E320,F$7:F320,F320))</f>
        <v/>
      </c>
      <c r="L320" s="62" t="str">
        <f aca="false">IF(OR(E320="",F320=""),"",J320-SUMIFS(I$7:I$506,E$7:E$506,E320,F$7:F$506,F320))</f>
        <v/>
      </c>
      <c r="N320" s="40"/>
    </row>
    <row r="321" customFormat="false" ht="15.75" hidden="false" customHeight="true" outlineLevel="0" collapsed="false">
      <c r="A321" s="35"/>
      <c r="B321" s="54" t="str">
        <f aca="false">IF(C321="","",DATE(YEAR(C321),MONTH(C321)+1,0))</f>
        <v/>
      </c>
      <c r="C321" s="55"/>
      <c r="D321" s="40"/>
      <c r="E321" s="40"/>
      <c r="F321" s="40"/>
      <c r="G321" s="40"/>
      <c r="H321" s="40"/>
      <c r="I321" s="60"/>
      <c r="J321" s="61" t="str">
        <f aca="false">IF(OR(E321="",F321=""),"",SUMIFS(Presupuesto!G$7:G$67,Presupuesto!B$7:B$67,E321,Presupuesto!C$7:C$67,F321))</f>
        <v/>
      </c>
      <c r="K321" s="62" t="str">
        <f aca="false">IF(OR(E321="",F321=""),"",SUMIFS(I$7:I321,E$7:E321,E321,F$7:F321,F321))</f>
        <v/>
      </c>
      <c r="L321" s="62" t="str">
        <f aca="false">IF(OR(E321="",F321=""),"",J321-SUMIFS(I$7:I$506,E$7:E$506,E321,F$7:F$506,F321))</f>
        <v/>
      </c>
      <c r="N321" s="40"/>
    </row>
    <row r="322" customFormat="false" ht="15.75" hidden="false" customHeight="true" outlineLevel="0" collapsed="false">
      <c r="A322" s="35"/>
      <c r="B322" s="54" t="str">
        <f aca="false">IF(C322="","",DATE(YEAR(C322),MONTH(C322)+1,0))</f>
        <v/>
      </c>
      <c r="C322" s="55"/>
      <c r="D322" s="40"/>
      <c r="E322" s="40"/>
      <c r="F322" s="40"/>
      <c r="G322" s="40"/>
      <c r="H322" s="40"/>
      <c r="I322" s="60"/>
      <c r="J322" s="61" t="str">
        <f aca="false">IF(OR(E322="",F322=""),"",SUMIFS(Presupuesto!G$7:G$67,Presupuesto!B$7:B$67,E322,Presupuesto!C$7:C$67,F322))</f>
        <v/>
      </c>
      <c r="K322" s="62" t="str">
        <f aca="false">IF(OR(E322="",F322=""),"",SUMIFS(I$7:I322,E$7:E322,E322,F$7:F322,F322))</f>
        <v/>
      </c>
      <c r="L322" s="62" t="str">
        <f aca="false">IF(OR(E322="",F322=""),"",J322-SUMIFS(I$7:I$506,E$7:E$506,E322,F$7:F$506,F322))</f>
        <v/>
      </c>
      <c r="N322" s="40"/>
    </row>
    <row r="323" customFormat="false" ht="15.75" hidden="false" customHeight="true" outlineLevel="0" collapsed="false">
      <c r="A323" s="35"/>
      <c r="B323" s="54" t="str">
        <f aca="false">IF(C323="","",DATE(YEAR(C323),MONTH(C323)+1,0))</f>
        <v/>
      </c>
      <c r="C323" s="55"/>
      <c r="D323" s="40"/>
      <c r="E323" s="40"/>
      <c r="F323" s="40"/>
      <c r="G323" s="40"/>
      <c r="H323" s="40"/>
      <c r="I323" s="60"/>
      <c r="J323" s="61" t="str">
        <f aca="false">IF(OR(E323="",F323=""),"",SUMIFS(Presupuesto!G$7:G$67,Presupuesto!B$7:B$67,E323,Presupuesto!C$7:C$67,F323))</f>
        <v/>
      </c>
      <c r="K323" s="62" t="str">
        <f aca="false">IF(OR(E323="",F323=""),"",SUMIFS(I$7:I323,E$7:E323,E323,F$7:F323,F323))</f>
        <v/>
      </c>
      <c r="L323" s="62" t="str">
        <f aca="false">IF(OR(E323="",F323=""),"",J323-SUMIFS(I$7:I$506,E$7:E$506,E323,F$7:F$506,F323))</f>
        <v/>
      </c>
      <c r="N323" s="40"/>
    </row>
    <row r="324" customFormat="false" ht="15.75" hidden="false" customHeight="true" outlineLevel="0" collapsed="false">
      <c r="A324" s="35"/>
      <c r="B324" s="54" t="str">
        <f aca="false">IF(C324="","",DATE(YEAR(C324),MONTH(C324)+1,0))</f>
        <v/>
      </c>
      <c r="C324" s="55"/>
      <c r="D324" s="40"/>
      <c r="E324" s="40"/>
      <c r="F324" s="40"/>
      <c r="G324" s="40"/>
      <c r="H324" s="40"/>
      <c r="I324" s="60"/>
      <c r="J324" s="61" t="str">
        <f aca="false">IF(OR(E324="",F324=""),"",SUMIFS(Presupuesto!G$7:G$67,Presupuesto!B$7:B$67,E324,Presupuesto!C$7:C$67,F324))</f>
        <v/>
      </c>
      <c r="K324" s="62" t="str">
        <f aca="false">IF(OR(E324="",F324=""),"",SUMIFS(I$7:I324,E$7:E324,E324,F$7:F324,F324))</f>
        <v/>
      </c>
      <c r="L324" s="62" t="str">
        <f aca="false">IF(OR(E324="",F324=""),"",J324-SUMIFS(I$7:I$506,E$7:E$506,E324,F$7:F$506,F324))</f>
        <v/>
      </c>
      <c r="N324" s="40"/>
    </row>
    <row r="325" customFormat="false" ht="15.75" hidden="false" customHeight="true" outlineLevel="0" collapsed="false">
      <c r="A325" s="35"/>
      <c r="B325" s="54" t="str">
        <f aca="false">IF(C325="","",DATE(YEAR(C325),MONTH(C325)+1,0))</f>
        <v/>
      </c>
      <c r="C325" s="55"/>
      <c r="D325" s="40"/>
      <c r="E325" s="40"/>
      <c r="F325" s="40"/>
      <c r="G325" s="40"/>
      <c r="H325" s="40"/>
      <c r="I325" s="60"/>
      <c r="J325" s="61" t="str">
        <f aca="false">IF(OR(E325="",F325=""),"",SUMIFS(Presupuesto!G$7:G$67,Presupuesto!B$7:B$67,E325,Presupuesto!C$7:C$67,F325))</f>
        <v/>
      </c>
      <c r="K325" s="62" t="str">
        <f aca="false">IF(OR(E325="",F325=""),"",SUMIFS(I$7:I325,E$7:E325,E325,F$7:F325,F325))</f>
        <v/>
      </c>
      <c r="L325" s="62" t="str">
        <f aca="false">IF(OR(E325="",F325=""),"",J325-SUMIFS(I$7:I$506,E$7:E$506,E325,F$7:F$506,F325))</f>
        <v/>
      </c>
      <c r="N325" s="40"/>
    </row>
    <row r="326" customFormat="false" ht="15.75" hidden="false" customHeight="true" outlineLevel="0" collapsed="false">
      <c r="A326" s="35"/>
      <c r="B326" s="54" t="str">
        <f aca="false">IF(C326="","",DATE(YEAR(C326),MONTH(C326)+1,0))</f>
        <v/>
      </c>
      <c r="C326" s="55"/>
      <c r="D326" s="40"/>
      <c r="E326" s="40"/>
      <c r="F326" s="40"/>
      <c r="G326" s="40"/>
      <c r="H326" s="40"/>
      <c r="I326" s="60"/>
      <c r="J326" s="61" t="str">
        <f aca="false">IF(OR(E326="",F326=""),"",SUMIFS(Presupuesto!G$7:G$67,Presupuesto!B$7:B$67,E326,Presupuesto!C$7:C$67,F326))</f>
        <v/>
      </c>
      <c r="K326" s="62" t="str">
        <f aca="false">IF(OR(E326="",F326=""),"",SUMIFS(I$7:I326,E$7:E326,E326,F$7:F326,F326))</f>
        <v/>
      </c>
      <c r="L326" s="62" t="str">
        <f aca="false">IF(OR(E326="",F326=""),"",J326-SUMIFS(I$7:I$506,E$7:E$506,E326,F$7:F$506,F326))</f>
        <v/>
      </c>
      <c r="N326" s="40"/>
    </row>
    <row r="327" customFormat="false" ht="15.75" hidden="false" customHeight="true" outlineLevel="0" collapsed="false">
      <c r="A327" s="35"/>
      <c r="B327" s="54" t="str">
        <f aca="false">IF(C327="","",DATE(YEAR(C327),MONTH(C327)+1,0))</f>
        <v/>
      </c>
      <c r="C327" s="55"/>
      <c r="D327" s="40"/>
      <c r="E327" s="40"/>
      <c r="F327" s="40"/>
      <c r="G327" s="40"/>
      <c r="H327" s="40"/>
      <c r="I327" s="60"/>
      <c r="J327" s="61" t="str">
        <f aca="false">IF(OR(E327="",F327=""),"",SUMIFS(Presupuesto!G$7:G$67,Presupuesto!B$7:B$67,E327,Presupuesto!C$7:C$67,F327))</f>
        <v/>
      </c>
      <c r="K327" s="62" t="str">
        <f aca="false">IF(OR(E327="",F327=""),"",SUMIFS(I$7:I327,E$7:E327,E327,F$7:F327,F327))</f>
        <v/>
      </c>
      <c r="L327" s="62" t="str">
        <f aca="false">IF(OR(E327="",F327=""),"",J327-SUMIFS(I$7:I$506,E$7:E$506,E327,F$7:F$506,F327))</f>
        <v/>
      </c>
      <c r="N327" s="40"/>
    </row>
    <row r="328" customFormat="false" ht="15.75" hidden="false" customHeight="true" outlineLevel="0" collapsed="false">
      <c r="A328" s="35"/>
      <c r="B328" s="54" t="str">
        <f aca="false">IF(C328="","",DATE(YEAR(C328),MONTH(C328)+1,0))</f>
        <v/>
      </c>
      <c r="C328" s="55"/>
      <c r="D328" s="40"/>
      <c r="E328" s="40"/>
      <c r="F328" s="40"/>
      <c r="G328" s="40"/>
      <c r="H328" s="40"/>
      <c r="I328" s="60"/>
      <c r="J328" s="61" t="str">
        <f aca="false">IF(OR(E328="",F328=""),"",SUMIFS(Presupuesto!G$7:G$67,Presupuesto!B$7:B$67,E328,Presupuesto!C$7:C$67,F328))</f>
        <v/>
      </c>
      <c r="K328" s="62" t="str">
        <f aca="false">IF(OR(E328="",F328=""),"",SUMIFS(I$7:I328,E$7:E328,E328,F$7:F328,F328))</f>
        <v/>
      </c>
      <c r="L328" s="62" t="str">
        <f aca="false">IF(OR(E328="",F328=""),"",J328-SUMIFS(I$7:I$506,E$7:E$506,E328,F$7:F$506,F328))</f>
        <v/>
      </c>
      <c r="N328" s="40"/>
    </row>
    <row r="329" customFormat="false" ht="15.75" hidden="false" customHeight="true" outlineLevel="0" collapsed="false">
      <c r="A329" s="35"/>
      <c r="B329" s="54" t="str">
        <f aca="false">IF(C329="","",DATE(YEAR(C329),MONTH(C329)+1,0))</f>
        <v/>
      </c>
      <c r="C329" s="55"/>
      <c r="D329" s="40"/>
      <c r="E329" s="40"/>
      <c r="F329" s="40"/>
      <c r="G329" s="40"/>
      <c r="H329" s="40"/>
      <c r="I329" s="60"/>
      <c r="J329" s="61" t="str">
        <f aca="false">IF(OR(E329="",F329=""),"",SUMIFS(Presupuesto!G$7:G$67,Presupuesto!B$7:B$67,E329,Presupuesto!C$7:C$67,F329))</f>
        <v/>
      </c>
      <c r="K329" s="62" t="str">
        <f aca="false">IF(OR(E329="",F329=""),"",SUMIFS(I$7:I329,E$7:E329,E329,F$7:F329,F329))</f>
        <v/>
      </c>
      <c r="L329" s="62" t="str">
        <f aca="false">IF(OR(E329="",F329=""),"",J329-SUMIFS(I$7:I$506,E$7:E$506,E329,F$7:F$506,F329))</f>
        <v/>
      </c>
      <c r="N329" s="40"/>
    </row>
    <row r="330" customFormat="false" ht="15.75" hidden="false" customHeight="true" outlineLevel="0" collapsed="false">
      <c r="A330" s="35"/>
      <c r="B330" s="54" t="str">
        <f aca="false">IF(C330="","",DATE(YEAR(C330),MONTH(C330)+1,0))</f>
        <v/>
      </c>
      <c r="C330" s="55"/>
      <c r="D330" s="40"/>
      <c r="E330" s="40"/>
      <c r="F330" s="40"/>
      <c r="G330" s="40"/>
      <c r="H330" s="40"/>
      <c r="I330" s="60"/>
      <c r="J330" s="61" t="str">
        <f aca="false">IF(OR(E330="",F330=""),"",SUMIFS(Presupuesto!G$7:G$67,Presupuesto!B$7:B$67,E330,Presupuesto!C$7:C$67,F330))</f>
        <v/>
      </c>
      <c r="K330" s="62" t="str">
        <f aca="false">IF(OR(E330="",F330=""),"",SUMIFS(I$7:I330,E$7:E330,E330,F$7:F330,F330))</f>
        <v/>
      </c>
      <c r="L330" s="62" t="str">
        <f aca="false">IF(OR(E330="",F330=""),"",J330-SUMIFS(I$7:I$506,E$7:E$506,E330,F$7:F$506,F330))</f>
        <v/>
      </c>
      <c r="N330" s="40"/>
    </row>
    <row r="331" customFormat="false" ht="15.75" hidden="false" customHeight="true" outlineLevel="0" collapsed="false">
      <c r="A331" s="35"/>
      <c r="B331" s="54" t="str">
        <f aca="false">IF(C331="","",DATE(YEAR(C331),MONTH(C331)+1,0))</f>
        <v/>
      </c>
      <c r="C331" s="55"/>
      <c r="D331" s="40"/>
      <c r="E331" s="40"/>
      <c r="F331" s="40"/>
      <c r="G331" s="40"/>
      <c r="H331" s="40"/>
      <c r="I331" s="60"/>
      <c r="J331" s="61" t="str">
        <f aca="false">IF(OR(E331="",F331=""),"",SUMIFS(Presupuesto!G$7:G$67,Presupuesto!B$7:B$67,E331,Presupuesto!C$7:C$67,F331))</f>
        <v/>
      </c>
      <c r="K331" s="62" t="str">
        <f aca="false">IF(OR(E331="",F331=""),"",SUMIFS(I$7:I331,E$7:E331,E331,F$7:F331,F331))</f>
        <v/>
      </c>
      <c r="L331" s="62" t="str">
        <f aca="false">IF(OR(E331="",F331=""),"",J331-SUMIFS(I$7:I$506,E$7:E$506,E331,F$7:F$506,F331))</f>
        <v/>
      </c>
      <c r="N331" s="40"/>
    </row>
    <row r="332" customFormat="false" ht="15.75" hidden="false" customHeight="true" outlineLevel="0" collapsed="false">
      <c r="A332" s="35"/>
      <c r="B332" s="54" t="str">
        <f aca="false">IF(C332="","",DATE(YEAR(C332),MONTH(C332)+1,0))</f>
        <v/>
      </c>
      <c r="C332" s="55"/>
      <c r="D332" s="40"/>
      <c r="E332" s="40"/>
      <c r="F332" s="40"/>
      <c r="G332" s="40"/>
      <c r="H332" s="40"/>
      <c r="I332" s="60"/>
      <c r="J332" s="61" t="str">
        <f aca="false">IF(OR(E332="",F332=""),"",SUMIFS(Presupuesto!G$7:G$67,Presupuesto!B$7:B$67,E332,Presupuesto!C$7:C$67,F332))</f>
        <v/>
      </c>
      <c r="K332" s="62" t="str">
        <f aca="false">IF(OR(E332="",F332=""),"",SUMIFS(I$7:I332,E$7:E332,E332,F$7:F332,F332))</f>
        <v/>
      </c>
      <c r="L332" s="62" t="str">
        <f aca="false">IF(OR(E332="",F332=""),"",J332-SUMIFS(I$7:I$506,E$7:E$506,E332,F$7:F$506,F332))</f>
        <v/>
      </c>
      <c r="N332" s="40"/>
    </row>
    <row r="333" customFormat="false" ht="15.75" hidden="false" customHeight="true" outlineLevel="0" collapsed="false">
      <c r="A333" s="35"/>
      <c r="B333" s="54" t="str">
        <f aca="false">IF(C333="","",DATE(YEAR(C333),MONTH(C333)+1,0))</f>
        <v/>
      </c>
      <c r="C333" s="55"/>
      <c r="D333" s="40"/>
      <c r="E333" s="40"/>
      <c r="F333" s="40"/>
      <c r="G333" s="40"/>
      <c r="H333" s="40"/>
      <c r="I333" s="60"/>
      <c r="J333" s="61" t="str">
        <f aca="false">IF(OR(E333="",F333=""),"",SUMIFS(Presupuesto!G$7:G$67,Presupuesto!B$7:B$67,E333,Presupuesto!C$7:C$67,F333))</f>
        <v/>
      </c>
      <c r="K333" s="62" t="str">
        <f aca="false">IF(OR(E333="",F333=""),"",SUMIFS(I$7:I333,E$7:E333,E333,F$7:F333,F333))</f>
        <v/>
      </c>
      <c r="L333" s="62" t="str">
        <f aca="false">IF(OR(E333="",F333=""),"",J333-SUMIFS(I$7:I$506,E$7:E$506,E333,F$7:F$506,F333))</f>
        <v/>
      </c>
      <c r="N333" s="40"/>
    </row>
    <row r="334" customFormat="false" ht="15.75" hidden="false" customHeight="true" outlineLevel="0" collapsed="false">
      <c r="A334" s="35"/>
      <c r="B334" s="54" t="str">
        <f aca="false">IF(C334="","",DATE(YEAR(C334),MONTH(C334)+1,0))</f>
        <v/>
      </c>
      <c r="C334" s="55"/>
      <c r="D334" s="40"/>
      <c r="E334" s="40"/>
      <c r="F334" s="40"/>
      <c r="G334" s="40"/>
      <c r="H334" s="40"/>
      <c r="I334" s="60"/>
      <c r="J334" s="61" t="str">
        <f aca="false">IF(OR(E334="",F334=""),"",SUMIFS(Presupuesto!G$7:G$67,Presupuesto!B$7:B$67,E334,Presupuesto!C$7:C$67,F334))</f>
        <v/>
      </c>
      <c r="K334" s="62" t="str">
        <f aca="false">IF(OR(E334="",F334=""),"",SUMIFS(I$7:I334,E$7:E334,E334,F$7:F334,F334))</f>
        <v/>
      </c>
      <c r="L334" s="62" t="str">
        <f aca="false">IF(OR(E334="",F334=""),"",J334-SUMIFS(I$7:I$506,E$7:E$506,E334,F$7:F$506,F334))</f>
        <v/>
      </c>
      <c r="N334" s="40"/>
    </row>
    <row r="335" customFormat="false" ht="15.75" hidden="false" customHeight="true" outlineLevel="0" collapsed="false">
      <c r="A335" s="35"/>
      <c r="B335" s="54" t="str">
        <f aca="false">IF(C335="","",DATE(YEAR(C335),MONTH(C335)+1,0))</f>
        <v/>
      </c>
      <c r="C335" s="55"/>
      <c r="D335" s="40"/>
      <c r="E335" s="40"/>
      <c r="F335" s="40"/>
      <c r="G335" s="40"/>
      <c r="H335" s="40"/>
      <c r="I335" s="60"/>
      <c r="J335" s="61" t="str">
        <f aca="false">IF(OR(E335="",F335=""),"",SUMIFS(Presupuesto!G$7:G$67,Presupuesto!B$7:B$67,E335,Presupuesto!C$7:C$67,F335))</f>
        <v/>
      </c>
      <c r="K335" s="62" t="str">
        <f aca="false">IF(OR(E335="",F335=""),"",SUMIFS(I$7:I335,E$7:E335,E335,F$7:F335,F335))</f>
        <v/>
      </c>
      <c r="L335" s="62" t="str">
        <f aca="false">IF(OR(E335="",F335=""),"",J335-SUMIFS(I$7:I$506,E$7:E$506,E335,F$7:F$506,F335))</f>
        <v/>
      </c>
      <c r="N335" s="40"/>
    </row>
    <row r="336" customFormat="false" ht="15.75" hidden="false" customHeight="true" outlineLevel="0" collapsed="false">
      <c r="A336" s="35"/>
      <c r="B336" s="54" t="str">
        <f aca="false">IF(C336="","",DATE(YEAR(C336),MONTH(C336)+1,0))</f>
        <v/>
      </c>
      <c r="C336" s="55"/>
      <c r="D336" s="40"/>
      <c r="E336" s="40"/>
      <c r="F336" s="40"/>
      <c r="G336" s="40"/>
      <c r="H336" s="40"/>
      <c r="I336" s="60"/>
      <c r="J336" s="61" t="str">
        <f aca="false">IF(OR(E336="",F336=""),"",SUMIFS(Presupuesto!G$7:G$67,Presupuesto!B$7:B$67,E336,Presupuesto!C$7:C$67,F336))</f>
        <v/>
      </c>
      <c r="K336" s="62" t="str">
        <f aca="false">IF(OR(E336="",F336=""),"",SUMIFS(I$7:I336,E$7:E336,E336,F$7:F336,F336))</f>
        <v/>
      </c>
      <c r="L336" s="62" t="str">
        <f aca="false">IF(OR(E336="",F336=""),"",J336-SUMIFS(I$7:I$506,E$7:E$506,E336,F$7:F$506,F336))</f>
        <v/>
      </c>
      <c r="N336" s="40"/>
    </row>
    <row r="337" customFormat="false" ht="15.75" hidden="false" customHeight="true" outlineLevel="0" collapsed="false">
      <c r="A337" s="35"/>
      <c r="B337" s="54" t="str">
        <f aca="false">IF(C337="","",DATE(YEAR(C337),MONTH(C337)+1,0))</f>
        <v/>
      </c>
      <c r="C337" s="55"/>
      <c r="D337" s="40"/>
      <c r="E337" s="40"/>
      <c r="F337" s="40"/>
      <c r="G337" s="40"/>
      <c r="H337" s="40"/>
      <c r="I337" s="60"/>
      <c r="J337" s="61" t="str">
        <f aca="false">IF(OR(E337="",F337=""),"",SUMIFS(Presupuesto!G$7:G$67,Presupuesto!B$7:B$67,E337,Presupuesto!C$7:C$67,F337))</f>
        <v/>
      </c>
      <c r="K337" s="62" t="str">
        <f aca="false">IF(OR(E337="",F337=""),"",SUMIFS(I$7:I337,E$7:E337,E337,F$7:F337,F337))</f>
        <v/>
      </c>
      <c r="L337" s="62" t="str">
        <f aca="false">IF(OR(E337="",F337=""),"",J337-SUMIFS(I$7:I$506,E$7:E$506,E337,F$7:F$506,F337))</f>
        <v/>
      </c>
      <c r="N337" s="40"/>
    </row>
    <row r="338" customFormat="false" ht="15.75" hidden="false" customHeight="true" outlineLevel="0" collapsed="false">
      <c r="A338" s="35"/>
      <c r="B338" s="54" t="str">
        <f aca="false">IF(C338="","",DATE(YEAR(C338),MONTH(C338)+1,0))</f>
        <v/>
      </c>
      <c r="C338" s="55"/>
      <c r="D338" s="40"/>
      <c r="E338" s="40"/>
      <c r="F338" s="40"/>
      <c r="G338" s="40"/>
      <c r="H338" s="40"/>
      <c r="I338" s="60"/>
      <c r="J338" s="61" t="str">
        <f aca="false">IF(OR(E338="",F338=""),"",SUMIFS(Presupuesto!G$7:G$67,Presupuesto!B$7:B$67,E338,Presupuesto!C$7:C$67,F338))</f>
        <v/>
      </c>
      <c r="K338" s="62" t="str">
        <f aca="false">IF(OR(E338="",F338=""),"",SUMIFS(I$7:I338,E$7:E338,E338,F$7:F338,F338))</f>
        <v/>
      </c>
      <c r="L338" s="62" t="str">
        <f aca="false">IF(OR(E338="",F338=""),"",J338-SUMIFS(I$7:I$506,E$7:E$506,E338,F$7:F$506,F338))</f>
        <v/>
      </c>
      <c r="N338" s="40"/>
    </row>
    <row r="339" customFormat="false" ht="15.75" hidden="false" customHeight="true" outlineLevel="0" collapsed="false">
      <c r="A339" s="35"/>
      <c r="B339" s="54" t="str">
        <f aca="false">IF(C339="","",DATE(YEAR(C339),MONTH(C339)+1,0))</f>
        <v/>
      </c>
      <c r="C339" s="55"/>
      <c r="D339" s="40"/>
      <c r="E339" s="40"/>
      <c r="F339" s="40"/>
      <c r="G339" s="40"/>
      <c r="H339" s="40"/>
      <c r="I339" s="60"/>
      <c r="J339" s="61" t="str">
        <f aca="false">IF(OR(E339="",F339=""),"",SUMIFS(Presupuesto!G$7:G$67,Presupuesto!B$7:B$67,E339,Presupuesto!C$7:C$67,F339))</f>
        <v/>
      </c>
      <c r="K339" s="62" t="str">
        <f aca="false">IF(OR(E339="",F339=""),"",SUMIFS(I$7:I339,E$7:E339,E339,F$7:F339,F339))</f>
        <v/>
      </c>
      <c r="L339" s="62" t="str">
        <f aca="false">IF(OR(E339="",F339=""),"",J339-SUMIFS(I$7:I$506,E$7:E$506,E339,F$7:F$506,F339))</f>
        <v/>
      </c>
      <c r="N339" s="40"/>
    </row>
    <row r="340" customFormat="false" ht="15.75" hidden="false" customHeight="true" outlineLevel="0" collapsed="false">
      <c r="A340" s="35"/>
      <c r="B340" s="54" t="str">
        <f aca="false">IF(C340="","",DATE(YEAR(C340),MONTH(C340)+1,0))</f>
        <v/>
      </c>
      <c r="C340" s="55"/>
      <c r="D340" s="40"/>
      <c r="E340" s="40"/>
      <c r="F340" s="40"/>
      <c r="G340" s="40"/>
      <c r="H340" s="40"/>
      <c r="I340" s="60"/>
      <c r="J340" s="61" t="str">
        <f aca="false">IF(OR(E340="",F340=""),"",SUMIFS(Presupuesto!G$7:G$67,Presupuesto!B$7:B$67,E340,Presupuesto!C$7:C$67,F340))</f>
        <v/>
      </c>
      <c r="K340" s="62" t="str">
        <f aca="false">IF(OR(E340="",F340=""),"",SUMIFS(I$7:I340,E$7:E340,E340,F$7:F340,F340))</f>
        <v/>
      </c>
      <c r="L340" s="62" t="str">
        <f aca="false">IF(OR(E340="",F340=""),"",J340-SUMIFS(I$7:I$506,E$7:E$506,E340,F$7:F$506,F340))</f>
        <v/>
      </c>
      <c r="N340" s="40"/>
    </row>
    <row r="341" customFormat="false" ht="15.75" hidden="false" customHeight="true" outlineLevel="0" collapsed="false">
      <c r="A341" s="35"/>
      <c r="B341" s="54" t="str">
        <f aca="false">IF(C341="","",DATE(YEAR(C341),MONTH(C341)+1,0))</f>
        <v/>
      </c>
      <c r="C341" s="55"/>
      <c r="D341" s="40"/>
      <c r="E341" s="40"/>
      <c r="F341" s="40"/>
      <c r="G341" s="40"/>
      <c r="H341" s="40"/>
      <c r="I341" s="60"/>
      <c r="J341" s="61" t="str">
        <f aca="false">IF(OR(E341="",F341=""),"",SUMIFS(Presupuesto!G$7:G$67,Presupuesto!B$7:B$67,E341,Presupuesto!C$7:C$67,F341))</f>
        <v/>
      </c>
      <c r="K341" s="62" t="str">
        <f aca="false">IF(OR(E341="",F341=""),"",SUMIFS(I$7:I341,E$7:E341,E341,F$7:F341,F341))</f>
        <v/>
      </c>
      <c r="L341" s="62" t="str">
        <f aca="false">IF(OR(E341="",F341=""),"",J341-SUMIFS(I$7:I$506,E$7:E$506,E341,F$7:F$506,F341))</f>
        <v/>
      </c>
      <c r="N341" s="40"/>
    </row>
    <row r="342" customFormat="false" ht="15.75" hidden="false" customHeight="true" outlineLevel="0" collapsed="false">
      <c r="A342" s="35"/>
      <c r="B342" s="54" t="str">
        <f aca="false">IF(C342="","",DATE(YEAR(C342),MONTH(C342)+1,0))</f>
        <v/>
      </c>
      <c r="C342" s="55"/>
      <c r="D342" s="40"/>
      <c r="E342" s="40"/>
      <c r="F342" s="40"/>
      <c r="G342" s="40"/>
      <c r="H342" s="40"/>
      <c r="I342" s="60"/>
      <c r="J342" s="61" t="str">
        <f aca="false">IF(OR(E342="",F342=""),"",SUMIFS(Presupuesto!G$7:G$67,Presupuesto!B$7:B$67,E342,Presupuesto!C$7:C$67,F342))</f>
        <v/>
      </c>
      <c r="K342" s="62" t="str">
        <f aca="false">IF(OR(E342="",F342=""),"",SUMIFS(I$7:I342,E$7:E342,E342,F$7:F342,F342))</f>
        <v/>
      </c>
      <c r="L342" s="62" t="str">
        <f aca="false">IF(OR(E342="",F342=""),"",J342-SUMIFS(I$7:I$506,E$7:E$506,E342,F$7:F$506,F342))</f>
        <v/>
      </c>
      <c r="N342" s="40"/>
    </row>
    <row r="343" customFormat="false" ht="15.75" hidden="false" customHeight="true" outlineLevel="0" collapsed="false">
      <c r="A343" s="35"/>
      <c r="B343" s="54" t="str">
        <f aca="false">IF(C343="","",DATE(YEAR(C343),MONTH(C343)+1,0))</f>
        <v/>
      </c>
      <c r="C343" s="55"/>
      <c r="D343" s="40"/>
      <c r="E343" s="40"/>
      <c r="F343" s="40"/>
      <c r="G343" s="40"/>
      <c r="H343" s="40"/>
      <c r="I343" s="60"/>
      <c r="J343" s="61" t="str">
        <f aca="false">IF(OR(E343="",F343=""),"",SUMIFS(Presupuesto!G$7:G$67,Presupuesto!B$7:B$67,E343,Presupuesto!C$7:C$67,F343))</f>
        <v/>
      </c>
      <c r="K343" s="62" t="str">
        <f aca="false">IF(OR(E343="",F343=""),"",SUMIFS(I$7:I343,E$7:E343,E343,F$7:F343,F343))</f>
        <v/>
      </c>
      <c r="L343" s="62" t="str">
        <f aca="false">IF(OR(E343="",F343=""),"",J343-SUMIFS(I$7:I$506,E$7:E$506,E343,F$7:F$506,F343))</f>
        <v/>
      </c>
      <c r="N343" s="40"/>
    </row>
    <row r="344" customFormat="false" ht="15.75" hidden="false" customHeight="true" outlineLevel="0" collapsed="false">
      <c r="A344" s="35"/>
      <c r="B344" s="54" t="str">
        <f aca="false">IF(C344="","",DATE(YEAR(C344),MONTH(C344)+1,0))</f>
        <v/>
      </c>
      <c r="C344" s="55"/>
      <c r="D344" s="40"/>
      <c r="E344" s="40"/>
      <c r="F344" s="40"/>
      <c r="G344" s="40"/>
      <c r="H344" s="40"/>
      <c r="I344" s="60"/>
      <c r="J344" s="61" t="str">
        <f aca="false">IF(OR(E344="",F344=""),"",SUMIFS(Presupuesto!G$7:G$67,Presupuesto!B$7:B$67,E344,Presupuesto!C$7:C$67,F344))</f>
        <v/>
      </c>
      <c r="K344" s="62" t="str">
        <f aca="false">IF(OR(E344="",F344=""),"",SUMIFS(I$7:I344,E$7:E344,E344,F$7:F344,F344))</f>
        <v/>
      </c>
      <c r="L344" s="62" t="str">
        <f aca="false">IF(OR(E344="",F344=""),"",J344-SUMIFS(I$7:I$506,E$7:E$506,E344,F$7:F$506,F344))</f>
        <v/>
      </c>
      <c r="N344" s="40"/>
    </row>
    <row r="345" customFormat="false" ht="15.75" hidden="false" customHeight="true" outlineLevel="0" collapsed="false">
      <c r="A345" s="35"/>
      <c r="B345" s="54" t="str">
        <f aca="false">IF(C345="","",DATE(YEAR(C345),MONTH(C345)+1,0))</f>
        <v/>
      </c>
      <c r="C345" s="55"/>
      <c r="D345" s="40"/>
      <c r="E345" s="40"/>
      <c r="F345" s="40"/>
      <c r="G345" s="40"/>
      <c r="H345" s="40"/>
      <c r="I345" s="60"/>
      <c r="J345" s="61" t="str">
        <f aca="false">IF(OR(E345="",F345=""),"",SUMIFS(Presupuesto!G$7:G$67,Presupuesto!B$7:B$67,E345,Presupuesto!C$7:C$67,F345))</f>
        <v/>
      </c>
      <c r="K345" s="62" t="str">
        <f aca="false">IF(OR(E345="",F345=""),"",SUMIFS(I$7:I345,E$7:E345,E345,F$7:F345,F345))</f>
        <v/>
      </c>
      <c r="L345" s="62" t="str">
        <f aca="false">IF(OR(E345="",F345=""),"",J345-SUMIFS(I$7:I$506,E$7:E$506,E345,F$7:F$506,F345))</f>
        <v/>
      </c>
      <c r="N345" s="40"/>
    </row>
    <row r="346" customFormat="false" ht="15.75" hidden="false" customHeight="true" outlineLevel="0" collapsed="false">
      <c r="A346" s="35"/>
      <c r="B346" s="54" t="str">
        <f aca="false">IF(C346="","",DATE(YEAR(C346),MONTH(C346)+1,0))</f>
        <v/>
      </c>
      <c r="C346" s="55"/>
      <c r="D346" s="40"/>
      <c r="E346" s="40"/>
      <c r="F346" s="40"/>
      <c r="G346" s="40"/>
      <c r="H346" s="40"/>
      <c r="I346" s="60"/>
      <c r="J346" s="61" t="str">
        <f aca="false">IF(OR(E346="",F346=""),"",SUMIFS(Presupuesto!G$7:G$67,Presupuesto!B$7:B$67,E346,Presupuesto!C$7:C$67,F346))</f>
        <v/>
      </c>
      <c r="K346" s="62" t="str">
        <f aca="false">IF(OR(E346="",F346=""),"",SUMIFS(I$7:I346,E$7:E346,E346,F$7:F346,F346))</f>
        <v/>
      </c>
      <c r="L346" s="62" t="str">
        <f aca="false">IF(OR(E346="",F346=""),"",J346-SUMIFS(I$7:I$506,E$7:E$506,E346,F$7:F$506,F346))</f>
        <v/>
      </c>
      <c r="N346" s="40"/>
    </row>
    <row r="347" customFormat="false" ht="15.75" hidden="false" customHeight="true" outlineLevel="0" collapsed="false">
      <c r="A347" s="35"/>
      <c r="B347" s="54" t="str">
        <f aca="false">IF(C347="","",DATE(YEAR(C347),MONTH(C347)+1,0))</f>
        <v/>
      </c>
      <c r="C347" s="55"/>
      <c r="D347" s="40"/>
      <c r="E347" s="40"/>
      <c r="F347" s="40"/>
      <c r="G347" s="40"/>
      <c r="H347" s="40"/>
      <c r="I347" s="60"/>
      <c r="J347" s="61" t="str">
        <f aca="false">IF(OR(E347="",F347=""),"",SUMIFS(Presupuesto!G$7:G$67,Presupuesto!B$7:B$67,E347,Presupuesto!C$7:C$67,F347))</f>
        <v/>
      </c>
      <c r="K347" s="62" t="str">
        <f aca="false">IF(OR(E347="",F347=""),"",SUMIFS(I$7:I347,E$7:E347,E347,F$7:F347,F347))</f>
        <v/>
      </c>
      <c r="L347" s="62" t="str">
        <f aca="false">IF(OR(E347="",F347=""),"",J347-SUMIFS(I$7:I$506,E$7:E$506,E347,F$7:F$506,F347))</f>
        <v/>
      </c>
      <c r="N347" s="40"/>
    </row>
    <row r="348" customFormat="false" ht="15.75" hidden="false" customHeight="true" outlineLevel="0" collapsed="false">
      <c r="A348" s="35"/>
      <c r="B348" s="54" t="str">
        <f aca="false">IF(C348="","",DATE(YEAR(C348),MONTH(C348)+1,0))</f>
        <v/>
      </c>
      <c r="C348" s="55"/>
      <c r="D348" s="40"/>
      <c r="E348" s="40"/>
      <c r="F348" s="40"/>
      <c r="G348" s="40"/>
      <c r="H348" s="40"/>
      <c r="I348" s="60"/>
      <c r="J348" s="61" t="str">
        <f aca="false">IF(OR(E348="",F348=""),"",SUMIFS(Presupuesto!G$7:G$67,Presupuesto!B$7:B$67,E348,Presupuesto!C$7:C$67,F348))</f>
        <v/>
      </c>
      <c r="K348" s="62" t="str">
        <f aca="false">IF(OR(E348="",F348=""),"",SUMIFS(I$7:I348,E$7:E348,E348,F$7:F348,F348))</f>
        <v/>
      </c>
      <c r="L348" s="62" t="str">
        <f aca="false">IF(OR(E348="",F348=""),"",J348-SUMIFS(I$7:I$506,E$7:E$506,E348,F$7:F$506,F348))</f>
        <v/>
      </c>
      <c r="N348" s="40"/>
    </row>
    <row r="349" customFormat="false" ht="15.75" hidden="false" customHeight="true" outlineLevel="0" collapsed="false">
      <c r="A349" s="35"/>
      <c r="B349" s="54" t="str">
        <f aca="false">IF(C349="","",DATE(YEAR(C349),MONTH(C349)+1,0))</f>
        <v/>
      </c>
      <c r="C349" s="55"/>
      <c r="D349" s="40"/>
      <c r="E349" s="40"/>
      <c r="F349" s="40"/>
      <c r="G349" s="40"/>
      <c r="H349" s="40"/>
      <c r="I349" s="60"/>
      <c r="J349" s="61" t="str">
        <f aca="false">IF(OR(E349="",F349=""),"",SUMIFS(Presupuesto!G$7:G$67,Presupuesto!B$7:B$67,E349,Presupuesto!C$7:C$67,F349))</f>
        <v/>
      </c>
      <c r="K349" s="62" t="str">
        <f aca="false">IF(OR(E349="",F349=""),"",SUMIFS(I$7:I349,E$7:E349,E349,F$7:F349,F349))</f>
        <v/>
      </c>
      <c r="L349" s="62" t="str">
        <f aca="false">IF(OR(E349="",F349=""),"",J349-SUMIFS(I$7:I$506,E$7:E$506,E349,F$7:F$506,F349))</f>
        <v/>
      </c>
      <c r="N349" s="40"/>
    </row>
    <row r="350" customFormat="false" ht="15.75" hidden="false" customHeight="true" outlineLevel="0" collapsed="false">
      <c r="A350" s="35"/>
      <c r="B350" s="54" t="str">
        <f aca="false">IF(C350="","",DATE(YEAR(C350),MONTH(C350)+1,0))</f>
        <v/>
      </c>
      <c r="C350" s="55"/>
      <c r="D350" s="40"/>
      <c r="E350" s="40"/>
      <c r="F350" s="40"/>
      <c r="G350" s="40"/>
      <c r="H350" s="40"/>
      <c r="I350" s="60"/>
      <c r="J350" s="61" t="str">
        <f aca="false">IF(OR(E350="",F350=""),"",SUMIFS(Presupuesto!G$7:G$67,Presupuesto!B$7:B$67,E350,Presupuesto!C$7:C$67,F350))</f>
        <v/>
      </c>
      <c r="K350" s="62" t="str">
        <f aca="false">IF(OR(E350="",F350=""),"",SUMIFS(I$7:I350,E$7:E350,E350,F$7:F350,F350))</f>
        <v/>
      </c>
      <c r="L350" s="62" t="str">
        <f aca="false">IF(OR(E350="",F350=""),"",J350-SUMIFS(I$7:I$506,E$7:E$506,E350,F$7:F$506,F350))</f>
        <v/>
      </c>
      <c r="N350" s="40"/>
    </row>
    <row r="351" customFormat="false" ht="15.75" hidden="false" customHeight="true" outlineLevel="0" collapsed="false">
      <c r="A351" s="35"/>
      <c r="B351" s="54" t="str">
        <f aca="false">IF(C351="","",DATE(YEAR(C351),MONTH(C351)+1,0))</f>
        <v/>
      </c>
      <c r="C351" s="55"/>
      <c r="D351" s="40"/>
      <c r="E351" s="40"/>
      <c r="F351" s="40"/>
      <c r="G351" s="40"/>
      <c r="H351" s="40"/>
      <c r="I351" s="60"/>
      <c r="J351" s="61" t="str">
        <f aca="false">IF(OR(E351="",F351=""),"",SUMIFS(Presupuesto!G$7:G$67,Presupuesto!B$7:B$67,E351,Presupuesto!C$7:C$67,F351))</f>
        <v/>
      </c>
      <c r="K351" s="62" t="str">
        <f aca="false">IF(OR(E351="",F351=""),"",SUMIFS(I$7:I351,E$7:E351,E351,F$7:F351,F351))</f>
        <v/>
      </c>
      <c r="L351" s="62" t="str">
        <f aca="false">IF(OR(E351="",F351=""),"",J351-SUMIFS(I$7:I$506,E$7:E$506,E351,F$7:F$506,F351))</f>
        <v/>
      </c>
      <c r="N351" s="40"/>
    </row>
    <row r="352" customFormat="false" ht="15.75" hidden="false" customHeight="true" outlineLevel="0" collapsed="false">
      <c r="A352" s="35"/>
      <c r="B352" s="54" t="str">
        <f aca="false">IF(C352="","",DATE(YEAR(C352),MONTH(C352)+1,0))</f>
        <v/>
      </c>
      <c r="C352" s="55"/>
      <c r="D352" s="40"/>
      <c r="E352" s="40"/>
      <c r="F352" s="40"/>
      <c r="G352" s="40"/>
      <c r="H352" s="40"/>
      <c r="I352" s="60"/>
      <c r="J352" s="61" t="str">
        <f aca="false">IF(OR(E352="",F352=""),"",SUMIFS(Presupuesto!G$7:G$67,Presupuesto!B$7:B$67,E352,Presupuesto!C$7:C$67,F352))</f>
        <v/>
      </c>
      <c r="K352" s="62" t="str">
        <f aca="false">IF(OR(E352="",F352=""),"",SUMIFS(I$7:I352,E$7:E352,E352,F$7:F352,F352))</f>
        <v/>
      </c>
      <c r="L352" s="62" t="str">
        <f aca="false">IF(OR(E352="",F352=""),"",J352-SUMIFS(I$7:I$506,E$7:E$506,E352,F$7:F$506,F352))</f>
        <v/>
      </c>
      <c r="N352" s="40"/>
    </row>
    <row r="353" customFormat="false" ht="15.75" hidden="false" customHeight="true" outlineLevel="0" collapsed="false">
      <c r="A353" s="35"/>
      <c r="B353" s="54" t="str">
        <f aca="false">IF(C353="","",DATE(YEAR(C353),MONTH(C353)+1,0))</f>
        <v/>
      </c>
      <c r="C353" s="55"/>
      <c r="D353" s="40"/>
      <c r="E353" s="40"/>
      <c r="F353" s="40"/>
      <c r="G353" s="40"/>
      <c r="H353" s="40"/>
      <c r="I353" s="60"/>
      <c r="J353" s="61" t="str">
        <f aca="false">IF(OR(E353="",F353=""),"",SUMIFS(Presupuesto!G$7:G$67,Presupuesto!B$7:B$67,E353,Presupuesto!C$7:C$67,F353))</f>
        <v/>
      </c>
      <c r="K353" s="62" t="str">
        <f aca="false">IF(OR(E353="",F353=""),"",SUMIFS(I$7:I353,E$7:E353,E353,F$7:F353,F353))</f>
        <v/>
      </c>
      <c r="L353" s="62" t="str">
        <f aca="false">IF(OR(E353="",F353=""),"",J353-SUMIFS(I$7:I$506,E$7:E$506,E353,F$7:F$506,F353))</f>
        <v/>
      </c>
      <c r="N353" s="40"/>
    </row>
    <row r="354" customFormat="false" ht="15.75" hidden="false" customHeight="true" outlineLevel="0" collapsed="false">
      <c r="A354" s="35"/>
      <c r="B354" s="54" t="str">
        <f aca="false">IF(C354="","",DATE(YEAR(C354),MONTH(C354)+1,0))</f>
        <v/>
      </c>
      <c r="C354" s="55"/>
      <c r="D354" s="40"/>
      <c r="E354" s="40"/>
      <c r="F354" s="40"/>
      <c r="G354" s="40"/>
      <c r="H354" s="40"/>
      <c r="I354" s="60"/>
      <c r="J354" s="61" t="str">
        <f aca="false">IF(OR(E354="",F354=""),"",SUMIFS(Presupuesto!G$7:G$67,Presupuesto!B$7:B$67,E354,Presupuesto!C$7:C$67,F354))</f>
        <v/>
      </c>
      <c r="K354" s="62" t="str">
        <f aca="false">IF(OR(E354="",F354=""),"",SUMIFS(I$7:I354,E$7:E354,E354,F$7:F354,F354))</f>
        <v/>
      </c>
      <c r="L354" s="62" t="str">
        <f aca="false">IF(OR(E354="",F354=""),"",J354-SUMIFS(I$7:I$506,E$7:E$506,E354,F$7:F$506,F354))</f>
        <v/>
      </c>
      <c r="N354" s="40"/>
    </row>
    <row r="355" customFormat="false" ht="15.75" hidden="false" customHeight="true" outlineLevel="0" collapsed="false">
      <c r="A355" s="35"/>
      <c r="B355" s="54" t="str">
        <f aca="false">IF(C355="","",DATE(YEAR(C355),MONTH(C355)+1,0))</f>
        <v/>
      </c>
      <c r="C355" s="55"/>
      <c r="D355" s="40"/>
      <c r="E355" s="40"/>
      <c r="F355" s="40"/>
      <c r="G355" s="40"/>
      <c r="H355" s="40"/>
      <c r="I355" s="60"/>
      <c r="J355" s="61" t="str">
        <f aca="false">IF(OR(E355="",F355=""),"",SUMIFS(Presupuesto!G$7:G$67,Presupuesto!B$7:B$67,E355,Presupuesto!C$7:C$67,F355))</f>
        <v/>
      </c>
      <c r="K355" s="62" t="str">
        <f aca="false">IF(OR(E355="",F355=""),"",SUMIFS(I$7:I355,E$7:E355,E355,F$7:F355,F355))</f>
        <v/>
      </c>
      <c r="L355" s="62" t="str">
        <f aca="false">IF(OR(E355="",F355=""),"",J355-SUMIFS(I$7:I$506,E$7:E$506,E355,F$7:F$506,F355))</f>
        <v/>
      </c>
      <c r="N355" s="40"/>
    </row>
    <row r="356" customFormat="false" ht="15.75" hidden="false" customHeight="true" outlineLevel="0" collapsed="false">
      <c r="A356" s="35"/>
      <c r="B356" s="54" t="str">
        <f aca="false">IF(C356="","",DATE(YEAR(C356),MONTH(C356)+1,0))</f>
        <v/>
      </c>
      <c r="C356" s="55"/>
      <c r="D356" s="40"/>
      <c r="E356" s="40"/>
      <c r="F356" s="40"/>
      <c r="G356" s="40"/>
      <c r="H356" s="40"/>
      <c r="I356" s="60"/>
      <c r="J356" s="61" t="str">
        <f aca="false">IF(OR(E356="",F356=""),"",SUMIFS(Presupuesto!G$7:G$67,Presupuesto!B$7:B$67,E356,Presupuesto!C$7:C$67,F356))</f>
        <v/>
      </c>
      <c r="K356" s="62" t="str">
        <f aca="false">IF(OR(E356="",F356=""),"",SUMIFS(I$7:I356,E$7:E356,E356,F$7:F356,F356))</f>
        <v/>
      </c>
      <c r="L356" s="62" t="str">
        <f aca="false">IF(OR(E356="",F356=""),"",J356-SUMIFS(I$7:I$506,E$7:E$506,E356,F$7:F$506,F356))</f>
        <v/>
      </c>
      <c r="N356" s="40"/>
    </row>
    <row r="357" customFormat="false" ht="15.75" hidden="false" customHeight="true" outlineLevel="0" collapsed="false">
      <c r="A357" s="35"/>
      <c r="B357" s="54" t="str">
        <f aca="false">IF(C357="","",DATE(YEAR(C357),MONTH(C357)+1,0))</f>
        <v/>
      </c>
      <c r="C357" s="55"/>
      <c r="D357" s="40"/>
      <c r="E357" s="40"/>
      <c r="F357" s="40"/>
      <c r="G357" s="40"/>
      <c r="H357" s="40"/>
      <c r="I357" s="60"/>
      <c r="J357" s="61" t="str">
        <f aca="false">IF(OR(E357="",F357=""),"",SUMIFS(Presupuesto!G$7:G$67,Presupuesto!B$7:B$67,E357,Presupuesto!C$7:C$67,F357))</f>
        <v/>
      </c>
      <c r="K357" s="62" t="str">
        <f aca="false">IF(OR(E357="",F357=""),"",SUMIFS(I$7:I357,E$7:E357,E357,F$7:F357,F357))</f>
        <v/>
      </c>
      <c r="L357" s="62" t="str">
        <f aca="false">IF(OR(E357="",F357=""),"",J357-SUMIFS(I$7:I$506,E$7:E$506,E357,F$7:F$506,F357))</f>
        <v/>
      </c>
      <c r="N357" s="40"/>
    </row>
    <row r="358" customFormat="false" ht="15.75" hidden="false" customHeight="true" outlineLevel="0" collapsed="false">
      <c r="A358" s="35"/>
      <c r="B358" s="54" t="str">
        <f aca="false">IF(C358="","",DATE(YEAR(C358),MONTH(C358)+1,0))</f>
        <v/>
      </c>
      <c r="C358" s="55"/>
      <c r="D358" s="40"/>
      <c r="E358" s="40"/>
      <c r="F358" s="40"/>
      <c r="G358" s="40"/>
      <c r="H358" s="40"/>
      <c r="I358" s="60"/>
      <c r="J358" s="61" t="str">
        <f aca="false">IF(OR(E358="",F358=""),"",SUMIFS(Presupuesto!G$7:G$67,Presupuesto!B$7:B$67,E358,Presupuesto!C$7:C$67,F358))</f>
        <v/>
      </c>
      <c r="K358" s="62" t="str">
        <f aca="false">IF(OR(E358="",F358=""),"",SUMIFS(I$7:I358,E$7:E358,E358,F$7:F358,F358))</f>
        <v/>
      </c>
      <c r="L358" s="62" t="str">
        <f aca="false">IF(OR(E358="",F358=""),"",J358-SUMIFS(I$7:I$506,E$7:E$506,E358,F$7:F$506,F358))</f>
        <v/>
      </c>
      <c r="N358" s="40"/>
    </row>
    <row r="359" customFormat="false" ht="15.75" hidden="false" customHeight="true" outlineLevel="0" collapsed="false">
      <c r="A359" s="35"/>
      <c r="B359" s="54" t="str">
        <f aca="false">IF(C359="","",DATE(YEAR(C359),MONTH(C359)+1,0))</f>
        <v/>
      </c>
      <c r="C359" s="55"/>
      <c r="D359" s="40"/>
      <c r="E359" s="40"/>
      <c r="F359" s="40"/>
      <c r="G359" s="40"/>
      <c r="H359" s="40"/>
      <c r="I359" s="60"/>
      <c r="J359" s="61" t="str">
        <f aca="false">IF(OR(E359="",F359=""),"",SUMIFS(Presupuesto!G$7:G$67,Presupuesto!B$7:B$67,E359,Presupuesto!C$7:C$67,F359))</f>
        <v/>
      </c>
      <c r="K359" s="62" t="str">
        <f aca="false">IF(OR(E359="",F359=""),"",SUMIFS(I$7:I359,E$7:E359,E359,F$7:F359,F359))</f>
        <v/>
      </c>
      <c r="L359" s="62" t="str">
        <f aca="false">IF(OR(E359="",F359=""),"",J359-SUMIFS(I$7:I$506,E$7:E$506,E359,F$7:F$506,F359))</f>
        <v/>
      </c>
      <c r="N359" s="40"/>
    </row>
    <row r="360" customFormat="false" ht="15.75" hidden="false" customHeight="true" outlineLevel="0" collapsed="false">
      <c r="A360" s="35"/>
      <c r="B360" s="54" t="str">
        <f aca="false">IF(C360="","",DATE(YEAR(C360),MONTH(C360)+1,0))</f>
        <v/>
      </c>
      <c r="C360" s="55"/>
      <c r="D360" s="40"/>
      <c r="E360" s="40"/>
      <c r="F360" s="40"/>
      <c r="G360" s="40"/>
      <c r="H360" s="40"/>
      <c r="I360" s="60"/>
      <c r="J360" s="61" t="str">
        <f aca="false">IF(OR(E360="",F360=""),"",SUMIFS(Presupuesto!G$7:G$67,Presupuesto!B$7:B$67,E360,Presupuesto!C$7:C$67,F360))</f>
        <v/>
      </c>
      <c r="K360" s="62" t="str">
        <f aca="false">IF(OR(E360="",F360=""),"",SUMIFS(I$7:I360,E$7:E360,E360,F$7:F360,F360))</f>
        <v/>
      </c>
      <c r="L360" s="62" t="str">
        <f aca="false">IF(OR(E360="",F360=""),"",J360-SUMIFS(I$7:I$506,E$7:E$506,E360,F$7:F$506,F360))</f>
        <v/>
      </c>
      <c r="N360" s="40"/>
    </row>
    <row r="361" customFormat="false" ht="15.75" hidden="false" customHeight="true" outlineLevel="0" collapsed="false">
      <c r="A361" s="35"/>
      <c r="B361" s="54" t="str">
        <f aca="false">IF(C361="","",DATE(YEAR(C361),MONTH(C361)+1,0))</f>
        <v/>
      </c>
      <c r="C361" s="55"/>
      <c r="D361" s="40"/>
      <c r="E361" s="40"/>
      <c r="F361" s="40"/>
      <c r="G361" s="40"/>
      <c r="H361" s="40"/>
      <c r="I361" s="60"/>
      <c r="J361" s="61" t="str">
        <f aca="false">IF(OR(E361="",F361=""),"",SUMIFS(Presupuesto!G$7:G$67,Presupuesto!B$7:B$67,E361,Presupuesto!C$7:C$67,F361))</f>
        <v/>
      </c>
      <c r="K361" s="62" t="str">
        <f aca="false">IF(OR(E361="",F361=""),"",SUMIFS(I$7:I361,E$7:E361,E361,F$7:F361,F361))</f>
        <v/>
      </c>
      <c r="L361" s="62" t="str">
        <f aca="false">IF(OR(E361="",F361=""),"",J361-SUMIFS(I$7:I$506,E$7:E$506,E361,F$7:F$506,F361))</f>
        <v/>
      </c>
      <c r="N361" s="40"/>
    </row>
    <row r="362" customFormat="false" ht="15.75" hidden="false" customHeight="true" outlineLevel="0" collapsed="false">
      <c r="A362" s="35"/>
      <c r="B362" s="54" t="str">
        <f aca="false">IF(C362="","",DATE(YEAR(C362),MONTH(C362)+1,0))</f>
        <v/>
      </c>
      <c r="C362" s="55"/>
      <c r="D362" s="40"/>
      <c r="E362" s="40"/>
      <c r="F362" s="40"/>
      <c r="G362" s="40"/>
      <c r="H362" s="40"/>
      <c r="I362" s="60"/>
      <c r="J362" s="61" t="str">
        <f aca="false">IF(OR(E362="",F362=""),"",SUMIFS(Presupuesto!G$7:G$67,Presupuesto!B$7:B$67,E362,Presupuesto!C$7:C$67,F362))</f>
        <v/>
      </c>
      <c r="K362" s="62" t="str">
        <f aca="false">IF(OR(E362="",F362=""),"",SUMIFS(I$7:I362,E$7:E362,E362,F$7:F362,F362))</f>
        <v/>
      </c>
      <c r="L362" s="62" t="str">
        <f aca="false">IF(OR(E362="",F362=""),"",J362-SUMIFS(I$7:I$506,E$7:E$506,E362,F$7:F$506,F362))</f>
        <v/>
      </c>
      <c r="N362" s="40"/>
    </row>
    <row r="363" customFormat="false" ht="15.75" hidden="false" customHeight="true" outlineLevel="0" collapsed="false">
      <c r="A363" s="35"/>
      <c r="B363" s="54" t="str">
        <f aca="false">IF(C363="","",DATE(YEAR(C363),MONTH(C363)+1,0))</f>
        <v/>
      </c>
      <c r="C363" s="55"/>
      <c r="D363" s="40"/>
      <c r="E363" s="40"/>
      <c r="F363" s="40"/>
      <c r="G363" s="40"/>
      <c r="H363" s="40"/>
      <c r="I363" s="60"/>
      <c r="J363" s="61" t="str">
        <f aca="false">IF(OR(E363="",F363=""),"",SUMIFS(Presupuesto!G$7:G$67,Presupuesto!B$7:B$67,E363,Presupuesto!C$7:C$67,F363))</f>
        <v/>
      </c>
      <c r="K363" s="62" t="str">
        <f aca="false">IF(OR(E363="",F363=""),"",SUMIFS(I$7:I363,E$7:E363,E363,F$7:F363,F363))</f>
        <v/>
      </c>
      <c r="L363" s="62" t="str">
        <f aca="false">IF(OR(E363="",F363=""),"",J363-SUMIFS(I$7:I$506,E$7:E$506,E363,F$7:F$506,F363))</f>
        <v/>
      </c>
      <c r="N363" s="40"/>
    </row>
    <row r="364" customFormat="false" ht="15.75" hidden="false" customHeight="true" outlineLevel="0" collapsed="false">
      <c r="A364" s="35"/>
      <c r="B364" s="54" t="str">
        <f aca="false">IF(C364="","",DATE(YEAR(C364),MONTH(C364)+1,0))</f>
        <v/>
      </c>
      <c r="C364" s="55"/>
      <c r="D364" s="40"/>
      <c r="E364" s="40"/>
      <c r="F364" s="40"/>
      <c r="G364" s="40"/>
      <c r="H364" s="40"/>
      <c r="I364" s="60"/>
      <c r="J364" s="61" t="str">
        <f aca="false">IF(OR(E364="",F364=""),"",SUMIFS(Presupuesto!G$7:G$67,Presupuesto!B$7:B$67,E364,Presupuesto!C$7:C$67,F364))</f>
        <v/>
      </c>
      <c r="K364" s="62" t="str">
        <f aca="false">IF(OR(E364="",F364=""),"",SUMIFS(I$7:I364,E$7:E364,E364,F$7:F364,F364))</f>
        <v/>
      </c>
      <c r="L364" s="62" t="str">
        <f aca="false">IF(OR(E364="",F364=""),"",J364-SUMIFS(I$7:I$506,E$7:E$506,E364,F$7:F$506,F364))</f>
        <v/>
      </c>
      <c r="N364" s="40"/>
    </row>
    <row r="365" customFormat="false" ht="15.75" hidden="false" customHeight="true" outlineLevel="0" collapsed="false">
      <c r="A365" s="35"/>
      <c r="B365" s="54" t="str">
        <f aca="false">IF(C365="","",DATE(YEAR(C365),MONTH(C365)+1,0))</f>
        <v/>
      </c>
      <c r="C365" s="55"/>
      <c r="D365" s="40"/>
      <c r="E365" s="40"/>
      <c r="F365" s="40"/>
      <c r="G365" s="40"/>
      <c r="H365" s="40"/>
      <c r="I365" s="60"/>
      <c r="J365" s="61" t="str">
        <f aca="false">IF(OR(E365="",F365=""),"",SUMIFS(Presupuesto!G$7:G$67,Presupuesto!B$7:B$67,E365,Presupuesto!C$7:C$67,F365))</f>
        <v/>
      </c>
      <c r="K365" s="62" t="str">
        <f aca="false">IF(OR(E365="",F365=""),"",SUMIFS(I$7:I365,E$7:E365,E365,F$7:F365,F365))</f>
        <v/>
      </c>
      <c r="L365" s="62" t="str">
        <f aca="false">IF(OR(E365="",F365=""),"",J365-SUMIFS(I$7:I$506,E$7:E$506,E365,F$7:F$506,F365))</f>
        <v/>
      </c>
      <c r="N365" s="40"/>
    </row>
    <row r="366" customFormat="false" ht="15.75" hidden="false" customHeight="true" outlineLevel="0" collapsed="false">
      <c r="A366" s="35"/>
      <c r="B366" s="54" t="str">
        <f aca="false">IF(C366="","",DATE(YEAR(C366),MONTH(C366)+1,0))</f>
        <v/>
      </c>
      <c r="C366" s="55"/>
      <c r="D366" s="40"/>
      <c r="E366" s="40"/>
      <c r="F366" s="40"/>
      <c r="G366" s="40"/>
      <c r="H366" s="40"/>
      <c r="I366" s="60"/>
      <c r="J366" s="61" t="str">
        <f aca="false">IF(OR(E366="",F366=""),"",SUMIFS(Presupuesto!G$7:G$67,Presupuesto!B$7:B$67,E366,Presupuesto!C$7:C$67,F366))</f>
        <v/>
      </c>
      <c r="K366" s="62" t="str">
        <f aca="false">IF(OR(E366="",F366=""),"",SUMIFS(I$7:I366,E$7:E366,E366,F$7:F366,F366))</f>
        <v/>
      </c>
      <c r="L366" s="62" t="str">
        <f aca="false">IF(OR(E366="",F366=""),"",J366-SUMIFS(I$7:I$506,E$7:E$506,E366,F$7:F$506,F366))</f>
        <v/>
      </c>
      <c r="N366" s="40"/>
    </row>
    <row r="367" customFormat="false" ht="15.75" hidden="false" customHeight="true" outlineLevel="0" collapsed="false">
      <c r="A367" s="35"/>
      <c r="B367" s="54" t="str">
        <f aca="false">IF(C367="","",DATE(YEAR(C367),MONTH(C367)+1,0))</f>
        <v/>
      </c>
      <c r="C367" s="55"/>
      <c r="D367" s="40"/>
      <c r="E367" s="40"/>
      <c r="F367" s="40"/>
      <c r="G367" s="40"/>
      <c r="H367" s="40"/>
      <c r="I367" s="60"/>
      <c r="J367" s="61" t="str">
        <f aca="false">IF(OR(E367="",F367=""),"",SUMIFS(Presupuesto!G$7:G$67,Presupuesto!B$7:B$67,E367,Presupuesto!C$7:C$67,F367))</f>
        <v/>
      </c>
      <c r="K367" s="62" t="str">
        <f aca="false">IF(OR(E367="",F367=""),"",SUMIFS(I$7:I367,E$7:E367,E367,F$7:F367,F367))</f>
        <v/>
      </c>
      <c r="L367" s="62" t="str">
        <f aca="false">IF(OR(E367="",F367=""),"",J367-SUMIFS(I$7:I$506,E$7:E$506,E367,F$7:F$506,F367))</f>
        <v/>
      </c>
      <c r="N367" s="40"/>
    </row>
    <row r="368" customFormat="false" ht="15.75" hidden="false" customHeight="true" outlineLevel="0" collapsed="false">
      <c r="A368" s="35"/>
      <c r="B368" s="54" t="str">
        <f aca="false">IF(C368="","",DATE(YEAR(C368),MONTH(C368)+1,0))</f>
        <v/>
      </c>
      <c r="C368" s="55"/>
      <c r="D368" s="40"/>
      <c r="E368" s="40"/>
      <c r="F368" s="40"/>
      <c r="G368" s="40"/>
      <c r="H368" s="40"/>
      <c r="I368" s="60"/>
      <c r="J368" s="61" t="str">
        <f aca="false">IF(OR(E368="",F368=""),"",SUMIFS(Presupuesto!G$7:G$67,Presupuesto!B$7:B$67,E368,Presupuesto!C$7:C$67,F368))</f>
        <v/>
      </c>
      <c r="K368" s="62" t="str">
        <f aca="false">IF(OR(E368="",F368=""),"",SUMIFS(I$7:I368,E$7:E368,E368,F$7:F368,F368))</f>
        <v/>
      </c>
      <c r="L368" s="62" t="str">
        <f aca="false">IF(OR(E368="",F368=""),"",J368-SUMIFS(I$7:I$506,E$7:E$506,E368,F$7:F$506,F368))</f>
        <v/>
      </c>
      <c r="N368" s="40"/>
    </row>
    <row r="369" customFormat="false" ht="15.75" hidden="false" customHeight="true" outlineLevel="0" collapsed="false">
      <c r="A369" s="35"/>
      <c r="B369" s="54" t="str">
        <f aca="false">IF(C369="","",DATE(YEAR(C369),MONTH(C369)+1,0))</f>
        <v/>
      </c>
      <c r="C369" s="55"/>
      <c r="D369" s="40"/>
      <c r="E369" s="40"/>
      <c r="F369" s="40"/>
      <c r="G369" s="40"/>
      <c r="H369" s="40"/>
      <c r="I369" s="60"/>
      <c r="J369" s="61" t="str">
        <f aca="false">IF(OR(E369="",F369=""),"",SUMIFS(Presupuesto!G$7:G$67,Presupuesto!B$7:B$67,E369,Presupuesto!C$7:C$67,F369))</f>
        <v/>
      </c>
      <c r="K369" s="62" t="str">
        <f aca="false">IF(OR(E369="",F369=""),"",SUMIFS(I$7:I369,E$7:E369,E369,F$7:F369,F369))</f>
        <v/>
      </c>
      <c r="L369" s="62" t="str">
        <f aca="false">IF(OR(E369="",F369=""),"",J369-SUMIFS(I$7:I$506,E$7:E$506,E369,F$7:F$506,F369))</f>
        <v/>
      </c>
      <c r="N369" s="40"/>
    </row>
    <row r="370" customFormat="false" ht="15.75" hidden="false" customHeight="true" outlineLevel="0" collapsed="false">
      <c r="A370" s="35"/>
      <c r="B370" s="54" t="str">
        <f aca="false">IF(C370="","",DATE(YEAR(C370),MONTH(C370)+1,0))</f>
        <v/>
      </c>
      <c r="C370" s="55"/>
      <c r="D370" s="40"/>
      <c r="E370" s="40"/>
      <c r="F370" s="40"/>
      <c r="G370" s="40"/>
      <c r="H370" s="40"/>
      <c r="I370" s="60"/>
      <c r="J370" s="61" t="str">
        <f aca="false">IF(OR(E370="",F370=""),"",SUMIFS(Presupuesto!G$7:G$67,Presupuesto!B$7:B$67,E370,Presupuesto!C$7:C$67,F370))</f>
        <v/>
      </c>
      <c r="K370" s="62" t="str">
        <f aca="false">IF(OR(E370="",F370=""),"",SUMIFS(I$7:I370,E$7:E370,E370,F$7:F370,F370))</f>
        <v/>
      </c>
      <c r="L370" s="62" t="str">
        <f aca="false">IF(OR(E370="",F370=""),"",J370-SUMIFS(I$7:I$506,E$7:E$506,E370,F$7:F$506,F370))</f>
        <v/>
      </c>
      <c r="N370" s="40"/>
    </row>
    <row r="371" customFormat="false" ht="15.75" hidden="false" customHeight="true" outlineLevel="0" collapsed="false">
      <c r="A371" s="35"/>
      <c r="B371" s="54" t="str">
        <f aca="false">IF(C371="","",DATE(YEAR(C371),MONTH(C371)+1,0))</f>
        <v/>
      </c>
      <c r="C371" s="55"/>
      <c r="D371" s="40"/>
      <c r="E371" s="40"/>
      <c r="F371" s="40"/>
      <c r="G371" s="40"/>
      <c r="H371" s="40"/>
      <c r="I371" s="60"/>
      <c r="J371" s="61" t="str">
        <f aca="false">IF(OR(E371="",F371=""),"",SUMIFS(Presupuesto!G$7:G$67,Presupuesto!B$7:B$67,E371,Presupuesto!C$7:C$67,F371))</f>
        <v/>
      </c>
      <c r="K371" s="62" t="str">
        <f aca="false">IF(OR(E371="",F371=""),"",SUMIFS(I$7:I371,E$7:E371,E371,F$7:F371,F371))</f>
        <v/>
      </c>
      <c r="L371" s="62" t="str">
        <f aca="false">IF(OR(E371="",F371=""),"",J371-SUMIFS(I$7:I$506,E$7:E$506,E371,F$7:F$506,F371))</f>
        <v/>
      </c>
      <c r="N371" s="40"/>
    </row>
    <row r="372" customFormat="false" ht="15.75" hidden="false" customHeight="true" outlineLevel="0" collapsed="false">
      <c r="A372" s="35"/>
      <c r="B372" s="54" t="str">
        <f aca="false">IF(C372="","",DATE(YEAR(C372),MONTH(C372)+1,0))</f>
        <v/>
      </c>
      <c r="C372" s="55"/>
      <c r="D372" s="40"/>
      <c r="E372" s="40"/>
      <c r="F372" s="40"/>
      <c r="G372" s="40"/>
      <c r="H372" s="40"/>
      <c r="I372" s="60"/>
      <c r="J372" s="61" t="str">
        <f aca="false">IF(OR(E372="",F372=""),"",SUMIFS(Presupuesto!G$7:G$67,Presupuesto!B$7:B$67,E372,Presupuesto!C$7:C$67,F372))</f>
        <v/>
      </c>
      <c r="K372" s="62" t="str">
        <f aca="false">IF(OR(E372="",F372=""),"",SUMIFS(I$7:I372,E$7:E372,E372,F$7:F372,F372))</f>
        <v/>
      </c>
      <c r="L372" s="62" t="str">
        <f aca="false">IF(OR(E372="",F372=""),"",J372-SUMIFS(I$7:I$506,E$7:E$506,E372,F$7:F$506,F372))</f>
        <v/>
      </c>
      <c r="N372" s="40"/>
    </row>
    <row r="373" customFormat="false" ht="15.75" hidden="false" customHeight="true" outlineLevel="0" collapsed="false">
      <c r="A373" s="35"/>
      <c r="B373" s="54" t="str">
        <f aca="false">IF(C373="","",DATE(YEAR(C373),MONTH(C373)+1,0))</f>
        <v/>
      </c>
      <c r="C373" s="55"/>
      <c r="D373" s="40"/>
      <c r="E373" s="40"/>
      <c r="F373" s="40"/>
      <c r="G373" s="40"/>
      <c r="H373" s="40"/>
      <c r="I373" s="60"/>
      <c r="J373" s="61" t="str">
        <f aca="false">IF(OR(E373="",F373=""),"",SUMIFS(Presupuesto!G$7:G$67,Presupuesto!B$7:B$67,E373,Presupuesto!C$7:C$67,F373))</f>
        <v/>
      </c>
      <c r="K373" s="62" t="str">
        <f aca="false">IF(OR(E373="",F373=""),"",SUMIFS(I$7:I373,E$7:E373,E373,F$7:F373,F373))</f>
        <v/>
      </c>
      <c r="L373" s="62" t="str">
        <f aca="false">IF(OR(E373="",F373=""),"",J373-SUMIFS(I$7:I$506,E$7:E$506,E373,F$7:F$506,F373))</f>
        <v/>
      </c>
      <c r="N373" s="40"/>
    </row>
    <row r="374" customFormat="false" ht="15.75" hidden="false" customHeight="true" outlineLevel="0" collapsed="false">
      <c r="A374" s="35"/>
      <c r="B374" s="54" t="str">
        <f aca="false">IF(C374="","",DATE(YEAR(C374),MONTH(C374)+1,0))</f>
        <v/>
      </c>
      <c r="C374" s="55"/>
      <c r="D374" s="40"/>
      <c r="E374" s="40"/>
      <c r="F374" s="40"/>
      <c r="G374" s="40"/>
      <c r="H374" s="40"/>
      <c r="I374" s="60"/>
      <c r="J374" s="61" t="str">
        <f aca="false">IF(OR(E374="",F374=""),"",SUMIFS(Presupuesto!G$7:G$67,Presupuesto!B$7:B$67,E374,Presupuesto!C$7:C$67,F374))</f>
        <v/>
      </c>
      <c r="K374" s="62" t="str">
        <f aca="false">IF(OR(E374="",F374=""),"",SUMIFS(I$7:I374,E$7:E374,E374,F$7:F374,F374))</f>
        <v/>
      </c>
      <c r="L374" s="62" t="str">
        <f aca="false">IF(OR(E374="",F374=""),"",J374-SUMIFS(I$7:I$506,E$7:E$506,E374,F$7:F$506,F374))</f>
        <v/>
      </c>
      <c r="N374" s="40"/>
    </row>
    <row r="375" customFormat="false" ht="15.75" hidden="false" customHeight="true" outlineLevel="0" collapsed="false">
      <c r="A375" s="35"/>
      <c r="B375" s="54" t="str">
        <f aca="false">IF(C375="","",DATE(YEAR(C375),MONTH(C375)+1,0))</f>
        <v/>
      </c>
      <c r="C375" s="55"/>
      <c r="D375" s="40"/>
      <c r="E375" s="40"/>
      <c r="F375" s="40"/>
      <c r="G375" s="40"/>
      <c r="H375" s="40"/>
      <c r="I375" s="60"/>
      <c r="J375" s="61" t="str">
        <f aca="false">IF(OR(E375="",F375=""),"",SUMIFS(Presupuesto!G$7:G$67,Presupuesto!B$7:B$67,E375,Presupuesto!C$7:C$67,F375))</f>
        <v/>
      </c>
      <c r="K375" s="62" t="str">
        <f aca="false">IF(OR(E375="",F375=""),"",SUMIFS(I$7:I375,E$7:E375,E375,F$7:F375,F375))</f>
        <v/>
      </c>
      <c r="L375" s="62" t="str">
        <f aca="false">IF(OR(E375="",F375=""),"",J375-SUMIFS(I$7:I$506,E$7:E$506,E375,F$7:F$506,F375))</f>
        <v/>
      </c>
      <c r="N375" s="40"/>
    </row>
    <row r="376" customFormat="false" ht="15.75" hidden="false" customHeight="true" outlineLevel="0" collapsed="false">
      <c r="A376" s="35"/>
      <c r="B376" s="54" t="str">
        <f aca="false">IF(C376="","",DATE(YEAR(C376),MONTH(C376)+1,0))</f>
        <v/>
      </c>
      <c r="C376" s="55"/>
      <c r="D376" s="40"/>
      <c r="E376" s="40"/>
      <c r="F376" s="40"/>
      <c r="G376" s="40"/>
      <c r="H376" s="40"/>
      <c r="I376" s="60"/>
      <c r="J376" s="61" t="str">
        <f aca="false">IF(OR(E376="",F376=""),"",SUMIFS(Presupuesto!G$7:G$67,Presupuesto!B$7:B$67,E376,Presupuesto!C$7:C$67,F376))</f>
        <v/>
      </c>
      <c r="K376" s="62" t="str">
        <f aca="false">IF(OR(E376="",F376=""),"",SUMIFS(I$7:I376,E$7:E376,E376,F$7:F376,F376))</f>
        <v/>
      </c>
      <c r="L376" s="62" t="str">
        <f aca="false">IF(OR(E376="",F376=""),"",J376-SUMIFS(I$7:I$506,E$7:E$506,E376,F$7:F$506,F376))</f>
        <v/>
      </c>
      <c r="N376" s="40"/>
    </row>
    <row r="377" customFormat="false" ht="15.75" hidden="false" customHeight="true" outlineLevel="0" collapsed="false">
      <c r="A377" s="35"/>
      <c r="B377" s="54" t="str">
        <f aca="false">IF(C377="","",DATE(YEAR(C377),MONTH(C377)+1,0))</f>
        <v/>
      </c>
      <c r="C377" s="55"/>
      <c r="D377" s="40"/>
      <c r="E377" s="40"/>
      <c r="F377" s="40"/>
      <c r="G377" s="40"/>
      <c r="H377" s="40"/>
      <c r="I377" s="60"/>
      <c r="J377" s="61" t="str">
        <f aca="false">IF(OR(E377="",F377=""),"",SUMIFS(Presupuesto!G$7:G$67,Presupuesto!B$7:B$67,E377,Presupuesto!C$7:C$67,F377))</f>
        <v/>
      </c>
      <c r="K377" s="62" t="str">
        <f aca="false">IF(OR(E377="",F377=""),"",SUMIFS(I$7:I377,E$7:E377,E377,F$7:F377,F377))</f>
        <v/>
      </c>
      <c r="L377" s="62" t="str">
        <f aca="false">IF(OR(E377="",F377=""),"",J377-SUMIFS(I$7:I$506,E$7:E$506,E377,F$7:F$506,F377))</f>
        <v/>
      </c>
      <c r="N377" s="40"/>
    </row>
    <row r="378" customFormat="false" ht="15.75" hidden="false" customHeight="true" outlineLevel="0" collapsed="false">
      <c r="A378" s="35"/>
      <c r="B378" s="54" t="str">
        <f aca="false">IF(C378="","",DATE(YEAR(C378),MONTH(C378)+1,0))</f>
        <v/>
      </c>
      <c r="C378" s="55"/>
      <c r="D378" s="40"/>
      <c r="E378" s="40"/>
      <c r="F378" s="40"/>
      <c r="G378" s="40"/>
      <c r="H378" s="40"/>
      <c r="I378" s="60"/>
      <c r="J378" s="61" t="str">
        <f aca="false">IF(OR(E378="",F378=""),"",SUMIFS(Presupuesto!G$7:G$67,Presupuesto!B$7:B$67,E378,Presupuesto!C$7:C$67,F378))</f>
        <v/>
      </c>
      <c r="K378" s="62" t="str">
        <f aca="false">IF(OR(E378="",F378=""),"",SUMIFS(I$7:I378,E$7:E378,E378,F$7:F378,F378))</f>
        <v/>
      </c>
      <c r="L378" s="62" t="str">
        <f aca="false">IF(OR(E378="",F378=""),"",J378-SUMIFS(I$7:I$506,E$7:E$506,E378,F$7:F$506,F378))</f>
        <v/>
      </c>
      <c r="N378" s="40"/>
    </row>
    <row r="379" customFormat="false" ht="15.75" hidden="false" customHeight="true" outlineLevel="0" collapsed="false">
      <c r="A379" s="35"/>
      <c r="B379" s="54" t="str">
        <f aca="false">IF(C379="","",DATE(YEAR(C379),MONTH(C379)+1,0))</f>
        <v/>
      </c>
      <c r="C379" s="55"/>
      <c r="D379" s="40"/>
      <c r="E379" s="40"/>
      <c r="F379" s="40"/>
      <c r="G379" s="40"/>
      <c r="H379" s="40"/>
      <c r="I379" s="60"/>
      <c r="J379" s="61" t="str">
        <f aca="false">IF(OR(E379="",F379=""),"",SUMIFS(Presupuesto!G$7:G$67,Presupuesto!B$7:B$67,E379,Presupuesto!C$7:C$67,F379))</f>
        <v/>
      </c>
      <c r="K379" s="62" t="str">
        <f aca="false">IF(OR(E379="",F379=""),"",SUMIFS(I$7:I379,E$7:E379,E379,F$7:F379,F379))</f>
        <v/>
      </c>
      <c r="L379" s="62" t="str">
        <f aca="false">IF(OR(E379="",F379=""),"",J379-SUMIFS(I$7:I$506,E$7:E$506,E379,F$7:F$506,F379))</f>
        <v/>
      </c>
      <c r="N379" s="40"/>
    </row>
    <row r="380" customFormat="false" ht="15.75" hidden="false" customHeight="true" outlineLevel="0" collapsed="false">
      <c r="A380" s="35"/>
      <c r="B380" s="54" t="str">
        <f aca="false">IF(C380="","",DATE(YEAR(C380),MONTH(C380)+1,0))</f>
        <v/>
      </c>
      <c r="C380" s="55"/>
      <c r="D380" s="40"/>
      <c r="E380" s="40"/>
      <c r="F380" s="40"/>
      <c r="G380" s="40"/>
      <c r="H380" s="40"/>
      <c r="I380" s="60"/>
      <c r="J380" s="61" t="str">
        <f aca="false">IF(OR(E380="",F380=""),"",SUMIFS(Presupuesto!G$7:G$67,Presupuesto!B$7:B$67,E380,Presupuesto!C$7:C$67,F380))</f>
        <v/>
      </c>
      <c r="K380" s="62" t="str">
        <f aca="false">IF(OR(E380="",F380=""),"",SUMIFS(I$7:I380,E$7:E380,E380,F$7:F380,F380))</f>
        <v/>
      </c>
      <c r="L380" s="62" t="str">
        <f aca="false">IF(OR(E380="",F380=""),"",J380-SUMIFS(I$7:I$506,E$7:E$506,E380,F$7:F$506,F380))</f>
        <v/>
      </c>
      <c r="N380" s="40"/>
    </row>
    <row r="381" customFormat="false" ht="15.75" hidden="false" customHeight="true" outlineLevel="0" collapsed="false">
      <c r="A381" s="35"/>
      <c r="B381" s="54" t="str">
        <f aca="false">IF(C381="","",DATE(YEAR(C381),MONTH(C381)+1,0))</f>
        <v/>
      </c>
      <c r="C381" s="55"/>
      <c r="D381" s="40"/>
      <c r="E381" s="40"/>
      <c r="F381" s="40"/>
      <c r="G381" s="40"/>
      <c r="H381" s="40"/>
      <c r="I381" s="60"/>
      <c r="J381" s="61" t="str">
        <f aca="false">IF(OR(E381="",F381=""),"",SUMIFS(Presupuesto!G$7:G$67,Presupuesto!B$7:B$67,E381,Presupuesto!C$7:C$67,F381))</f>
        <v/>
      </c>
      <c r="K381" s="62" t="str">
        <f aca="false">IF(OR(E381="",F381=""),"",SUMIFS(I$7:I381,E$7:E381,E381,F$7:F381,F381))</f>
        <v/>
      </c>
      <c r="L381" s="62" t="str">
        <f aca="false">IF(OR(E381="",F381=""),"",J381-SUMIFS(I$7:I$506,E$7:E$506,E381,F$7:F$506,F381))</f>
        <v/>
      </c>
      <c r="N381" s="40"/>
    </row>
    <row r="382" customFormat="false" ht="15.75" hidden="false" customHeight="true" outlineLevel="0" collapsed="false">
      <c r="A382" s="35"/>
      <c r="B382" s="54" t="str">
        <f aca="false">IF(C382="","",DATE(YEAR(C382),MONTH(C382)+1,0))</f>
        <v/>
      </c>
      <c r="C382" s="55"/>
      <c r="D382" s="40"/>
      <c r="E382" s="40"/>
      <c r="F382" s="40"/>
      <c r="G382" s="40"/>
      <c r="H382" s="40"/>
      <c r="I382" s="60"/>
      <c r="J382" s="61" t="str">
        <f aca="false">IF(OR(E382="",F382=""),"",SUMIFS(Presupuesto!G$7:G$67,Presupuesto!B$7:B$67,E382,Presupuesto!C$7:C$67,F382))</f>
        <v/>
      </c>
      <c r="K382" s="62" t="str">
        <f aca="false">IF(OR(E382="",F382=""),"",SUMIFS(I$7:I382,E$7:E382,E382,F$7:F382,F382))</f>
        <v/>
      </c>
      <c r="L382" s="62" t="str">
        <f aca="false">IF(OR(E382="",F382=""),"",J382-SUMIFS(I$7:I$506,E$7:E$506,E382,F$7:F$506,F382))</f>
        <v/>
      </c>
      <c r="N382" s="40"/>
    </row>
    <row r="383" customFormat="false" ht="15.75" hidden="false" customHeight="true" outlineLevel="0" collapsed="false">
      <c r="A383" s="35"/>
      <c r="B383" s="54" t="str">
        <f aca="false">IF(C383="","",DATE(YEAR(C383),MONTH(C383)+1,0))</f>
        <v/>
      </c>
      <c r="C383" s="55"/>
      <c r="D383" s="40"/>
      <c r="E383" s="40"/>
      <c r="F383" s="40"/>
      <c r="G383" s="40"/>
      <c r="H383" s="40"/>
      <c r="I383" s="60"/>
      <c r="J383" s="61" t="str">
        <f aca="false">IF(OR(E383="",F383=""),"",SUMIFS(Presupuesto!G$7:G$67,Presupuesto!B$7:B$67,E383,Presupuesto!C$7:C$67,F383))</f>
        <v/>
      </c>
      <c r="K383" s="62" t="str">
        <f aca="false">IF(OR(E383="",F383=""),"",SUMIFS(I$7:I383,E$7:E383,E383,F$7:F383,F383))</f>
        <v/>
      </c>
      <c r="L383" s="62" t="str">
        <f aca="false">IF(OR(E383="",F383=""),"",J383-SUMIFS(I$7:I$506,E$7:E$506,E383,F$7:F$506,F383))</f>
        <v/>
      </c>
      <c r="N383" s="40"/>
    </row>
    <row r="384" customFormat="false" ht="15.75" hidden="false" customHeight="true" outlineLevel="0" collapsed="false">
      <c r="A384" s="35"/>
      <c r="B384" s="54" t="str">
        <f aca="false">IF(C384="","",DATE(YEAR(C384),MONTH(C384)+1,0))</f>
        <v/>
      </c>
      <c r="C384" s="55"/>
      <c r="D384" s="40"/>
      <c r="E384" s="40"/>
      <c r="F384" s="40"/>
      <c r="G384" s="40"/>
      <c r="H384" s="40"/>
      <c r="I384" s="60"/>
      <c r="J384" s="61" t="str">
        <f aca="false">IF(OR(E384="",F384=""),"",SUMIFS(Presupuesto!G$7:G$67,Presupuesto!B$7:B$67,E384,Presupuesto!C$7:C$67,F384))</f>
        <v/>
      </c>
      <c r="K384" s="62" t="str">
        <f aca="false">IF(OR(E384="",F384=""),"",SUMIFS(I$7:I384,E$7:E384,E384,F$7:F384,F384))</f>
        <v/>
      </c>
      <c r="L384" s="62" t="str">
        <f aca="false">IF(OR(E384="",F384=""),"",J384-SUMIFS(I$7:I$506,E$7:E$506,E384,F$7:F$506,F384))</f>
        <v/>
      </c>
      <c r="N384" s="40"/>
    </row>
    <row r="385" customFormat="false" ht="15.75" hidden="false" customHeight="true" outlineLevel="0" collapsed="false">
      <c r="A385" s="35"/>
      <c r="B385" s="54" t="str">
        <f aca="false">IF(C385="","",DATE(YEAR(C385),MONTH(C385)+1,0))</f>
        <v/>
      </c>
      <c r="C385" s="55"/>
      <c r="D385" s="40"/>
      <c r="E385" s="40"/>
      <c r="F385" s="40"/>
      <c r="G385" s="40"/>
      <c r="H385" s="40"/>
      <c r="I385" s="60"/>
      <c r="J385" s="61" t="str">
        <f aca="false">IF(OR(E385="",F385=""),"",SUMIFS(Presupuesto!G$7:G$67,Presupuesto!B$7:B$67,E385,Presupuesto!C$7:C$67,F385))</f>
        <v/>
      </c>
      <c r="K385" s="62" t="str">
        <f aca="false">IF(OR(E385="",F385=""),"",SUMIFS(I$7:I385,E$7:E385,E385,F$7:F385,F385))</f>
        <v/>
      </c>
      <c r="L385" s="62" t="str">
        <f aca="false">IF(OR(E385="",F385=""),"",J385-SUMIFS(I$7:I$506,E$7:E$506,E385,F$7:F$506,F385))</f>
        <v/>
      </c>
      <c r="N385" s="40"/>
    </row>
    <row r="386" customFormat="false" ht="15.75" hidden="false" customHeight="true" outlineLevel="0" collapsed="false">
      <c r="A386" s="35"/>
      <c r="B386" s="54" t="str">
        <f aca="false">IF(C386="","",DATE(YEAR(C386),MONTH(C386)+1,0))</f>
        <v/>
      </c>
      <c r="C386" s="55"/>
      <c r="D386" s="40"/>
      <c r="E386" s="40"/>
      <c r="F386" s="40"/>
      <c r="G386" s="40"/>
      <c r="H386" s="40"/>
      <c r="I386" s="60"/>
      <c r="J386" s="61" t="str">
        <f aca="false">IF(OR(E386="",F386=""),"",SUMIFS(Presupuesto!G$7:G$67,Presupuesto!B$7:B$67,E386,Presupuesto!C$7:C$67,F386))</f>
        <v/>
      </c>
      <c r="K386" s="62" t="str">
        <f aca="false">IF(OR(E386="",F386=""),"",SUMIFS(I$7:I386,E$7:E386,E386,F$7:F386,F386))</f>
        <v/>
      </c>
      <c r="L386" s="62" t="str">
        <f aca="false">IF(OR(E386="",F386=""),"",J386-SUMIFS(I$7:I$506,E$7:E$506,E386,F$7:F$506,F386))</f>
        <v/>
      </c>
      <c r="N386" s="40"/>
    </row>
    <row r="387" customFormat="false" ht="15.75" hidden="false" customHeight="true" outlineLevel="0" collapsed="false">
      <c r="A387" s="35"/>
      <c r="B387" s="54" t="str">
        <f aca="false">IF(C387="","",DATE(YEAR(C387),MONTH(C387)+1,0))</f>
        <v/>
      </c>
      <c r="C387" s="55"/>
      <c r="D387" s="40"/>
      <c r="E387" s="40"/>
      <c r="F387" s="40"/>
      <c r="G387" s="40"/>
      <c r="H387" s="40"/>
      <c r="I387" s="60"/>
      <c r="J387" s="61" t="str">
        <f aca="false">IF(OR(E387="",F387=""),"",SUMIFS(Presupuesto!G$7:G$67,Presupuesto!B$7:B$67,E387,Presupuesto!C$7:C$67,F387))</f>
        <v/>
      </c>
      <c r="K387" s="62" t="str">
        <f aca="false">IF(OR(E387="",F387=""),"",SUMIFS(I$7:I387,E$7:E387,E387,F$7:F387,F387))</f>
        <v/>
      </c>
      <c r="L387" s="62" t="str">
        <f aca="false">IF(OR(E387="",F387=""),"",J387-SUMIFS(I$7:I$506,E$7:E$506,E387,F$7:F$506,F387))</f>
        <v/>
      </c>
      <c r="N387" s="40"/>
    </row>
    <row r="388" customFormat="false" ht="15.75" hidden="false" customHeight="true" outlineLevel="0" collapsed="false">
      <c r="A388" s="35"/>
      <c r="B388" s="54" t="str">
        <f aca="false">IF(C388="","",DATE(YEAR(C388),MONTH(C388)+1,0))</f>
        <v/>
      </c>
      <c r="C388" s="55"/>
      <c r="D388" s="40"/>
      <c r="E388" s="40"/>
      <c r="F388" s="40"/>
      <c r="G388" s="40"/>
      <c r="H388" s="40"/>
      <c r="I388" s="60"/>
      <c r="J388" s="61" t="str">
        <f aca="false">IF(OR(E388="",F388=""),"",SUMIFS(Presupuesto!G$7:G$67,Presupuesto!B$7:B$67,E388,Presupuesto!C$7:C$67,F388))</f>
        <v/>
      </c>
      <c r="K388" s="62" t="str">
        <f aca="false">IF(OR(E388="",F388=""),"",SUMIFS(I$7:I388,E$7:E388,E388,F$7:F388,F388))</f>
        <v/>
      </c>
      <c r="L388" s="62" t="str">
        <f aca="false">IF(OR(E388="",F388=""),"",J388-SUMIFS(I$7:I$506,E$7:E$506,E388,F$7:F$506,F388))</f>
        <v/>
      </c>
      <c r="N388" s="40"/>
    </row>
    <row r="389" customFormat="false" ht="15.75" hidden="false" customHeight="true" outlineLevel="0" collapsed="false">
      <c r="A389" s="35"/>
      <c r="B389" s="54" t="str">
        <f aca="false">IF(C389="","",DATE(YEAR(C389),MONTH(C389)+1,0))</f>
        <v/>
      </c>
      <c r="C389" s="55"/>
      <c r="D389" s="40"/>
      <c r="E389" s="40"/>
      <c r="F389" s="40"/>
      <c r="G389" s="40"/>
      <c r="H389" s="40"/>
      <c r="I389" s="60"/>
      <c r="J389" s="61" t="str">
        <f aca="false">IF(OR(E389="",F389=""),"",SUMIFS(Presupuesto!G$7:G$67,Presupuesto!B$7:B$67,E389,Presupuesto!C$7:C$67,F389))</f>
        <v/>
      </c>
      <c r="K389" s="62" t="str">
        <f aca="false">IF(OR(E389="",F389=""),"",SUMIFS(I$7:I389,E$7:E389,E389,F$7:F389,F389))</f>
        <v/>
      </c>
      <c r="L389" s="62" t="str">
        <f aca="false">IF(OR(E389="",F389=""),"",J389-SUMIFS(I$7:I$506,E$7:E$506,E389,F$7:F$506,F389))</f>
        <v/>
      </c>
      <c r="N389" s="40"/>
    </row>
    <row r="390" customFormat="false" ht="15.75" hidden="false" customHeight="true" outlineLevel="0" collapsed="false">
      <c r="A390" s="35"/>
      <c r="B390" s="54" t="str">
        <f aca="false">IF(C390="","",DATE(YEAR(C390),MONTH(C390)+1,0))</f>
        <v/>
      </c>
      <c r="C390" s="55"/>
      <c r="D390" s="40"/>
      <c r="E390" s="40"/>
      <c r="F390" s="40"/>
      <c r="G390" s="40"/>
      <c r="H390" s="40"/>
      <c r="I390" s="60"/>
      <c r="J390" s="61" t="str">
        <f aca="false">IF(OR(E390="",F390=""),"",SUMIFS(Presupuesto!G$7:G$67,Presupuesto!B$7:B$67,E390,Presupuesto!C$7:C$67,F390))</f>
        <v/>
      </c>
      <c r="K390" s="62" t="str">
        <f aca="false">IF(OR(E390="",F390=""),"",SUMIFS(I$7:I390,E$7:E390,E390,F$7:F390,F390))</f>
        <v/>
      </c>
      <c r="L390" s="62" t="str">
        <f aca="false">IF(OR(E390="",F390=""),"",J390-SUMIFS(I$7:I$506,E$7:E$506,E390,F$7:F$506,F390))</f>
        <v/>
      </c>
      <c r="N390" s="40"/>
    </row>
    <row r="391" customFormat="false" ht="15.75" hidden="false" customHeight="true" outlineLevel="0" collapsed="false">
      <c r="A391" s="35"/>
      <c r="B391" s="54" t="str">
        <f aca="false">IF(C391="","",DATE(YEAR(C391),MONTH(C391)+1,0))</f>
        <v/>
      </c>
      <c r="C391" s="55"/>
      <c r="D391" s="40"/>
      <c r="E391" s="40"/>
      <c r="F391" s="40"/>
      <c r="G391" s="40"/>
      <c r="H391" s="40"/>
      <c r="I391" s="60"/>
      <c r="J391" s="61" t="str">
        <f aca="false">IF(OR(E391="",F391=""),"",SUMIFS(Presupuesto!G$7:G$67,Presupuesto!B$7:B$67,E391,Presupuesto!C$7:C$67,F391))</f>
        <v/>
      </c>
      <c r="K391" s="62" t="str">
        <f aca="false">IF(OR(E391="",F391=""),"",SUMIFS(I$7:I391,E$7:E391,E391,F$7:F391,F391))</f>
        <v/>
      </c>
      <c r="L391" s="62" t="str">
        <f aca="false">IF(OR(E391="",F391=""),"",J391-SUMIFS(I$7:I$506,E$7:E$506,E391,F$7:F$506,F391))</f>
        <v/>
      </c>
      <c r="N391" s="40"/>
    </row>
    <row r="392" customFormat="false" ht="15.75" hidden="false" customHeight="true" outlineLevel="0" collapsed="false">
      <c r="A392" s="35"/>
      <c r="B392" s="54" t="str">
        <f aca="false">IF(C392="","",DATE(YEAR(C392),MONTH(C392)+1,0))</f>
        <v/>
      </c>
      <c r="C392" s="55"/>
      <c r="D392" s="40"/>
      <c r="E392" s="40"/>
      <c r="F392" s="40"/>
      <c r="G392" s="40"/>
      <c r="H392" s="40"/>
      <c r="I392" s="60"/>
      <c r="J392" s="61" t="str">
        <f aca="false">IF(OR(E392="",F392=""),"",SUMIFS(Presupuesto!G$7:G$67,Presupuesto!B$7:B$67,E392,Presupuesto!C$7:C$67,F392))</f>
        <v/>
      </c>
      <c r="K392" s="62" t="str">
        <f aca="false">IF(OR(E392="",F392=""),"",SUMIFS(I$7:I392,E$7:E392,E392,F$7:F392,F392))</f>
        <v/>
      </c>
      <c r="L392" s="62" t="str">
        <f aca="false">IF(OR(E392="",F392=""),"",J392-SUMIFS(I$7:I$506,E$7:E$506,E392,F$7:F$506,F392))</f>
        <v/>
      </c>
      <c r="N392" s="40"/>
    </row>
    <row r="393" customFormat="false" ht="15.75" hidden="false" customHeight="true" outlineLevel="0" collapsed="false">
      <c r="A393" s="35"/>
      <c r="B393" s="54" t="str">
        <f aca="false">IF(C393="","",DATE(YEAR(C393),MONTH(C393)+1,0))</f>
        <v/>
      </c>
      <c r="C393" s="55"/>
      <c r="D393" s="40"/>
      <c r="E393" s="40"/>
      <c r="F393" s="40"/>
      <c r="G393" s="40"/>
      <c r="H393" s="40"/>
      <c r="I393" s="60"/>
      <c r="J393" s="61" t="str">
        <f aca="false">IF(OR(E393="",F393=""),"",SUMIFS(Presupuesto!G$7:G$67,Presupuesto!B$7:B$67,E393,Presupuesto!C$7:C$67,F393))</f>
        <v/>
      </c>
      <c r="K393" s="62" t="str">
        <f aca="false">IF(OR(E393="",F393=""),"",SUMIFS(I$7:I393,E$7:E393,E393,F$7:F393,F393))</f>
        <v/>
      </c>
      <c r="L393" s="62" t="str">
        <f aca="false">IF(OR(E393="",F393=""),"",J393-SUMIFS(I$7:I$506,E$7:E$506,E393,F$7:F$506,F393))</f>
        <v/>
      </c>
      <c r="N393" s="40"/>
    </row>
    <row r="394" customFormat="false" ht="15.75" hidden="false" customHeight="true" outlineLevel="0" collapsed="false">
      <c r="A394" s="35"/>
      <c r="B394" s="54" t="str">
        <f aca="false">IF(C394="","",DATE(YEAR(C394),MONTH(C394)+1,0))</f>
        <v/>
      </c>
      <c r="C394" s="55"/>
      <c r="D394" s="40"/>
      <c r="E394" s="40"/>
      <c r="F394" s="40"/>
      <c r="G394" s="40"/>
      <c r="H394" s="40"/>
      <c r="I394" s="60"/>
      <c r="J394" s="61" t="str">
        <f aca="false">IF(OR(E394="",F394=""),"",SUMIFS(Presupuesto!G$7:G$67,Presupuesto!B$7:B$67,E394,Presupuesto!C$7:C$67,F394))</f>
        <v/>
      </c>
      <c r="K394" s="62" t="str">
        <f aca="false">IF(OR(E394="",F394=""),"",SUMIFS(I$7:I394,E$7:E394,E394,F$7:F394,F394))</f>
        <v/>
      </c>
      <c r="L394" s="62" t="str">
        <f aca="false">IF(OR(E394="",F394=""),"",J394-SUMIFS(I$7:I$506,E$7:E$506,E394,F$7:F$506,F394))</f>
        <v/>
      </c>
      <c r="N394" s="40"/>
    </row>
    <row r="395" customFormat="false" ht="15.75" hidden="false" customHeight="true" outlineLevel="0" collapsed="false">
      <c r="A395" s="35"/>
      <c r="B395" s="54" t="str">
        <f aca="false">IF(C395="","",DATE(YEAR(C395),MONTH(C395)+1,0))</f>
        <v/>
      </c>
      <c r="C395" s="55"/>
      <c r="D395" s="40"/>
      <c r="E395" s="40"/>
      <c r="F395" s="40"/>
      <c r="G395" s="40"/>
      <c r="H395" s="40"/>
      <c r="I395" s="60"/>
      <c r="J395" s="61" t="str">
        <f aca="false">IF(OR(E395="",F395=""),"",SUMIFS(Presupuesto!G$7:G$67,Presupuesto!B$7:B$67,E395,Presupuesto!C$7:C$67,F395))</f>
        <v/>
      </c>
      <c r="K395" s="62" t="str">
        <f aca="false">IF(OR(E395="",F395=""),"",SUMIFS(I$7:I395,E$7:E395,E395,F$7:F395,F395))</f>
        <v/>
      </c>
      <c r="L395" s="62" t="str">
        <f aca="false">IF(OR(E395="",F395=""),"",J395-SUMIFS(I$7:I$506,E$7:E$506,E395,F$7:F$506,F395))</f>
        <v/>
      </c>
      <c r="N395" s="40"/>
    </row>
    <row r="396" customFormat="false" ht="15.75" hidden="false" customHeight="true" outlineLevel="0" collapsed="false">
      <c r="A396" s="35"/>
      <c r="B396" s="54" t="str">
        <f aca="false">IF(C396="","",DATE(YEAR(C396),MONTH(C396)+1,0))</f>
        <v/>
      </c>
      <c r="C396" s="55"/>
      <c r="D396" s="40"/>
      <c r="E396" s="40"/>
      <c r="F396" s="40"/>
      <c r="G396" s="40"/>
      <c r="H396" s="40"/>
      <c r="I396" s="60"/>
      <c r="J396" s="61" t="str">
        <f aca="false">IF(OR(E396="",F396=""),"",SUMIFS(Presupuesto!G$7:G$67,Presupuesto!B$7:B$67,E396,Presupuesto!C$7:C$67,F396))</f>
        <v/>
      </c>
      <c r="K396" s="62" t="str">
        <f aca="false">IF(OR(E396="",F396=""),"",SUMIFS(I$7:I396,E$7:E396,E396,F$7:F396,F396))</f>
        <v/>
      </c>
      <c r="L396" s="62" t="str">
        <f aca="false">IF(OR(E396="",F396=""),"",J396-SUMIFS(I$7:I$506,E$7:E$506,E396,F$7:F$506,F396))</f>
        <v/>
      </c>
      <c r="N396" s="40"/>
    </row>
    <row r="397" customFormat="false" ht="15.75" hidden="false" customHeight="true" outlineLevel="0" collapsed="false">
      <c r="A397" s="35"/>
      <c r="B397" s="54" t="str">
        <f aca="false">IF(C397="","",DATE(YEAR(C397),MONTH(C397)+1,0))</f>
        <v/>
      </c>
      <c r="C397" s="55"/>
      <c r="D397" s="40"/>
      <c r="E397" s="40"/>
      <c r="F397" s="40"/>
      <c r="G397" s="40"/>
      <c r="H397" s="40"/>
      <c r="I397" s="60"/>
      <c r="J397" s="61" t="str">
        <f aca="false">IF(OR(E397="",F397=""),"",SUMIFS(Presupuesto!G$7:G$67,Presupuesto!B$7:B$67,E397,Presupuesto!C$7:C$67,F397))</f>
        <v/>
      </c>
      <c r="K397" s="62" t="str">
        <f aca="false">IF(OR(E397="",F397=""),"",SUMIFS(I$7:I397,E$7:E397,E397,F$7:F397,F397))</f>
        <v/>
      </c>
      <c r="L397" s="62" t="str">
        <f aca="false">IF(OR(E397="",F397=""),"",J397-SUMIFS(I$7:I$506,E$7:E$506,E397,F$7:F$506,F397))</f>
        <v/>
      </c>
      <c r="N397" s="40"/>
    </row>
    <row r="398" customFormat="false" ht="15.75" hidden="false" customHeight="true" outlineLevel="0" collapsed="false">
      <c r="A398" s="35"/>
      <c r="B398" s="54" t="str">
        <f aca="false">IF(C398="","",DATE(YEAR(C398),MONTH(C398)+1,0))</f>
        <v/>
      </c>
      <c r="C398" s="55"/>
      <c r="D398" s="40"/>
      <c r="E398" s="40"/>
      <c r="F398" s="40"/>
      <c r="G398" s="40"/>
      <c r="H398" s="40"/>
      <c r="I398" s="60"/>
      <c r="J398" s="61" t="str">
        <f aca="false">IF(OR(E398="",F398=""),"",SUMIFS(Presupuesto!G$7:G$67,Presupuesto!B$7:B$67,E398,Presupuesto!C$7:C$67,F398))</f>
        <v/>
      </c>
      <c r="K398" s="62" t="str">
        <f aca="false">IF(OR(E398="",F398=""),"",SUMIFS(I$7:I398,E$7:E398,E398,F$7:F398,F398))</f>
        <v/>
      </c>
      <c r="L398" s="62" t="str">
        <f aca="false">IF(OR(E398="",F398=""),"",J398-SUMIFS(I$7:I$506,E$7:E$506,E398,F$7:F$506,F398))</f>
        <v/>
      </c>
      <c r="N398" s="40"/>
    </row>
    <row r="399" customFormat="false" ht="15.75" hidden="false" customHeight="true" outlineLevel="0" collapsed="false">
      <c r="A399" s="35"/>
      <c r="B399" s="54" t="str">
        <f aca="false">IF(C399="","",DATE(YEAR(C399),MONTH(C399)+1,0))</f>
        <v/>
      </c>
      <c r="C399" s="55"/>
      <c r="D399" s="40"/>
      <c r="E399" s="40"/>
      <c r="F399" s="40"/>
      <c r="G399" s="40"/>
      <c r="H399" s="40"/>
      <c r="I399" s="60"/>
      <c r="J399" s="61" t="str">
        <f aca="false">IF(OR(E399="",F399=""),"",SUMIFS(Presupuesto!G$7:G$67,Presupuesto!B$7:B$67,E399,Presupuesto!C$7:C$67,F399))</f>
        <v/>
      </c>
      <c r="K399" s="62" t="str">
        <f aca="false">IF(OR(E399="",F399=""),"",SUMIFS(I$7:I399,E$7:E399,E399,F$7:F399,F399))</f>
        <v/>
      </c>
      <c r="L399" s="62" t="str">
        <f aca="false">IF(OR(E399="",F399=""),"",J399-SUMIFS(I$7:I$506,E$7:E$506,E399,F$7:F$506,F399))</f>
        <v/>
      </c>
      <c r="N399" s="40"/>
    </row>
    <row r="400" customFormat="false" ht="15.75" hidden="false" customHeight="true" outlineLevel="0" collapsed="false">
      <c r="A400" s="35"/>
      <c r="B400" s="54" t="str">
        <f aca="false">IF(C400="","",DATE(YEAR(C400),MONTH(C400)+1,0))</f>
        <v/>
      </c>
      <c r="C400" s="55"/>
      <c r="D400" s="40"/>
      <c r="E400" s="40"/>
      <c r="F400" s="40"/>
      <c r="G400" s="40"/>
      <c r="H400" s="40"/>
      <c r="I400" s="60"/>
      <c r="J400" s="61" t="str">
        <f aca="false">IF(OR(E400="",F400=""),"",SUMIFS(Presupuesto!G$7:G$67,Presupuesto!B$7:B$67,E400,Presupuesto!C$7:C$67,F400))</f>
        <v/>
      </c>
      <c r="K400" s="62" t="str">
        <f aca="false">IF(OR(E400="",F400=""),"",SUMIFS(I$7:I400,E$7:E400,E400,F$7:F400,F400))</f>
        <v/>
      </c>
      <c r="L400" s="62" t="str">
        <f aca="false">IF(OR(E400="",F400=""),"",J400-SUMIFS(I$7:I$506,E$7:E$506,E400,F$7:F$506,F400))</f>
        <v/>
      </c>
      <c r="N400" s="40"/>
    </row>
    <row r="401" customFormat="false" ht="15.75" hidden="false" customHeight="true" outlineLevel="0" collapsed="false">
      <c r="A401" s="35"/>
      <c r="B401" s="54" t="str">
        <f aca="false">IF(C401="","",DATE(YEAR(C401),MONTH(C401)+1,0))</f>
        <v/>
      </c>
      <c r="C401" s="55"/>
      <c r="D401" s="40"/>
      <c r="E401" s="40"/>
      <c r="F401" s="40"/>
      <c r="G401" s="40"/>
      <c r="H401" s="40"/>
      <c r="I401" s="60"/>
      <c r="J401" s="61" t="str">
        <f aca="false">IF(OR(E401="",F401=""),"",SUMIFS(Presupuesto!G$7:G$67,Presupuesto!B$7:B$67,E401,Presupuesto!C$7:C$67,F401))</f>
        <v/>
      </c>
      <c r="K401" s="62" t="str">
        <f aca="false">IF(OR(E401="",F401=""),"",SUMIFS(I$7:I401,E$7:E401,E401,F$7:F401,F401))</f>
        <v/>
      </c>
      <c r="L401" s="62" t="str">
        <f aca="false">IF(OR(E401="",F401=""),"",J401-SUMIFS(I$7:I$506,E$7:E$506,E401,F$7:F$506,F401))</f>
        <v/>
      </c>
      <c r="N401" s="40"/>
    </row>
    <row r="402" customFormat="false" ht="15.75" hidden="false" customHeight="true" outlineLevel="0" collapsed="false">
      <c r="A402" s="35"/>
      <c r="B402" s="54" t="str">
        <f aca="false">IF(C402="","",DATE(YEAR(C402),MONTH(C402)+1,0))</f>
        <v/>
      </c>
      <c r="C402" s="55"/>
      <c r="D402" s="40"/>
      <c r="E402" s="40"/>
      <c r="F402" s="40"/>
      <c r="G402" s="40"/>
      <c r="H402" s="40"/>
      <c r="I402" s="60"/>
      <c r="J402" s="61" t="str">
        <f aca="false">IF(OR(E402="",F402=""),"",SUMIFS(Presupuesto!G$7:G$67,Presupuesto!B$7:B$67,E402,Presupuesto!C$7:C$67,F402))</f>
        <v/>
      </c>
      <c r="K402" s="62" t="str">
        <f aca="false">IF(OR(E402="",F402=""),"",SUMIFS(I$7:I402,E$7:E402,E402,F$7:F402,F402))</f>
        <v/>
      </c>
      <c r="L402" s="62" t="str">
        <f aca="false">IF(OR(E402="",F402=""),"",J402-SUMIFS(I$7:I$506,E$7:E$506,E402,F$7:F$506,F402))</f>
        <v/>
      </c>
      <c r="N402" s="40"/>
    </row>
    <row r="403" customFormat="false" ht="15.75" hidden="false" customHeight="true" outlineLevel="0" collapsed="false">
      <c r="A403" s="35"/>
      <c r="B403" s="54" t="str">
        <f aca="false">IF(C403="","",DATE(YEAR(C403),MONTH(C403)+1,0))</f>
        <v/>
      </c>
      <c r="C403" s="55"/>
      <c r="D403" s="40"/>
      <c r="E403" s="40"/>
      <c r="F403" s="40"/>
      <c r="G403" s="40"/>
      <c r="H403" s="40"/>
      <c r="I403" s="60"/>
      <c r="J403" s="61" t="str">
        <f aca="false">IF(OR(E403="",F403=""),"",SUMIFS(Presupuesto!G$7:G$67,Presupuesto!B$7:B$67,E403,Presupuesto!C$7:C$67,F403))</f>
        <v/>
      </c>
      <c r="K403" s="62" t="str">
        <f aca="false">IF(OR(E403="",F403=""),"",SUMIFS(I$7:I403,E$7:E403,E403,F$7:F403,F403))</f>
        <v/>
      </c>
      <c r="L403" s="62" t="str">
        <f aca="false">IF(OR(E403="",F403=""),"",J403-SUMIFS(I$7:I$506,E$7:E$506,E403,F$7:F$506,F403))</f>
        <v/>
      </c>
      <c r="N403" s="40"/>
    </row>
    <row r="404" customFormat="false" ht="15.75" hidden="false" customHeight="true" outlineLevel="0" collapsed="false">
      <c r="A404" s="35"/>
      <c r="B404" s="54" t="str">
        <f aca="false">IF(C404="","",DATE(YEAR(C404),MONTH(C404)+1,0))</f>
        <v/>
      </c>
      <c r="C404" s="55"/>
      <c r="D404" s="40"/>
      <c r="E404" s="40"/>
      <c r="F404" s="40"/>
      <c r="G404" s="40"/>
      <c r="H404" s="40"/>
      <c r="I404" s="60"/>
      <c r="J404" s="61" t="str">
        <f aca="false">IF(OR(E404="",F404=""),"",SUMIFS(Presupuesto!G$7:G$67,Presupuesto!B$7:B$67,E404,Presupuesto!C$7:C$67,F404))</f>
        <v/>
      </c>
      <c r="K404" s="62" t="str">
        <f aca="false">IF(OR(E404="",F404=""),"",SUMIFS(I$7:I404,E$7:E404,E404,F$7:F404,F404))</f>
        <v/>
      </c>
      <c r="L404" s="62" t="str">
        <f aca="false">IF(OR(E404="",F404=""),"",J404-SUMIFS(I$7:I$506,E$7:E$506,E404,F$7:F$506,F404))</f>
        <v/>
      </c>
      <c r="N404" s="40"/>
    </row>
    <row r="405" customFormat="false" ht="15.75" hidden="false" customHeight="true" outlineLevel="0" collapsed="false">
      <c r="A405" s="35"/>
      <c r="B405" s="54" t="str">
        <f aca="false">IF(C405="","",DATE(YEAR(C405),MONTH(C405)+1,0))</f>
        <v/>
      </c>
      <c r="C405" s="55"/>
      <c r="D405" s="40"/>
      <c r="E405" s="40"/>
      <c r="F405" s="40"/>
      <c r="G405" s="40"/>
      <c r="H405" s="40"/>
      <c r="I405" s="60"/>
      <c r="J405" s="61" t="str">
        <f aca="false">IF(OR(E405="",F405=""),"",SUMIFS(Presupuesto!G$7:G$67,Presupuesto!B$7:B$67,E405,Presupuesto!C$7:C$67,F405))</f>
        <v/>
      </c>
      <c r="K405" s="62" t="str">
        <f aca="false">IF(OR(E405="",F405=""),"",SUMIFS(I$7:I405,E$7:E405,E405,F$7:F405,F405))</f>
        <v/>
      </c>
      <c r="L405" s="62" t="str">
        <f aca="false">IF(OR(E405="",F405=""),"",J405-SUMIFS(I$7:I$506,E$7:E$506,E405,F$7:F$506,F405))</f>
        <v/>
      </c>
      <c r="N405" s="40"/>
    </row>
    <row r="406" customFormat="false" ht="15.75" hidden="false" customHeight="true" outlineLevel="0" collapsed="false">
      <c r="A406" s="35"/>
      <c r="B406" s="54" t="str">
        <f aca="false">IF(C406="","",DATE(YEAR(C406),MONTH(C406)+1,0))</f>
        <v/>
      </c>
      <c r="C406" s="55"/>
      <c r="D406" s="40"/>
      <c r="E406" s="40"/>
      <c r="F406" s="40"/>
      <c r="G406" s="40"/>
      <c r="H406" s="40"/>
      <c r="I406" s="60"/>
      <c r="J406" s="61" t="str">
        <f aca="false">IF(OR(E406="",F406=""),"",SUMIFS(Presupuesto!G$7:G$67,Presupuesto!B$7:B$67,E406,Presupuesto!C$7:C$67,F406))</f>
        <v/>
      </c>
      <c r="K406" s="62" t="str">
        <f aca="false">IF(OR(E406="",F406=""),"",SUMIFS(I$7:I406,E$7:E406,E406,F$7:F406,F406))</f>
        <v/>
      </c>
      <c r="L406" s="62" t="str">
        <f aca="false">IF(OR(E406="",F406=""),"",J406-SUMIFS(I$7:I$506,E$7:E$506,E406,F$7:F$506,F406))</f>
        <v/>
      </c>
      <c r="N406" s="40"/>
    </row>
    <row r="407" customFormat="false" ht="15.75" hidden="false" customHeight="true" outlineLevel="0" collapsed="false">
      <c r="A407" s="35"/>
      <c r="B407" s="54" t="str">
        <f aca="false">IF(C407="","",DATE(YEAR(C407),MONTH(C407)+1,0))</f>
        <v/>
      </c>
      <c r="C407" s="55"/>
      <c r="D407" s="40"/>
      <c r="E407" s="40"/>
      <c r="F407" s="40"/>
      <c r="G407" s="40"/>
      <c r="H407" s="40"/>
      <c r="I407" s="60"/>
      <c r="J407" s="61" t="str">
        <f aca="false">IF(OR(E407="",F407=""),"",SUMIFS(Presupuesto!G$7:G$67,Presupuesto!B$7:B$67,E407,Presupuesto!C$7:C$67,F407))</f>
        <v/>
      </c>
      <c r="K407" s="62" t="str">
        <f aca="false">IF(OR(E407="",F407=""),"",SUMIFS(I$7:I407,E$7:E407,E407,F$7:F407,F407))</f>
        <v/>
      </c>
      <c r="L407" s="62" t="str">
        <f aca="false">IF(OR(E407="",F407=""),"",J407-SUMIFS(I$7:I$506,E$7:E$506,E407,F$7:F$506,F407))</f>
        <v/>
      </c>
      <c r="N407" s="40"/>
    </row>
    <row r="408" customFormat="false" ht="15.75" hidden="false" customHeight="true" outlineLevel="0" collapsed="false">
      <c r="A408" s="35"/>
      <c r="B408" s="54" t="str">
        <f aca="false">IF(C408="","",DATE(YEAR(C408),MONTH(C408)+1,0))</f>
        <v/>
      </c>
      <c r="C408" s="55"/>
      <c r="D408" s="40"/>
      <c r="E408" s="40"/>
      <c r="F408" s="40"/>
      <c r="G408" s="40"/>
      <c r="H408" s="40"/>
      <c r="I408" s="60"/>
      <c r="J408" s="61" t="str">
        <f aca="false">IF(OR(E408="",F408=""),"",SUMIFS(Presupuesto!G$7:G$67,Presupuesto!B$7:B$67,E408,Presupuesto!C$7:C$67,F408))</f>
        <v/>
      </c>
      <c r="K408" s="62" t="str">
        <f aca="false">IF(OR(E408="",F408=""),"",SUMIFS(I$7:I408,E$7:E408,E408,F$7:F408,F408))</f>
        <v/>
      </c>
      <c r="L408" s="62" t="str">
        <f aca="false">IF(OR(E408="",F408=""),"",J408-SUMIFS(I$7:I$506,E$7:E$506,E408,F$7:F$506,F408))</f>
        <v/>
      </c>
      <c r="N408" s="40"/>
    </row>
    <row r="409" customFormat="false" ht="15.75" hidden="false" customHeight="true" outlineLevel="0" collapsed="false">
      <c r="A409" s="35"/>
      <c r="B409" s="54" t="str">
        <f aca="false">IF(C409="","",DATE(YEAR(C409),MONTH(C409)+1,0))</f>
        <v/>
      </c>
      <c r="C409" s="55"/>
      <c r="D409" s="40"/>
      <c r="E409" s="40"/>
      <c r="F409" s="40"/>
      <c r="G409" s="40"/>
      <c r="H409" s="40"/>
      <c r="I409" s="60"/>
      <c r="J409" s="61" t="str">
        <f aca="false">IF(OR(E409="",F409=""),"",SUMIFS(Presupuesto!G$7:G$67,Presupuesto!B$7:B$67,E409,Presupuesto!C$7:C$67,F409))</f>
        <v/>
      </c>
      <c r="K409" s="62" t="str">
        <f aca="false">IF(OR(E409="",F409=""),"",SUMIFS(I$7:I409,E$7:E409,E409,F$7:F409,F409))</f>
        <v/>
      </c>
      <c r="L409" s="62" t="str">
        <f aca="false">IF(OR(E409="",F409=""),"",J409-SUMIFS(I$7:I$506,E$7:E$506,E409,F$7:F$506,F409))</f>
        <v/>
      </c>
      <c r="N409" s="40"/>
    </row>
    <row r="410" customFormat="false" ht="15.75" hidden="false" customHeight="true" outlineLevel="0" collapsed="false">
      <c r="A410" s="35"/>
      <c r="B410" s="54" t="str">
        <f aca="false">IF(C410="","",DATE(YEAR(C410),MONTH(C410)+1,0))</f>
        <v/>
      </c>
      <c r="C410" s="55"/>
      <c r="D410" s="40"/>
      <c r="E410" s="40"/>
      <c r="F410" s="40"/>
      <c r="G410" s="40"/>
      <c r="H410" s="40"/>
      <c r="I410" s="60"/>
      <c r="J410" s="61" t="str">
        <f aca="false">IF(OR(E410="",F410=""),"",SUMIFS(Presupuesto!G$7:G$67,Presupuesto!B$7:B$67,E410,Presupuesto!C$7:C$67,F410))</f>
        <v/>
      </c>
      <c r="K410" s="62" t="str">
        <f aca="false">IF(OR(E410="",F410=""),"",SUMIFS(I$7:I410,E$7:E410,E410,F$7:F410,F410))</f>
        <v/>
      </c>
      <c r="L410" s="62" t="str">
        <f aca="false">IF(OR(E410="",F410=""),"",J410-SUMIFS(I$7:I$506,E$7:E$506,E410,F$7:F$506,F410))</f>
        <v/>
      </c>
      <c r="N410" s="40"/>
    </row>
    <row r="411" customFormat="false" ht="15.75" hidden="false" customHeight="true" outlineLevel="0" collapsed="false">
      <c r="A411" s="35"/>
      <c r="B411" s="54" t="str">
        <f aca="false">IF(C411="","",DATE(YEAR(C411),MONTH(C411)+1,0))</f>
        <v/>
      </c>
      <c r="C411" s="55"/>
      <c r="D411" s="40"/>
      <c r="E411" s="40"/>
      <c r="F411" s="40"/>
      <c r="G411" s="40"/>
      <c r="H411" s="40"/>
      <c r="I411" s="60"/>
      <c r="J411" s="61" t="str">
        <f aca="false">IF(OR(E411="",F411=""),"",SUMIFS(Presupuesto!G$7:G$67,Presupuesto!B$7:B$67,E411,Presupuesto!C$7:C$67,F411))</f>
        <v/>
      </c>
      <c r="K411" s="62" t="str">
        <f aca="false">IF(OR(E411="",F411=""),"",SUMIFS(I$7:I411,E$7:E411,E411,F$7:F411,F411))</f>
        <v/>
      </c>
      <c r="L411" s="62" t="str">
        <f aca="false">IF(OR(E411="",F411=""),"",J411-SUMIFS(I$7:I$506,E$7:E$506,E411,F$7:F$506,F411))</f>
        <v/>
      </c>
      <c r="N411" s="40"/>
    </row>
    <row r="412" customFormat="false" ht="15.75" hidden="false" customHeight="true" outlineLevel="0" collapsed="false">
      <c r="A412" s="35"/>
      <c r="B412" s="54" t="str">
        <f aca="false">IF(C412="","",DATE(YEAR(C412),MONTH(C412)+1,0))</f>
        <v/>
      </c>
      <c r="C412" s="55"/>
      <c r="D412" s="40"/>
      <c r="E412" s="40"/>
      <c r="F412" s="40"/>
      <c r="G412" s="40"/>
      <c r="H412" s="40"/>
      <c r="I412" s="60"/>
      <c r="J412" s="61" t="str">
        <f aca="false">IF(OR(E412="",F412=""),"",SUMIFS(Presupuesto!G$7:G$67,Presupuesto!B$7:B$67,E412,Presupuesto!C$7:C$67,F412))</f>
        <v/>
      </c>
      <c r="K412" s="62" t="str">
        <f aca="false">IF(OR(E412="",F412=""),"",SUMIFS(I$7:I412,E$7:E412,E412,F$7:F412,F412))</f>
        <v/>
      </c>
      <c r="L412" s="62" t="str">
        <f aca="false">IF(OR(E412="",F412=""),"",J412-SUMIFS(I$7:I$506,E$7:E$506,E412,F$7:F$506,F412))</f>
        <v/>
      </c>
      <c r="N412" s="40"/>
    </row>
    <row r="413" customFormat="false" ht="15.75" hidden="false" customHeight="true" outlineLevel="0" collapsed="false">
      <c r="A413" s="35"/>
      <c r="B413" s="54" t="str">
        <f aca="false">IF(C413="","",DATE(YEAR(C413),MONTH(C413)+1,0))</f>
        <v/>
      </c>
      <c r="C413" s="55"/>
      <c r="D413" s="40"/>
      <c r="E413" s="40"/>
      <c r="F413" s="40"/>
      <c r="G413" s="40"/>
      <c r="H413" s="40"/>
      <c r="I413" s="60"/>
      <c r="J413" s="61" t="str">
        <f aca="false">IF(OR(E413="",F413=""),"",SUMIFS(Presupuesto!G$7:G$67,Presupuesto!B$7:B$67,E413,Presupuesto!C$7:C$67,F413))</f>
        <v/>
      </c>
      <c r="K413" s="62" t="str">
        <f aca="false">IF(OR(E413="",F413=""),"",SUMIFS(I$7:I413,E$7:E413,E413,F$7:F413,F413))</f>
        <v/>
      </c>
      <c r="L413" s="62" t="str">
        <f aca="false">IF(OR(E413="",F413=""),"",J413-SUMIFS(I$7:I$506,E$7:E$506,E413,F$7:F$506,F413))</f>
        <v/>
      </c>
      <c r="N413" s="40"/>
    </row>
    <row r="414" customFormat="false" ht="15.75" hidden="false" customHeight="true" outlineLevel="0" collapsed="false">
      <c r="A414" s="35"/>
      <c r="B414" s="54" t="str">
        <f aca="false">IF(C414="","",DATE(YEAR(C414),MONTH(C414)+1,0))</f>
        <v/>
      </c>
      <c r="C414" s="55"/>
      <c r="D414" s="40"/>
      <c r="E414" s="40"/>
      <c r="F414" s="40"/>
      <c r="G414" s="40"/>
      <c r="H414" s="40"/>
      <c r="I414" s="60"/>
      <c r="J414" s="61" t="str">
        <f aca="false">IF(OR(E414="",F414=""),"",SUMIFS(Presupuesto!G$7:G$67,Presupuesto!B$7:B$67,E414,Presupuesto!C$7:C$67,F414))</f>
        <v/>
      </c>
      <c r="K414" s="62" t="str">
        <f aca="false">IF(OR(E414="",F414=""),"",SUMIFS(I$7:I414,E$7:E414,E414,F$7:F414,F414))</f>
        <v/>
      </c>
      <c r="L414" s="62" t="str">
        <f aca="false">IF(OR(E414="",F414=""),"",J414-SUMIFS(I$7:I$506,E$7:E$506,E414,F$7:F$506,F414))</f>
        <v/>
      </c>
      <c r="N414" s="40"/>
    </row>
    <row r="415" customFormat="false" ht="15.75" hidden="false" customHeight="true" outlineLevel="0" collapsed="false">
      <c r="A415" s="35"/>
      <c r="B415" s="54" t="str">
        <f aca="false">IF(C415="","",DATE(YEAR(C415),MONTH(C415)+1,0))</f>
        <v/>
      </c>
      <c r="C415" s="55"/>
      <c r="D415" s="40"/>
      <c r="E415" s="40"/>
      <c r="F415" s="40"/>
      <c r="G415" s="40"/>
      <c r="H415" s="40"/>
      <c r="I415" s="60"/>
      <c r="J415" s="61" t="str">
        <f aca="false">IF(OR(E415="",F415=""),"",SUMIFS(Presupuesto!G$7:G$67,Presupuesto!B$7:B$67,E415,Presupuesto!C$7:C$67,F415))</f>
        <v/>
      </c>
      <c r="K415" s="62" t="str">
        <f aca="false">IF(OR(E415="",F415=""),"",SUMIFS(I$7:I415,E$7:E415,E415,F$7:F415,F415))</f>
        <v/>
      </c>
      <c r="L415" s="62" t="str">
        <f aca="false">IF(OR(E415="",F415=""),"",J415-SUMIFS(I$7:I$506,E$7:E$506,E415,F$7:F$506,F415))</f>
        <v/>
      </c>
      <c r="N415" s="40"/>
    </row>
    <row r="416" customFormat="false" ht="15.75" hidden="false" customHeight="true" outlineLevel="0" collapsed="false">
      <c r="A416" s="35"/>
      <c r="B416" s="54" t="str">
        <f aca="false">IF(C416="","",DATE(YEAR(C416),MONTH(C416)+1,0))</f>
        <v/>
      </c>
      <c r="C416" s="55"/>
      <c r="D416" s="40"/>
      <c r="E416" s="40"/>
      <c r="F416" s="40"/>
      <c r="G416" s="40"/>
      <c r="H416" s="40"/>
      <c r="I416" s="60"/>
      <c r="J416" s="61" t="str">
        <f aca="false">IF(OR(E416="",F416=""),"",SUMIFS(Presupuesto!G$7:G$67,Presupuesto!B$7:B$67,E416,Presupuesto!C$7:C$67,F416))</f>
        <v/>
      </c>
      <c r="K416" s="62" t="str">
        <f aca="false">IF(OR(E416="",F416=""),"",SUMIFS(I$7:I416,E$7:E416,E416,F$7:F416,F416))</f>
        <v/>
      </c>
      <c r="L416" s="62" t="str">
        <f aca="false">IF(OR(E416="",F416=""),"",J416-SUMIFS(I$7:I$506,E$7:E$506,E416,F$7:F$506,F416))</f>
        <v/>
      </c>
      <c r="N416" s="40"/>
    </row>
    <row r="417" customFormat="false" ht="15.75" hidden="false" customHeight="true" outlineLevel="0" collapsed="false">
      <c r="A417" s="35"/>
      <c r="B417" s="54" t="str">
        <f aca="false">IF(C417="","",DATE(YEAR(C417),MONTH(C417)+1,0))</f>
        <v/>
      </c>
      <c r="C417" s="55"/>
      <c r="D417" s="40"/>
      <c r="E417" s="40"/>
      <c r="F417" s="40"/>
      <c r="G417" s="40"/>
      <c r="H417" s="40"/>
      <c r="I417" s="60"/>
      <c r="J417" s="61" t="str">
        <f aca="false">IF(OR(E417="",F417=""),"",SUMIFS(Presupuesto!G$7:G$67,Presupuesto!B$7:B$67,E417,Presupuesto!C$7:C$67,F417))</f>
        <v/>
      </c>
      <c r="K417" s="62" t="str">
        <f aca="false">IF(OR(E417="",F417=""),"",SUMIFS(I$7:I417,E$7:E417,E417,F$7:F417,F417))</f>
        <v/>
      </c>
      <c r="L417" s="62" t="str">
        <f aca="false">IF(OR(E417="",F417=""),"",J417-SUMIFS(I$7:I$506,E$7:E$506,E417,F$7:F$506,F417))</f>
        <v/>
      </c>
      <c r="N417" s="40"/>
    </row>
    <row r="418" customFormat="false" ht="15.75" hidden="false" customHeight="true" outlineLevel="0" collapsed="false">
      <c r="A418" s="35"/>
      <c r="B418" s="54" t="str">
        <f aca="false">IF(C418="","",DATE(YEAR(C418),MONTH(C418)+1,0))</f>
        <v/>
      </c>
      <c r="C418" s="55"/>
      <c r="D418" s="40"/>
      <c r="E418" s="40"/>
      <c r="F418" s="40"/>
      <c r="G418" s="40"/>
      <c r="H418" s="40"/>
      <c r="I418" s="60"/>
      <c r="J418" s="61" t="str">
        <f aca="false">IF(OR(E418="",F418=""),"",SUMIFS(Presupuesto!G$7:G$67,Presupuesto!B$7:B$67,E418,Presupuesto!C$7:C$67,F418))</f>
        <v/>
      </c>
      <c r="K418" s="62" t="str">
        <f aca="false">IF(OR(E418="",F418=""),"",SUMIFS(I$7:I418,E$7:E418,E418,F$7:F418,F418))</f>
        <v/>
      </c>
      <c r="L418" s="62" t="str">
        <f aca="false">IF(OR(E418="",F418=""),"",J418-SUMIFS(I$7:I$506,E$7:E$506,E418,F$7:F$506,F418))</f>
        <v/>
      </c>
      <c r="N418" s="40"/>
    </row>
    <row r="419" customFormat="false" ht="15.75" hidden="false" customHeight="true" outlineLevel="0" collapsed="false">
      <c r="A419" s="35"/>
      <c r="B419" s="54" t="str">
        <f aca="false">IF(C419="","",DATE(YEAR(C419),MONTH(C419)+1,0))</f>
        <v/>
      </c>
      <c r="C419" s="55"/>
      <c r="D419" s="40"/>
      <c r="E419" s="40"/>
      <c r="F419" s="40"/>
      <c r="G419" s="40"/>
      <c r="H419" s="40"/>
      <c r="I419" s="60"/>
      <c r="J419" s="61" t="str">
        <f aca="false">IF(OR(E419="",F419=""),"",SUMIFS(Presupuesto!G$7:G$67,Presupuesto!B$7:B$67,E419,Presupuesto!C$7:C$67,F419))</f>
        <v/>
      </c>
      <c r="K419" s="62" t="str">
        <f aca="false">IF(OR(E419="",F419=""),"",SUMIFS(I$7:I419,E$7:E419,E419,F$7:F419,F419))</f>
        <v/>
      </c>
      <c r="L419" s="62" t="str">
        <f aca="false">IF(OR(E419="",F419=""),"",J419-SUMIFS(I$7:I$506,E$7:E$506,E419,F$7:F$506,F419))</f>
        <v/>
      </c>
      <c r="N419" s="40"/>
    </row>
    <row r="420" customFormat="false" ht="15.75" hidden="false" customHeight="true" outlineLevel="0" collapsed="false">
      <c r="A420" s="35"/>
      <c r="B420" s="54" t="str">
        <f aca="false">IF(C420="","",DATE(YEAR(C420),MONTH(C420)+1,0))</f>
        <v/>
      </c>
      <c r="C420" s="55"/>
      <c r="D420" s="40"/>
      <c r="E420" s="40"/>
      <c r="F420" s="40"/>
      <c r="G420" s="40"/>
      <c r="H420" s="40"/>
      <c r="I420" s="60"/>
      <c r="J420" s="61" t="str">
        <f aca="false">IF(OR(E420="",F420=""),"",SUMIFS(Presupuesto!G$7:G$67,Presupuesto!B$7:B$67,E420,Presupuesto!C$7:C$67,F420))</f>
        <v/>
      </c>
      <c r="K420" s="62" t="str">
        <f aca="false">IF(OR(E420="",F420=""),"",SUMIFS(I$7:I420,E$7:E420,E420,F$7:F420,F420))</f>
        <v/>
      </c>
      <c r="L420" s="62" t="str">
        <f aca="false">IF(OR(E420="",F420=""),"",J420-SUMIFS(I$7:I$506,E$7:E$506,E420,F$7:F$506,F420))</f>
        <v/>
      </c>
      <c r="N420" s="40"/>
    </row>
    <row r="421" customFormat="false" ht="15.75" hidden="false" customHeight="true" outlineLevel="0" collapsed="false">
      <c r="A421" s="35"/>
      <c r="B421" s="54" t="str">
        <f aca="false">IF(C421="","",DATE(YEAR(C421),MONTH(C421)+1,0))</f>
        <v/>
      </c>
      <c r="C421" s="55"/>
      <c r="D421" s="40"/>
      <c r="E421" s="40"/>
      <c r="F421" s="40"/>
      <c r="G421" s="40"/>
      <c r="H421" s="40"/>
      <c r="I421" s="60"/>
      <c r="J421" s="61" t="str">
        <f aca="false">IF(OR(E421="",F421=""),"",SUMIFS(Presupuesto!G$7:G$67,Presupuesto!B$7:B$67,E421,Presupuesto!C$7:C$67,F421))</f>
        <v/>
      </c>
      <c r="K421" s="62" t="str">
        <f aca="false">IF(OR(E421="",F421=""),"",SUMIFS(I$7:I421,E$7:E421,E421,F$7:F421,F421))</f>
        <v/>
      </c>
      <c r="L421" s="62" t="str">
        <f aca="false">IF(OR(E421="",F421=""),"",J421-SUMIFS(I$7:I$506,E$7:E$506,E421,F$7:F$506,F421))</f>
        <v/>
      </c>
      <c r="N421" s="40"/>
    </row>
    <row r="422" customFormat="false" ht="15.75" hidden="false" customHeight="true" outlineLevel="0" collapsed="false">
      <c r="A422" s="35"/>
      <c r="B422" s="54" t="str">
        <f aca="false">IF(C422="","",DATE(YEAR(C422),MONTH(C422)+1,0))</f>
        <v/>
      </c>
      <c r="C422" s="55"/>
      <c r="D422" s="40"/>
      <c r="E422" s="40"/>
      <c r="F422" s="40"/>
      <c r="G422" s="40"/>
      <c r="H422" s="40"/>
      <c r="I422" s="60"/>
      <c r="J422" s="61" t="str">
        <f aca="false">IF(OR(E422="",F422=""),"",SUMIFS(Presupuesto!G$7:G$67,Presupuesto!B$7:B$67,E422,Presupuesto!C$7:C$67,F422))</f>
        <v/>
      </c>
      <c r="K422" s="62" t="str">
        <f aca="false">IF(OR(E422="",F422=""),"",SUMIFS(I$7:I422,E$7:E422,E422,F$7:F422,F422))</f>
        <v/>
      </c>
      <c r="L422" s="62" t="str">
        <f aca="false">IF(OR(E422="",F422=""),"",J422-SUMIFS(I$7:I$506,E$7:E$506,E422,F$7:F$506,F422))</f>
        <v/>
      </c>
      <c r="N422" s="40"/>
    </row>
    <row r="423" customFormat="false" ht="15.75" hidden="false" customHeight="true" outlineLevel="0" collapsed="false">
      <c r="A423" s="35"/>
      <c r="B423" s="54" t="str">
        <f aca="false">IF(C423="","",DATE(YEAR(C423),MONTH(C423)+1,0))</f>
        <v/>
      </c>
      <c r="C423" s="55"/>
      <c r="D423" s="40"/>
      <c r="E423" s="40"/>
      <c r="F423" s="40"/>
      <c r="G423" s="40"/>
      <c r="H423" s="40"/>
      <c r="I423" s="60"/>
      <c r="J423" s="61" t="str">
        <f aca="false">IF(OR(E423="",F423=""),"",SUMIFS(Presupuesto!G$7:G$67,Presupuesto!B$7:B$67,E423,Presupuesto!C$7:C$67,F423))</f>
        <v/>
      </c>
      <c r="K423" s="62" t="str">
        <f aca="false">IF(OR(E423="",F423=""),"",SUMIFS(I$7:I423,E$7:E423,E423,F$7:F423,F423))</f>
        <v/>
      </c>
      <c r="L423" s="62" t="str">
        <f aca="false">IF(OR(E423="",F423=""),"",J423-SUMIFS(I$7:I$506,E$7:E$506,E423,F$7:F$506,F423))</f>
        <v/>
      </c>
      <c r="N423" s="40"/>
    </row>
    <row r="424" customFormat="false" ht="15.75" hidden="false" customHeight="true" outlineLevel="0" collapsed="false">
      <c r="A424" s="35"/>
      <c r="B424" s="54" t="str">
        <f aca="false">IF(C424="","",DATE(YEAR(C424),MONTH(C424)+1,0))</f>
        <v/>
      </c>
      <c r="C424" s="55"/>
      <c r="D424" s="40"/>
      <c r="E424" s="40"/>
      <c r="F424" s="40"/>
      <c r="G424" s="40"/>
      <c r="H424" s="40"/>
      <c r="I424" s="60"/>
      <c r="J424" s="61" t="str">
        <f aca="false">IF(OR(E424="",F424=""),"",SUMIFS(Presupuesto!G$7:G$67,Presupuesto!B$7:B$67,E424,Presupuesto!C$7:C$67,F424))</f>
        <v/>
      </c>
      <c r="K424" s="62" t="str">
        <f aca="false">IF(OR(E424="",F424=""),"",SUMIFS(I$7:I424,E$7:E424,E424,F$7:F424,F424))</f>
        <v/>
      </c>
      <c r="L424" s="62" t="str">
        <f aca="false">IF(OR(E424="",F424=""),"",J424-SUMIFS(I$7:I$506,E$7:E$506,E424,F$7:F$506,F424))</f>
        <v/>
      </c>
      <c r="N424" s="40"/>
    </row>
    <row r="425" customFormat="false" ht="15.75" hidden="false" customHeight="true" outlineLevel="0" collapsed="false">
      <c r="A425" s="35"/>
      <c r="B425" s="54" t="str">
        <f aca="false">IF(C425="","",DATE(YEAR(C425),MONTH(C425)+1,0))</f>
        <v/>
      </c>
      <c r="C425" s="55"/>
      <c r="D425" s="40"/>
      <c r="E425" s="40"/>
      <c r="F425" s="40"/>
      <c r="G425" s="40"/>
      <c r="H425" s="40"/>
      <c r="I425" s="60"/>
      <c r="J425" s="61" t="str">
        <f aca="false">IF(OR(E425="",F425=""),"",SUMIFS(Presupuesto!G$7:G$67,Presupuesto!B$7:B$67,E425,Presupuesto!C$7:C$67,F425))</f>
        <v/>
      </c>
      <c r="K425" s="62" t="str">
        <f aca="false">IF(OR(E425="",F425=""),"",SUMIFS(I$7:I425,E$7:E425,E425,F$7:F425,F425))</f>
        <v/>
      </c>
      <c r="L425" s="62" t="str">
        <f aca="false">IF(OR(E425="",F425=""),"",J425-SUMIFS(I$7:I$506,E$7:E$506,E425,F$7:F$506,F425))</f>
        <v/>
      </c>
      <c r="N425" s="40"/>
    </row>
    <row r="426" customFormat="false" ht="15.75" hidden="false" customHeight="true" outlineLevel="0" collapsed="false">
      <c r="A426" s="35"/>
      <c r="B426" s="54" t="str">
        <f aca="false">IF(C426="","",DATE(YEAR(C426),MONTH(C426)+1,0))</f>
        <v/>
      </c>
      <c r="C426" s="55"/>
      <c r="D426" s="40"/>
      <c r="E426" s="40"/>
      <c r="F426" s="40"/>
      <c r="G426" s="40"/>
      <c r="H426" s="40"/>
      <c r="I426" s="60"/>
      <c r="J426" s="61" t="str">
        <f aca="false">IF(OR(E426="",F426=""),"",SUMIFS(Presupuesto!G$7:G$67,Presupuesto!B$7:B$67,E426,Presupuesto!C$7:C$67,F426))</f>
        <v/>
      </c>
      <c r="K426" s="62" t="str">
        <f aca="false">IF(OR(E426="",F426=""),"",SUMIFS(I$7:I426,E$7:E426,E426,F$7:F426,F426))</f>
        <v/>
      </c>
      <c r="L426" s="62" t="str">
        <f aca="false">IF(OR(E426="",F426=""),"",J426-SUMIFS(I$7:I$506,E$7:E$506,E426,F$7:F$506,F426))</f>
        <v/>
      </c>
      <c r="N426" s="40"/>
    </row>
    <row r="427" customFormat="false" ht="15.75" hidden="false" customHeight="true" outlineLevel="0" collapsed="false">
      <c r="A427" s="35"/>
      <c r="B427" s="54" t="str">
        <f aca="false">IF(C427="","",DATE(YEAR(C427),MONTH(C427)+1,0))</f>
        <v/>
      </c>
      <c r="C427" s="55"/>
      <c r="D427" s="40"/>
      <c r="E427" s="40"/>
      <c r="F427" s="40"/>
      <c r="G427" s="40"/>
      <c r="H427" s="40"/>
      <c r="I427" s="60"/>
      <c r="J427" s="61" t="str">
        <f aca="false">IF(OR(E427="",F427=""),"",SUMIFS(Presupuesto!G$7:G$67,Presupuesto!B$7:B$67,E427,Presupuesto!C$7:C$67,F427))</f>
        <v/>
      </c>
      <c r="K427" s="62" t="str">
        <f aca="false">IF(OR(E427="",F427=""),"",SUMIFS(I$7:I427,E$7:E427,E427,F$7:F427,F427))</f>
        <v/>
      </c>
      <c r="L427" s="62" t="str">
        <f aca="false">IF(OR(E427="",F427=""),"",J427-SUMIFS(I$7:I$506,E$7:E$506,E427,F$7:F$506,F427))</f>
        <v/>
      </c>
      <c r="N427" s="40"/>
    </row>
    <row r="428" customFormat="false" ht="15.75" hidden="false" customHeight="true" outlineLevel="0" collapsed="false">
      <c r="A428" s="35"/>
      <c r="B428" s="54" t="str">
        <f aca="false">IF(C428="","",DATE(YEAR(C428),MONTH(C428)+1,0))</f>
        <v/>
      </c>
      <c r="C428" s="55"/>
      <c r="D428" s="40"/>
      <c r="E428" s="40"/>
      <c r="F428" s="40"/>
      <c r="G428" s="40"/>
      <c r="H428" s="40"/>
      <c r="I428" s="60"/>
      <c r="J428" s="61" t="str">
        <f aca="false">IF(OR(E428="",F428=""),"",SUMIFS(Presupuesto!G$7:G$67,Presupuesto!B$7:B$67,E428,Presupuesto!C$7:C$67,F428))</f>
        <v/>
      </c>
      <c r="K428" s="62" t="str">
        <f aca="false">IF(OR(E428="",F428=""),"",SUMIFS(I$7:I428,E$7:E428,E428,F$7:F428,F428))</f>
        <v/>
      </c>
      <c r="L428" s="62" t="str">
        <f aca="false">IF(OR(E428="",F428=""),"",J428-SUMIFS(I$7:I$506,E$7:E$506,E428,F$7:F$506,F428))</f>
        <v/>
      </c>
      <c r="N428" s="40"/>
    </row>
    <row r="429" customFormat="false" ht="15.75" hidden="false" customHeight="true" outlineLevel="0" collapsed="false">
      <c r="A429" s="35"/>
      <c r="B429" s="54" t="str">
        <f aca="false">IF(C429="","",DATE(YEAR(C429),MONTH(C429)+1,0))</f>
        <v/>
      </c>
      <c r="C429" s="55"/>
      <c r="D429" s="40"/>
      <c r="E429" s="40"/>
      <c r="F429" s="40"/>
      <c r="G429" s="40"/>
      <c r="H429" s="40"/>
      <c r="I429" s="60"/>
      <c r="J429" s="61" t="str">
        <f aca="false">IF(OR(E429="",F429=""),"",SUMIFS(Presupuesto!G$7:G$67,Presupuesto!B$7:B$67,E429,Presupuesto!C$7:C$67,F429))</f>
        <v/>
      </c>
      <c r="K429" s="62" t="str">
        <f aca="false">IF(OR(E429="",F429=""),"",SUMIFS(I$7:I429,E$7:E429,E429,F$7:F429,F429))</f>
        <v/>
      </c>
      <c r="L429" s="62" t="str">
        <f aca="false">IF(OR(E429="",F429=""),"",J429-SUMIFS(I$7:I$506,E$7:E$506,E429,F$7:F$506,F429))</f>
        <v/>
      </c>
      <c r="N429" s="40"/>
    </row>
    <row r="430" customFormat="false" ht="15.75" hidden="false" customHeight="true" outlineLevel="0" collapsed="false">
      <c r="A430" s="35"/>
      <c r="B430" s="54" t="str">
        <f aca="false">IF(C430="","",DATE(YEAR(C430),MONTH(C430)+1,0))</f>
        <v/>
      </c>
      <c r="C430" s="55"/>
      <c r="D430" s="40"/>
      <c r="E430" s="40"/>
      <c r="F430" s="40"/>
      <c r="G430" s="40"/>
      <c r="H430" s="40"/>
      <c r="I430" s="60"/>
      <c r="J430" s="61" t="str">
        <f aca="false">IF(OR(E430="",F430=""),"",SUMIFS(Presupuesto!G$7:G$67,Presupuesto!B$7:B$67,E430,Presupuesto!C$7:C$67,F430))</f>
        <v/>
      </c>
      <c r="K430" s="62" t="str">
        <f aca="false">IF(OR(E430="",F430=""),"",SUMIFS(I$7:I430,E$7:E430,E430,F$7:F430,F430))</f>
        <v/>
      </c>
      <c r="L430" s="62" t="str">
        <f aca="false">IF(OR(E430="",F430=""),"",J430-SUMIFS(I$7:I$506,E$7:E$506,E430,F$7:F$506,F430))</f>
        <v/>
      </c>
      <c r="N430" s="40"/>
    </row>
    <row r="431" customFormat="false" ht="15.75" hidden="false" customHeight="true" outlineLevel="0" collapsed="false">
      <c r="A431" s="35"/>
      <c r="B431" s="54" t="str">
        <f aca="false">IF(C431="","",DATE(YEAR(C431),MONTH(C431)+1,0))</f>
        <v/>
      </c>
      <c r="C431" s="55"/>
      <c r="D431" s="40"/>
      <c r="E431" s="40"/>
      <c r="F431" s="40"/>
      <c r="G431" s="40"/>
      <c r="H431" s="40"/>
      <c r="I431" s="60"/>
      <c r="J431" s="61" t="str">
        <f aca="false">IF(OR(E431="",F431=""),"",SUMIFS(Presupuesto!G$7:G$67,Presupuesto!B$7:B$67,E431,Presupuesto!C$7:C$67,F431))</f>
        <v/>
      </c>
      <c r="K431" s="62" t="str">
        <f aca="false">IF(OR(E431="",F431=""),"",SUMIFS(I$7:I431,E$7:E431,E431,F$7:F431,F431))</f>
        <v/>
      </c>
      <c r="L431" s="62" t="str">
        <f aca="false">IF(OR(E431="",F431=""),"",J431-SUMIFS(I$7:I$506,E$7:E$506,E431,F$7:F$506,F431))</f>
        <v/>
      </c>
      <c r="N431" s="40"/>
    </row>
    <row r="432" customFormat="false" ht="15.75" hidden="false" customHeight="true" outlineLevel="0" collapsed="false">
      <c r="A432" s="35"/>
      <c r="B432" s="54" t="str">
        <f aca="false">IF(C432="","",DATE(YEAR(C432),MONTH(C432)+1,0))</f>
        <v/>
      </c>
      <c r="C432" s="55"/>
      <c r="D432" s="40"/>
      <c r="E432" s="40"/>
      <c r="F432" s="40"/>
      <c r="G432" s="40"/>
      <c r="H432" s="40"/>
      <c r="I432" s="60"/>
      <c r="J432" s="61" t="str">
        <f aca="false">IF(OR(E432="",F432=""),"",SUMIFS(Presupuesto!G$7:G$67,Presupuesto!B$7:B$67,E432,Presupuesto!C$7:C$67,F432))</f>
        <v/>
      </c>
      <c r="K432" s="62" t="str">
        <f aca="false">IF(OR(E432="",F432=""),"",SUMIFS(I$7:I432,E$7:E432,E432,F$7:F432,F432))</f>
        <v/>
      </c>
      <c r="L432" s="62" t="str">
        <f aca="false">IF(OR(E432="",F432=""),"",J432-SUMIFS(I$7:I$506,E$7:E$506,E432,F$7:F$506,F432))</f>
        <v/>
      </c>
      <c r="N432" s="40"/>
    </row>
    <row r="433" customFormat="false" ht="15.75" hidden="false" customHeight="true" outlineLevel="0" collapsed="false">
      <c r="A433" s="35"/>
      <c r="B433" s="54" t="str">
        <f aca="false">IF(C433="","",DATE(YEAR(C433),MONTH(C433)+1,0))</f>
        <v/>
      </c>
      <c r="C433" s="55"/>
      <c r="D433" s="40"/>
      <c r="E433" s="40"/>
      <c r="F433" s="40"/>
      <c r="G433" s="40"/>
      <c r="H433" s="40"/>
      <c r="I433" s="60"/>
      <c r="J433" s="61" t="str">
        <f aca="false">IF(OR(E433="",F433=""),"",SUMIFS(Presupuesto!G$7:G$67,Presupuesto!B$7:B$67,E433,Presupuesto!C$7:C$67,F433))</f>
        <v/>
      </c>
      <c r="K433" s="62" t="str">
        <f aca="false">IF(OR(E433="",F433=""),"",SUMIFS(I$7:I433,E$7:E433,E433,F$7:F433,F433))</f>
        <v/>
      </c>
      <c r="L433" s="62" t="str">
        <f aca="false">IF(OR(E433="",F433=""),"",J433-SUMIFS(I$7:I$506,E$7:E$506,E433,F$7:F$506,F433))</f>
        <v/>
      </c>
      <c r="N433" s="40"/>
    </row>
    <row r="434" customFormat="false" ht="15.75" hidden="false" customHeight="true" outlineLevel="0" collapsed="false">
      <c r="A434" s="35"/>
      <c r="B434" s="54" t="str">
        <f aca="false">IF(C434="","",DATE(YEAR(C434),MONTH(C434)+1,0))</f>
        <v/>
      </c>
      <c r="C434" s="55"/>
      <c r="D434" s="40"/>
      <c r="E434" s="40"/>
      <c r="F434" s="40"/>
      <c r="G434" s="40"/>
      <c r="H434" s="40"/>
      <c r="I434" s="60"/>
      <c r="J434" s="61" t="str">
        <f aca="false">IF(OR(E434="",F434=""),"",SUMIFS(Presupuesto!G$7:G$67,Presupuesto!B$7:B$67,E434,Presupuesto!C$7:C$67,F434))</f>
        <v/>
      </c>
      <c r="K434" s="62" t="str">
        <f aca="false">IF(OR(E434="",F434=""),"",SUMIFS(I$7:I434,E$7:E434,E434,F$7:F434,F434))</f>
        <v/>
      </c>
      <c r="L434" s="62" t="str">
        <f aca="false">IF(OR(E434="",F434=""),"",J434-SUMIFS(I$7:I$506,E$7:E$506,E434,F$7:F$506,F434))</f>
        <v/>
      </c>
      <c r="N434" s="40"/>
    </row>
    <row r="435" customFormat="false" ht="15.75" hidden="false" customHeight="true" outlineLevel="0" collapsed="false">
      <c r="A435" s="35"/>
      <c r="B435" s="54" t="str">
        <f aca="false">IF(C435="","",DATE(YEAR(C435),MONTH(C435)+1,0))</f>
        <v/>
      </c>
      <c r="C435" s="55"/>
      <c r="D435" s="40"/>
      <c r="E435" s="40"/>
      <c r="F435" s="40"/>
      <c r="G435" s="40"/>
      <c r="H435" s="40"/>
      <c r="I435" s="60"/>
      <c r="J435" s="61" t="str">
        <f aca="false">IF(OR(E435="",F435=""),"",SUMIFS(Presupuesto!G$7:G$67,Presupuesto!B$7:B$67,E435,Presupuesto!C$7:C$67,F435))</f>
        <v/>
      </c>
      <c r="K435" s="62" t="str">
        <f aca="false">IF(OR(E435="",F435=""),"",SUMIFS(I$7:I435,E$7:E435,E435,F$7:F435,F435))</f>
        <v/>
      </c>
      <c r="L435" s="62" t="str">
        <f aca="false">IF(OR(E435="",F435=""),"",J435-SUMIFS(I$7:I$506,E$7:E$506,E435,F$7:F$506,F435))</f>
        <v/>
      </c>
      <c r="N435" s="40"/>
    </row>
    <row r="436" customFormat="false" ht="15.75" hidden="false" customHeight="true" outlineLevel="0" collapsed="false">
      <c r="A436" s="35"/>
      <c r="B436" s="54" t="str">
        <f aca="false">IF(C436="","",DATE(YEAR(C436),MONTH(C436)+1,0))</f>
        <v/>
      </c>
      <c r="C436" s="55"/>
      <c r="D436" s="40"/>
      <c r="E436" s="40"/>
      <c r="F436" s="40"/>
      <c r="G436" s="40"/>
      <c r="H436" s="40"/>
      <c r="I436" s="60"/>
      <c r="J436" s="61" t="str">
        <f aca="false">IF(OR(E436="",F436=""),"",SUMIFS(Presupuesto!G$7:G$67,Presupuesto!B$7:B$67,E436,Presupuesto!C$7:C$67,F436))</f>
        <v/>
      </c>
      <c r="K436" s="62" t="str">
        <f aca="false">IF(OR(E436="",F436=""),"",SUMIFS(I$7:I436,E$7:E436,E436,F$7:F436,F436))</f>
        <v/>
      </c>
      <c r="L436" s="62" t="str">
        <f aca="false">IF(OR(E436="",F436=""),"",J436-SUMIFS(I$7:I$506,E$7:E$506,E436,F$7:F$506,F436))</f>
        <v/>
      </c>
      <c r="N436" s="40"/>
    </row>
    <row r="437" customFormat="false" ht="15.75" hidden="false" customHeight="true" outlineLevel="0" collapsed="false">
      <c r="A437" s="35"/>
      <c r="B437" s="54" t="str">
        <f aca="false">IF(C437="","",DATE(YEAR(C437),MONTH(C437)+1,0))</f>
        <v/>
      </c>
      <c r="C437" s="55"/>
      <c r="D437" s="40"/>
      <c r="E437" s="40"/>
      <c r="F437" s="40"/>
      <c r="G437" s="40"/>
      <c r="H437" s="40"/>
      <c r="I437" s="60"/>
      <c r="J437" s="61" t="str">
        <f aca="false">IF(OR(E437="",F437=""),"",SUMIFS(Presupuesto!G$7:G$67,Presupuesto!B$7:B$67,E437,Presupuesto!C$7:C$67,F437))</f>
        <v/>
      </c>
      <c r="K437" s="62" t="str">
        <f aca="false">IF(OR(E437="",F437=""),"",SUMIFS(I$7:I437,E$7:E437,E437,F$7:F437,F437))</f>
        <v/>
      </c>
      <c r="L437" s="62" t="str">
        <f aca="false">IF(OR(E437="",F437=""),"",J437-SUMIFS(I$7:I$506,E$7:E$506,E437,F$7:F$506,F437))</f>
        <v/>
      </c>
      <c r="N437" s="40"/>
    </row>
    <row r="438" customFormat="false" ht="15.75" hidden="false" customHeight="true" outlineLevel="0" collapsed="false">
      <c r="A438" s="35"/>
      <c r="B438" s="54" t="str">
        <f aca="false">IF(C438="","",DATE(YEAR(C438),MONTH(C438)+1,0))</f>
        <v/>
      </c>
      <c r="C438" s="55"/>
      <c r="D438" s="40"/>
      <c r="E438" s="40"/>
      <c r="F438" s="40"/>
      <c r="G438" s="40"/>
      <c r="H438" s="40"/>
      <c r="I438" s="60"/>
      <c r="J438" s="61" t="str">
        <f aca="false">IF(OR(E438="",F438=""),"",SUMIFS(Presupuesto!G$7:G$67,Presupuesto!B$7:B$67,E438,Presupuesto!C$7:C$67,F438))</f>
        <v/>
      </c>
      <c r="K438" s="62" t="str">
        <f aca="false">IF(OR(E438="",F438=""),"",SUMIFS(I$7:I438,E$7:E438,E438,F$7:F438,F438))</f>
        <v/>
      </c>
      <c r="L438" s="62" t="str">
        <f aca="false">IF(OR(E438="",F438=""),"",J438-SUMIFS(I$7:I$506,E$7:E$506,E438,F$7:F$506,F438))</f>
        <v/>
      </c>
      <c r="N438" s="40"/>
    </row>
    <row r="439" customFormat="false" ht="15.75" hidden="false" customHeight="true" outlineLevel="0" collapsed="false">
      <c r="A439" s="35"/>
      <c r="B439" s="54" t="str">
        <f aca="false">IF(C439="","",DATE(YEAR(C439),MONTH(C439)+1,0))</f>
        <v/>
      </c>
      <c r="C439" s="55"/>
      <c r="D439" s="40"/>
      <c r="E439" s="40"/>
      <c r="F439" s="40"/>
      <c r="G439" s="40"/>
      <c r="H439" s="40"/>
      <c r="I439" s="60"/>
      <c r="J439" s="61" t="str">
        <f aca="false">IF(OR(E439="",F439=""),"",SUMIFS(Presupuesto!G$7:G$67,Presupuesto!B$7:B$67,E439,Presupuesto!C$7:C$67,F439))</f>
        <v/>
      </c>
      <c r="K439" s="62" t="str">
        <f aca="false">IF(OR(E439="",F439=""),"",SUMIFS(I$7:I439,E$7:E439,E439,F$7:F439,F439))</f>
        <v/>
      </c>
      <c r="L439" s="62" t="str">
        <f aca="false">IF(OR(E439="",F439=""),"",J439-SUMIFS(I$7:I$506,E$7:E$506,E439,F$7:F$506,F439))</f>
        <v/>
      </c>
      <c r="N439" s="40"/>
    </row>
    <row r="440" customFormat="false" ht="15.75" hidden="false" customHeight="true" outlineLevel="0" collapsed="false">
      <c r="A440" s="35"/>
      <c r="B440" s="54" t="str">
        <f aca="false">IF(C440="","",DATE(YEAR(C440),MONTH(C440)+1,0))</f>
        <v/>
      </c>
      <c r="C440" s="55"/>
      <c r="D440" s="40"/>
      <c r="E440" s="40"/>
      <c r="F440" s="40"/>
      <c r="G440" s="40"/>
      <c r="H440" s="40"/>
      <c r="I440" s="60"/>
      <c r="J440" s="61" t="str">
        <f aca="false">IF(OR(E440="",F440=""),"",SUMIFS(Presupuesto!G$7:G$67,Presupuesto!B$7:B$67,E440,Presupuesto!C$7:C$67,F440))</f>
        <v/>
      </c>
      <c r="K440" s="62" t="str">
        <f aca="false">IF(OR(E440="",F440=""),"",SUMIFS(I$7:I440,E$7:E440,E440,F$7:F440,F440))</f>
        <v/>
      </c>
      <c r="L440" s="62" t="str">
        <f aca="false">IF(OR(E440="",F440=""),"",J440-SUMIFS(I$7:I$506,E$7:E$506,E440,F$7:F$506,F440))</f>
        <v/>
      </c>
      <c r="N440" s="40"/>
    </row>
    <row r="441" customFormat="false" ht="15.75" hidden="false" customHeight="true" outlineLevel="0" collapsed="false">
      <c r="A441" s="35"/>
      <c r="B441" s="54" t="str">
        <f aca="false">IF(C441="","",DATE(YEAR(C441),MONTH(C441)+1,0))</f>
        <v/>
      </c>
      <c r="C441" s="55"/>
      <c r="D441" s="40"/>
      <c r="E441" s="40"/>
      <c r="F441" s="40"/>
      <c r="G441" s="40"/>
      <c r="H441" s="40"/>
      <c r="I441" s="60"/>
      <c r="J441" s="61" t="str">
        <f aca="false">IF(OR(E441="",F441=""),"",SUMIFS(Presupuesto!G$7:G$67,Presupuesto!B$7:B$67,E441,Presupuesto!C$7:C$67,F441))</f>
        <v/>
      </c>
      <c r="K441" s="62" t="str">
        <f aca="false">IF(OR(E441="",F441=""),"",SUMIFS(I$7:I441,E$7:E441,E441,F$7:F441,F441))</f>
        <v/>
      </c>
      <c r="L441" s="62" t="str">
        <f aca="false">IF(OR(E441="",F441=""),"",J441-SUMIFS(I$7:I$506,E$7:E$506,E441,F$7:F$506,F441))</f>
        <v/>
      </c>
      <c r="N441" s="40"/>
    </row>
    <row r="442" customFormat="false" ht="15.75" hidden="false" customHeight="true" outlineLevel="0" collapsed="false">
      <c r="A442" s="35"/>
      <c r="B442" s="54" t="str">
        <f aca="false">IF(C442="","",DATE(YEAR(C442),MONTH(C442)+1,0))</f>
        <v/>
      </c>
      <c r="C442" s="55"/>
      <c r="D442" s="40"/>
      <c r="E442" s="40"/>
      <c r="F442" s="40"/>
      <c r="G442" s="40"/>
      <c r="H442" s="40"/>
      <c r="I442" s="60"/>
      <c r="J442" s="61" t="str">
        <f aca="false">IF(OR(E442="",F442=""),"",SUMIFS(Presupuesto!G$7:G$67,Presupuesto!B$7:B$67,E442,Presupuesto!C$7:C$67,F442))</f>
        <v/>
      </c>
      <c r="K442" s="62" t="str">
        <f aca="false">IF(OR(E442="",F442=""),"",SUMIFS(I$7:I442,E$7:E442,E442,F$7:F442,F442))</f>
        <v/>
      </c>
      <c r="L442" s="62" t="str">
        <f aca="false">IF(OR(E442="",F442=""),"",J442-SUMIFS(I$7:I$506,E$7:E$506,E442,F$7:F$506,F442))</f>
        <v/>
      </c>
      <c r="N442" s="40"/>
    </row>
    <row r="443" customFormat="false" ht="15.75" hidden="false" customHeight="true" outlineLevel="0" collapsed="false">
      <c r="A443" s="35"/>
      <c r="B443" s="54" t="str">
        <f aca="false">IF(C443="","",DATE(YEAR(C443),MONTH(C443)+1,0))</f>
        <v/>
      </c>
      <c r="C443" s="55"/>
      <c r="D443" s="40"/>
      <c r="E443" s="40"/>
      <c r="F443" s="40"/>
      <c r="G443" s="40"/>
      <c r="H443" s="40"/>
      <c r="I443" s="60"/>
      <c r="J443" s="61" t="str">
        <f aca="false">IF(OR(E443="",F443=""),"",SUMIFS(Presupuesto!G$7:G$67,Presupuesto!B$7:B$67,E443,Presupuesto!C$7:C$67,F443))</f>
        <v/>
      </c>
      <c r="K443" s="62" t="str">
        <f aca="false">IF(OR(E443="",F443=""),"",SUMIFS(I$7:I443,E$7:E443,E443,F$7:F443,F443))</f>
        <v/>
      </c>
      <c r="L443" s="62" t="str">
        <f aca="false">IF(OR(E443="",F443=""),"",J443-SUMIFS(I$7:I$506,E$7:E$506,E443,F$7:F$506,F443))</f>
        <v/>
      </c>
      <c r="N443" s="40"/>
    </row>
    <row r="444" customFormat="false" ht="15.75" hidden="false" customHeight="true" outlineLevel="0" collapsed="false">
      <c r="A444" s="35"/>
      <c r="B444" s="54" t="str">
        <f aca="false">IF(C444="","",DATE(YEAR(C444),MONTH(C444)+1,0))</f>
        <v/>
      </c>
      <c r="C444" s="55"/>
      <c r="D444" s="40"/>
      <c r="E444" s="40"/>
      <c r="F444" s="40"/>
      <c r="G444" s="40"/>
      <c r="H444" s="40"/>
      <c r="I444" s="60"/>
      <c r="J444" s="61" t="str">
        <f aca="false">IF(OR(E444="",F444=""),"",SUMIFS(Presupuesto!G$7:G$67,Presupuesto!B$7:B$67,E444,Presupuesto!C$7:C$67,F444))</f>
        <v/>
      </c>
      <c r="K444" s="62" t="str">
        <f aca="false">IF(OR(E444="",F444=""),"",SUMIFS(I$7:I444,E$7:E444,E444,F$7:F444,F444))</f>
        <v/>
      </c>
      <c r="L444" s="62" t="str">
        <f aca="false">IF(OR(E444="",F444=""),"",J444-SUMIFS(I$7:I$506,E$7:E$506,E444,F$7:F$506,F444))</f>
        <v/>
      </c>
      <c r="N444" s="40"/>
    </row>
    <row r="445" customFormat="false" ht="15.75" hidden="false" customHeight="true" outlineLevel="0" collapsed="false">
      <c r="A445" s="35"/>
      <c r="B445" s="54" t="str">
        <f aca="false">IF(C445="","",DATE(YEAR(C445),MONTH(C445)+1,0))</f>
        <v/>
      </c>
      <c r="C445" s="55"/>
      <c r="D445" s="40"/>
      <c r="E445" s="40"/>
      <c r="F445" s="40"/>
      <c r="G445" s="40"/>
      <c r="H445" s="40"/>
      <c r="I445" s="60"/>
      <c r="J445" s="61" t="str">
        <f aca="false">IF(OR(E445="",F445=""),"",SUMIFS(Presupuesto!G$7:G$67,Presupuesto!B$7:B$67,E445,Presupuesto!C$7:C$67,F445))</f>
        <v/>
      </c>
      <c r="K445" s="62" t="str">
        <f aca="false">IF(OR(E445="",F445=""),"",SUMIFS(I$7:I445,E$7:E445,E445,F$7:F445,F445))</f>
        <v/>
      </c>
      <c r="L445" s="62" t="str">
        <f aca="false">IF(OR(E445="",F445=""),"",J445-SUMIFS(I$7:I$506,E$7:E$506,E445,F$7:F$506,F445))</f>
        <v/>
      </c>
      <c r="N445" s="40"/>
    </row>
    <row r="446" customFormat="false" ht="15.75" hidden="false" customHeight="true" outlineLevel="0" collapsed="false">
      <c r="A446" s="35"/>
      <c r="B446" s="54" t="str">
        <f aca="false">IF(C446="","",DATE(YEAR(C446),MONTH(C446)+1,0))</f>
        <v/>
      </c>
      <c r="C446" s="55"/>
      <c r="D446" s="40"/>
      <c r="E446" s="40"/>
      <c r="F446" s="40"/>
      <c r="G446" s="40"/>
      <c r="H446" s="40"/>
      <c r="I446" s="60"/>
      <c r="J446" s="61" t="str">
        <f aca="false">IF(OR(E446="",F446=""),"",SUMIFS(Presupuesto!G$7:G$67,Presupuesto!B$7:B$67,E446,Presupuesto!C$7:C$67,F446))</f>
        <v/>
      </c>
      <c r="K446" s="62" t="str">
        <f aca="false">IF(OR(E446="",F446=""),"",SUMIFS(I$7:I446,E$7:E446,E446,F$7:F446,F446))</f>
        <v/>
      </c>
      <c r="L446" s="62" t="str">
        <f aca="false">IF(OR(E446="",F446=""),"",J446-SUMIFS(I$7:I$506,E$7:E$506,E446,F$7:F$506,F446))</f>
        <v/>
      </c>
      <c r="N446" s="40"/>
    </row>
    <row r="447" customFormat="false" ht="15.75" hidden="false" customHeight="true" outlineLevel="0" collapsed="false">
      <c r="A447" s="35"/>
      <c r="B447" s="54" t="str">
        <f aca="false">IF(C447="","",DATE(YEAR(C447),MONTH(C447)+1,0))</f>
        <v/>
      </c>
      <c r="C447" s="55"/>
      <c r="D447" s="40"/>
      <c r="E447" s="40"/>
      <c r="F447" s="40"/>
      <c r="G447" s="40"/>
      <c r="H447" s="40"/>
      <c r="I447" s="60"/>
      <c r="J447" s="61" t="str">
        <f aca="false">IF(OR(E447="",F447=""),"",SUMIFS(Presupuesto!G$7:G$67,Presupuesto!B$7:B$67,E447,Presupuesto!C$7:C$67,F447))</f>
        <v/>
      </c>
      <c r="K447" s="62" t="str">
        <f aca="false">IF(OR(E447="",F447=""),"",SUMIFS(I$7:I447,E$7:E447,E447,F$7:F447,F447))</f>
        <v/>
      </c>
      <c r="L447" s="62" t="str">
        <f aca="false">IF(OR(E447="",F447=""),"",J447-SUMIFS(I$7:I$506,E$7:E$506,E447,F$7:F$506,F447))</f>
        <v/>
      </c>
      <c r="N447" s="40"/>
    </row>
    <row r="448" customFormat="false" ht="15.75" hidden="false" customHeight="true" outlineLevel="0" collapsed="false">
      <c r="A448" s="35"/>
      <c r="B448" s="54" t="str">
        <f aca="false">IF(C448="","",DATE(YEAR(C448),MONTH(C448)+1,0))</f>
        <v/>
      </c>
      <c r="C448" s="55"/>
      <c r="D448" s="40"/>
      <c r="E448" s="40"/>
      <c r="F448" s="40"/>
      <c r="G448" s="40"/>
      <c r="H448" s="40"/>
      <c r="I448" s="60"/>
      <c r="J448" s="61" t="str">
        <f aca="false">IF(OR(E448="",F448=""),"",SUMIFS(Presupuesto!G$7:G$67,Presupuesto!B$7:B$67,E448,Presupuesto!C$7:C$67,F448))</f>
        <v/>
      </c>
      <c r="K448" s="62" t="str">
        <f aca="false">IF(OR(E448="",F448=""),"",SUMIFS(I$7:I448,E$7:E448,E448,F$7:F448,F448))</f>
        <v/>
      </c>
      <c r="L448" s="62" t="str">
        <f aca="false">IF(OR(E448="",F448=""),"",J448-SUMIFS(I$7:I$506,E$7:E$506,E448,F$7:F$506,F448))</f>
        <v/>
      </c>
      <c r="N448" s="40"/>
    </row>
    <row r="449" customFormat="false" ht="15.75" hidden="false" customHeight="true" outlineLevel="0" collapsed="false">
      <c r="A449" s="35"/>
      <c r="B449" s="54" t="str">
        <f aca="false">IF(C449="","",DATE(YEAR(C449),MONTH(C449)+1,0))</f>
        <v/>
      </c>
      <c r="C449" s="55"/>
      <c r="D449" s="40"/>
      <c r="E449" s="40"/>
      <c r="F449" s="40"/>
      <c r="G449" s="40"/>
      <c r="H449" s="40"/>
      <c r="I449" s="60"/>
      <c r="J449" s="61" t="str">
        <f aca="false">IF(OR(E449="",F449=""),"",SUMIFS(Presupuesto!G$7:G$67,Presupuesto!B$7:B$67,E449,Presupuesto!C$7:C$67,F449))</f>
        <v/>
      </c>
      <c r="K449" s="62" t="str">
        <f aca="false">IF(OR(E449="",F449=""),"",SUMIFS(I$7:I449,E$7:E449,E449,F$7:F449,F449))</f>
        <v/>
      </c>
      <c r="L449" s="62" t="str">
        <f aca="false">IF(OR(E449="",F449=""),"",J449-SUMIFS(I$7:I$506,E$7:E$506,E449,F$7:F$506,F449))</f>
        <v/>
      </c>
      <c r="N449" s="40"/>
    </row>
    <row r="450" customFormat="false" ht="15.75" hidden="false" customHeight="true" outlineLevel="0" collapsed="false">
      <c r="A450" s="35"/>
      <c r="B450" s="54" t="str">
        <f aca="false">IF(C450="","",DATE(YEAR(C450),MONTH(C450)+1,0))</f>
        <v/>
      </c>
      <c r="C450" s="55"/>
      <c r="D450" s="40"/>
      <c r="E450" s="40"/>
      <c r="F450" s="40"/>
      <c r="G450" s="40"/>
      <c r="H450" s="40"/>
      <c r="I450" s="60"/>
      <c r="J450" s="61" t="str">
        <f aca="false">IF(OR(E450="",F450=""),"",SUMIFS(Presupuesto!G$7:G$67,Presupuesto!B$7:B$67,E450,Presupuesto!C$7:C$67,F450))</f>
        <v/>
      </c>
      <c r="K450" s="62" t="str">
        <f aca="false">IF(OR(E450="",F450=""),"",SUMIFS(I$7:I450,E$7:E450,E450,F$7:F450,F450))</f>
        <v/>
      </c>
      <c r="L450" s="62" t="str">
        <f aca="false">IF(OR(E450="",F450=""),"",J450-SUMIFS(I$7:I$506,E$7:E$506,E450,F$7:F$506,F450))</f>
        <v/>
      </c>
      <c r="N450" s="40"/>
    </row>
    <row r="451" customFormat="false" ht="15.75" hidden="false" customHeight="true" outlineLevel="0" collapsed="false">
      <c r="A451" s="35"/>
      <c r="B451" s="54" t="str">
        <f aca="false">IF(C451="","",DATE(YEAR(C451),MONTH(C451)+1,0))</f>
        <v/>
      </c>
      <c r="C451" s="55"/>
      <c r="D451" s="40"/>
      <c r="E451" s="40"/>
      <c r="F451" s="40"/>
      <c r="G451" s="40"/>
      <c r="H451" s="40"/>
      <c r="I451" s="60"/>
      <c r="J451" s="61" t="str">
        <f aca="false">IF(OR(E451="",F451=""),"",SUMIFS(Presupuesto!G$7:G$67,Presupuesto!B$7:B$67,E451,Presupuesto!C$7:C$67,F451))</f>
        <v/>
      </c>
      <c r="K451" s="62" t="str">
        <f aca="false">IF(OR(E451="",F451=""),"",SUMIFS(I$7:I451,E$7:E451,E451,F$7:F451,F451))</f>
        <v/>
      </c>
      <c r="L451" s="62" t="str">
        <f aca="false">IF(OR(E451="",F451=""),"",J451-SUMIFS(I$7:I$506,E$7:E$506,E451,F$7:F$506,F451))</f>
        <v/>
      </c>
      <c r="N451" s="40"/>
    </row>
    <row r="452" customFormat="false" ht="15.75" hidden="false" customHeight="true" outlineLevel="0" collapsed="false">
      <c r="A452" s="35"/>
      <c r="B452" s="54" t="str">
        <f aca="false">IF(C452="","",DATE(YEAR(C452),MONTH(C452)+1,0))</f>
        <v/>
      </c>
      <c r="C452" s="55"/>
      <c r="D452" s="40"/>
      <c r="E452" s="40"/>
      <c r="F452" s="40"/>
      <c r="G452" s="40"/>
      <c r="H452" s="40"/>
      <c r="I452" s="60"/>
      <c r="J452" s="61" t="str">
        <f aca="false">IF(OR(E452="",F452=""),"",SUMIFS(Presupuesto!G$7:G$67,Presupuesto!B$7:B$67,E452,Presupuesto!C$7:C$67,F452))</f>
        <v/>
      </c>
      <c r="K452" s="62" t="str">
        <f aca="false">IF(OR(E452="",F452=""),"",SUMIFS(I$7:I452,E$7:E452,E452,F$7:F452,F452))</f>
        <v/>
      </c>
      <c r="L452" s="62" t="str">
        <f aca="false">IF(OR(E452="",F452=""),"",J452-SUMIFS(I$7:I$506,E$7:E$506,E452,F$7:F$506,F452))</f>
        <v/>
      </c>
      <c r="N452" s="40"/>
    </row>
    <row r="453" customFormat="false" ht="15.75" hidden="false" customHeight="true" outlineLevel="0" collapsed="false">
      <c r="A453" s="35"/>
      <c r="B453" s="54" t="str">
        <f aca="false">IF(C453="","",DATE(YEAR(C453),MONTH(C453)+1,0))</f>
        <v/>
      </c>
      <c r="C453" s="55"/>
      <c r="D453" s="40"/>
      <c r="E453" s="40"/>
      <c r="F453" s="40"/>
      <c r="G453" s="40"/>
      <c r="H453" s="40"/>
      <c r="I453" s="60"/>
      <c r="J453" s="61" t="str">
        <f aca="false">IF(OR(E453="",F453=""),"",SUMIFS(Presupuesto!G$7:G$67,Presupuesto!B$7:B$67,E453,Presupuesto!C$7:C$67,F453))</f>
        <v/>
      </c>
      <c r="K453" s="62" t="str">
        <f aca="false">IF(OR(E453="",F453=""),"",SUMIFS(I$7:I453,E$7:E453,E453,F$7:F453,F453))</f>
        <v/>
      </c>
      <c r="L453" s="62" t="str">
        <f aca="false">IF(OR(E453="",F453=""),"",J453-SUMIFS(I$7:I$506,E$7:E$506,E453,F$7:F$506,F453))</f>
        <v/>
      </c>
      <c r="N453" s="40"/>
    </row>
    <row r="454" customFormat="false" ht="15.75" hidden="false" customHeight="true" outlineLevel="0" collapsed="false">
      <c r="A454" s="35"/>
      <c r="B454" s="54" t="str">
        <f aca="false">IF(C454="","",DATE(YEAR(C454),MONTH(C454)+1,0))</f>
        <v/>
      </c>
      <c r="C454" s="55"/>
      <c r="D454" s="40"/>
      <c r="E454" s="40"/>
      <c r="F454" s="40"/>
      <c r="G454" s="40"/>
      <c r="H454" s="40"/>
      <c r="I454" s="60"/>
      <c r="J454" s="61" t="str">
        <f aca="false">IF(OR(E454="",F454=""),"",SUMIFS(Presupuesto!G$7:G$67,Presupuesto!B$7:B$67,E454,Presupuesto!C$7:C$67,F454))</f>
        <v/>
      </c>
      <c r="K454" s="62" t="str">
        <f aca="false">IF(OR(E454="",F454=""),"",SUMIFS(I$7:I454,E$7:E454,E454,F$7:F454,F454))</f>
        <v/>
      </c>
      <c r="L454" s="62" t="str">
        <f aca="false">IF(OR(E454="",F454=""),"",J454-SUMIFS(I$7:I$506,E$7:E$506,E454,F$7:F$506,F454))</f>
        <v/>
      </c>
      <c r="N454" s="40"/>
    </row>
    <row r="455" customFormat="false" ht="15.75" hidden="false" customHeight="true" outlineLevel="0" collapsed="false">
      <c r="A455" s="35"/>
      <c r="B455" s="54" t="str">
        <f aca="false">IF(C455="","",DATE(YEAR(C455),MONTH(C455)+1,0))</f>
        <v/>
      </c>
      <c r="C455" s="55"/>
      <c r="D455" s="40"/>
      <c r="E455" s="40"/>
      <c r="F455" s="40"/>
      <c r="G455" s="40"/>
      <c r="H455" s="40"/>
      <c r="I455" s="60"/>
      <c r="J455" s="61" t="str">
        <f aca="false">IF(OR(E455="",F455=""),"",SUMIFS(Presupuesto!G$7:G$67,Presupuesto!B$7:B$67,E455,Presupuesto!C$7:C$67,F455))</f>
        <v/>
      </c>
      <c r="K455" s="62" t="str">
        <f aca="false">IF(OR(E455="",F455=""),"",SUMIFS(I$7:I455,E$7:E455,E455,F$7:F455,F455))</f>
        <v/>
      </c>
      <c r="L455" s="62" t="str">
        <f aca="false">IF(OR(E455="",F455=""),"",J455-SUMIFS(I$7:I$506,E$7:E$506,E455,F$7:F$506,F455))</f>
        <v/>
      </c>
      <c r="N455" s="40"/>
    </row>
    <row r="456" customFormat="false" ht="15.75" hidden="false" customHeight="true" outlineLevel="0" collapsed="false">
      <c r="A456" s="35"/>
      <c r="B456" s="54" t="str">
        <f aca="false">IF(C456="","",DATE(YEAR(C456),MONTH(C456)+1,0))</f>
        <v/>
      </c>
      <c r="C456" s="55"/>
      <c r="D456" s="40"/>
      <c r="E456" s="40"/>
      <c r="F456" s="40"/>
      <c r="G456" s="40"/>
      <c r="H456" s="40"/>
      <c r="I456" s="60"/>
      <c r="J456" s="61" t="str">
        <f aca="false">IF(OR(E456="",F456=""),"",SUMIFS(Presupuesto!G$7:G$67,Presupuesto!B$7:B$67,E456,Presupuesto!C$7:C$67,F456))</f>
        <v/>
      </c>
      <c r="K456" s="62" t="str">
        <f aca="false">IF(OR(E456="",F456=""),"",SUMIFS(I$7:I456,E$7:E456,E456,F$7:F456,F456))</f>
        <v/>
      </c>
      <c r="L456" s="62" t="str">
        <f aca="false">IF(OR(E456="",F456=""),"",J456-SUMIFS(I$7:I$506,E$7:E$506,E456,F$7:F$506,F456))</f>
        <v/>
      </c>
      <c r="N456" s="40"/>
    </row>
    <row r="457" customFormat="false" ht="15.75" hidden="false" customHeight="true" outlineLevel="0" collapsed="false">
      <c r="A457" s="35"/>
      <c r="B457" s="54" t="str">
        <f aca="false">IF(C457="","",DATE(YEAR(C457),MONTH(C457)+1,0))</f>
        <v/>
      </c>
      <c r="C457" s="55"/>
      <c r="D457" s="40"/>
      <c r="E457" s="40"/>
      <c r="F457" s="40"/>
      <c r="G457" s="40"/>
      <c r="H457" s="40"/>
      <c r="I457" s="60"/>
      <c r="J457" s="61" t="str">
        <f aca="false">IF(OR(E457="",F457=""),"",SUMIFS(Presupuesto!G$7:G$67,Presupuesto!B$7:B$67,E457,Presupuesto!C$7:C$67,F457))</f>
        <v/>
      </c>
      <c r="K457" s="62" t="str">
        <f aca="false">IF(OR(E457="",F457=""),"",SUMIFS(I$7:I457,E$7:E457,E457,F$7:F457,F457))</f>
        <v/>
      </c>
      <c r="L457" s="62" t="str">
        <f aca="false">IF(OR(E457="",F457=""),"",J457-SUMIFS(I$7:I$506,E$7:E$506,E457,F$7:F$506,F457))</f>
        <v/>
      </c>
      <c r="N457" s="40"/>
    </row>
    <row r="458" customFormat="false" ht="15.75" hidden="false" customHeight="true" outlineLevel="0" collapsed="false">
      <c r="A458" s="35"/>
      <c r="B458" s="54" t="str">
        <f aca="false">IF(C458="","",DATE(YEAR(C458),MONTH(C458)+1,0))</f>
        <v/>
      </c>
      <c r="C458" s="55"/>
      <c r="D458" s="40"/>
      <c r="E458" s="40"/>
      <c r="F458" s="40"/>
      <c r="G458" s="40"/>
      <c r="H458" s="40"/>
      <c r="I458" s="60"/>
      <c r="J458" s="61" t="str">
        <f aca="false">IF(OR(E458="",F458=""),"",SUMIFS(Presupuesto!G$7:G$67,Presupuesto!B$7:B$67,E458,Presupuesto!C$7:C$67,F458))</f>
        <v/>
      </c>
      <c r="K458" s="62" t="str">
        <f aca="false">IF(OR(E458="",F458=""),"",SUMIFS(I$7:I458,E$7:E458,E458,F$7:F458,F458))</f>
        <v/>
      </c>
      <c r="L458" s="62" t="str">
        <f aca="false">IF(OR(E458="",F458=""),"",J458-SUMIFS(I$7:I$506,E$7:E$506,E458,F$7:F$506,F458))</f>
        <v/>
      </c>
      <c r="N458" s="40"/>
    </row>
    <row r="459" customFormat="false" ht="15.75" hidden="false" customHeight="true" outlineLevel="0" collapsed="false">
      <c r="A459" s="35"/>
      <c r="B459" s="54" t="str">
        <f aca="false">IF(C459="","",DATE(YEAR(C459),MONTH(C459)+1,0))</f>
        <v/>
      </c>
      <c r="C459" s="55"/>
      <c r="D459" s="40"/>
      <c r="E459" s="40"/>
      <c r="F459" s="40"/>
      <c r="G459" s="40"/>
      <c r="H459" s="40"/>
      <c r="I459" s="60"/>
      <c r="J459" s="61" t="str">
        <f aca="false">IF(OR(E459="",F459=""),"",SUMIFS(Presupuesto!G$7:G$67,Presupuesto!B$7:B$67,E459,Presupuesto!C$7:C$67,F459))</f>
        <v/>
      </c>
      <c r="K459" s="62" t="str">
        <f aca="false">IF(OR(E459="",F459=""),"",SUMIFS(I$7:I459,E$7:E459,E459,F$7:F459,F459))</f>
        <v/>
      </c>
      <c r="L459" s="62" t="str">
        <f aca="false">IF(OR(E459="",F459=""),"",J459-SUMIFS(I$7:I$506,E$7:E$506,E459,F$7:F$506,F459))</f>
        <v/>
      </c>
      <c r="N459" s="40"/>
    </row>
    <row r="460" customFormat="false" ht="15.75" hidden="false" customHeight="true" outlineLevel="0" collapsed="false">
      <c r="A460" s="35"/>
      <c r="B460" s="54" t="str">
        <f aca="false">IF(C460="","",DATE(YEAR(C460),MONTH(C460)+1,0))</f>
        <v/>
      </c>
      <c r="C460" s="55"/>
      <c r="D460" s="40"/>
      <c r="E460" s="40"/>
      <c r="F460" s="40"/>
      <c r="G460" s="40"/>
      <c r="H460" s="40"/>
      <c r="I460" s="60"/>
      <c r="J460" s="61" t="str">
        <f aca="false">IF(OR(E460="",F460=""),"",SUMIFS(Presupuesto!G$7:G$67,Presupuesto!B$7:B$67,E460,Presupuesto!C$7:C$67,F460))</f>
        <v/>
      </c>
      <c r="K460" s="62" t="str">
        <f aca="false">IF(OR(E460="",F460=""),"",SUMIFS(I$7:I460,E$7:E460,E460,F$7:F460,F460))</f>
        <v/>
      </c>
      <c r="L460" s="62" t="str">
        <f aca="false">IF(OR(E460="",F460=""),"",J460-SUMIFS(I$7:I$506,E$7:E$506,E460,F$7:F$506,F460))</f>
        <v/>
      </c>
      <c r="N460" s="40"/>
    </row>
    <row r="461" customFormat="false" ht="15.75" hidden="false" customHeight="true" outlineLevel="0" collapsed="false">
      <c r="A461" s="35"/>
      <c r="B461" s="54" t="str">
        <f aca="false">IF(C461="","",DATE(YEAR(C461),MONTH(C461)+1,0))</f>
        <v/>
      </c>
      <c r="C461" s="55"/>
      <c r="D461" s="40"/>
      <c r="E461" s="40"/>
      <c r="F461" s="40"/>
      <c r="G461" s="40"/>
      <c r="H461" s="40"/>
      <c r="I461" s="60"/>
      <c r="J461" s="61" t="str">
        <f aca="false">IF(OR(E461="",F461=""),"",SUMIFS(Presupuesto!G$7:G$67,Presupuesto!B$7:B$67,E461,Presupuesto!C$7:C$67,F461))</f>
        <v/>
      </c>
      <c r="K461" s="62" t="str">
        <f aca="false">IF(OR(E461="",F461=""),"",SUMIFS(I$7:I461,E$7:E461,E461,F$7:F461,F461))</f>
        <v/>
      </c>
      <c r="L461" s="62" t="str">
        <f aca="false">IF(OR(E461="",F461=""),"",J461-SUMIFS(I$7:I$506,E$7:E$506,E461,F$7:F$506,F461))</f>
        <v/>
      </c>
      <c r="N461" s="40"/>
    </row>
    <row r="462" customFormat="false" ht="15.75" hidden="false" customHeight="true" outlineLevel="0" collapsed="false">
      <c r="A462" s="35"/>
      <c r="B462" s="54" t="str">
        <f aca="false">IF(C462="","",DATE(YEAR(C462),MONTH(C462)+1,0))</f>
        <v/>
      </c>
      <c r="C462" s="55"/>
      <c r="D462" s="40"/>
      <c r="E462" s="40"/>
      <c r="F462" s="40"/>
      <c r="G462" s="40"/>
      <c r="H462" s="40"/>
      <c r="I462" s="60"/>
      <c r="J462" s="61" t="str">
        <f aca="false">IF(OR(E462="",F462=""),"",SUMIFS(Presupuesto!G$7:G$67,Presupuesto!B$7:B$67,E462,Presupuesto!C$7:C$67,F462))</f>
        <v/>
      </c>
      <c r="K462" s="62" t="str">
        <f aca="false">IF(OR(E462="",F462=""),"",SUMIFS(I$7:I462,E$7:E462,E462,F$7:F462,F462))</f>
        <v/>
      </c>
      <c r="L462" s="62" t="str">
        <f aca="false">IF(OR(E462="",F462=""),"",J462-SUMIFS(I$7:I$506,E$7:E$506,E462,F$7:F$506,F462))</f>
        <v/>
      </c>
      <c r="N462" s="40"/>
    </row>
    <row r="463" customFormat="false" ht="15.75" hidden="false" customHeight="true" outlineLevel="0" collapsed="false">
      <c r="A463" s="35"/>
      <c r="B463" s="54" t="str">
        <f aca="false">IF(C463="","",DATE(YEAR(C463),MONTH(C463)+1,0))</f>
        <v/>
      </c>
      <c r="C463" s="55"/>
      <c r="D463" s="40"/>
      <c r="E463" s="40"/>
      <c r="F463" s="40"/>
      <c r="G463" s="40"/>
      <c r="H463" s="40"/>
      <c r="I463" s="60"/>
      <c r="J463" s="61" t="str">
        <f aca="false">IF(OR(E463="",F463=""),"",SUMIFS(Presupuesto!G$7:G$67,Presupuesto!B$7:B$67,E463,Presupuesto!C$7:C$67,F463))</f>
        <v/>
      </c>
      <c r="K463" s="62" t="str">
        <f aca="false">IF(OR(E463="",F463=""),"",SUMIFS(I$7:I463,E$7:E463,E463,F$7:F463,F463))</f>
        <v/>
      </c>
      <c r="L463" s="62" t="str">
        <f aca="false">IF(OR(E463="",F463=""),"",J463-SUMIFS(I$7:I$506,E$7:E$506,E463,F$7:F$506,F463))</f>
        <v/>
      </c>
      <c r="N463" s="40"/>
    </row>
    <row r="464" customFormat="false" ht="15.75" hidden="false" customHeight="true" outlineLevel="0" collapsed="false">
      <c r="A464" s="35"/>
      <c r="B464" s="54" t="str">
        <f aca="false">IF(C464="","",DATE(YEAR(C464),MONTH(C464)+1,0))</f>
        <v/>
      </c>
      <c r="C464" s="55"/>
      <c r="D464" s="40"/>
      <c r="E464" s="40"/>
      <c r="F464" s="40"/>
      <c r="G464" s="40"/>
      <c r="H464" s="40"/>
      <c r="I464" s="60"/>
      <c r="J464" s="61" t="str">
        <f aca="false">IF(OR(E464="",F464=""),"",SUMIFS(Presupuesto!G$7:G$67,Presupuesto!B$7:B$67,E464,Presupuesto!C$7:C$67,F464))</f>
        <v/>
      </c>
      <c r="K464" s="62" t="str">
        <f aca="false">IF(OR(E464="",F464=""),"",SUMIFS(I$7:I464,E$7:E464,E464,F$7:F464,F464))</f>
        <v/>
      </c>
      <c r="L464" s="62" t="str">
        <f aca="false">IF(OR(E464="",F464=""),"",J464-SUMIFS(I$7:I$506,E$7:E$506,E464,F$7:F$506,F464))</f>
        <v/>
      </c>
      <c r="N464" s="40"/>
    </row>
    <row r="465" customFormat="false" ht="15.75" hidden="false" customHeight="true" outlineLevel="0" collapsed="false">
      <c r="A465" s="35"/>
      <c r="B465" s="54" t="str">
        <f aca="false">IF(C465="","",DATE(YEAR(C465),MONTH(C465)+1,0))</f>
        <v/>
      </c>
      <c r="C465" s="55"/>
      <c r="D465" s="40"/>
      <c r="E465" s="40"/>
      <c r="F465" s="40"/>
      <c r="G465" s="40"/>
      <c r="H465" s="40"/>
      <c r="I465" s="60"/>
      <c r="J465" s="61" t="str">
        <f aca="false">IF(OR(E465="",F465=""),"",SUMIFS(Presupuesto!G$7:G$67,Presupuesto!B$7:B$67,E465,Presupuesto!C$7:C$67,F465))</f>
        <v/>
      </c>
      <c r="K465" s="62" t="str">
        <f aca="false">IF(OR(E465="",F465=""),"",SUMIFS(I$7:I465,E$7:E465,E465,F$7:F465,F465))</f>
        <v/>
      </c>
      <c r="L465" s="62" t="str">
        <f aca="false">IF(OR(E465="",F465=""),"",J465-SUMIFS(I$7:I$506,E$7:E$506,E465,F$7:F$506,F465))</f>
        <v/>
      </c>
      <c r="N465" s="40"/>
    </row>
    <row r="466" customFormat="false" ht="15.75" hidden="false" customHeight="true" outlineLevel="0" collapsed="false">
      <c r="A466" s="35"/>
      <c r="B466" s="54" t="str">
        <f aca="false">IF(C466="","",DATE(YEAR(C466),MONTH(C466)+1,0))</f>
        <v/>
      </c>
      <c r="C466" s="55"/>
      <c r="D466" s="40"/>
      <c r="E466" s="40"/>
      <c r="F466" s="40"/>
      <c r="G466" s="40"/>
      <c r="H466" s="40"/>
      <c r="I466" s="60"/>
      <c r="J466" s="61" t="str">
        <f aca="false">IF(OR(E466="",F466=""),"",SUMIFS(Presupuesto!G$7:G$67,Presupuesto!B$7:B$67,E466,Presupuesto!C$7:C$67,F466))</f>
        <v/>
      </c>
      <c r="K466" s="62" t="str">
        <f aca="false">IF(OR(E466="",F466=""),"",SUMIFS(I$7:I466,E$7:E466,E466,F$7:F466,F466))</f>
        <v/>
      </c>
      <c r="L466" s="62" t="str">
        <f aca="false">IF(OR(E466="",F466=""),"",J466-SUMIFS(I$7:I$506,E$7:E$506,E466,F$7:F$506,F466))</f>
        <v/>
      </c>
      <c r="N466" s="40"/>
    </row>
    <row r="467" customFormat="false" ht="15.75" hidden="false" customHeight="true" outlineLevel="0" collapsed="false">
      <c r="A467" s="35"/>
      <c r="B467" s="54" t="str">
        <f aca="false">IF(C467="","",DATE(YEAR(C467),MONTH(C467)+1,0))</f>
        <v/>
      </c>
      <c r="C467" s="55"/>
      <c r="D467" s="40"/>
      <c r="E467" s="40"/>
      <c r="F467" s="40"/>
      <c r="G467" s="40"/>
      <c r="H467" s="40"/>
      <c r="I467" s="60"/>
      <c r="J467" s="61" t="str">
        <f aca="false">IF(OR(E467="",F467=""),"",SUMIFS(Presupuesto!G$7:G$67,Presupuesto!B$7:B$67,E467,Presupuesto!C$7:C$67,F467))</f>
        <v/>
      </c>
      <c r="K467" s="62" t="str">
        <f aca="false">IF(OR(E467="",F467=""),"",SUMIFS(I$7:I467,E$7:E467,E467,F$7:F467,F467))</f>
        <v/>
      </c>
      <c r="L467" s="62" t="str">
        <f aca="false">IF(OR(E467="",F467=""),"",J467-SUMIFS(I$7:I$506,E$7:E$506,E467,F$7:F$506,F467))</f>
        <v/>
      </c>
      <c r="N467" s="40"/>
    </row>
    <row r="468" customFormat="false" ht="15.75" hidden="false" customHeight="true" outlineLevel="0" collapsed="false">
      <c r="A468" s="35"/>
      <c r="B468" s="54" t="str">
        <f aca="false">IF(C468="","",DATE(YEAR(C468),MONTH(C468)+1,0))</f>
        <v/>
      </c>
      <c r="C468" s="55"/>
      <c r="D468" s="40"/>
      <c r="E468" s="40"/>
      <c r="F468" s="40"/>
      <c r="G468" s="40"/>
      <c r="H468" s="40"/>
      <c r="I468" s="60"/>
      <c r="J468" s="61" t="str">
        <f aca="false">IF(OR(E468="",F468=""),"",SUMIFS(Presupuesto!G$7:G$67,Presupuesto!B$7:B$67,E468,Presupuesto!C$7:C$67,F468))</f>
        <v/>
      </c>
      <c r="K468" s="62" t="str">
        <f aca="false">IF(OR(E468="",F468=""),"",SUMIFS(I$7:I468,E$7:E468,E468,F$7:F468,F468))</f>
        <v/>
      </c>
      <c r="L468" s="62" t="str">
        <f aca="false">IF(OR(E468="",F468=""),"",J468-SUMIFS(I$7:I$506,E$7:E$506,E468,F$7:F$506,F468))</f>
        <v/>
      </c>
      <c r="N468" s="40"/>
    </row>
    <row r="469" customFormat="false" ht="15.75" hidden="false" customHeight="true" outlineLevel="0" collapsed="false">
      <c r="A469" s="35"/>
      <c r="B469" s="54" t="str">
        <f aca="false">IF(C469="","",DATE(YEAR(C469),MONTH(C469)+1,0))</f>
        <v/>
      </c>
      <c r="C469" s="55"/>
      <c r="D469" s="40"/>
      <c r="E469" s="40"/>
      <c r="F469" s="40"/>
      <c r="G469" s="40"/>
      <c r="H469" s="40"/>
      <c r="I469" s="60"/>
      <c r="J469" s="61" t="str">
        <f aca="false">IF(OR(E469="",F469=""),"",SUMIFS(Presupuesto!G$7:G$67,Presupuesto!B$7:B$67,E469,Presupuesto!C$7:C$67,F469))</f>
        <v/>
      </c>
      <c r="K469" s="62" t="str">
        <f aca="false">IF(OR(E469="",F469=""),"",SUMIFS(I$7:I469,E$7:E469,E469,F$7:F469,F469))</f>
        <v/>
      </c>
      <c r="L469" s="62" t="str">
        <f aca="false">IF(OR(E469="",F469=""),"",J469-SUMIFS(I$7:I$506,E$7:E$506,E469,F$7:F$506,F469))</f>
        <v/>
      </c>
      <c r="N469" s="40"/>
    </row>
    <row r="470" customFormat="false" ht="15.75" hidden="false" customHeight="true" outlineLevel="0" collapsed="false">
      <c r="A470" s="35"/>
      <c r="B470" s="54" t="str">
        <f aca="false">IF(C470="","",DATE(YEAR(C470),MONTH(C470)+1,0))</f>
        <v/>
      </c>
      <c r="C470" s="55"/>
      <c r="D470" s="40"/>
      <c r="E470" s="40"/>
      <c r="F470" s="40"/>
      <c r="G470" s="40"/>
      <c r="H470" s="40"/>
      <c r="I470" s="60"/>
      <c r="J470" s="61" t="str">
        <f aca="false">IF(OR(E470="",F470=""),"",SUMIFS(Presupuesto!G$7:G$67,Presupuesto!B$7:B$67,E470,Presupuesto!C$7:C$67,F470))</f>
        <v/>
      </c>
      <c r="K470" s="62" t="str">
        <f aca="false">IF(OR(E470="",F470=""),"",SUMIFS(I$7:I470,E$7:E470,E470,F$7:F470,F470))</f>
        <v/>
      </c>
      <c r="L470" s="62" t="str">
        <f aca="false">IF(OR(E470="",F470=""),"",J470-SUMIFS(I$7:I$506,E$7:E$506,E470,F$7:F$506,F470))</f>
        <v/>
      </c>
      <c r="N470" s="40"/>
    </row>
    <row r="471" customFormat="false" ht="15.75" hidden="false" customHeight="true" outlineLevel="0" collapsed="false">
      <c r="A471" s="35"/>
      <c r="B471" s="54" t="str">
        <f aca="false">IF(C471="","",DATE(YEAR(C471),MONTH(C471)+1,0))</f>
        <v/>
      </c>
      <c r="C471" s="55"/>
      <c r="D471" s="40"/>
      <c r="E471" s="40"/>
      <c r="F471" s="40"/>
      <c r="G471" s="40"/>
      <c r="H471" s="40"/>
      <c r="I471" s="60"/>
      <c r="J471" s="61" t="str">
        <f aca="false">IF(OR(E471="",F471=""),"",SUMIFS(Presupuesto!G$7:G$67,Presupuesto!B$7:B$67,E471,Presupuesto!C$7:C$67,F471))</f>
        <v/>
      </c>
      <c r="K471" s="62" t="str">
        <f aca="false">IF(OR(E471="",F471=""),"",SUMIFS(I$7:I471,E$7:E471,E471,F$7:F471,F471))</f>
        <v/>
      </c>
      <c r="L471" s="62" t="str">
        <f aca="false">IF(OR(E471="",F471=""),"",J471-SUMIFS(I$7:I$506,E$7:E$506,E471,F$7:F$506,F471))</f>
        <v/>
      </c>
      <c r="N471" s="40"/>
    </row>
    <row r="472" customFormat="false" ht="15.75" hidden="false" customHeight="true" outlineLevel="0" collapsed="false">
      <c r="A472" s="35"/>
      <c r="B472" s="54" t="str">
        <f aca="false">IF(C472="","",DATE(YEAR(C472),MONTH(C472)+1,0))</f>
        <v/>
      </c>
      <c r="C472" s="55"/>
      <c r="D472" s="40"/>
      <c r="E472" s="40"/>
      <c r="F472" s="40"/>
      <c r="G472" s="40"/>
      <c r="H472" s="40"/>
      <c r="I472" s="60"/>
      <c r="J472" s="61" t="str">
        <f aca="false">IF(OR(E472="",F472=""),"",SUMIFS(Presupuesto!G$7:G$67,Presupuesto!B$7:B$67,E472,Presupuesto!C$7:C$67,F472))</f>
        <v/>
      </c>
      <c r="K472" s="62" t="str">
        <f aca="false">IF(OR(E472="",F472=""),"",SUMIFS(I$7:I472,E$7:E472,E472,F$7:F472,F472))</f>
        <v/>
      </c>
      <c r="L472" s="62" t="str">
        <f aca="false">IF(OR(E472="",F472=""),"",J472-SUMIFS(I$7:I$506,E$7:E$506,E472,F$7:F$506,F472))</f>
        <v/>
      </c>
      <c r="N472" s="40"/>
    </row>
    <row r="473" customFormat="false" ht="15.75" hidden="false" customHeight="true" outlineLevel="0" collapsed="false">
      <c r="A473" s="35"/>
      <c r="B473" s="54" t="str">
        <f aca="false">IF(C473="","",DATE(YEAR(C473),MONTH(C473)+1,0))</f>
        <v/>
      </c>
      <c r="C473" s="55"/>
      <c r="D473" s="40"/>
      <c r="E473" s="40"/>
      <c r="F473" s="40"/>
      <c r="G473" s="40"/>
      <c r="H473" s="40"/>
      <c r="I473" s="60"/>
      <c r="J473" s="61" t="str">
        <f aca="false">IF(OR(E473="",F473=""),"",SUMIFS(Presupuesto!G$7:G$67,Presupuesto!B$7:B$67,E473,Presupuesto!C$7:C$67,F473))</f>
        <v/>
      </c>
      <c r="K473" s="62" t="str">
        <f aca="false">IF(OR(E473="",F473=""),"",SUMIFS(I$7:I473,E$7:E473,E473,F$7:F473,F473))</f>
        <v/>
      </c>
      <c r="L473" s="62" t="str">
        <f aca="false">IF(OR(E473="",F473=""),"",J473-SUMIFS(I$7:I$506,E$7:E$506,E473,F$7:F$506,F473))</f>
        <v/>
      </c>
      <c r="N473" s="40"/>
    </row>
    <row r="474" customFormat="false" ht="15.75" hidden="false" customHeight="true" outlineLevel="0" collapsed="false">
      <c r="A474" s="35"/>
      <c r="B474" s="54" t="str">
        <f aca="false">IF(C474="","",DATE(YEAR(C474),MONTH(C474)+1,0))</f>
        <v/>
      </c>
      <c r="C474" s="55"/>
      <c r="D474" s="40"/>
      <c r="E474" s="40"/>
      <c r="F474" s="40"/>
      <c r="G474" s="40"/>
      <c r="H474" s="40"/>
      <c r="I474" s="60"/>
      <c r="J474" s="61" t="str">
        <f aca="false">IF(OR(E474="",F474=""),"",SUMIFS(Presupuesto!G$7:G$67,Presupuesto!B$7:B$67,E474,Presupuesto!C$7:C$67,F474))</f>
        <v/>
      </c>
      <c r="K474" s="62" t="str">
        <f aca="false">IF(OR(E474="",F474=""),"",SUMIFS(I$7:I474,E$7:E474,E474,F$7:F474,F474))</f>
        <v/>
      </c>
      <c r="L474" s="62" t="str">
        <f aca="false">IF(OR(E474="",F474=""),"",J474-SUMIFS(I$7:I$506,E$7:E$506,E474,F$7:F$506,F474))</f>
        <v/>
      </c>
      <c r="N474" s="40"/>
    </row>
    <row r="475" customFormat="false" ht="15.75" hidden="false" customHeight="true" outlineLevel="0" collapsed="false">
      <c r="A475" s="35"/>
      <c r="B475" s="54" t="str">
        <f aca="false">IF(C475="","",DATE(YEAR(C475),MONTH(C475)+1,0))</f>
        <v/>
      </c>
      <c r="C475" s="55"/>
      <c r="D475" s="40"/>
      <c r="E475" s="40"/>
      <c r="F475" s="40"/>
      <c r="G475" s="40"/>
      <c r="H475" s="40"/>
      <c r="I475" s="60"/>
      <c r="J475" s="61" t="str">
        <f aca="false">IF(OR(E475="",F475=""),"",SUMIFS(Presupuesto!G$7:G$67,Presupuesto!B$7:B$67,E475,Presupuesto!C$7:C$67,F475))</f>
        <v/>
      </c>
      <c r="K475" s="62" t="str">
        <f aca="false">IF(OR(E475="",F475=""),"",SUMIFS(I$7:I475,E$7:E475,E475,F$7:F475,F475))</f>
        <v/>
      </c>
      <c r="L475" s="62" t="str">
        <f aca="false">IF(OR(E475="",F475=""),"",J475-SUMIFS(I$7:I$506,E$7:E$506,E475,F$7:F$506,F475))</f>
        <v/>
      </c>
      <c r="N475" s="40"/>
    </row>
    <row r="476" customFormat="false" ht="15.75" hidden="false" customHeight="true" outlineLevel="0" collapsed="false">
      <c r="A476" s="35"/>
      <c r="B476" s="54" t="str">
        <f aca="false">IF(C476="","",DATE(YEAR(C476),MONTH(C476)+1,0))</f>
        <v/>
      </c>
      <c r="C476" s="55"/>
      <c r="D476" s="40"/>
      <c r="E476" s="40"/>
      <c r="F476" s="40"/>
      <c r="G476" s="40"/>
      <c r="H476" s="40"/>
      <c r="I476" s="60"/>
      <c r="J476" s="61" t="str">
        <f aca="false">IF(OR(E476="",F476=""),"",SUMIFS(Presupuesto!G$7:G$67,Presupuesto!B$7:B$67,E476,Presupuesto!C$7:C$67,F476))</f>
        <v/>
      </c>
      <c r="K476" s="62" t="str">
        <f aca="false">IF(OR(E476="",F476=""),"",SUMIFS(I$7:I476,E$7:E476,E476,F$7:F476,F476))</f>
        <v/>
      </c>
      <c r="L476" s="62" t="str">
        <f aca="false">IF(OR(E476="",F476=""),"",J476-SUMIFS(I$7:I$506,E$7:E$506,E476,F$7:F$506,F476))</f>
        <v/>
      </c>
      <c r="N476" s="40"/>
    </row>
    <row r="477" customFormat="false" ht="15.75" hidden="false" customHeight="true" outlineLevel="0" collapsed="false">
      <c r="A477" s="35"/>
      <c r="B477" s="54" t="str">
        <f aca="false">IF(C477="","",DATE(YEAR(C477),MONTH(C477)+1,0))</f>
        <v/>
      </c>
      <c r="C477" s="55"/>
      <c r="D477" s="40"/>
      <c r="E477" s="40"/>
      <c r="F477" s="40"/>
      <c r="G477" s="40"/>
      <c r="H477" s="40"/>
      <c r="I477" s="60"/>
      <c r="J477" s="61" t="str">
        <f aca="false">IF(OR(E477="",F477=""),"",SUMIFS(Presupuesto!G$7:G$67,Presupuesto!B$7:B$67,E477,Presupuesto!C$7:C$67,F477))</f>
        <v/>
      </c>
      <c r="K477" s="62" t="str">
        <f aca="false">IF(OR(E477="",F477=""),"",SUMIFS(I$7:I477,E$7:E477,E477,F$7:F477,F477))</f>
        <v/>
      </c>
      <c r="L477" s="62" t="str">
        <f aca="false">IF(OR(E477="",F477=""),"",J477-SUMIFS(I$7:I$506,E$7:E$506,E477,F$7:F$506,F477))</f>
        <v/>
      </c>
      <c r="N477" s="40"/>
    </row>
    <row r="478" customFormat="false" ht="15.75" hidden="false" customHeight="true" outlineLevel="0" collapsed="false">
      <c r="A478" s="35"/>
      <c r="B478" s="54" t="str">
        <f aca="false">IF(C478="","",DATE(YEAR(C478),MONTH(C478)+1,0))</f>
        <v/>
      </c>
      <c r="C478" s="55"/>
      <c r="D478" s="40"/>
      <c r="E478" s="40"/>
      <c r="F478" s="40"/>
      <c r="G478" s="40"/>
      <c r="H478" s="40"/>
      <c r="I478" s="60"/>
      <c r="J478" s="61" t="str">
        <f aca="false">IF(OR(E478="",F478=""),"",SUMIFS(Presupuesto!G$7:G$67,Presupuesto!B$7:B$67,E478,Presupuesto!C$7:C$67,F478))</f>
        <v/>
      </c>
      <c r="K478" s="62" t="str">
        <f aca="false">IF(OR(E478="",F478=""),"",SUMIFS(I$7:I478,E$7:E478,E478,F$7:F478,F478))</f>
        <v/>
      </c>
      <c r="L478" s="62" t="str">
        <f aca="false">IF(OR(E478="",F478=""),"",J478-SUMIFS(I$7:I$506,E$7:E$506,E478,F$7:F$506,F478))</f>
        <v/>
      </c>
      <c r="N478" s="40"/>
    </row>
    <row r="479" customFormat="false" ht="15.75" hidden="false" customHeight="true" outlineLevel="0" collapsed="false">
      <c r="A479" s="35"/>
      <c r="B479" s="54" t="str">
        <f aca="false">IF(C479="","",DATE(YEAR(C479),MONTH(C479)+1,0))</f>
        <v/>
      </c>
      <c r="C479" s="55"/>
      <c r="D479" s="40"/>
      <c r="E479" s="40"/>
      <c r="F479" s="40"/>
      <c r="G479" s="40"/>
      <c r="H479" s="40"/>
      <c r="I479" s="60"/>
      <c r="J479" s="61" t="str">
        <f aca="false">IF(OR(E479="",F479=""),"",SUMIFS(Presupuesto!G$7:G$67,Presupuesto!B$7:B$67,E479,Presupuesto!C$7:C$67,F479))</f>
        <v/>
      </c>
      <c r="K479" s="62" t="str">
        <f aca="false">IF(OR(E479="",F479=""),"",SUMIFS(I$7:I479,E$7:E479,E479,F$7:F479,F479))</f>
        <v/>
      </c>
      <c r="L479" s="62" t="str">
        <f aca="false">IF(OR(E479="",F479=""),"",J479-SUMIFS(I$7:I$506,E$7:E$506,E479,F$7:F$506,F479))</f>
        <v/>
      </c>
      <c r="N479" s="40"/>
    </row>
    <row r="480" customFormat="false" ht="15.75" hidden="false" customHeight="true" outlineLevel="0" collapsed="false">
      <c r="A480" s="35"/>
      <c r="B480" s="54" t="str">
        <f aca="false">IF(C480="","",DATE(YEAR(C480),MONTH(C480)+1,0))</f>
        <v/>
      </c>
      <c r="C480" s="55"/>
      <c r="D480" s="40"/>
      <c r="E480" s="40"/>
      <c r="F480" s="40"/>
      <c r="G480" s="40"/>
      <c r="H480" s="40"/>
      <c r="I480" s="60"/>
      <c r="J480" s="61" t="str">
        <f aca="false">IF(OR(E480="",F480=""),"",SUMIFS(Presupuesto!G$7:G$67,Presupuesto!B$7:B$67,E480,Presupuesto!C$7:C$67,F480))</f>
        <v/>
      </c>
      <c r="K480" s="62" t="str">
        <f aca="false">IF(OR(E480="",F480=""),"",SUMIFS(I$7:I480,E$7:E480,E480,F$7:F480,F480))</f>
        <v/>
      </c>
      <c r="L480" s="62" t="str">
        <f aca="false">IF(OR(E480="",F480=""),"",J480-SUMIFS(I$7:I$506,E$7:E$506,E480,F$7:F$506,F480))</f>
        <v/>
      </c>
      <c r="N480" s="40"/>
    </row>
    <row r="481" customFormat="false" ht="15.75" hidden="false" customHeight="true" outlineLevel="0" collapsed="false">
      <c r="A481" s="35"/>
      <c r="B481" s="54" t="str">
        <f aca="false">IF(C481="","",DATE(YEAR(C481),MONTH(C481)+1,0))</f>
        <v/>
      </c>
      <c r="C481" s="55"/>
      <c r="D481" s="40"/>
      <c r="E481" s="40"/>
      <c r="F481" s="40"/>
      <c r="G481" s="40"/>
      <c r="H481" s="40"/>
      <c r="I481" s="60"/>
      <c r="J481" s="61" t="str">
        <f aca="false">IF(OR(E481="",F481=""),"",SUMIFS(Presupuesto!G$7:G$67,Presupuesto!B$7:B$67,E481,Presupuesto!C$7:C$67,F481))</f>
        <v/>
      </c>
      <c r="K481" s="62" t="str">
        <f aca="false">IF(OR(E481="",F481=""),"",SUMIFS(I$7:I481,E$7:E481,E481,F$7:F481,F481))</f>
        <v/>
      </c>
      <c r="L481" s="62" t="str">
        <f aca="false">IF(OR(E481="",F481=""),"",J481-SUMIFS(I$7:I$506,E$7:E$506,E481,F$7:F$506,F481))</f>
        <v/>
      </c>
      <c r="N481" s="40"/>
    </row>
    <row r="482" customFormat="false" ht="15.75" hidden="false" customHeight="true" outlineLevel="0" collapsed="false">
      <c r="A482" s="35"/>
      <c r="B482" s="54" t="str">
        <f aca="false">IF(C482="","",DATE(YEAR(C482),MONTH(C482)+1,0))</f>
        <v/>
      </c>
      <c r="C482" s="55"/>
      <c r="D482" s="40"/>
      <c r="E482" s="40"/>
      <c r="F482" s="40"/>
      <c r="G482" s="40"/>
      <c r="H482" s="40"/>
      <c r="I482" s="60"/>
      <c r="J482" s="61" t="str">
        <f aca="false">IF(OR(E482="",F482=""),"",SUMIFS(Presupuesto!G$7:G$67,Presupuesto!B$7:B$67,E482,Presupuesto!C$7:C$67,F482))</f>
        <v/>
      </c>
      <c r="K482" s="62" t="str">
        <f aca="false">IF(OR(E482="",F482=""),"",SUMIFS(I$7:I482,E$7:E482,E482,F$7:F482,F482))</f>
        <v/>
      </c>
      <c r="L482" s="62" t="str">
        <f aca="false">IF(OR(E482="",F482=""),"",J482-SUMIFS(I$7:I$506,E$7:E$506,E482,F$7:F$506,F482))</f>
        <v/>
      </c>
      <c r="N482" s="40"/>
    </row>
    <row r="483" customFormat="false" ht="15.75" hidden="false" customHeight="true" outlineLevel="0" collapsed="false">
      <c r="A483" s="35"/>
      <c r="B483" s="54" t="str">
        <f aca="false">IF(C483="","",DATE(YEAR(C483),MONTH(C483)+1,0))</f>
        <v/>
      </c>
      <c r="C483" s="55"/>
      <c r="D483" s="40"/>
      <c r="E483" s="40"/>
      <c r="F483" s="40"/>
      <c r="G483" s="40"/>
      <c r="H483" s="40"/>
      <c r="I483" s="60"/>
      <c r="J483" s="61" t="str">
        <f aca="false">IF(OR(E483="",F483=""),"",SUMIFS(Presupuesto!G$7:G$67,Presupuesto!B$7:B$67,E483,Presupuesto!C$7:C$67,F483))</f>
        <v/>
      </c>
      <c r="K483" s="62" t="str">
        <f aca="false">IF(OR(E483="",F483=""),"",SUMIFS(I$7:I483,E$7:E483,E483,F$7:F483,F483))</f>
        <v/>
      </c>
      <c r="L483" s="62" t="str">
        <f aca="false">IF(OR(E483="",F483=""),"",J483-SUMIFS(I$7:I$506,E$7:E$506,E483,F$7:F$506,F483))</f>
        <v/>
      </c>
      <c r="N483" s="40"/>
    </row>
    <row r="484" customFormat="false" ht="15.75" hidden="false" customHeight="true" outlineLevel="0" collapsed="false">
      <c r="A484" s="35"/>
      <c r="B484" s="54" t="str">
        <f aca="false">IF(C484="","",DATE(YEAR(C484),MONTH(C484)+1,0))</f>
        <v/>
      </c>
      <c r="C484" s="55"/>
      <c r="D484" s="40"/>
      <c r="E484" s="40"/>
      <c r="F484" s="40"/>
      <c r="G484" s="40"/>
      <c r="H484" s="40"/>
      <c r="I484" s="60"/>
      <c r="J484" s="61" t="str">
        <f aca="false">IF(OR(E484="",F484=""),"",SUMIFS(Presupuesto!G$7:G$67,Presupuesto!B$7:B$67,E484,Presupuesto!C$7:C$67,F484))</f>
        <v/>
      </c>
      <c r="K484" s="62" t="str">
        <f aca="false">IF(OR(E484="",F484=""),"",SUMIFS(I$7:I484,E$7:E484,E484,F$7:F484,F484))</f>
        <v/>
      </c>
      <c r="L484" s="62" t="str">
        <f aca="false">IF(OR(E484="",F484=""),"",J484-SUMIFS(I$7:I$506,E$7:E$506,E484,F$7:F$506,F484))</f>
        <v/>
      </c>
      <c r="N484" s="40"/>
    </row>
    <row r="485" customFormat="false" ht="15.75" hidden="false" customHeight="true" outlineLevel="0" collapsed="false">
      <c r="A485" s="35"/>
      <c r="B485" s="54" t="str">
        <f aca="false">IF(C485="","",DATE(YEAR(C485),MONTH(C485)+1,0))</f>
        <v/>
      </c>
      <c r="C485" s="55"/>
      <c r="D485" s="40"/>
      <c r="E485" s="40"/>
      <c r="F485" s="40"/>
      <c r="G485" s="40"/>
      <c r="H485" s="40"/>
      <c r="I485" s="60"/>
      <c r="J485" s="61" t="str">
        <f aca="false">IF(OR(E485="",F485=""),"",SUMIFS(Presupuesto!G$7:G$67,Presupuesto!B$7:B$67,E485,Presupuesto!C$7:C$67,F485))</f>
        <v/>
      </c>
      <c r="K485" s="62" t="str">
        <f aca="false">IF(OR(E485="",F485=""),"",SUMIFS(I$7:I485,E$7:E485,E485,F$7:F485,F485))</f>
        <v/>
      </c>
      <c r="L485" s="62" t="str">
        <f aca="false">IF(OR(E485="",F485=""),"",J485-SUMIFS(I$7:I$506,E$7:E$506,E485,F$7:F$506,F485))</f>
        <v/>
      </c>
      <c r="N485" s="40"/>
    </row>
    <row r="486" customFormat="false" ht="15.75" hidden="false" customHeight="true" outlineLevel="0" collapsed="false">
      <c r="A486" s="35"/>
      <c r="B486" s="54" t="str">
        <f aca="false">IF(C486="","",DATE(YEAR(C486),MONTH(C486)+1,0))</f>
        <v/>
      </c>
      <c r="C486" s="55"/>
      <c r="D486" s="40"/>
      <c r="E486" s="40"/>
      <c r="F486" s="40"/>
      <c r="G486" s="40"/>
      <c r="H486" s="40"/>
      <c r="I486" s="60"/>
      <c r="J486" s="61" t="str">
        <f aca="false">IF(OR(E486="",F486=""),"",SUMIFS(Presupuesto!G$7:G$67,Presupuesto!B$7:B$67,E486,Presupuesto!C$7:C$67,F486))</f>
        <v/>
      </c>
      <c r="K486" s="62" t="str">
        <f aca="false">IF(OR(E486="",F486=""),"",SUMIFS(I$7:I486,E$7:E486,E486,F$7:F486,F486))</f>
        <v/>
      </c>
      <c r="L486" s="62" t="str">
        <f aca="false">IF(OR(E486="",F486=""),"",J486-SUMIFS(I$7:I$506,E$7:E$506,E486,F$7:F$506,F486))</f>
        <v/>
      </c>
      <c r="N486" s="40"/>
    </row>
    <row r="487" customFormat="false" ht="15.75" hidden="false" customHeight="true" outlineLevel="0" collapsed="false">
      <c r="A487" s="35"/>
      <c r="B487" s="54" t="str">
        <f aca="false">IF(C487="","",DATE(YEAR(C487),MONTH(C487)+1,0))</f>
        <v/>
      </c>
      <c r="C487" s="55"/>
      <c r="D487" s="40"/>
      <c r="E487" s="40"/>
      <c r="F487" s="40"/>
      <c r="G487" s="40"/>
      <c r="H487" s="40"/>
      <c r="I487" s="60"/>
      <c r="J487" s="61" t="str">
        <f aca="false">IF(OR(E487="",F487=""),"",SUMIFS(Presupuesto!G$7:G$67,Presupuesto!B$7:B$67,E487,Presupuesto!C$7:C$67,F487))</f>
        <v/>
      </c>
      <c r="K487" s="62" t="str">
        <f aca="false">IF(OR(E487="",F487=""),"",SUMIFS(I$7:I487,E$7:E487,E487,F$7:F487,F487))</f>
        <v/>
      </c>
      <c r="L487" s="62" t="str">
        <f aca="false">IF(OR(E487="",F487=""),"",J487-SUMIFS(I$7:I$506,E$7:E$506,E487,F$7:F$506,F487))</f>
        <v/>
      </c>
      <c r="N487" s="40"/>
    </row>
    <row r="488" customFormat="false" ht="15.75" hidden="false" customHeight="true" outlineLevel="0" collapsed="false">
      <c r="A488" s="35"/>
      <c r="B488" s="54" t="str">
        <f aca="false">IF(C488="","",DATE(YEAR(C488),MONTH(C488)+1,0))</f>
        <v/>
      </c>
      <c r="C488" s="55"/>
      <c r="D488" s="40"/>
      <c r="E488" s="40"/>
      <c r="F488" s="40"/>
      <c r="G488" s="40"/>
      <c r="H488" s="40"/>
      <c r="I488" s="60"/>
      <c r="J488" s="61" t="str">
        <f aca="false">IF(OR(E488="",F488=""),"",SUMIFS(Presupuesto!G$7:G$67,Presupuesto!B$7:B$67,E488,Presupuesto!C$7:C$67,F488))</f>
        <v/>
      </c>
      <c r="K488" s="62" t="str">
        <f aca="false">IF(OR(E488="",F488=""),"",SUMIFS(I$7:I488,E$7:E488,E488,F$7:F488,F488))</f>
        <v/>
      </c>
      <c r="L488" s="62" t="str">
        <f aca="false">IF(OR(E488="",F488=""),"",J488-SUMIFS(I$7:I$506,E$7:E$506,E488,F$7:F$506,F488))</f>
        <v/>
      </c>
      <c r="N488" s="40"/>
    </row>
    <row r="489" customFormat="false" ht="15.75" hidden="false" customHeight="true" outlineLevel="0" collapsed="false">
      <c r="A489" s="35"/>
      <c r="B489" s="54" t="str">
        <f aca="false">IF(C489="","",DATE(YEAR(C489),MONTH(C489)+1,0))</f>
        <v/>
      </c>
      <c r="C489" s="55"/>
      <c r="D489" s="40"/>
      <c r="E489" s="40"/>
      <c r="F489" s="40"/>
      <c r="G489" s="40"/>
      <c r="H489" s="40"/>
      <c r="I489" s="60"/>
      <c r="J489" s="61" t="str">
        <f aca="false">IF(OR(E489="",F489=""),"",SUMIFS(Presupuesto!G$7:G$67,Presupuesto!B$7:B$67,E489,Presupuesto!C$7:C$67,F489))</f>
        <v/>
      </c>
      <c r="K489" s="62" t="str">
        <f aca="false">IF(OR(E489="",F489=""),"",SUMIFS(I$7:I489,E$7:E489,E489,F$7:F489,F489))</f>
        <v/>
      </c>
      <c r="L489" s="62" t="str">
        <f aca="false">IF(OR(E489="",F489=""),"",J489-SUMIFS(I$7:I$506,E$7:E$506,E489,F$7:F$506,F489))</f>
        <v/>
      </c>
      <c r="N489" s="40"/>
    </row>
    <row r="490" customFormat="false" ht="15.75" hidden="false" customHeight="true" outlineLevel="0" collapsed="false">
      <c r="A490" s="35"/>
      <c r="B490" s="54" t="str">
        <f aca="false">IF(C490="","",DATE(YEAR(C490),MONTH(C490)+1,0))</f>
        <v/>
      </c>
      <c r="C490" s="55"/>
      <c r="D490" s="40"/>
      <c r="E490" s="40"/>
      <c r="F490" s="40"/>
      <c r="G490" s="40"/>
      <c r="H490" s="40"/>
      <c r="I490" s="60"/>
      <c r="J490" s="61" t="str">
        <f aca="false">IF(OR(E490="",F490=""),"",SUMIFS(Presupuesto!G$7:G$67,Presupuesto!B$7:B$67,E490,Presupuesto!C$7:C$67,F490))</f>
        <v/>
      </c>
      <c r="K490" s="62" t="str">
        <f aca="false">IF(OR(E490="",F490=""),"",SUMIFS(I$7:I490,E$7:E490,E490,F$7:F490,F490))</f>
        <v/>
      </c>
      <c r="L490" s="62" t="str">
        <f aca="false">IF(OR(E490="",F490=""),"",J490-SUMIFS(I$7:I$506,E$7:E$506,E490,F$7:F$506,F490))</f>
        <v/>
      </c>
      <c r="N490" s="40"/>
    </row>
    <row r="491" customFormat="false" ht="15.75" hidden="false" customHeight="true" outlineLevel="0" collapsed="false">
      <c r="A491" s="35"/>
      <c r="B491" s="54" t="str">
        <f aca="false">IF(C491="","",DATE(YEAR(C491),MONTH(C491)+1,0))</f>
        <v/>
      </c>
      <c r="C491" s="55"/>
      <c r="D491" s="40"/>
      <c r="E491" s="40"/>
      <c r="F491" s="40"/>
      <c r="G491" s="40"/>
      <c r="H491" s="40"/>
      <c r="I491" s="60"/>
      <c r="J491" s="61" t="str">
        <f aca="false">IF(OR(E491="",F491=""),"",SUMIFS(Presupuesto!G$7:G$67,Presupuesto!B$7:B$67,E491,Presupuesto!C$7:C$67,F491))</f>
        <v/>
      </c>
      <c r="K491" s="62" t="str">
        <f aca="false">IF(OR(E491="",F491=""),"",SUMIFS(I$7:I491,E$7:E491,E491,F$7:F491,F491))</f>
        <v/>
      </c>
      <c r="L491" s="62" t="str">
        <f aca="false">IF(OR(E491="",F491=""),"",J491-SUMIFS(I$7:I$506,E$7:E$506,E491,F$7:F$506,F491))</f>
        <v/>
      </c>
      <c r="N491" s="40"/>
    </row>
    <row r="492" customFormat="false" ht="15.75" hidden="false" customHeight="true" outlineLevel="0" collapsed="false">
      <c r="A492" s="35"/>
      <c r="B492" s="54" t="str">
        <f aca="false">IF(C492="","",DATE(YEAR(C492),MONTH(C492)+1,0))</f>
        <v/>
      </c>
      <c r="C492" s="55"/>
      <c r="D492" s="40"/>
      <c r="E492" s="40"/>
      <c r="F492" s="40"/>
      <c r="G492" s="40"/>
      <c r="H492" s="40"/>
      <c r="I492" s="60"/>
      <c r="J492" s="61" t="str">
        <f aca="false">IF(OR(E492="",F492=""),"",SUMIFS(Presupuesto!G$7:G$67,Presupuesto!B$7:B$67,E492,Presupuesto!C$7:C$67,F492))</f>
        <v/>
      </c>
      <c r="K492" s="62" t="str">
        <f aca="false">IF(OR(E492="",F492=""),"",SUMIFS(I$7:I492,E$7:E492,E492,F$7:F492,F492))</f>
        <v/>
      </c>
      <c r="L492" s="62" t="str">
        <f aca="false">IF(OR(E492="",F492=""),"",J492-SUMIFS(I$7:I$506,E$7:E$506,E492,F$7:F$506,F492))</f>
        <v/>
      </c>
      <c r="N492" s="40"/>
    </row>
    <row r="493" customFormat="false" ht="15.75" hidden="false" customHeight="true" outlineLevel="0" collapsed="false">
      <c r="A493" s="35"/>
      <c r="B493" s="54" t="str">
        <f aca="false">IF(C493="","",DATE(YEAR(C493),MONTH(C493)+1,0))</f>
        <v/>
      </c>
      <c r="C493" s="55"/>
      <c r="D493" s="40"/>
      <c r="E493" s="40"/>
      <c r="F493" s="40"/>
      <c r="G493" s="40"/>
      <c r="H493" s="40"/>
      <c r="I493" s="60"/>
      <c r="J493" s="61" t="str">
        <f aca="false">IF(OR(E493="",F493=""),"",SUMIFS(Presupuesto!G$7:G$67,Presupuesto!B$7:B$67,E493,Presupuesto!C$7:C$67,F493))</f>
        <v/>
      </c>
      <c r="K493" s="62" t="str">
        <f aca="false">IF(OR(E493="",F493=""),"",SUMIFS(I$7:I493,E$7:E493,E493,F$7:F493,F493))</f>
        <v/>
      </c>
      <c r="L493" s="62" t="str">
        <f aca="false">IF(OR(E493="",F493=""),"",J493-SUMIFS(I$7:I$506,E$7:E$506,E493,F$7:F$506,F493))</f>
        <v/>
      </c>
      <c r="N493" s="40"/>
    </row>
    <row r="494" customFormat="false" ht="15.75" hidden="false" customHeight="true" outlineLevel="0" collapsed="false">
      <c r="A494" s="35"/>
      <c r="B494" s="54" t="str">
        <f aca="false">IF(C494="","",DATE(YEAR(C494),MONTH(C494)+1,0))</f>
        <v/>
      </c>
      <c r="C494" s="55"/>
      <c r="D494" s="40"/>
      <c r="E494" s="40"/>
      <c r="F494" s="40"/>
      <c r="G494" s="40"/>
      <c r="H494" s="40"/>
      <c r="I494" s="60"/>
      <c r="J494" s="61" t="str">
        <f aca="false">IF(OR(E494="",F494=""),"",SUMIFS(Presupuesto!G$7:G$67,Presupuesto!B$7:B$67,E494,Presupuesto!C$7:C$67,F494))</f>
        <v/>
      </c>
      <c r="K494" s="62" t="str">
        <f aca="false">IF(OR(E494="",F494=""),"",SUMIFS(I$7:I494,E$7:E494,E494,F$7:F494,F494))</f>
        <v/>
      </c>
      <c r="L494" s="62" t="str">
        <f aca="false">IF(OR(E494="",F494=""),"",J494-SUMIFS(I$7:I$506,E$7:E$506,E494,F$7:F$506,F494))</f>
        <v/>
      </c>
      <c r="N494" s="40"/>
    </row>
    <row r="495" customFormat="false" ht="15.75" hidden="false" customHeight="true" outlineLevel="0" collapsed="false">
      <c r="A495" s="35"/>
      <c r="B495" s="54" t="str">
        <f aca="false">IF(C495="","",DATE(YEAR(C495),MONTH(C495)+1,0))</f>
        <v/>
      </c>
      <c r="C495" s="55"/>
      <c r="D495" s="40"/>
      <c r="E495" s="40"/>
      <c r="F495" s="40"/>
      <c r="G495" s="40"/>
      <c r="H495" s="40"/>
      <c r="I495" s="60"/>
      <c r="J495" s="61" t="str">
        <f aca="false">IF(OR(E495="",F495=""),"",SUMIFS(Presupuesto!G$7:G$67,Presupuesto!B$7:B$67,E495,Presupuesto!C$7:C$67,F495))</f>
        <v/>
      </c>
      <c r="K495" s="62" t="str">
        <f aca="false">IF(OR(E495="",F495=""),"",SUMIFS(I$7:I495,E$7:E495,E495,F$7:F495,F495))</f>
        <v/>
      </c>
      <c r="L495" s="62" t="str">
        <f aca="false">IF(OR(E495="",F495=""),"",J495-SUMIFS(I$7:I$506,E$7:E$506,E495,F$7:F$506,F495))</f>
        <v/>
      </c>
      <c r="N495" s="40"/>
    </row>
    <row r="496" customFormat="false" ht="15.75" hidden="false" customHeight="true" outlineLevel="0" collapsed="false">
      <c r="A496" s="35"/>
      <c r="B496" s="54" t="str">
        <f aca="false">IF(C496="","",DATE(YEAR(C496),MONTH(C496)+1,0))</f>
        <v/>
      </c>
      <c r="C496" s="55"/>
      <c r="D496" s="40"/>
      <c r="E496" s="40"/>
      <c r="F496" s="40"/>
      <c r="G496" s="40"/>
      <c r="H496" s="40"/>
      <c r="I496" s="60"/>
      <c r="J496" s="61" t="str">
        <f aca="false">IF(OR(E496="",F496=""),"",SUMIFS(Presupuesto!G$7:G$67,Presupuesto!B$7:B$67,E496,Presupuesto!C$7:C$67,F496))</f>
        <v/>
      </c>
      <c r="K496" s="62" t="str">
        <f aca="false">IF(OR(E496="",F496=""),"",SUMIFS(I$7:I496,E$7:E496,E496,F$7:F496,F496))</f>
        <v/>
      </c>
      <c r="L496" s="62" t="str">
        <f aca="false">IF(OR(E496="",F496=""),"",J496-SUMIFS(I$7:I$506,E$7:E$506,E496,F$7:F$506,F496))</f>
        <v/>
      </c>
      <c r="N496" s="40"/>
    </row>
    <row r="497" customFormat="false" ht="15.75" hidden="false" customHeight="true" outlineLevel="0" collapsed="false">
      <c r="A497" s="35"/>
      <c r="B497" s="54" t="str">
        <f aca="false">IF(C497="","",DATE(YEAR(C497),MONTH(C497)+1,0))</f>
        <v/>
      </c>
      <c r="C497" s="55"/>
      <c r="D497" s="40"/>
      <c r="E497" s="40"/>
      <c r="F497" s="40"/>
      <c r="G497" s="40"/>
      <c r="H497" s="40"/>
      <c r="I497" s="60"/>
      <c r="J497" s="61" t="str">
        <f aca="false">IF(OR(E497="",F497=""),"",SUMIFS(Presupuesto!G$7:G$67,Presupuesto!B$7:B$67,E497,Presupuesto!C$7:C$67,F497))</f>
        <v/>
      </c>
      <c r="K497" s="62" t="str">
        <f aca="false">IF(OR(E497="",F497=""),"",SUMIFS(I$7:I497,E$7:E497,E497,F$7:F497,F497))</f>
        <v/>
      </c>
      <c r="L497" s="62" t="str">
        <f aca="false">IF(OR(E497="",F497=""),"",J497-SUMIFS(I$7:I$506,E$7:E$506,E497,F$7:F$506,F497))</f>
        <v/>
      </c>
      <c r="N497" s="40"/>
    </row>
    <row r="498" customFormat="false" ht="15.75" hidden="false" customHeight="true" outlineLevel="0" collapsed="false">
      <c r="A498" s="35"/>
      <c r="B498" s="54" t="str">
        <f aca="false">IF(C498="","",DATE(YEAR(C498),MONTH(C498)+1,0))</f>
        <v/>
      </c>
      <c r="C498" s="55"/>
      <c r="D498" s="40"/>
      <c r="E498" s="40"/>
      <c r="F498" s="40"/>
      <c r="G498" s="40"/>
      <c r="H498" s="40"/>
      <c r="I498" s="60"/>
      <c r="J498" s="61" t="str">
        <f aca="false">IF(OR(E498="",F498=""),"",SUMIFS(Presupuesto!G$7:G$67,Presupuesto!B$7:B$67,E498,Presupuesto!C$7:C$67,F498))</f>
        <v/>
      </c>
      <c r="K498" s="62" t="str">
        <f aca="false">IF(OR(E498="",F498=""),"",SUMIFS(I$7:I498,E$7:E498,E498,F$7:F498,F498))</f>
        <v/>
      </c>
      <c r="L498" s="62" t="str">
        <f aca="false">IF(OR(E498="",F498=""),"",J498-SUMIFS(I$7:I$506,E$7:E$506,E498,F$7:F$506,F498))</f>
        <v/>
      </c>
      <c r="N498" s="40"/>
    </row>
    <row r="499" customFormat="false" ht="15.75" hidden="false" customHeight="true" outlineLevel="0" collapsed="false">
      <c r="A499" s="35"/>
      <c r="B499" s="54" t="str">
        <f aca="false">IF(C499="","",DATE(YEAR(C499),MONTH(C499)+1,0))</f>
        <v/>
      </c>
      <c r="C499" s="55"/>
      <c r="D499" s="40"/>
      <c r="E499" s="40"/>
      <c r="F499" s="40"/>
      <c r="G499" s="40"/>
      <c r="H499" s="40"/>
      <c r="I499" s="60"/>
      <c r="J499" s="61" t="str">
        <f aca="false">IF(OR(E499="",F499=""),"",SUMIFS(Presupuesto!G$7:G$67,Presupuesto!B$7:B$67,E499,Presupuesto!C$7:C$67,F499))</f>
        <v/>
      </c>
      <c r="K499" s="62" t="str">
        <f aca="false">IF(OR(E499="",F499=""),"",SUMIFS(I$7:I499,E$7:E499,E499,F$7:F499,F499))</f>
        <v/>
      </c>
      <c r="L499" s="62" t="str">
        <f aca="false">IF(OR(E499="",F499=""),"",J499-SUMIFS(I$7:I$506,E$7:E$506,E499,F$7:F$506,F499))</f>
        <v/>
      </c>
      <c r="N499" s="40"/>
    </row>
    <row r="500" customFormat="false" ht="15.75" hidden="false" customHeight="true" outlineLevel="0" collapsed="false">
      <c r="A500" s="35"/>
      <c r="B500" s="54" t="str">
        <f aca="false">IF(C500="","",DATE(YEAR(C500),MONTH(C500)+1,0))</f>
        <v/>
      </c>
      <c r="C500" s="55"/>
      <c r="D500" s="40"/>
      <c r="E500" s="40"/>
      <c r="F500" s="40"/>
      <c r="G500" s="40"/>
      <c r="H500" s="40"/>
      <c r="I500" s="60"/>
      <c r="J500" s="61" t="str">
        <f aca="false">IF(OR(E500="",F500=""),"",SUMIFS(Presupuesto!G$7:G$67,Presupuesto!B$7:B$67,E500,Presupuesto!C$7:C$67,F500))</f>
        <v/>
      </c>
      <c r="K500" s="62" t="str">
        <f aca="false">IF(OR(E500="",F500=""),"",SUMIFS(I$7:I500,E$7:E500,E500,F$7:F500,F500))</f>
        <v/>
      </c>
      <c r="L500" s="62" t="str">
        <f aca="false">IF(OR(E500="",F500=""),"",J500-SUMIFS(I$7:I$506,E$7:E$506,E500,F$7:F$506,F500))</f>
        <v/>
      </c>
      <c r="N500" s="40"/>
    </row>
    <row r="501" customFormat="false" ht="15.75" hidden="false" customHeight="true" outlineLevel="0" collapsed="false">
      <c r="A501" s="35"/>
      <c r="B501" s="54" t="str">
        <f aca="false">IF(C501="","",DATE(YEAR(C501),MONTH(C501)+1,0))</f>
        <v/>
      </c>
      <c r="C501" s="55"/>
      <c r="D501" s="40"/>
      <c r="E501" s="40"/>
      <c r="F501" s="40"/>
      <c r="G501" s="40"/>
      <c r="H501" s="40"/>
      <c r="I501" s="60"/>
      <c r="J501" s="61" t="str">
        <f aca="false">IF(OR(E501="",F501=""),"",SUMIFS(Presupuesto!G$7:G$67,Presupuesto!B$7:B$67,E501,Presupuesto!C$7:C$67,F501))</f>
        <v/>
      </c>
      <c r="K501" s="62" t="str">
        <f aca="false">IF(OR(E501="",F501=""),"",SUMIFS(I$7:I501,E$7:E501,E501,F$7:F501,F501))</f>
        <v/>
      </c>
      <c r="L501" s="62" t="str">
        <f aca="false">IF(OR(E501="",F501=""),"",J501-SUMIFS(I$7:I$506,E$7:E$506,E501,F$7:F$506,F501))</f>
        <v/>
      </c>
      <c r="N501" s="40"/>
    </row>
    <row r="502" customFormat="false" ht="15.75" hidden="false" customHeight="true" outlineLevel="0" collapsed="false">
      <c r="A502" s="35"/>
      <c r="B502" s="54" t="str">
        <f aca="false">IF(C502="","",DATE(YEAR(C502),MONTH(C502)+1,0))</f>
        <v/>
      </c>
      <c r="C502" s="55"/>
      <c r="D502" s="40"/>
      <c r="E502" s="40"/>
      <c r="F502" s="40"/>
      <c r="G502" s="40"/>
      <c r="H502" s="40"/>
      <c r="I502" s="60"/>
      <c r="J502" s="61" t="str">
        <f aca="false">IF(OR(E502="",F502=""),"",SUMIFS(Presupuesto!G$7:G$67,Presupuesto!B$7:B$67,E502,Presupuesto!C$7:C$67,F502))</f>
        <v/>
      </c>
      <c r="K502" s="62" t="str">
        <f aca="false">IF(OR(E502="",F502=""),"",SUMIFS(I$7:I502,E$7:E502,E502,F$7:F502,F502))</f>
        <v/>
      </c>
      <c r="L502" s="62" t="str">
        <f aca="false">IF(OR(E502="",F502=""),"",J502-SUMIFS(I$7:I$506,E$7:E$506,E502,F$7:F$506,F502))</f>
        <v/>
      </c>
      <c r="N502" s="40"/>
    </row>
    <row r="503" customFormat="false" ht="15.75" hidden="false" customHeight="true" outlineLevel="0" collapsed="false">
      <c r="A503" s="35"/>
      <c r="B503" s="54" t="str">
        <f aca="false">IF(C503="","",DATE(YEAR(C503),MONTH(C503)+1,0))</f>
        <v/>
      </c>
      <c r="C503" s="55"/>
      <c r="D503" s="40"/>
      <c r="E503" s="40"/>
      <c r="F503" s="40"/>
      <c r="G503" s="40"/>
      <c r="H503" s="40"/>
      <c r="I503" s="60"/>
      <c r="J503" s="61" t="str">
        <f aca="false">IF(OR(E503="",F503=""),"",SUMIFS(Presupuesto!G$7:G$67,Presupuesto!B$7:B$67,E503,Presupuesto!C$7:C$67,F503))</f>
        <v/>
      </c>
      <c r="K503" s="62" t="str">
        <f aca="false">IF(OR(E503="",F503=""),"",SUMIFS(I$7:I503,E$7:E503,E503,F$7:F503,F503))</f>
        <v/>
      </c>
      <c r="L503" s="62" t="str">
        <f aca="false">IF(OR(E503="",F503=""),"",J503-SUMIFS(I$7:I$506,E$7:E$506,E503,F$7:F$506,F503))</f>
        <v/>
      </c>
      <c r="N503" s="40"/>
    </row>
    <row r="504" customFormat="false" ht="15.75" hidden="false" customHeight="true" outlineLevel="0" collapsed="false">
      <c r="A504" s="35"/>
      <c r="B504" s="54" t="str">
        <f aca="false">IF(C504="","",DATE(YEAR(C504),MONTH(C504)+1,0))</f>
        <v/>
      </c>
      <c r="C504" s="55"/>
      <c r="D504" s="40"/>
      <c r="E504" s="40"/>
      <c r="F504" s="40"/>
      <c r="G504" s="40"/>
      <c r="H504" s="40"/>
      <c r="I504" s="60"/>
      <c r="J504" s="61" t="str">
        <f aca="false">IF(OR(E504="",F504=""),"",SUMIFS(Presupuesto!G$7:G$67,Presupuesto!B$7:B$67,E504,Presupuesto!C$7:C$67,F504))</f>
        <v/>
      </c>
      <c r="K504" s="62" t="str">
        <f aca="false">IF(OR(E504="",F504=""),"",SUMIFS(I$7:I504,E$7:E504,E504,F$7:F504,F504))</f>
        <v/>
      </c>
      <c r="L504" s="62" t="str">
        <f aca="false">IF(OR(E504="",F504=""),"",J504-SUMIFS(I$7:I$506,E$7:E$506,E504,F$7:F$506,F504))</f>
        <v/>
      </c>
      <c r="N504" s="40"/>
    </row>
    <row r="505" customFormat="false" ht="15.75" hidden="false" customHeight="true" outlineLevel="0" collapsed="false">
      <c r="A505" s="35"/>
      <c r="B505" s="54" t="str">
        <f aca="false">IF(C505="","",DATE(YEAR(C505),MONTH(C505)+1,0))</f>
        <v/>
      </c>
      <c r="C505" s="55"/>
      <c r="D505" s="40"/>
      <c r="E505" s="40"/>
      <c r="F505" s="40"/>
      <c r="G505" s="40"/>
      <c r="H505" s="40"/>
      <c r="I505" s="60"/>
      <c r="J505" s="61" t="str">
        <f aca="false">IF(OR(E505="",F505=""),"",SUMIFS(Presupuesto!G$7:G$67,Presupuesto!B$7:B$67,E505,Presupuesto!C$7:C$67,F505))</f>
        <v/>
      </c>
      <c r="K505" s="62" t="str">
        <f aca="false">IF(OR(E505="",F505=""),"",SUMIFS(I$7:I505,E$7:E505,E505,F$7:F505,F505))</f>
        <v/>
      </c>
      <c r="L505" s="62" t="str">
        <f aca="false">IF(OR(E505="",F505=""),"",J505-SUMIFS(I$7:I$506,E$7:E$506,E505,F$7:F$506,F505))</f>
        <v/>
      </c>
      <c r="N505" s="40"/>
    </row>
    <row r="506" customFormat="false" ht="15.75" hidden="false" customHeight="true" outlineLevel="0" collapsed="false">
      <c r="A506" s="35"/>
      <c r="B506" s="54" t="str">
        <f aca="false">IF(C506="","",DATE(YEAR(C506),MONTH(C506)+1,0))</f>
        <v/>
      </c>
      <c r="C506" s="55"/>
      <c r="D506" s="40"/>
      <c r="E506" s="40"/>
      <c r="F506" s="40"/>
      <c r="G506" s="40"/>
      <c r="H506" s="40"/>
      <c r="I506" s="60"/>
      <c r="J506" s="61" t="str">
        <f aca="false">IF(OR(E506="",F506=""),"",SUMIFS(Presupuesto!G$7:G$67,Presupuesto!B$7:B$67,E506,Presupuesto!C$7:C$67,F506))</f>
        <v/>
      </c>
      <c r="K506" s="62" t="str">
        <f aca="false">IF(OR(E506="",F506=""),"",SUMIFS(I$7:I506,E$7:E506,E506,F$7:F506,F506))</f>
        <v/>
      </c>
      <c r="L506" s="62" t="str">
        <f aca="false">IF(OR(E506="",F506=""),"",J506-SUMIFS(I$7:I$506,E$7:E$506,E506,F$7:F$506,F506))</f>
        <v/>
      </c>
      <c r="N506" s="40"/>
    </row>
    <row r="507" customFormat="false" ht="15.75" hidden="false" customHeight="true" outlineLevel="0" collapsed="false">
      <c r="C507" s="7"/>
      <c r="D507" s="7"/>
      <c r="E507" s="7"/>
      <c r="F507" s="7"/>
      <c r="G507" s="7"/>
      <c r="H507" s="7"/>
      <c r="I507" s="63"/>
      <c r="J507" s="7"/>
      <c r="K507" s="7"/>
      <c r="L507" s="7"/>
      <c r="N507" s="7"/>
    </row>
    <row r="508" customFormat="false" ht="15.75" hidden="false" customHeight="true" outlineLevel="0" collapsed="false">
      <c r="C508" s="7"/>
      <c r="D508" s="7"/>
      <c r="E508" s="7"/>
      <c r="F508" s="7"/>
      <c r="G508" s="7"/>
      <c r="H508" s="7"/>
      <c r="I508" s="63"/>
      <c r="J508" s="7"/>
      <c r="K508" s="7"/>
      <c r="L508" s="7"/>
      <c r="N508" s="7"/>
    </row>
    <row r="509" customFormat="false" ht="15.75" hidden="false" customHeight="true" outlineLevel="0" collapsed="false">
      <c r="C509" s="7"/>
      <c r="D509" s="7"/>
      <c r="E509" s="7"/>
      <c r="F509" s="7"/>
      <c r="G509" s="7"/>
      <c r="H509" s="7"/>
      <c r="I509" s="63"/>
      <c r="J509" s="7"/>
      <c r="K509" s="7"/>
      <c r="L509" s="7"/>
      <c r="N509" s="7"/>
    </row>
    <row r="510" customFormat="false" ht="15.75" hidden="false" customHeight="true" outlineLevel="0" collapsed="false">
      <c r="C510" s="7"/>
      <c r="D510" s="7"/>
      <c r="E510" s="7"/>
      <c r="F510" s="7"/>
      <c r="G510" s="7"/>
      <c r="H510" s="7"/>
      <c r="I510" s="63"/>
      <c r="J510" s="7"/>
      <c r="K510" s="7"/>
      <c r="L510" s="7"/>
      <c r="N510" s="7"/>
    </row>
    <row r="511" customFormat="false" ht="15.75" hidden="false" customHeight="true" outlineLevel="0" collapsed="false">
      <c r="C511" s="7"/>
      <c r="D511" s="7"/>
      <c r="E511" s="7"/>
      <c r="F511" s="7"/>
      <c r="G511" s="7"/>
      <c r="H511" s="7"/>
      <c r="I511" s="63"/>
      <c r="J511" s="7"/>
      <c r="K511" s="7"/>
      <c r="L511" s="7"/>
      <c r="N511" s="7"/>
    </row>
    <row r="512" customFormat="false" ht="15.75" hidden="false" customHeight="true" outlineLevel="0" collapsed="false">
      <c r="C512" s="7"/>
      <c r="D512" s="7"/>
      <c r="E512" s="7"/>
      <c r="F512" s="7"/>
      <c r="G512" s="7"/>
      <c r="H512" s="7"/>
      <c r="I512" s="63"/>
      <c r="J512" s="7"/>
      <c r="K512" s="7"/>
      <c r="L512" s="7"/>
      <c r="N512" s="7"/>
    </row>
    <row r="513" customFormat="false" ht="15.75" hidden="false" customHeight="true" outlineLevel="0" collapsed="false">
      <c r="C513" s="7"/>
      <c r="D513" s="7"/>
      <c r="E513" s="7"/>
      <c r="F513" s="7"/>
      <c r="G513" s="7"/>
      <c r="H513" s="7"/>
      <c r="I513" s="63"/>
      <c r="J513" s="7"/>
      <c r="K513" s="7"/>
      <c r="L513" s="7"/>
      <c r="N513" s="7"/>
    </row>
    <row r="514" customFormat="false" ht="15.75" hidden="false" customHeight="true" outlineLevel="0" collapsed="false">
      <c r="C514" s="7"/>
      <c r="D514" s="7"/>
      <c r="E514" s="7"/>
      <c r="F514" s="7"/>
      <c r="G514" s="7"/>
      <c r="H514" s="7"/>
      <c r="I514" s="63"/>
      <c r="J514" s="7"/>
      <c r="K514" s="7"/>
      <c r="L514" s="7"/>
      <c r="N514" s="7"/>
    </row>
    <row r="515" customFormat="false" ht="15.75" hidden="false" customHeight="true" outlineLevel="0" collapsed="false">
      <c r="C515" s="7"/>
      <c r="D515" s="7"/>
      <c r="E515" s="7"/>
      <c r="F515" s="7"/>
      <c r="G515" s="7"/>
      <c r="H515" s="7"/>
      <c r="I515" s="63"/>
      <c r="J515" s="7"/>
      <c r="K515" s="7"/>
      <c r="L515" s="7"/>
      <c r="N515" s="7"/>
    </row>
    <row r="516" customFormat="false" ht="15.75" hidden="false" customHeight="true" outlineLevel="0" collapsed="false">
      <c r="C516" s="7"/>
      <c r="D516" s="7"/>
      <c r="E516" s="7"/>
      <c r="F516" s="7"/>
      <c r="G516" s="7"/>
      <c r="H516" s="7"/>
      <c r="I516" s="63"/>
      <c r="J516" s="7"/>
      <c r="K516" s="7"/>
      <c r="L516" s="7"/>
      <c r="N516" s="7"/>
    </row>
    <row r="517" customFormat="false" ht="15.75" hidden="false" customHeight="true" outlineLevel="0" collapsed="false">
      <c r="C517" s="7"/>
      <c r="D517" s="7"/>
      <c r="E517" s="7"/>
      <c r="F517" s="7"/>
      <c r="G517" s="7"/>
      <c r="H517" s="7"/>
      <c r="I517" s="63"/>
      <c r="J517" s="7"/>
      <c r="K517" s="7"/>
      <c r="L517" s="7"/>
      <c r="N517" s="7"/>
    </row>
    <row r="518" customFormat="false" ht="15.75" hidden="false" customHeight="true" outlineLevel="0" collapsed="false">
      <c r="C518" s="7"/>
      <c r="D518" s="7"/>
      <c r="E518" s="7"/>
      <c r="F518" s="7"/>
      <c r="G518" s="7"/>
      <c r="H518" s="7"/>
      <c r="I518" s="63"/>
      <c r="J518" s="7"/>
      <c r="K518" s="7"/>
      <c r="L518" s="7"/>
      <c r="N518" s="7"/>
    </row>
    <row r="519" customFormat="false" ht="15.75" hidden="false" customHeight="true" outlineLevel="0" collapsed="false">
      <c r="C519" s="7"/>
      <c r="D519" s="7"/>
      <c r="E519" s="7"/>
      <c r="F519" s="7"/>
      <c r="G519" s="7"/>
      <c r="H519" s="7"/>
      <c r="I519" s="63"/>
      <c r="J519" s="7"/>
      <c r="K519" s="7"/>
      <c r="L519" s="7"/>
      <c r="N519" s="7"/>
    </row>
    <row r="520" customFormat="false" ht="15.75" hidden="false" customHeight="true" outlineLevel="0" collapsed="false">
      <c r="C520" s="7"/>
      <c r="D520" s="7"/>
      <c r="E520" s="7"/>
      <c r="F520" s="7"/>
      <c r="G520" s="7"/>
      <c r="H520" s="7"/>
      <c r="I520" s="63"/>
      <c r="J520" s="7"/>
      <c r="K520" s="7"/>
      <c r="L520" s="7"/>
      <c r="N520" s="7"/>
    </row>
    <row r="521" customFormat="false" ht="15.75" hidden="false" customHeight="true" outlineLevel="0" collapsed="false">
      <c r="C521" s="7"/>
      <c r="D521" s="7"/>
      <c r="E521" s="7"/>
      <c r="F521" s="7"/>
      <c r="G521" s="7"/>
      <c r="H521" s="7"/>
      <c r="I521" s="63"/>
      <c r="J521" s="7"/>
      <c r="K521" s="7"/>
      <c r="L521" s="7"/>
      <c r="N521" s="7"/>
    </row>
    <row r="522" customFormat="false" ht="15.75" hidden="false" customHeight="true" outlineLevel="0" collapsed="false">
      <c r="C522" s="7"/>
      <c r="D522" s="7"/>
      <c r="E522" s="7"/>
      <c r="F522" s="7"/>
      <c r="G522" s="7"/>
      <c r="H522" s="7"/>
      <c r="I522" s="63"/>
      <c r="J522" s="7"/>
      <c r="K522" s="7"/>
      <c r="L522" s="7"/>
      <c r="N522" s="7"/>
    </row>
    <row r="523" customFormat="false" ht="15.75" hidden="false" customHeight="true" outlineLevel="0" collapsed="false">
      <c r="C523" s="7"/>
      <c r="D523" s="7"/>
      <c r="E523" s="7"/>
      <c r="F523" s="7"/>
      <c r="G523" s="7"/>
      <c r="H523" s="7"/>
      <c r="I523" s="63"/>
      <c r="J523" s="7"/>
      <c r="K523" s="7"/>
      <c r="L523" s="7"/>
      <c r="N523" s="7"/>
    </row>
    <row r="524" customFormat="false" ht="15.75" hidden="false" customHeight="true" outlineLevel="0" collapsed="false">
      <c r="C524" s="7"/>
      <c r="D524" s="7"/>
      <c r="E524" s="7"/>
      <c r="F524" s="7"/>
      <c r="G524" s="7"/>
      <c r="H524" s="7"/>
      <c r="I524" s="63"/>
      <c r="J524" s="7"/>
      <c r="K524" s="7"/>
      <c r="L524" s="7"/>
      <c r="N524" s="7"/>
    </row>
    <row r="525" customFormat="false" ht="15.75" hidden="false" customHeight="true" outlineLevel="0" collapsed="false">
      <c r="C525" s="7"/>
      <c r="D525" s="7"/>
      <c r="E525" s="7"/>
      <c r="F525" s="7"/>
      <c r="G525" s="7"/>
      <c r="H525" s="7"/>
      <c r="I525" s="63"/>
      <c r="J525" s="7"/>
      <c r="K525" s="7"/>
      <c r="L525" s="7"/>
      <c r="N525" s="7"/>
    </row>
    <row r="526" customFormat="false" ht="15.75" hidden="false" customHeight="true" outlineLevel="0" collapsed="false">
      <c r="C526" s="7"/>
      <c r="D526" s="7"/>
      <c r="E526" s="7"/>
      <c r="F526" s="7"/>
      <c r="G526" s="7"/>
      <c r="H526" s="7"/>
      <c r="I526" s="63"/>
      <c r="J526" s="7"/>
      <c r="K526" s="7"/>
      <c r="L526" s="7"/>
      <c r="N526" s="7"/>
    </row>
    <row r="527" customFormat="false" ht="15.75" hidden="false" customHeight="true" outlineLevel="0" collapsed="false">
      <c r="C527" s="7"/>
      <c r="D527" s="7"/>
      <c r="E527" s="7"/>
      <c r="F527" s="7"/>
      <c r="G527" s="7"/>
      <c r="H527" s="7"/>
      <c r="I527" s="63"/>
      <c r="J527" s="7"/>
      <c r="K527" s="7"/>
      <c r="L527" s="7"/>
      <c r="N527" s="7"/>
    </row>
    <row r="528" customFormat="false" ht="15.75" hidden="false" customHeight="true" outlineLevel="0" collapsed="false">
      <c r="C528" s="7"/>
      <c r="D528" s="7"/>
      <c r="E528" s="7"/>
      <c r="F528" s="7"/>
      <c r="G528" s="7"/>
      <c r="H528" s="7"/>
      <c r="I528" s="63"/>
      <c r="J528" s="7"/>
      <c r="K528" s="7"/>
      <c r="L528" s="7"/>
      <c r="N528" s="7"/>
    </row>
    <row r="529" customFormat="false" ht="15.75" hidden="false" customHeight="true" outlineLevel="0" collapsed="false">
      <c r="C529" s="7"/>
      <c r="D529" s="7"/>
      <c r="E529" s="7"/>
      <c r="F529" s="7"/>
      <c r="G529" s="7"/>
      <c r="H529" s="7"/>
      <c r="I529" s="63"/>
      <c r="J529" s="7"/>
      <c r="K529" s="7"/>
      <c r="L529" s="7"/>
      <c r="N529" s="7"/>
    </row>
    <row r="530" customFormat="false" ht="15.75" hidden="false" customHeight="true" outlineLevel="0" collapsed="false">
      <c r="C530" s="7"/>
      <c r="D530" s="7"/>
      <c r="E530" s="7"/>
      <c r="F530" s="7"/>
      <c r="G530" s="7"/>
      <c r="H530" s="7"/>
      <c r="I530" s="63"/>
      <c r="J530" s="7"/>
      <c r="K530" s="7"/>
      <c r="L530" s="7"/>
      <c r="N530" s="7"/>
    </row>
    <row r="531" customFormat="false" ht="15.75" hidden="false" customHeight="true" outlineLevel="0" collapsed="false">
      <c r="C531" s="7"/>
      <c r="D531" s="7"/>
      <c r="E531" s="7"/>
      <c r="F531" s="7"/>
      <c r="G531" s="7"/>
      <c r="H531" s="7"/>
      <c r="I531" s="63"/>
      <c r="J531" s="7"/>
      <c r="K531" s="7"/>
      <c r="L531" s="7"/>
      <c r="N531" s="7"/>
    </row>
    <row r="532" customFormat="false" ht="15.75" hidden="false" customHeight="true" outlineLevel="0" collapsed="false">
      <c r="C532" s="7"/>
      <c r="D532" s="7"/>
      <c r="E532" s="7"/>
      <c r="F532" s="7"/>
      <c r="G532" s="7"/>
      <c r="H532" s="7"/>
      <c r="I532" s="63"/>
      <c r="J532" s="7"/>
      <c r="K532" s="7"/>
      <c r="L532" s="7"/>
      <c r="N532" s="7"/>
    </row>
    <row r="533" customFormat="false" ht="15.75" hidden="false" customHeight="true" outlineLevel="0" collapsed="false">
      <c r="C533" s="7"/>
      <c r="D533" s="7"/>
      <c r="E533" s="7"/>
      <c r="F533" s="7"/>
      <c r="G533" s="7"/>
      <c r="H533" s="7"/>
      <c r="I533" s="63"/>
      <c r="J533" s="7"/>
      <c r="K533" s="7"/>
      <c r="L533" s="7"/>
      <c r="N533" s="7"/>
    </row>
    <row r="534" customFormat="false" ht="15.75" hidden="false" customHeight="true" outlineLevel="0" collapsed="false">
      <c r="C534" s="7"/>
      <c r="D534" s="7"/>
      <c r="E534" s="7"/>
      <c r="F534" s="7"/>
      <c r="G534" s="7"/>
      <c r="H534" s="7"/>
      <c r="I534" s="63"/>
      <c r="J534" s="7"/>
      <c r="K534" s="7"/>
      <c r="L534" s="7"/>
      <c r="N534" s="7"/>
    </row>
    <row r="535" customFormat="false" ht="15.75" hidden="false" customHeight="true" outlineLevel="0" collapsed="false">
      <c r="C535" s="7"/>
      <c r="D535" s="7"/>
      <c r="E535" s="7"/>
      <c r="F535" s="7"/>
      <c r="G535" s="7"/>
      <c r="H535" s="7"/>
      <c r="I535" s="63"/>
      <c r="J535" s="7"/>
      <c r="K535" s="7"/>
      <c r="L535" s="7"/>
      <c r="N535" s="7"/>
    </row>
    <row r="536" customFormat="false" ht="15.75" hidden="false" customHeight="true" outlineLevel="0" collapsed="false">
      <c r="C536" s="7"/>
      <c r="D536" s="7"/>
      <c r="E536" s="7"/>
      <c r="F536" s="7"/>
      <c r="G536" s="7"/>
      <c r="H536" s="7"/>
      <c r="I536" s="63"/>
      <c r="J536" s="7"/>
      <c r="K536" s="7"/>
      <c r="L536" s="7"/>
      <c r="N536" s="7"/>
    </row>
    <row r="537" customFormat="false" ht="15.75" hidden="false" customHeight="true" outlineLevel="0" collapsed="false">
      <c r="C537" s="7"/>
      <c r="D537" s="7"/>
      <c r="E537" s="7"/>
      <c r="F537" s="7"/>
      <c r="G537" s="7"/>
      <c r="H537" s="7"/>
      <c r="I537" s="63"/>
      <c r="J537" s="7"/>
      <c r="K537" s="7"/>
      <c r="L537" s="7"/>
      <c r="N537" s="7"/>
    </row>
    <row r="538" customFormat="false" ht="15.75" hidden="false" customHeight="true" outlineLevel="0" collapsed="false">
      <c r="C538" s="7"/>
      <c r="D538" s="7"/>
      <c r="E538" s="7"/>
      <c r="F538" s="7"/>
      <c r="G538" s="7"/>
      <c r="H538" s="7"/>
      <c r="I538" s="63"/>
      <c r="J538" s="7"/>
      <c r="K538" s="7"/>
      <c r="L538" s="7"/>
      <c r="N538" s="7"/>
    </row>
    <row r="539" customFormat="false" ht="15.75" hidden="false" customHeight="true" outlineLevel="0" collapsed="false">
      <c r="C539" s="7"/>
      <c r="D539" s="7"/>
      <c r="E539" s="7"/>
      <c r="F539" s="7"/>
      <c r="G539" s="7"/>
      <c r="H539" s="7"/>
      <c r="I539" s="63"/>
      <c r="J539" s="7"/>
      <c r="K539" s="7"/>
      <c r="L539" s="7"/>
      <c r="N539" s="7"/>
    </row>
    <row r="540" customFormat="false" ht="15.75" hidden="false" customHeight="true" outlineLevel="0" collapsed="false">
      <c r="C540" s="7"/>
      <c r="D540" s="7"/>
      <c r="E540" s="7"/>
      <c r="F540" s="7"/>
      <c r="G540" s="7"/>
      <c r="H540" s="7"/>
      <c r="I540" s="63"/>
      <c r="J540" s="7"/>
      <c r="K540" s="7"/>
      <c r="L540" s="7"/>
      <c r="N540" s="7"/>
    </row>
    <row r="541" customFormat="false" ht="15.75" hidden="false" customHeight="true" outlineLevel="0" collapsed="false">
      <c r="C541" s="7"/>
      <c r="D541" s="7"/>
      <c r="E541" s="7"/>
      <c r="F541" s="7"/>
      <c r="G541" s="7"/>
      <c r="H541" s="7"/>
      <c r="I541" s="63"/>
      <c r="J541" s="7"/>
      <c r="K541" s="7"/>
      <c r="L541" s="7"/>
      <c r="N541" s="7"/>
    </row>
    <row r="542" customFormat="false" ht="15.75" hidden="false" customHeight="true" outlineLevel="0" collapsed="false">
      <c r="C542" s="7"/>
      <c r="D542" s="7"/>
      <c r="E542" s="7"/>
      <c r="F542" s="7"/>
      <c r="G542" s="7"/>
      <c r="H542" s="7"/>
      <c r="I542" s="63"/>
      <c r="J542" s="7"/>
      <c r="K542" s="7"/>
      <c r="L542" s="7"/>
      <c r="N542" s="7"/>
    </row>
    <row r="543" customFormat="false" ht="15.75" hidden="false" customHeight="true" outlineLevel="0" collapsed="false">
      <c r="C543" s="7"/>
      <c r="D543" s="7"/>
      <c r="E543" s="7"/>
      <c r="F543" s="7"/>
      <c r="G543" s="7"/>
      <c r="H543" s="7"/>
      <c r="I543" s="63"/>
      <c r="J543" s="7"/>
      <c r="K543" s="7"/>
      <c r="L543" s="7"/>
      <c r="N543" s="7"/>
    </row>
    <row r="544" customFormat="false" ht="15.75" hidden="false" customHeight="true" outlineLevel="0" collapsed="false">
      <c r="C544" s="7"/>
      <c r="D544" s="7"/>
      <c r="E544" s="7"/>
      <c r="F544" s="7"/>
      <c r="G544" s="7"/>
      <c r="H544" s="7"/>
      <c r="I544" s="63"/>
      <c r="J544" s="7"/>
      <c r="K544" s="7"/>
      <c r="L544" s="7"/>
      <c r="N544" s="7"/>
    </row>
    <row r="545" customFormat="false" ht="15.75" hidden="false" customHeight="true" outlineLevel="0" collapsed="false">
      <c r="C545" s="7"/>
      <c r="D545" s="7"/>
      <c r="E545" s="7"/>
      <c r="F545" s="7"/>
      <c r="G545" s="7"/>
      <c r="H545" s="7"/>
      <c r="I545" s="63"/>
      <c r="J545" s="7"/>
      <c r="K545" s="7"/>
      <c r="L545" s="7"/>
      <c r="N545" s="7"/>
    </row>
    <row r="546" customFormat="false" ht="15.75" hidden="false" customHeight="true" outlineLevel="0" collapsed="false">
      <c r="C546" s="7"/>
      <c r="D546" s="7"/>
      <c r="E546" s="7"/>
      <c r="F546" s="7"/>
      <c r="G546" s="7"/>
      <c r="H546" s="7"/>
      <c r="I546" s="63"/>
      <c r="J546" s="7"/>
      <c r="K546" s="7"/>
      <c r="L546" s="7"/>
      <c r="N546" s="7"/>
    </row>
    <row r="547" customFormat="false" ht="15.75" hidden="false" customHeight="true" outlineLevel="0" collapsed="false">
      <c r="C547" s="7"/>
      <c r="D547" s="7"/>
      <c r="E547" s="7"/>
      <c r="F547" s="7"/>
      <c r="G547" s="7"/>
      <c r="H547" s="7"/>
      <c r="I547" s="63"/>
      <c r="J547" s="7"/>
      <c r="K547" s="7"/>
      <c r="L547" s="7"/>
      <c r="N547" s="7"/>
    </row>
    <row r="548" customFormat="false" ht="15.75" hidden="false" customHeight="true" outlineLevel="0" collapsed="false">
      <c r="C548" s="7"/>
      <c r="D548" s="7"/>
      <c r="E548" s="7"/>
      <c r="F548" s="7"/>
      <c r="G548" s="7"/>
      <c r="H548" s="7"/>
      <c r="I548" s="63"/>
      <c r="J548" s="7"/>
      <c r="K548" s="7"/>
      <c r="L548" s="7"/>
      <c r="N548" s="7"/>
    </row>
    <row r="549" customFormat="false" ht="15.75" hidden="false" customHeight="true" outlineLevel="0" collapsed="false">
      <c r="C549" s="7"/>
      <c r="D549" s="7"/>
      <c r="E549" s="7"/>
      <c r="F549" s="7"/>
      <c r="G549" s="7"/>
      <c r="H549" s="7"/>
      <c r="I549" s="63"/>
      <c r="J549" s="7"/>
      <c r="K549" s="7"/>
      <c r="L549" s="7"/>
      <c r="N549" s="7"/>
    </row>
    <row r="550" customFormat="false" ht="15.75" hidden="false" customHeight="true" outlineLevel="0" collapsed="false">
      <c r="C550" s="7"/>
      <c r="D550" s="7"/>
      <c r="E550" s="7"/>
      <c r="F550" s="7"/>
      <c r="G550" s="7"/>
      <c r="H550" s="7"/>
      <c r="I550" s="63"/>
      <c r="J550" s="7"/>
      <c r="K550" s="7"/>
      <c r="L550" s="7"/>
      <c r="N550" s="7"/>
    </row>
    <row r="551" customFormat="false" ht="15.75" hidden="false" customHeight="true" outlineLevel="0" collapsed="false">
      <c r="C551" s="7"/>
      <c r="D551" s="7"/>
      <c r="E551" s="7"/>
      <c r="F551" s="7"/>
      <c r="G551" s="7"/>
      <c r="H551" s="7"/>
      <c r="I551" s="63"/>
      <c r="J551" s="7"/>
      <c r="K551" s="7"/>
      <c r="L551" s="7"/>
      <c r="N551" s="7"/>
    </row>
    <row r="552" customFormat="false" ht="15.75" hidden="false" customHeight="true" outlineLevel="0" collapsed="false">
      <c r="C552" s="7"/>
      <c r="D552" s="7"/>
      <c r="E552" s="7"/>
      <c r="F552" s="7"/>
      <c r="G552" s="7"/>
      <c r="H552" s="7"/>
      <c r="I552" s="63"/>
      <c r="J552" s="7"/>
      <c r="K552" s="7"/>
      <c r="L552" s="7"/>
      <c r="N552" s="7"/>
    </row>
    <row r="553" customFormat="false" ht="15.75" hidden="false" customHeight="true" outlineLevel="0" collapsed="false">
      <c r="C553" s="7"/>
      <c r="D553" s="7"/>
      <c r="E553" s="7"/>
      <c r="F553" s="7"/>
      <c r="G553" s="7"/>
      <c r="H553" s="7"/>
      <c r="I553" s="63"/>
      <c r="J553" s="7"/>
      <c r="K553" s="7"/>
      <c r="L553" s="7"/>
      <c r="N553" s="7"/>
    </row>
    <row r="554" customFormat="false" ht="15.75" hidden="false" customHeight="true" outlineLevel="0" collapsed="false">
      <c r="C554" s="7"/>
      <c r="D554" s="7"/>
      <c r="E554" s="7"/>
      <c r="F554" s="7"/>
      <c r="G554" s="7"/>
      <c r="H554" s="7"/>
      <c r="I554" s="63"/>
      <c r="J554" s="7"/>
      <c r="K554" s="7"/>
      <c r="L554" s="7"/>
      <c r="N554" s="7"/>
    </row>
    <row r="555" customFormat="false" ht="15.75" hidden="false" customHeight="true" outlineLevel="0" collapsed="false">
      <c r="C555" s="7"/>
      <c r="D555" s="7"/>
      <c r="E555" s="7"/>
      <c r="F555" s="7"/>
      <c r="G555" s="7"/>
      <c r="H555" s="7"/>
      <c r="I555" s="63"/>
      <c r="J555" s="7"/>
      <c r="K555" s="7"/>
      <c r="L555" s="7"/>
      <c r="N555" s="7"/>
    </row>
    <row r="556" customFormat="false" ht="15.75" hidden="false" customHeight="true" outlineLevel="0" collapsed="false">
      <c r="C556" s="7"/>
      <c r="D556" s="7"/>
      <c r="E556" s="7"/>
      <c r="F556" s="7"/>
      <c r="G556" s="7"/>
      <c r="H556" s="7"/>
      <c r="I556" s="63"/>
      <c r="J556" s="7"/>
      <c r="K556" s="7"/>
      <c r="L556" s="7"/>
      <c r="N556" s="7"/>
    </row>
    <row r="557" customFormat="false" ht="15.75" hidden="false" customHeight="true" outlineLevel="0" collapsed="false">
      <c r="C557" s="7"/>
      <c r="D557" s="7"/>
      <c r="E557" s="7"/>
      <c r="F557" s="7"/>
      <c r="G557" s="7"/>
      <c r="H557" s="7"/>
      <c r="I557" s="63"/>
      <c r="J557" s="7"/>
      <c r="K557" s="7"/>
      <c r="L557" s="7"/>
      <c r="N557" s="7"/>
    </row>
    <row r="558" customFormat="false" ht="15.75" hidden="false" customHeight="true" outlineLevel="0" collapsed="false">
      <c r="C558" s="7"/>
      <c r="D558" s="7"/>
      <c r="E558" s="7"/>
      <c r="F558" s="7"/>
      <c r="G558" s="7"/>
      <c r="H558" s="7"/>
      <c r="I558" s="63"/>
      <c r="J558" s="7"/>
      <c r="K558" s="7"/>
      <c r="L558" s="7"/>
      <c r="N558" s="7"/>
    </row>
    <row r="559" customFormat="false" ht="15.75" hidden="false" customHeight="true" outlineLevel="0" collapsed="false">
      <c r="C559" s="7"/>
      <c r="D559" s="7"/>
      <c r="E559" s="7"/>
      <c r="F559" s="7"/>
      <c r="G559" s="7"/>
      <c r="H559" s="7"/>
      <c r="I559" s="63"/>
      <c r="J559" s="7"/>
      <c r="K559" s="7"/>
      <c r="L559" s="7"/>
      <c r="N559" s="7"/>
    </row>
    <row r="560" customFormat="false" ht="15.75" hidden="false" customHeight="true" outlineLevel="0" collapsed="false">
      <c r="C560" s="7"/>
      <c r="D560" s="7"/>
      <c r="E560" s="7"/>
      <c r="F560" s="7"/>
      <c r="G560" s="7"/>
      <c r="H560" s="7"/>
      <c r="I560" s="63"/>
      <c r="J560" s="7"/>
      <c r="K560" s="7"/>
      <c r="L560" s="7"/>
      <c r="N560" s="7"/>
    </row>
    <row r="561" customFormat="false" ht="15.75" hidden="false" customHeight="true" outlineLevel="0" collapsed="false">
      <c r="C561" s="7"/>
      <c r="D561" s="7"/>
      <c r="E561" s="7"/>
      <c r="F561" s="7"/>
      <c r="G561" s="7"/>
      <c r="H561" s="7"/>
      <c r="I561" s="63"/>
      <c r="J561" s="7"/>
      <c r="K561" s="7"/>
      <c r="L561" s="7"/>
      <c r="N561" s="7"/>
    </row>
    <row r="562" customFormat="false" ht="15.75" hidden="false" customHeight="true" outlineLevel="0" collapsed="false">
      <c r="C562" s="7"/>
      <c r="D562" s="7"/>
      <c r="E562" s="7"/>
      <c r="F562" s="7"/>
      <c r="G562" s="7"/>
      <c r="H562" s="7"/>
      <c r="I562" s="63"/>
      <c r="J562" s="7"/>
      <c r="K562" s="7"/>
      <c r="L562" s="7"/>
      <c r="N562" s="7"/>
    </row>
    <row r="563" customFormat="false" ht="15.75" hidden="false" customHeight="true" outlineLevel="0" collapsed="false">
      <c r="C563" s="7"/>
      <c r="D563" s="7"/>
      <c r="E563" s="7"/>
      <c r="F563" s="7"/>
      <c r="G563" s="7"/>
      <c r="H563" s="7"/>
      <c r="I563" s="63"/>
      <c r="J563" s="7"/>
      <c r="K563" s="7"/>
      <c r="L563" s="7"/>
      <c r="N563" s="7"/>
    </row>
    <row r="564" customFormat="false" ht="15.75" hidden="false" customHeight="true" outlineLevel="0" collapsed="false">
      <c r="C564" s="7"/>
      <c r="D564" s="7"/>
      <c r="E564" s="7"/>
      <c r="F564" s="7"/>
      <c r="G564" s="7"/>
      <c r="H564" s="7"/>
      <c r="I564" s="63"/>
      <c r="J564" s="7"/>
      <c r="K564" s="7"/>
      <c r="L564" s="7"/>
      <c r="N564" s="7"/>
    </row>
    <row r="565" customFormat="false" ht="15.75" hidden="false" customHeight="true" outlineLevel="0" collapsed="false">
      <c r="C565" s="7"/>
      <c r="D565" s="7"/>
      <c r="E565" s="7"/>
      <c r="F565" s="7"/>
      <c r="G565" s="7"/>
      <c r="H565" s="7"/>
      <c r="I565" s="63"/>
      <c r="J565" s="7"/>
      <c r="K565" s="7"/>
      <c r="L565" s="7"/>
      <c r="N565" s="7"/>
    </row>
    <row r="566" customFormat="false" ht="15.75" hidden="false" customHeight="true" outlineLevel="0" collapsed="false">
      <c r="C566" s="7"/>
      <c r="D566" s="7"/>
      <c r="E566" s="7"/>
      <c r="F566" s="7"/>
      <c r="G566" s="7"/>
      <c r="H566" s="7"/>
      <c r="I566" s="63"/>
      <c r="J566" s="7"/>
      <c r="K566" s="7"/>
      <c r="L566" s="7"/>
      <c r="N566" s="7"/>
    </row>
    <row r="567" customFormat="false" ht="15.75" hidden="false" customHeight="true" outlineLevel="0" collapsed="false">
      <c r="C567" s="7"/>
      <c r="D567" s="7"/>
      <c r="E567" s="7"/>
      <c r="F567" s="7"/>
      <c r="G567" s="7"/>
      <c r="H567" s="7"/>
      <c r="I567" s="63"/>
      <c r="J567" s="7"/>
      <c r="K567" s="7"/>
      <c r="L567" s="7"/>
      <c r="N567" s="7"/>
    </row>
    <row r="568" customFormat="false" ht="15.75" hidden="false" customHeight="true" outlineLevel="0" collapsed="false">
      <c r="C568" s="7"/>
      <c r="D568" s="7"/>
      <c r="E568" s="7"/>
      <c r="F568" s="7"/>
      <c r="G568" s="7"/>
      <c r="H568" s="7"/>
      <c r="I568" s="63"/>
      <c r="J568" s="7"/>
      <c r="K568" s="7"/>
      <c r="L568" s="7"/>
      <c r="N568" s="7"/>
    </row>
    <row r="569" customFormat="false" ht="15.75" hidden="false" customHeight="true" outlineLevel="0" collapsed="false">
      <c r="C569" s="7"/>
      <c r="D569" s="7"/>
      <c r="E569" s="7"/>
      <c r="F569" s="7"/>
      <c r="G569" s="7"/>
      <c r="H569" s="7"/>
      <c r="I569" s="63"/>
      <c r="J569" s="7"/>
      <c r="K569" s="7"/>
      <c r="L569" s="7"/>
      <c r="N569" s="7"/>
    </row>
    <row r="570" customFormat="false" ht="15.75" hidden="false" customHeight="true" outlineLevel="0" collapsed="false">
      <c r="C570" s="7"/>
      <c r="D570" s="7"/>
      <c r="E570" s="7"/>
      <c r="F570" s="7"/>
      <c r="G570" s="7"/>
      <c r="H570" s="7"/>
      <c r="I570" s="63"/>
      <c r="J570" s="7"/>
      <c r="K570" s="7"/>
      <c r="L570" s="7"/>
      <c r="N570" s="7"/>
    </row>
    <row r="571" customFormat="false" ht="15.75" hidden="false" customHeight="true" outlineLevel="0" collapsed="false">
      <c r="C571" s="7"/>
      <c r="D571" s="7"/>
      <c r="E571" s="7"/>
      <c r="F571" s="7"/>
      <c r="G571" s="7"/>
      <c r="H571" s="7"/>
      <c r="I571" s="63"/>
      <c r="J571" s="7"/>
      <c r="K571" s="7"/>
      <c r="L571" s="7"/>
      <c r="N571" s="7"/>
    </row>
    <row r="572" customFormat="false" ht="15.75" hidden="false" customHeight="true" outlineLevel="0" collapsed="false">
      <c r="C572" s="7"/>
      <c r="D572" s="7"/>
      <c r="E572" s="7"/>
      <c r="F572" s="7"/>
      <c r="G572" s="7"/>
      <c r="H572" s="7"/>
      <c r="I572" s="63"/>
      <c r="J572" s="7"/>
      <c r="K572" s="7"/>
      <c r="L572" s="7"/>
      <c r="N572" s="7"/>
    </row>
    <row r="573" customFormat="false" ht="15.75" hidden="false" customHeight="true" outlineLevel="0" collapsed="false">
      <c r="C573" s="7"/>
      <c r="D573" s="7"/>
      <c r="E573" s="7"/>
      <c r="F573" s="7"/>
      <c r="G573" s="7"/>
      <c r="H573" s="7"/>
      <c r="I573" s="63"/>
      <c r="J573" s="7"/>
      <c r="K573" s="7"/>
      <c r="L573" s="7"/>
      <c r="N573" s="7"/>
    </row>
    <row r="574" customFormat="false" ht="15.75" hidden="false" customHeight="true" outlineLevel="0" collapsed="false">
      <c r="C574" s="7"/>
      <c r="D574" s="7"/>
      <c r="E574" s="7"/>
      <c r="F574" s="7"/>
      <c r="G574" s="7"/>
      <c r="H574" s="7"/>
      <c r="I574" s="63"/>
      <c r="J574" s="7"/>
      <c r="K574" s="7"/>
      <c r="L574" s="7"/>
      <c r="N574" s="7"/>
    </row>
    <row r="575" customFormat="false" ht="15.75" hidden="false" customHeight="true" outlineLevel="0" collapsed="false">
      <c r="C575" s="7"/>
      <c r="D575" s="7"/>
      <c r="E575" s="7"/>
      <c r="F575" s="7"/>
      <c r="G575" s="7"/>
      <c r="H575" s="7"/>
      <c r="I575" s="63"/>
      <c r="J575" s="7"/>
      <c r="K575" s="7"/>
      <c r="L575" s="7"/>
      <c r="N575" s="7"/>
    </row>
    <row r="576" customFormat="false" ht="15.75" hidden="false" customHeight="true" outlineLevel="0" collapsed="false">
      <c r="C576" s="7"/>
      <c r="D576" s="7"/>
      <c r="E576" s="7"/>
      <c r="F576" s="7"/>
      <c r="G576" s="7"/>
      <c r="H576" s="7"/>
      <c r="I576" s="63"/>
      <c r="J576" s="7"/>
      <c r="K576" s="7"/>
      <c r="L576" s="7"/>
      <c r="N576" s="7"/>
    </row>
    <row r="577" customFormat="false" ht="15.75" hidden="false" customHeight="true" outlineLevel="0" collapsed="false">
      <c r="C577" s="7"/>
      <c r="D577" s="7"/>
      <c r="E577" s="7"/>
      <c r="F577" s="7"/>
      <c r="G577" s="7"/>
      <c r="H577" s="7"/>
      <c r="I577" s="63"/>
      <c r="J577" s="7"/>
      <c r="K577" s="7"/>
      <c r="L577" s="7"/>
      <c r="N577" s="7"/>
    </row>
    <row r="578" customFormat="false" ht="15.75" hidden="false" customHeight="true" outlineLevel="0" collapsed="false">
      <c r="C578" s="7"/>
      <c r="D578" s="7"/>
      <c r="E578" s="7"/>
      <c r="F578" s="7"/>
      <c r="G578" s="7"/>
      <c r="H578" s="7"/>
      <c r="I578" s="63"/>
      <c r="J578" s="7"/>
      <c r="K578" s="7"/>
      <c r="L578" s="7"/>
      <c r="N578" s="7"/>
    </row>
    <row r="579" customFormat="false" ht="15.75" hidden="false" customHeight="true" outlineLevel="0" collapsed="false">
      <c r="C579" s="7"/>
      <c r="D579" s="7"/>
      <c r="E579" s="7"/>
      <c r="F579" s="7"/>
      <c r="G579" s="7"/>
      <c r="H579" s="7"/>
      <c r="I579" s="63"/>
      <c r="J579" s="7"/>
      <c r="K579" s="7"/>
      <c r="L579" s="7"/>
      <c r="N579" s="7"/>
    </row>
    <row r="580" customFormat="false" ht="15.75" hidden="false" customHeight="true" outlineLevel="0" collapsed="false">
      <c r="C580" s="7"/>
      <c r="D580" s="7"/>
      <c r="E580" s="7"/>
      <c r="F580" s="7"/>
      <c r="G580" s="7"/>
      <c r="H580" s="7"/>
      <c r="I580" s="63"/>
      <c r="J580" s="7"/>
      <c r="K580" s="7"/>
      <c r="L580" s="7"/>
      <c r="N580" s="7"/>
    </row>
    <row r="581" customFormat="false" ht="15.75" hidden="false" customHeight="true" outlineLevel="0" collapsed="false">
      <c r="C581" s="7"/>
      <c r="D581" s="7"/>
      <c r="E581" s="7"/>
      <c r="F581" s="7"/>
      <c r="G581" s="7"/>
      <c r="H581" s="7"/>
      <c r="I581" s="63"/>
      <c r="J581" s="7"/>
      <c r="K581" s="7"/>
      <c r="L581" s="7"/>
      <c r="N581" s="7"/>
    </row>
    <row r="582" customFormat="false" ht="15.75" hidden="false" customHeight="true" outlineLevel="0" collapsed="false">
      <c r="C582" s="7"/>
      <c r="D582" s="7"/>
      <c r="E582" s="7"/>
      <c r="F582" s="7"/>
      <c r="G582" s="7"/>
      <c r="H582" s="7"/>
      <c r="I582" s="63"/>
      <c r="J582" s="7"/>
      <c r="K582" s="7"/>
      <c r="L582" s="7"/>
      <c r="N582" s="7"/>
    </row>
    <row r="583" customFormat="false" ht="15.75" hidden="false" customHeight="true" outlineLevel="0" collapsed="false">
      <c r="C583" s="7"/>
      <c r="D583" s="7"/>
      <c r="E583" s="7"/>
      <c r="F583" s="7"/>
      <c r="G583" s="7"/>
      <c r="H583" s="7"/>
      <c r="I583" s="63"/>
      <c r="J583" s="7"/>
      <c r="K583" s="7"/>
      <c r="L583" s="7"/>
      <c r="N583" s="7"/>
    </row>
    <row r="584" customFormat="false" ht="15.75" hidden="false" customHeight="true" outlineLevel="0" collapsed="false">
      <c r="C584" s="7"/>
      <c r="D584" s="7"/>
      <c r="E584" s="7"/>
      <c r="F584" s="7"/>
      <c r="G584" s="7"/>
      <c r="H584" s="7"/>
      <c r="I584" s="63"/>
      <c r="J584" s="7"/>
      <c r="K584" s="7"/>
      <c r="L584" s="7"/>
      <c r="N584" s="7"/>
    </row>
    <row r="585" customFormat="false" ht="15.75" hidden="false" customHeight="true" outlineLevel="0" collapsed="false">
      <c r="C585" s="7"/>
      <c r="D585" s="7"/>
      <c r="E585" s="7"/>
      <c r="F585" s="7"/>
      <c r="G585" s="7"/>
      <c r="H585" s="7"/>
      <c r="I585" s="63"/>
      <c r="J585" s="7"/>
      <c r="K585" s="7"/>
      <c r="L585" s="7"/>
      <c r="N585" s="7"/>
    </row>
    <row r="586" customFormat="false" ht="15.75" hidden="false" customHeight="true" outlineLevel="0" collapsed="false">
      <c r="C586" s="7"/>
      <c r="D586" s="7"/>
      <c r="E586" s="7"/>
      <c r="F586" s="7"/>
      <c r="G586" s="7"/>
      <c r="H586" s="7"/>
      <c r="I586" s="63"/>
      <c r="J586" s="7"/>
      <c r="K586" s="7"/>
      <c r="L586" s="7"/>
      <c r="N586" s="7"/>
    </row>
    <row r="587" customFormat="false" ht="15.75" hidden="false" customHeight="true" outlineLevel="0" collapsed="false">
      <c r="C587" s="7"/>
      <c r="D587" s="7"/>
      <c r="E587" s="7"/>
      <c r="F587" s="7"/>
      <c r="G587" s="7"/>
      <c r="H587" s="7"/>
      <c r="I587" s="63"/>
      <c r="J587" s="7"/>
      <c r="K587" s="7"/>
      <c r="L587" s="7"/>
      <c r="N587" s="7"/>
    </row>
    <row r="588" customFormat="false" ht="15.75" hidden="false" customHeight="true" outlineLevel="0" collapsed="false">
      <c r="C588" s="7"/>
      <c r="D588" s="7"/>
      <c r="E588" s="7"/>
      <c r="F588" s="7"/>
      <c r="G588" s="7"/>
      <c r="H588" s="7"/>
      <c r="I588" s="63"/>
      <c r="J588" s="7"/>
      <c r="K588" s="7"/>
      <c r="L588" s="7"/>
      <c r="N588" s="7"/>
    </row>
    <row r="589" customFormat="false" ht="15.75" hidden="false" customHeight="true" outlineLevel="0" collapsed="false">
      <c r="C589" s="7"/>
      <c r="D589" s="7"/>
      <c r="E589" s="7"/>
      <c r="F589" s="7"/>
      <c r="G589" s="7"/>
      <c r="H589" s="7"/>
      <c r="I589" s="63"/>
      <c r="J589" s="7"/>
      <c r="K589" s="7"/>
      <c r="L589" s="7"/>
      <c r="N589" s="7"/>
    </row>
    <row r="590" customFormat="false" ht="15.75" hidden="false" customHeight="true" outlineLevel="0" collapsed="false">
      <c r="C590" s="7"/>
      <c r="D590" s="7"/>
      <c r="E590" s="7"/>
      <c r="F590" s="7"/>
      <c r="G590" s="7"/>
      <c r="H590" s="7"/>
      <c r="I590" s="63"/>
      <c r="J590" s="7"/>
      <c r="K590" s="7"/>
      <c r="L590" s="7"/>
      <c r="N590" s="7"/>
    </row>
    <row r="591" customFormat="false" ht="15.75" hidden="false" customHeight="true" outlineLevel="0" collapsed="false">
      <c r="C591" s="7"/>
      <c r="D591" s="7"/>
      <c r="E591" s="7"/>
      <c r="F591" s="7"/>
      <c r="G591" s="7"/>
      <c r="H591" s="7"/>
      <c r="I591" s="63"/>
      <c r="J591" s="7"/>
      <c r="K591" s="7"/>
      <c r="L591" s="7"/>
      <c r="N591" s="7"/>
    </row>
    <row r="592" customFormat="false" ht="15.75" hidden="false" customHeight="true" outlineLevel="0" collapsed="false">
      <c r="C592" s="7"/>
      <c r="D592" s="7"/>
      <c r="E592" s="7"/>
      <c r="F592" s="7"/>
      <c r="G592" s="7"/>
      <c r="H592" s="7"/>
      <c r="I592" s="63"/>
      <c r="J592" s="7"/>
      <c r="K592" s="7"/>
      <c r="L592" s="7"/>
      <c r="N592" s="7"/>
    </row>
    <row r="593" customFormat="false" ht="15.75" hidden="false" customHeight="true" outlineLevel="0" collapsed="false">
      <c r="C593" s="7"/>
      <c r="D593" s="7"/>
      <c r="E593" s="7"/>
      <c r="F593" s="7"/>
      <c r="G593" s="7"/>
      <c r="H593" s="7"/>
      <c r="I593" s="63"/>
      <c r="J593" s="7"/>
      <c r="K593" s="7"/>
      <c r="L593" s="7"/>
      <c r="N593" s="7"/>
    </row>
    <row r="594" customFormat="false" ht="15.75" hidden="false" customHeight="true" outlineLevel="0" collapsed="false">
      <c r="C594" s="7"/>
      <c r="D594" s="7"/>
      <c r="E594" s="7"/>
      <c r="F594" s="7"/>
      <c r="G594" s="7"/>
      <c r="H594" s="7"/>
      <c r="I594" s="63"/>
      <c r="J594" s="7"/>
      <c r="K594" s="7"/>
      <c r="L594" s="7"/>
      <c r="N594" s="7"/>
    </row>
    <row r="595" customFormat="false" ht="15.75" hidden="false" customHeight="true" outlineLevel="0" collapsed="false">
      <c r="C595" s="7"/>
      <c r="D595" s="7"/>
      <c r="E595" s="7"/>
      <c r="F595" s="7"/>
      <c r="G595" s="7"/>
      <c r="H595" s="7"/>
      <c r="I595" s="63"/>
      <c r="J595" s="7"/>
      <c r="K595" s="7"/>
      <c r="L595" s="7"/>
      <c r="N595" s="7"/>
    </row>
    <row r="596" customFormat="false" ht="15.75" hidden="false" customHeight="true" outlineLevel="0" collapsed="false">
      <c r="C596" s="7"/>
      <c r="D596" s="7"/>
      <c r="E596" s="7"/>
      <c r="F596" s="7"/>
      <c r="G596" s="7"/>
      <c r="H596" s="7"/>
      <c r="I596" s="63"/>
      <c r="J596" s="7"/>
      <c r="K596" s="7"/>
      <c r="L596" s="7"/>
      <c r="N596" s="7"/>
    </row>
    <row r="597" customFormat="false" ht="15.75" hidden="false" customHeight="true" outlineLevel="0" collapsed="false">
      <c r="C597" s="7"/>
      <c r="D597" s="7"/>
      <c r="E597" s="7"/>
      <c r="F597" s="7"/>
      <c r="G597" s="7"/>
      <c r="H597" s="7"/>
      <c r="I597" s="63"/>
      <c r="J597" s="7"/>
      <c r="K597" s="7"/>
      <c r="L597" s="7"/>
      <c r="N597" s="7"/>
    </row>
    <row r="598" customFormat="false" ht="15.75" hidden="false" customHeight="true" outlineLevel="0" collapsed="false">
      <c r="C598" s="7"/>
      <c r="D598" s="7"/>
      <c r="E598" s="7"/>
      <c r="F598" s="7"/>
      <c r="G598" s="7"/>
      <c r="H598" s="7"/>
      <c r="I598" s="63"/>
      <c r="J598" s="7"/>
      <c r="K598" s="7"/>
      <c r="L598" s="7"/>
      <c r="N598" s="7"/>
    </row>
    <row r="599" customFormat="false" ht="15.75" hidden="false" customHeight="true" outlineLevel="0" collapsed="false">
      <c r="C599" s="7"/>
      <c r="D599" s="7"/>
      <c r="E599" s="7"/>
      <c r="F599" s="7"/>
      <c r="G599" s="7"/>
      <c r="H599" s="7"/>
      <c r="I599" s="63"/>
      <c r="J599" s="7"/>
      <c r="K599" s="7"/>
      <c r="L599" s="7"/>
      <c r="N599" s="7"/>
    </row>
    <row r="600" customFormat="false" ht="15.75" hidden="false" customHeight="true" outlineLevel="0" collapsed="false">
      <c r="C600" s="7"/>
      <c r="D600" s="7"/>
      <c r="E600" s="7"/>
      <c r="F600" s="7"/>
      <c r="G600" s="7"/>
      <c r="H600" s="7"/>
      <c r="I600" s="63"/>
      <c r="J600" s="7"/>
      <c r="K600" s="7"/>
      <c r="L600" s="7"/>
      <c r="N600" s="7"/>
    </row>
    <row r="601" customFormat="false" ht="15.75" hidden="false" customHeight="true" outlineLevel="0" collapsed="false">
      <c r="C601" s="7"/>
      <c r="D601" s="7"/>
      <c r="E601" s="7"/>
      <c r="F601" s="7"/>
      <c r="G601" s="7"/>
      <c r="H601" s="7"/>
      <c r="I601" s="63"/>
      <c r="J601" s="7"/>
      <c r="K601" s="7"/>
      <c r="L601" s="7"/>
      <c r="N601" s="7"/>
    </row>
    <row r="602" customFormat="false" ht="15.75" hidden="false" customHeight="true" outlineLevel="0" collapsed="false">
      <c r="C602" s="7"/>
      <c r="D602" s="7"/>
      <c r="E602" s="7"/>
      <c r="F602" s="7"/>
      <c r="G602" s="7"/>
      <c r="H602" s="7"/>
      <c r="I602" s="63"/>
      <c r="J602" s="7"/>
      <c r="K602" s="7"/>
      <c r="L602" s="7"/>
      <c r="N602" s="7"/>
    </row>
    <row r="603" customFormat="false" ht="15.75" hidden="false" customHeight="true" outlineLevel="0" collapsed="false">
      <c r="C603" s="7"/>
      <c r="D603" s="7"/>
      <c r="E603" s="7"/>
      <c r="F603" s="7"/>
      <c r="G603" s="7"/>
      <c r="H603" s="7"/>
      <c r="I603" s="63"/>
      <c r="J603" s="7"/>
      <c r="K603" s="7"/>
      <c r="L603" s="7"/>
      <c r="N603" s="7"/>
    </row>
    <row r="604" customFormat="false" ht="15.75" hidden="false" customHeight="true" outlineLevel="0" collapsed="false">
      <c r="C604" s="7"/>
      <c r="D604" s="7"/>
      <c r="E604" s="7"/>
      <c r="F604" s="7"/>
      <c r="G604" s="7"/>
      <c r="H604" s="7"/>
      <c r="I604" s="63"/>
      <c r="J604" s="7"/>
      <c r="K604" s="7"/>
      <c r="L604" s="7"/>
      <c r="N604" s="7"/>
    </row>
    <row r="605" customFormat="false" ht="15.75" hidden="false" customHeight="true" outlineLevel="0" collapsed="false">
      <c r="C605" s="7"/>
      <c r="D605" s="7"/>
      <c r="E605" s="7"/>
      <c r="F605" s="7"/>
      <c r="G605" s="7"/>
      <c r="H605" s="7"/>
      <c r="I605" s="63"/>
      <c r="J605" s="7"/>
      <c r="K605" s="7"/>
      <c r="L605" s="7"/>
      <c r="N605" s="7"/>
    </row>
    <row r="606" customFormat="false" ht="15.75" hidden="false" customHeight="true" outlineLevel="0" collapsed="false">
      <c r="C606" s="7"/>
      <c r="D606" s="7"/>
      <c r="E606" s="7"/>
      <c r="F606" s="7"/>
      <c r="G606" s="7"/>
      <c r="H606" s="7"/>
      <c r="I606" s="63"/>
      <c r="J606" s="7"/>
      <c r="K606" s="7"/>
      <c r="L606" s="7"/>
      <c r="N606" s="7"/>
    </row>
    <row r="607" customFormat="false" ht="15.75" hidden="false" customHeight="true" outlineLevel="0" collapsed="false">
      <c r="C607" s="7"/>
      <c r="D607" s="7"/>
      <c r="E607" s="7"/>
      <c r="F607" s="7"/>
      <c r="G607" s="7"/>
      <c r="H607" s="7"/>
      <c r="I607" s="63"/>
      <c r="J607" s="7"/>
      <c r="K607" s="7"/>
      <c r="L607" s="7"/>
      <c r="N607" s="7"/>
    </row>
    <row r="608" customFormat="false" ht="15.75" hidden="false" customHeight="true" outlineLevel="0" collapsed="false">
      <c r="C608" s="7"/>
      <c r="D608" s="7"/>
      <c r="E608" s="7"/>
      <c r="F608" s="7"/>
      <c r="G608" s="7"/>
      <c r="H608" s="7"/>
      <c r="I608" s="63"/>
      <c r="J608" s="7"/>
      <c r="K608" s="7"/>
      <c r="L608" s="7"/>
      <c r="N608" s="7"/>
    </row>
    <row r="609" customFormat="false" ht="15.75" hidden="false" customHeight="true" outlineLevel="0" collapsed="false">
      <c r="C609" s="7"/>
      <c r="D609" s="7"/>
      <c r="E609" s="7"/>
      <c r="F609" s="7"/>
      <c r="G609" s="7"/>
      <c r="H609" s="7"/>
      <c r="I609" s="63"/>
      <c r="J609" s="7"/>
      <c r="K609" s="7"/>
      <c r="L609" s="7"/>
      <c r="N609" s="7"/>
    </row>
    <row r="610" customFormat="false" ht="15.75" hidden="false" customHeight="true" outlineLevel="0" collapsed="false">
      <c r="C610" s="7"/>
      <c r="D610" s="7"/>
      <c r="E610" s="7"/>
      <c r="F610" s="7"/>
      <c r="G610" s="7"/>
      <c r="H610" s="7"/>
      <c r="I610" s="63"/>
      <c r="J610" s="7"/>
      <c r="K610" s="7"/>
      <c r="L610" s="7"/>
      <c r="N610" s="7"/>
    </row>
    <row r="611" customFormat="false" ht="15.75" hidden="false" customHeight="true" outlineLevel="0" collapsed="false">
      <c r="C611" s="7"/>
      <c r="D611" s="7"/>
      <c r="E611" s="7"/>
      <c r="F611" s="7"/>
      <c r="G611" s="7"/>
      <c r="H611" s="7"/>
      <c r="I611" s="63"/>
      <c r="J611" s="7"/>
      <c r="K611" s="7"/>
      <c r="L611" s="7"/>
      <c r="N611" s="7"/>
    </row>
    <row r="612" customFormat="false" ht="15.75" hidden="false" customHeight="true" outlineLevel="0" collapsed="false">
      <c r="C612" s="7"/>
      <c r="D612" s="7"/>
      <c r="E612" s="7"/>
      <c r="F612" s="7"/>
      <c r="G612" s="7"/>
      <c r="H612" s="7"/>
      <c r="I612" s="63"/>
      <c r="J612" s="7"/>
      <c r="K612" s="7"/>
      <c r="L612" s="7"/>
      <c r="N612" s="7"/>
    </row>
    <row r="613" customFormat="false" ht="15.75" hidden="false" customHeight="true" outlineLevel="0" collapsed="false">
      <c r="C613" s="7"/>
      <c r="D613" s="7"/>
      <c r="E613" s="7"/>
      <c r="F613" s="7"/>
      <c r="G613" s="7"/>
      <c r="H613" s="7"/>
      <c r="I613" s="63"/>
      <c r="J613" s="7"/>
      <c r="K613" s="7"/>
      <c r="L613" s="7"/>
      <c r="N613" s="7"/>
    </row>
    <row r="614" customFormat="false" ht="15.75" hidden="false" customHeight="true" outlineLevel="0" collapsed="false">
      <c r="C614" s="7"/>
      <c r="D614" s="7"/>
      <c r="E614" s="7"/>
      <c r="F614" s="7"/>
      <c r="G614" s="7"/>
      <c r="H614" s="7"/>
      <c r="I614" s="63"/>
      <c r="J614" s="7"/>
      <c r="K614" s="7"/>
      <c r="L614" s="7"/>
      <c r="N614" s="7"/>
    </row>
    <row r="615" customFormat="false" ht="15.75" hidden="false" customHeight="true" outlineLevel="0" collapsed="false">
      <c r="C615" s="7"/>
      <c r="D615" s="7"/>
      <c r="E615" s="7"/>
      <c r="F615" s="7"/>
      <c r="G615" s="7"/>
      <c r="H615" s="7"/>
      <c r="I615" s="63"/>
      <c r="J615" s="7"/>
      <c r="K615" s="7"/>
      <c r="L615" s="7"/>
      <c r="N615" s="7"/>
    </row>
    <row r="616" customFormat="false" ht="15.75" hidden="false" customHeight="true" outlineLevel="0" collapsed="false">
      <c r="C616" s="7"/>
      <c r="D616" s="7"/>
      <c r="E616" s="7"/>
      <c r="F616" s="7"/>
      <c r="G616" s="7"/>
      <c r="H616" s="7"/>
      <c r="I616" s="63"/>
      <c r="J616" s="7"/>
      <c r="K616" s="7"/>
      <c r="L616" s="7"/>
      <c r="N616" s="7"/>
    </row>
    <row r="617" customFormat="false" ht="15.75" hidden="false" customHeight="true" outlineLevel="0" collapsed="false">
      <c r="C617" s="7"/>
      <c r="D617" s="7"/>
      <c r="E617" s="7"/>
      <c r="F617" s="7"/>
      <c r="G617" s="7"/>
      <c r="H617" s="7"/>
      <c r="I617" s="63"/>
      <c r="J617" s="7"/>
      <c r="K617" s="7"/>
      <c r="L617" s="7"/>
      <c r="N617" s="7"/>
    </row>
    <row r="618" customFormat="false" ht="15.75" hidden="false" customHeight="true" outlineLevel="0" collapsed="false">
      <c r="C618" s="7"/>
      <c r="D618" s="7"/>
      <c r="E618" s="7"/>
      <c r="F618" s="7"/>
      <c r="G618" s="7"/>
      <c r="H618" s="7"/>
      <c r="I618" s="63"/>
      <c r="J618" s="7"/>
      <c r="K618" s="7"/>
      <c r="L618" s="7"/>
      <c r="N618" s="7"/>
    </row>
    <row r="619" customFormat="false" ht="15.75" hidden="false" customHeight="true" outlineLevel="0" collapsed="false">
      <c r="C619" s="7"/>
      <c r="D619" s="7"/>
      <c r="E619" s="7"/>
      <c r="F619" s="7"/>
      <c r="G619" s="7"/>
      <c r="H619" s="7"/>
      <c r="I619" s="63"/>
      <c r="J619" s="7"/>
      <c r="K619" s="7"/>
      <c r="L619" s="7"/>
      <c r="N619" s="7"/>
    </row>
    <row r="620" customFormat="false" ht="15.75" hidden="false" customHeight="true" outlineLevel="0" collapsed="false">
      <c r="C620" s="7"/>
      <c r="D620" s="7"/>
      <c r="E620" s="7"/>
      <c r="F620" s="7"/>
      <c r="G620" s="7"/>
      <c r="H620" s="7"/>
      <c r="I620" s="63"/>
      <c r="J620" s="7"/>
      <c r="K620" s="7"/>
      <c r="L620" s="7"/>
      <c r="N620" s="7"/>
    </row>
    <row r="621" customFormat="false" ht="15.75" hidden="false" customHeight="true" outlineLevel="0" collapsed="false">
      <c r="C621" s="7"/>
      <c r="D621" s="7"/>
      <c r="E621" s="7"/>
      <c r="F621" s="7"/>
      <c r="G621" s="7"/>
      <c r="H621" s="7"/>
      <c r="I621" s="63"/>
      <c r="J621" s="7"/>
      <c r="K621" s="7"/>
      <c r="L621" s="7"/>
      <c r="N621" s="7"/>
    </row>
    <row r="622" customFormat="false" ht="15.75" hidden="false" customHeight="true" outlineLevel="0" collapsed="false">
      <c r="C622" s="7"/>
      <c r="D622" s="7"/>
      <c r="E622" s="7"/>
      <c r="F622" s="7"/>
      <c r="G622" s="7"/>
      <c r="H622" s="7"/>
      <c r="I622" s="63"/>
      <c r="J622" s="7"/>
      <c r="K622" s="7"/>
      <c r="L622" s="7"/>
      <c r="N622" s="7"/>
    </row>
    <row r="623" customFormat="false" ht="15.75" hidden="false" customHeight="true" outlineLevel="0" collapsed="false">
      <c r="C623" s="7"/>
      <c r="D623" s="7"/>
      <c r="E623" s="7"/>
      <c r="F623" s="7"/>
      <c r="G623" s="7"/>
      <c r="H623" s="7"/>
      <c r="I623" s="63"/>
      <c r="J623" s="7"/>
      <c r="K623" s="7"/>
      <c r="L623" s="7"/>
      <c r="N623" s="7"/>
    </row>
    <row r="624" customFormat="false" ht="15.75" hidden="false" customHeight="true" outlineLevel="0" collapsed="false">
      <c r="C624" s="7"/>
      <c r="D624" s="7"/>
      <c r="E624" s="7"/>
      <c r="F624" s="7"/>
      <c r="G624" s="7"/>
      <c r="H624" s="7"/>
      <c r="I624" s="63"/>
      <c r="J624" s="7"/>
      <c r="K624" s="7"/>
      <c r="L624" s="7"/>
      <c r="N624" s="7"/>
    </row>
    <row r="625" customFormat="false" ht="15.75" hidden="false" customHeight="true" outlineLevel="0" collapsed="false">
      <c r="C625" s="7"/>
      <c r="D625" s="7"/>
      <c r="E625" s="7"/>
      <c r="F625" s="7"/>
      <c r="G625" s="7"/>
      <c r="H625" s="7"/>
      <c r="I625" s="63"/>
      <c r="J625" s="7"/>
      <c r="K625" s="7"/>
      <c r="L625" s="7"/>
      <c r="N625" s="7"/>
    </row>
    <row r="626" customFormat="false" ht="15.75" hidden="false" customHeight="true" outlineLevel="0" collapsed="false">
      <c r="C626" s="7"/>
      <c r="D626" s="7"/>
      <c r="E626" s="7"/>
      <c r="F626" s="7"/>
      <c r="G626" s="7"/>
      <c r="H626" s="7"/>
      <c r="I626" s="63"/>
      <c r="J626" s="7"/>
      <c r="K626" s="7"/>
      <c r="L626" s="7"/>
      <c r="N626" s="7"/>
    </row>
    <row r="627" customFormat="false" ht="15.75" hidden="false" customHeight="true" outlineLevel="0" collapsed="false">
      <c r="C627" s="7"/>
      <c r="D627" s="7"/>
      <c r="E627" s="7"/>
      <c r="F627" s="7"/>
      <c r="G627" s="7"/>
      <c r="H627" s="7"/>
      <c r="I627" s="63"/>
      <c r="J627" s="7"/>
      <c r="K627" s="7"/>
      <c r="L627" s="7"/>
      <c r="N627" s="7"/>
    </row>
    <row r="628" customFormat="false" ht="15.75" hidden="false" customHeight="true" outlineLevel="0" collapsed="false">
      <c r="C628" s="7"/>
      <c r="D628" s="7"/>
      <c r="E628" s="7"/>
      <c r="F628" s="7"/>
      <c r="G628" s="7"/>
      <c r="H628" s="7"/>
      <c r="I628" s="63"/>
      <c r="J628" s="7"/>
      <c r="K628" s="7"/>
      <c r="L628" s="7"/>
      <c r="N628" s="7"/>
    </row>
    <row r="629" customFormat="false" ht="15.75" hidden="false" customHeight="true" outlineLevel="0" collapsed="false">
      <c r="C629" s="7"/>
      <c r="D629" s="7"/>
      <c r="E629" s="7"/>
      <c r="F629" s="7"/>
      <c r="G629" s="7"/>
      <c r="H629" s="7"/>
      <c r="I629" s="63"/>
      <c r="J629" s="7"/>
      <c r="K629" s="7"/>
      <c r="L629" s="7"/>
      <c r="N629" s="7"/>
    </row>
    <row r="630" customFormat="false" ht="15.75" hidden="false" customHeight="true" outlineLevel="0" collapsed="false">
      <c r="C630" s="7"/>
      <c r="D630" s="7"/>
      <c r="E630" s="7"/>
      <c r="F630" s="7"/>
      <c r="G630" s="7"/>
      <c r="H630" s="7"/>
      <c r="I630" s="63"/>
      <c r="J630" s="7"/>
      <c r="K630" s="7"/>
      <c r="L630" s="7"/>
      <c r="N630" s="7"/>
    </row>
    <row r="631" customFormat="false" ht="15.75" hidden="false" customHeight="true" outlineLevel="0" collapsed="false">
      <c r="C631" s="7"/>
      <c r="D631" s="7"/>
      <c r="E631" s="7"/>
      <c r="F631" s="7"/>
      <c r="G631" s="7"/>
      <c r="H631" s="7"/>
      <c r="I631" s="63"/>
      <c r="J631" s="7"/>
      <c r="K631" s="7"/>
      <c r="L631" s="7"/>
      <c r="N631" s="7"/>
    </row>
    <row r="632" customFormat="false" ht="15.75" hidden="false" customHeight="true" outlineLevel="0" collapsed="false">
      <c r="C632" s="7"/>
      <c r="D632" s="7"/>
      <c r="E632" s="7"/>
      <c r="F632" s="7"/>
      <c r="G632" s="7"/>
      <c r="H632" s="7"/>
      <c r="I632" s="63"/>
      <c r="J632" s="7"/>
      <c r="K632" s="7"/>
      <c r="L632" s="7"/>
      <c r="N632" s="7"/>
    </row>
    <row r="633" customFormat="false" ht="15.75" hidden="false" customHeight="true" outlineLevel="0" collapsed="false">
      <c r="C633" s="7"/>
      <c r="D633" s="7"/>
      <c r="E633" s="7"/>
      <c r="F633" s="7"/>
      <c r="G633" s="7"/>
      <c r="H633" s="7"/>
      <c r="I633" s="63"/>
      <c r="J633" s="7"/>
      <c r="K633" s="7"/>
      <c r="L633" s="7"/>
      <c r="N633" s="7"/>
    </row>
    <row r="634" customFormat="false" ht="15.75" hidden="false" customHeight="true" outlineLevel="0" collapsed="false">
      <c r="C634" s="7"/>
      <c r="D634" s="7"/>
      <c r="E634" s="7"/>
      <c r="F634" s="7"/>
      <c r="G634" s="7"/>
      <c r="H634" s="7"/>
      <c r="I634" s="63"/>
      <c r="J634" s="7"/>
      <c r="K634" s="7"/>
      <c r="L634" s="7"/>
      <c r="N634" s="7"/>
    </row>
    <row r="635" customFormat="false" ht="15.75" hidden="false" customHeight="true" outlineLevel="0" collapsed="false">
      <c r="C635" s="7"/>
      <c r="D635" s="7"/>
      <c r="E635" s="7"/>
      <c r="F635" s="7"/>
      <c r="G635" s="7"/>
      <c r="H635" s="7"/>
      <c r="I635" s="63"/>
      <c r="J635" s="7"/>
      <c r="K635" s="7"/>
      <c r="L635" s="7"/>
      <c r="N635" s="7"/>
    </row>
    <row r="636" customFormat="false" ht="15.75" hidden="false" customHeight="true" outlineLevel="0" collapsed="false">
      <c r="C636" s="7"/>
      <c r="D636" s="7"/>
      <c r="E636" s="7"/>
      <c r="F636" s="7"/>
      <c r="G636" s="7"/>
      <c r="H636" s="7"/>
      <c r="I636" s="63"/>
      <c r="J636" s="7"/>
      <c r="K636" s="7"/>
      <c r="L636" s="7"/>
      <c r="N636" s="7"/>
    </row>
    <row r="637" customFormat="false" ht="15.75" hidden="false" customHeight="true" outlineLevel="0" collapsed="false">
      <c r="C637" s="7"/>
      <c r="D637" s="7"/>
      <c r="E637" s="7"/>
      <c r="F637" s="7"/>
      <c r="G637" s="7"/>
      <c r="H637" s="7"/>
      <c r="I637" s="63"/>
      <c r="J637" s="7"/>
      <c r="K637" s="7"/>
      <c r="L637" s="7"/>
      <c r="N637" s="7"/>
    </row>
    <row r="638" customFormat="false" ht="15.75" hidden="false" customHeight="true" outlineLevel="0" collapsed="false">
      <c r="C638" s="7"/>
      <c r="D638" s="7"/>
      <c r="E638" s="7"/>
      <c r="F638" s="7"/>
      <c r="G638" s="7"/>
      <c r="H638" s="7"/>
      <c r="I638" s="63"/>
      <c r="J638" s="7"/>
      <c r="K638" s="7"/>
      <c r="L638" s="7"/>
      <c r="N638" s="7"/>
    </row>
    <row r="639" customFormat="false" ht="15.75" hidden="false" customHeight="true" outlineLevel="0" collapsed="false">
      <c r="C639" s="7"/>
      <c r="D639" s="7"/>
      <c r="E639" s="7"/>
      <c r="F639" s="7"/>
      <c r="G639" s="7"/>
      <c r="H639" s="7"/>
      <c r="I639" s="63"/>
      <c r="J639" s="7"/>
      <c r="K639" s="7"/>
      <c r="L639" s="7"/>
      <c r="N639" s="7"/>
    </row>
    <row r="640" customFormat="false" ht="15.75" hidden="false" customHeight="true" outlineLevel="0" collapsed="false">
      <c r="C640" s="7"/>
      <c r="D640" s="7"/>
      <c r="E640" s="7"/>
      <c r="F640" s="7"/>
      <c r="G640" s="7"/>
      <c r="H640" s="7"/>
      <c r="I640" s="63"/>
      <c r="J640" s="7"/>
      <c r="K640" s="7"/>
      <c r="L640" s="7"/>
      <c r="N640" s="7"/>
    </row>
    <row r="641" customFormat="false" ht="15.75" hidden="false" customHeight="true" outlineLevel="0" collapsed="false">
      <c r="C641" s="7"/>
      <c r="D641" s="7"/>
      <c r="E641" s="7"/>
      <c r="F641" s="7"/>
      <c r="G641" s="7"/>
      <c r="H641" s="7"/>
      <c r="I641" s="63"/>
      <c r="J641" s="7"/>
      <c r="K641" s="7"/>
      <c r="L641" s="7"/>
      <c r="N641" s="7"/>
    </row>
    <row r="642" customFormat="false" ht="15.75" hidden="false" customHeight="true" outlineLevel="0" collapsed="false">
      <c r="C642" s="7"/>
      <c r="D642" s="7"/>
      <c r="E642" s="7"/>
      <c r="F642" s="7"/>
      <c r="G642" s="7"/>
      <c r="H642" s="7"/>
      <c r="I642" s="63"/>
      <c r="J642" s="7"/>
      <c r="K642" s="7"/>
      <c r="L642" s="7"/>
      <c r="N642" s="7"/>
    </row>
    <row r="643" customFormat="false" ht="15.75" hidden="false" customHeight="true" outlineLevel="0" collapsed="false">
      <c r="C643" s="7"/>
      <c r="D643" s="7"/>
      <c r="E643" s="7"/>
      <c r="F643" s="7"/>
      <c r="G643" s="7"/>
      <c r="H643" s="7"/>
      <c r="I643" s="63"/>
      <c r="J643" s="7"/>
      <c r="K643" s="7"/>
      <c r="L643" s="7"/>
      <c r="N643" s="7"/>
    </row>
    <row r="644" customFormat="false" ht="15.75" hidden="false" customHeight="true" outlineLevel="0" collapsed="false">
      <c r="C644" s="7"/>
      <c r="D644" s="7"/>
      <c r="E644" s="7"/>
      <c r="F644" s="7"/>
      <c r="G644" s="7"/>
      <c r="H644" s="7"/>
      <c r="I644" s="63"/>
      <c r="J644" s="7"/>
      <c r="K644" s="7"/>
      <c r="L644" s="7"/>
      <c r="N644" s="7"/>
    </row>
    <row r="645" customFormat="false" ht="15.75" hidden="false" customHeight="true" outlineLevel="0" collapsed="false">
      <c r="C645" s="7"/>
      <c r="D645" s="7"/>
      <c r="E645" s="7"/>
      <c r="F645" s="7"/>
      <c r="G645" s="7"/>
      <c r="H645" s="7"/>
      <c r="I645" s="63"/>
      <c r="J645" s="7"/>
      <c r="K645" s="7"/>
      <c r="L645" s="7"/>
      <c r="N645" s="7"/>
    </row>
    <row r="646" customFormat="false" ht="15.75" hidden="false" customHeight="true" outlineLevel="0" collapsed="false">
      <c r="C646" s="7"/>
      <c r="D646" s="7"/>
      <c r="E646" s="7"/>
      <c r="F646" s="7"/>
      <c r="G646" s="7"/>
      <c r="H646" s="7"/>
      <c r="I646" s="63"/>
      <c r="J646" s="7"/>
      <c r="K646" s="7"/>
      <c r="L646" s="7"/>
      <c r="N646" s="7"/>
    </row>
    <row r="647" customFormat="false" ht="15.75" hidden="false" customHeight="true" outlineLevel="0" collapsed="false">
      <c r="C647" s="7"/>
      <c r="D647" s="7"/>
      <c r="E647" s="7"/>
      <c r="F647" s="7"/>
      <c r="G647" s="7"/>
      <c r="H647" s="7"/>
      <c r="I647" s="63"/>
      <c r="J647" s="7"/>
      <c r="K647" s="7"/>
      <c r="L647" s="7"/>
      <c r="N647" s="7"/>
    </row>
    <row r="648" customFormat="false" ht="15.75" hidden="false" customHeight="true" outlineLevel="0" collapsed="false">
      <c r="C648" s="7"/>
      <c r="D648" s="7"/>
      <c r="E648" s="7"/>
      <c r="F648" s="7"/>
      <c r="G648" s="7"/>
      <c r="H648" s="7"/>
      <c r="I648" s="63"/>
      <c r="J648" s="7"/>
      <c r="K648" s="7"/>
      <c r="L648" s="7"/>
      <c r="N648" s="7"/>
    </row>
    <row r="649" customFormat="false" ht="15.75" hidden="false" customHeight="true" outlineLevel="0" collapsed="false">
      <c r="C649" s="7"/>
      <c r="D649" s="7"/>
      <c r="E649" s="7"/>
      <c r="F649" s="7"/>
      <c r="G649" s="7"/>
      <c r="H649" s="7"/>
      <c r="I649" s="63"/>
      <c r="J649" s="7"/>
      <c r="K649" s="7"/>
      <c r="L649" s="7"/>
      <c r="N649" s="7"/>
    </row>
    <row r="650" customFormat="false" ht="15.75" hidden="false" customHeight="true" outlineLevel="0" collapsed="false">
      <c r="C650" s="7"/>
      <c r="D650" s="7"/>
      <c r="E650" s="7"/>
      <c r="F650" s="7"/>
      <c r="G650" s="7"/>
      <c r="H650" s="7"/>
      <c r="I650" s="63"/>
      <c r="J650" s="7"/>
      <c r="K650" s="7"/>
      <c r="L650" s="7"/>
      <c r="N650" s="7"/>
    </row>
    <row r="651" customFormat="false" ht="15.75" hidden="false" customHeight="true" outlineLevel="0" collapsed="false">
      <c r="C651" s="7"/>
      <c r="D651" s="7"/>
      <c r="E651" s="7"/>
      <c r="F651" s="7"/>
      <c r="G651" s="7"/>
      <c r="H651" s="7"/>
      <c r="I651" s="63"/>
      <c r="J651" s="7"/>
      <c r="K651" s="7"/>
      <c r="L651" s="7"/>
      <c r="N651" s="7"/>
    </row>
    <row r="652" customFormat="false" ht="15.75" hidden="false" customHeight="true" outlineLevel="0" collapsed="false">
      <c r="C652" s="7"/>
      <c r="D652" s="7"/>
      <c r="E652" s="7"/>
      <c r="F652" s="7"/>
      <c r="G652" s="7"/>
      <c r="H652" s="7"/>
      <c r="I652" s="63"/>
      <c r="J652" s="7"/>
      <c r="K652" s="7"/>
      <c r="L652" s="7"/>
      <c r="N652" s="7"/>
    </row>
    <row r="653" customFormat="false" ht="15.75" hidden="false" customHeight="true" outlineLevel="0" collapsed="false">
      <c r="C653" s="7"/>
      <c r="D653" s="7"/>
      <c r="E653" s="7"/>
      <c r="F653" s="7"/>
      <c r="G653" s="7"/>
      <c r="H653" s="7"/>
      <c r="I653" s="63"/>
      <c r="J653" s="7"/>
      <c r="K653" s="7"/>
      <c r="L653" s="7"/>
      <c r="N653" s="7"/>
    </row>
    <row r="654" customFormat="false" ht="15.75" hidden="false" customHeight="true" outlineLevel="0" collapsed="false">
      <c r="C654" s="7"/>
      <c r="D654" s="7"/>
      <c r="E654" s="7"/>
      <c r="F654" s="7"/>
      <c r="G654" s="7"/>
      <c r="H654" s="7"/>
      <c r="I654" s="63"/>
      <c r="J654" s="7"/>
      <c r="K654" s="7"/>
      <c r="L654" s="7"/>
      <c r="N654" s="7"/>
    </row>
    <row r="655" customFormat="false" ht="15.75" hidden="false" customHeight="true" outlineLevel="0" collapsed="false">
      <c r="C655" s="7"/>
      <c r="D655" s="7"/>
      <c r="E655" s="7"/>
      <c r="F655" s="7"/>
      <c r="G655" s="7"/>
      <c r="H655" s="7"/>
      <c r="I655" s="63"/>
      <c r="J655" s="7"/>
      <c r="K655" s="7"/>
      <c r="L655" s="7"/>
      <c r="N655" s="7"/>
    </row>
    <row r="656" customFormat="false" ht="15.75" hidden="false" customHeight="true" outlineLevel="0" collapsed="false">
      <c r="C656" s="7"/>
      <c r="D656" s="7"/>
      <c r="E656" s="7"/>
      <c r="F656" s="7"/>
      <c r="G656" s="7"/>
      <c r="H656" s="7"/>
      <c r="I656" s="63"/>
      <c r="J656" s="7"/>
      <c r="K656" s="7"/>
      <c r="L656" s="7"/>
      <c r="N656" s="7"/>
    </row>
    <row r="657" customFormat="false" ht="15.75" hidden="false" customHeight="true" outlineLevel="0" collapsed="false">
      <c r="C657" s="7"/>
      <c r="D657" s="7"/>
      <c r="E657" s="7"/>
      <c r="F657" s="7"/>
      <c r="G657" s="7"/>
      <c r="H657" s="7"/>
      <c r="I657" s="63"/>
      <c r="J657" s="7"/>
      <c r="K657" s="7"/>
      <c r="L657" s="7"/>
      <c r="N657" s="7"/>
    </row>
    <row r="658" customFormat="false" ht="15.75" hidden="false" customHeight="true" outlineLevel="0" collapsed="false">
      <c r="C658" s="7"/>
      <c r="D658" s="7"/>
      <c r="E658" s="7"/>
      <c r="F658" s="7"/>
      <c r="G658" s="7"/>
      <c r="H658" s="7"/>
      <c r="I658" s="63"/>
      <c r="J658" s="7"/>
      <c r="K658" s="7"/>
      <c r="L658" s="7"/>
      <c r="N658" s="7"/>
    </row>
    <row r="659" customFormat="false" ht="15.75" hidden="false" customHeight="true" outlineLevel="0" collapsed="false">
      <c r="C659" s="7"/>
      <c r="D659" s="7"/>
      <c r="E659" s="7"/>
      <c r="F659" s="7"/>
      <c r="G659" s="7"/>
      <c r="H659" s="7"/>
      <c r="I659" s="63"/>
      <c r="J659" s="7"/>
      <c r="K659" s="7"/>
      <c r="L659" s="7"/>
      <c r="N659" s="7"/>
    </row>
    <row r="660" customFormat="false" ht="15.75" hidden="false" customHeight="true" outlineLevel="0" collapsed="false">
      <c r="C660" s="7"/>
      <c r="D660" s="7"/>
      <c r="E660" s="7"/>
      <c r="F660" s="7"/>
      <c r="G660" s="7"/>
      <c r="H660" s="7"/>
      <c r="I660" s="63"/>
      <c r="J660" s="7"/>
      <c r="K660" s="7"/>
      <c r="L660" s="7"/>
      <c r="N660" s="7"/>
    </row>
    <row r="661" customFormat="false" ht="15.75" hidden="false" customHeight="true" outlineLevel="0" collapsed="false">
      <c r="C661" s="7"/>
      <c r="D661" s="7"/>
      <c r="E661" s="7"/>
      <c r="F661" s="7"/>
      <c r="G661" s="7"/>
      <c r="H661" s="7"/>
      <c r="I661" s="63"/>
      <c r="J661" s="7"/>
      <c r="K661" s="7"/>
      <c r="L661" s="7"/>
      <c r="N661" s="7"/>
    </row>
    <row r="662" customFormat="false" ht="15.75" hidden="false" customHeight="true" outlineLevel="0" collapsed="false">
      <c r="C662" s="7"/>
      <c r="D662" s="7"/>
      <c r="E662" s="7"/>
      <c r="F662" s="7"/>
      <c r="G662" s="7"/>
      <c r="H662" s="7"/>
      <c r="I662" s="63"/>
      <c r="J662" s="7"/>
      <c r="K662" s="7"/>
      <c r="L662" s="7"/>
      <c r="N662" s="7"/>
    </row>
    <row r="663" customFormat="false" ht="15.75" hidden="false" customHeight="true" outlineLevel="0" collapsed="false">
      <c r="C663" s="7"/>
      <c r="D663" s="7"/>
      <c r="E663" s="7"/>
      <c r="F663" s="7"/>
      <c r="G663" s="7"/>
      <c r="H663" s="7"/>
      <c r="I663" s="63"/>
      <c r="J663" s="7"/>
      <c r="K663" s="7"/>
      <c r="L663" s="7"/>
      <c r="N663" s="7"/>
    </row>
    <row r="664" customFormat="false" ht="15.75" hidden="false" customHeight="true" outlineLevel="0" collapsed="false">
      <c r="C664" s="7"/>
      <c r="D664" s="7"/>
      <c r="E664" s="7"/>
      <c r="F664" s="7"/>
      <c r="G664" s="7"/>
      <c r="H664" s="7"/>
      <c r="I664" s="63"/>
      <c r="J664" s="7"/>
      <c r="K664" s="7"/>
      <c r="L664" s="7"/>
      <c r="N664" s="7"/>
    </row>
    <row r="665" customFormat="false" ht="15.75" hidden="false" customHeight="true" outlineLevel="0" collapsed="false">
      <c r="C665" s="7"/>
      <c r="D665" s="7"/>
      <c r="E665" s="7"/>
      <c r="F665" s="7"/>
      <c r="G665" s="7"/>
      <c r="H665" s="7"/>
      <c r="I665" s="63"/>
      <c r="J665" s="7"/>
      <c r="K665" s="7"/>
      <c r="L665" s="7"/>
      <c r="N665" s="7"/>
    </row>
    <row r="666" customFormat="false" ht="15.75" hidden="false" customHeight="true" outlineLevel="0" collapsed="false">
      <c r="C666" s="7"/>
      <c r="D666" s="7"/>
      <c r="E666" s="7"/>
      <c r="F666" s="7"/>
      <c r="G666" s="7"/>
      <c r="H666" s="7"/>
      <c r="I666" s="63"/>
      <c r="J666" s="7"/>
      <c r="K666" s="7"/>
      <c r="L666" s="7"/>
      <c r="N666" s="7"/>
    </row>
    <row r="667" customFormat="false" ht="15.75" hidden="false" customHeight="true" outlineLevel="0" collapsed="false">
      <c r="C667" s="7"/>
      <c r="D667" s="7"/>
      <c r="E667" s="7"/>
      <c r="F667" s="7"/>
      <c r="G667" s="7"/>
      <c r="H667" s="7"/>
      <c r="I667" s="63"/>
      <c r="J667" s="7"/>
      <c r="K667" s="7"/>
      <c r="L667" s="7"/>
      <c r="N667" s="7"/>
    </row>
    <row r="668" customFormat="false" ht="15.75" hidden="false" customHeight="true" outlineLevel="0" collapsed="false">
      <c r="C668" s="7"/>
      <c r="D668" s="7"/>
      <c r="E668" s="7"/>
      <c r="F668" s="7"/>
      <c r="G668" s="7"/>
      <c r="H668" s="7"/>
      <c r="I668" s="63"/>
      <c r="J668" s="7"/>
      <c r="K668" s="7"/>
      <c r="L668" s="7"/>
      <c r="N668" s="7"/>
    </row>
    <row r="669" customFormat="false" ht="15.75" hidden="false" customHeight="true" outlineLevel="0" collapsed="false">
      <c r="C669" s="7"/>
      <c r="D669" s="7"/>
      <c r="E669" s="7"/>
      <c r="F669" s="7"/>
      <c r="G669" s="7"/>
      <c r="H669" s="7"/>
      <c r="I669" s="63"/>
      <c r="J669" s="7"/>
      <c r="K669" s="7"/>
      <c r="L669" s="7"/>
      <c r="N669" s="7"/>
    </row>
    <row r="670" customFormat="false" ht="15.75" hidden="false" customHeight="true" outlineLevel="0" collapsed="false">
      <c r="C670" s="7"/>
      <c r="D670" s="7"/>
      <c r="E670" s="7"/>
      <c r="F670" s="7"/>
      <c r="G670" s="7"/>
      <c r="H670" s="7"/>
      <c r="I670" s="63"/>
      <c r="J670" s="7"/>
      <c r="K670" s="7"/>
      <c r="L670" s="7"/>
      <c r="N670" s="7"/>
    </row>
    <row r="671" customFormat="false" ht="15.75" hidden="false" customHeight="true" outlineLevel="0" collapsed="false">
      <c r="C671" s="7"/>
      <c r="D671" s="7"/>
      <c r="E671" s="7"/>
      <c r="F671" s="7"/>
      <c r="G671" s="7"/>
      <c r="H671" s="7"/>
      <c r="I671" s="63"/>
      <c r="J671" s="7"/>
      <c r="K671" s="7"/>
      <c r="L671" s="7"/>
      <c r="N671" s="7"/>
    </row>
    <row r="672" customFormat="false" ht="15.75" hidden="false" customHeight="true" outlineLevel="0" collapsed="false">
      <c r="C672" s="7"/>
      <c r="D672" s="7"/>
      <c r="E672" s="7"/>
      <c r="F672" s="7"/>
      <c r="G672" s="7"/>
      <c r="H672" s="7"/>
      <c r="I672" s="63"/>
      <c r="J672" s="7"/>
      <c r="K672" s="7"/>
      <c r="L672" s="7"/>
      <c r="N672" s="7"/>
    </row>
    <row r="673" customFormat="false" ht="15.75" hidden="false" customHeight="true" outlineLevel="0" collapsed="false">
      <c r="C673" s="7"/>
      <c r="D673" s="7"/>
      <c r="E673" s="7"/>
      <c r="F673" s="7"/>
      <c r="G673" s="7"/>
      <c r="H673" s="7"/>
      <c r="I673" s="63"/>
      <c r="J673" s="7"/>
      <c r="K673" s="7"/>
      <c r="L673" s="7"/>
      <c r="N673" s="7"/>
    </row>
    <row r="674" customFormat="false" ht="15.75" hidden="false" customHeight="true" outlineLevel="0" collapsed="false">
      <c r="C674" s="7"/>
      <c r="D674" s="7"/>
      <c r="E674" s="7"/>
      <c r="F674" s="7"/>
      <c r="G674" s="7"/>
      <c r="H674" s="7"/>
      <c r="I674" s="63"/>
      <c r="J674" s="7"/>
      <c r="K674" s="7"/>
      <c r="L674" s="7"/>
      <c r="N674" s="7"/>
    </row>
    <row r="675" customFormat="false" ht="15.75" hidden="false" customHeight="true" outlineLevel="0" collapsed="false">
      <c r="C675" s="7"/>
      <c r="D675" s="7"/>
      <c r="E675" s="7"/>
      <c r="F675" s="7"/>
      <c r="G675" s="7"/>
      <c r="H675" s="7"/>
      <c r="I675" s="63"/>
      <c r="J675" s="7"/>
      <c r="K675" s="7"/>
      <c r="L675" s="7"/>
      <c r="N675" s="7"/>
    </row>
    <row r="676" customFormat="false" ht="15.75" hidden="false" customHeight="true" outlineLevel="0" collapsed="false">
      <c r="C676" s="7"/>
      <c r="D676" s="7"/>
      <c r="E676" s="7"/>
      <c r="F676" s="7"/>
      <c r="G676" s="7"/>
      <c r="H676" s="7"/>
      <c r="I676" s="63"/>
      <c r="J676" s="7"/>
      <c r="K676" s="7"/>
      <c r="L676" s="7"/>
      <c r="N676" s="7"/>
    </row>
    <row r="677" customFormat="false" ht="15.75" hidden="false" customHeight="true" outlineLevel="0" collapsed="false">
      <c r="C677" s="7"/>
      <c r="D677" s="7"/>
      <c r="E677" s="7"/>
      <c r="F677" s="7"/>
      <c r="G677" s="7"/>
      <c r="H677" s="7"/>
      <c r="I677" s="63"/>
      <c r="J677" s="7"/>
      <c r="K677" s="7"/>
      <c r="L677" s="7"/>
      <c r="N677" s="7"/>
    </row>
    <row r="678" customFormat="false" ht="15.75" hidden="false" customHeight="true" outlineLevel="0" collapsed="false">
      <c r="C678" s="7"/>
      <c r="D678" s="7"/>
      <c r="E678" s="7"/>
      <c r="F678" s="7"/>
      <c r="G678" s="7"/>
      <c r="H678" s="7"/>
      <c r="I678" s="63"/>
      <c r="J678" s="7"/>
      <c r="K678" s="7"/>
      <c r="L678" s="7"/>
      <c r="N678" s="7"/>
    </row>
    <row r="679" customFormat="false" ht="15.75" hidden="false" customHeight="true" outlineLevel="0" collapsed="false">
      <c r="C679" s="7"/>
      <c r="D679" s="7"/>
      <c r="E679" s="7"/>
      <c r="F679" s="7"/>
      <c r="G679" s="7"/>
      <c r="H679" s="7"/>
      <c r="I679" s="63"/>
      <c r="J679" s="7"/>
      <c r="K679" s="7"/>
      <c r="L679" s="7"/>
      <c r="N679" s="7"/>
    </row>
    <row r="680" customFormat="false" ht="15.75" hidden="false" customHeight="true" outlineLevel="0" collapsed="false">
      <c r="C680" s="7"/>
      <c r="D680" s="7"/>
      <c r="E680" s="7"/>
      <c r="F680" s="7"/>
      <c r="G680" s="7"/>
      <c r="H680" s="7"/>
      <c r="I680" s="63"/>
      <c r="J680" s="7"/>
      <c r="K680" s="7"/>
      <c r="L680" s="7"/>
      <c r="N680" s="7"/>
    </row>
    <row r="681" customFormat="false" ht="15.75" hidden="false" customHeight="true" outlineLevel="0" collapsed="false">
      <c r="C681" s="7"/>
      <c r="D681" s="7"/>
      <c r="E681" s="7"/>
      <c r="F681" s="7"/>
      <c r="G681" s="7"/>
      <c r="H681" s="7"/>
      <c r="I681" s="63"/>
      <c r="J681" s="7"/>
      <c r="K681" s="7"/>
      <c r="L681" s="7"/>
      <c r="N681" s="7"/>
    </row>
    <row r="682" customFormat="false" ht="15.75" hidden="false" customHeight="true" outlineLevel="0" collapsed="false">
      <c r="C682" s="7"/>
      <c r="D682" s="7"/>
      <c r="E682" s="7"/>
      <c r="F682" s="7"/>
      <c r="G682" s="7"/>
      <c r="H682" s="7"/>
      <c r="I682" s="63"/>
      <c r="J682" s="7"/>
      <c r="K682" s="7"/>
      <c r="L682" s="7"/>
      <c r="N682" s="7"/>
    </row>
    <row r="683" customFormat="false" ht="15.75" hidden="false" customHeight="true" outlineLevel="0" collapsed="false">
      <c r="C683" s="7"/>
      <c r="D683" s="7"/>
      <c r="E683" s="7"/>
      <c r="F683" s="7"/>
      <c r="G683" s="7"/>
      <c r="H683" s="7"/>
      <c r="I683" s="63"/>
      <c r="J683" s="7"/>
      <c r="K683" s="7"/>
      <c r="L683" s="7"/>
      <c r="N683" s="7"/>
    </row>
    <row r="684" customFormat="false" ht="15.75" hidden="false" customHeight="true" outlineLevel="0" collapsed="false">
      <c r="C684" s="7"/>
      <c r="D684" s="7"/>
      <c r="E684" s="7"/>
      <c r="F684" s="7"/>
      <c r="G684" s="7"/>
      <c r="H684" s="7"/>
      <c r="I684" s="63"/>
      <c r="J684" s="7"/>
      <c r="K684" s="7"/>
      <c r="L684" s="7"/>
      <c r="N684" s="7"/>
    </row>
    <row r="685" customFormat="false" ht="15.75" hidden="false" customHeight="true" outlineLevel="0" collapsed="false">
      <c r="C685" s="7"/>
      <c r="D685" s="7"/>
      <c r="E685" s="7"/>
      <c r="F685" s="7"/>
      <c r="G685" s="7"/>
      <c r="H685" s="7"/>
      <c r="I685" s="63"/>
      <c r="J685" s="7"/>
      <c r="K685" s="7"/>
      <c r="L685" s="7"/>
      <c r="N685" s="7"/>
    </row>
    <row r="686" customFormat="false" ht="15.75" hidden="false" customHeight="true" outlineLevel="0" collapsed="false">
      <c r="C686" s="7"/>
      <c r="D686" s="7"/>
      <c r="E686" s="7"/>
      <c r="F686" s="7"/>
      <c r="G686" s="7"/>
      <c r="H686" s="7"/>
      <c r="I686" s="63"/>
      <c r="J686" s="7"/>
      <c r="K686" s="7"/>
      <c r="L686" s="7"/>
      <c r="N686" s="7"/>
    </row>
    <row r="687" customFormat="false" ht="15.75" hidden="false" customHeight="true" outlineLevel="0" collapsed="false">
      <c r="C687" s="7"/>
      <c r="D687" s="7"/>
      <c r="E687" s="7"/>
      <c r="F687" s="7"/>
      <c r="G687" s="7"/>
      <c r="H687" s="7"/>
      <c r="I687" s="63"/>
      <c r="J687" s="7"/>
      <c r="K687" s="7"/>
      <c r="L687" s="7"/>
      <c r="N687" s="7"/>
    </row>
    <row r="688" customFormat="false" ht="15.75" hidden="false" customHeight="true" outlineLevel="0" collapsed="false">
      <c r="C688" s="7"/>
      <c r="D688" s="7"/>
      <c r="E688" s="7"/>
      <c r="F688" s="7"/>
      <c r="G688" s="7"/>
      <c r="H688" s="7"/>
      <c r="I688" s="63"/>
      <c r="J688" s="7"/>
      <c r="K688" s="7"/>
      <c r="L688" s="7"/>
      <c r="N688" s="7"/>
    </row>
    <row r="689" customFormat="false" ht="15.75" hidden="false" customHeight="true" outlineLevel="0" collapsed="false">
      <c r="C689" s="7"/>
      <c r="D689" s="7"/>
      <c r="E689" s="7"/>
      <c r="F689" s="7"/>
      <c r="G689" s="7"/>
      <c r="H689" s="7"/>
      <c r="I689" s="63"/>
      <c r="J689" s="7"/>
      <c r="K689" s="7"/>
      <c r="L689" s="7"/>
      <c r="N689" s="7"/>
    </row>
    <row r="690" customFormat="false" ht="15.75" hidden="false" customHeight="true" outlineLevel="0" collapsed="false">
      <c r="C690" s="7"/>
      <c r="D690" s="7"/>
      <c r="E690" s="7"/>
      <c r="F690" s="7"/>
      <c r="G690" s="7"/>
      <c r="H690" s="7"/>
      <c r="I690" s="63"/>
      <c r="J690" s="7"/>
      <c r="K690" s="7"/>
      <c r="L690" s="7"/>
      <c r="N690" s="7"/>
    </row>
    <row r="691" customFormat="false" ht="15.75" hidden="false" customHeight="true" outlineLevel="0" collapsed="false">
      <c r="C691" s="7"/>
      <c r="D691" s="7"/>
      <c r="E691" s="7"/>
      <c r="F691" s="7"/>
      <c r="G691" s="7"/>
      <c r="H691" s="7"/>
      <c r="I691" s="63"/>
      <c r="J691" s="7"/>
      <c r="K691" s="7"/>
      <c r="L691" s="7"/>
      <c r="N691" s="7"/>
    </row>
    <row r="692" customFormat="false" ht="15.75" hidden="false" customHeight="true" outlineLevel="0" collapsed="false">
      <c r="C692" s="7"/>
      <c r="D692" s="7"/>
      <c r="E692" s="7"/>
      <c r="F692" s="7"/>
      <c r="G692" s="7"/>
      <c r="H692" s="7"/>
      <c r="I692" s="63"/>
      <c r="J692" s="7"/>
      <c r="K692" s="7"/>
      <c r="L692" s="7"/>
      <c r="N692" s="7"/>
    </row>
    <row r="693" customFormat="false" ht="15.75" hidden="false" customHeight="true" outlineLevel="0" collapsed="false">
      <c r="C693" s="7"/>
      <c r="D693" s="7"/>
      <c r="E693" s="7"/>
      <c r="F693" s="7"/>
      <c r="G693" s="7"/>
      <c r="H693" s="7"/>
      <c r="I693" s="63"/>
      <c r="J693" s="7"/>
      <c r="K693" s="7"/>
      <c r="L693" s="7"/>
      <c r="N693" s="7"/>
    </row>
    <row r="694" customFormat="false" ht="15.75" hidden="false" customHeight="true" outlineLevel="0" collapsed="false">
      <c r="C694" s="7"/>
      <c r="D694" s="7"/>
      <c r="E694" s="7"/>
      <c r="F694" s="7"/>
      <c r="G694" s="7"/>
      <c r="H694" s="7"/>
      <c r="I694" s="63"/>
      <c r="J694" s="7"/>
      <c r="K694" s="7"/>
      <c r="L694" s="7"/>
      <c r="N694" s="7"/>
    </row>
    <row r="695" customFormat="false" ht="15.75" hidden="false" customHeight="true" outlineLevel="0" collapsed="false">
      <c r="C695" s="7"/>
      <c r="D695" s="7"/>
      <c r="E695" s="7"/>
      <c r="F695" s="7"/>
      <c r="G695" s="7"/>
      <c r="H695" s="7"/>
      <c r="I695" s="63"/>
      <c r="J695" s="7"/>
      <c r="K695" s="7"/>
      <c r="L695" s="7"/>
      <c r="N695" s="7"/>
    </row>
    <row r="696" customFormat="false" ht="15.75" hidden="false" customHeight="true" outlineLevel="0" collapsed="false">
      <c r="C696" s="7"/>
      <c r="D696" s="7"/>
      <c r="E696" s="7"/>
      <c r="F696" s="7"/>
      <c r="G696" s="7"/>
      <c r="H696" s="7"/>
      <c r="I696" s="63"/>
      <c r="J696" s="7"/>
      <c r="K696" s="7"/>
      <c r="L696" s="7"/>
      <c r="N696" s="7"/>
    </row>
    <row r="697" customFormat="false" ht="15.75" hidden="false" customHeight="true" outlineLevel="0" collapsed="false">
      <c r="C697" s="7"/>
      <c r="D697" s="7"/>
      <c r="E697" s="7"/>
      <c r="F697" s="7"/>
      <c r="G697" s="7"/>
      <c r="H697" s="7"/>
      <c r="I697" s="63"/>
      <c r="J697" s="7"/>
      <c r="K697" s="7"/>
      <c r="L697" s="7"/>
      <c r="N697" s="7"/>
    </row>
    <row r="698" customFormat="false" ht="15.75" hidden="false" customHeight="true" outlineLevel="0" collapsed="false">
      <c r="C698" s="7"/>
      <c r="D698" s="7"/>
      <c r="E698" s="7"/>
      <c r="F698" s="7"/>
      <c r="G698" s="7"/>
      <c r="H698" s="7"/>
      <c r="I698" s="63"/>
      <c r="J698" s="7"/>
      <c r="K698" s="7"/>
      <c r="L698" s="7"/>
      <c r="N698" s="7"/>
    </row>
    <row r="699" customFormat="false" ht="15.75" hidden="false" customHeight="true" outlineLevel="0" collapsed="false">
      <c r="C699" s="7"/>
      <c r="D699" s="7"/>
      <c r="E699" s="7"/>
      <c r="F699" s="7"/>
      <c r="G699" s="7"/>
      <c r="H699" s="7"/>
      <c r="I699" s="63"/>
      <c r="J699" s="7"/>
      <c r="K699" s="7"/>
      <c r="L699" s="7"/>
      <c r="N699" s="7"/>
    </row>
    <row r="700" customFormat="false" ht="15.75" hidden="false" customHeight="true" outlineLevel="0" collapsed="false">
      <c r="C700" s="7"/>
      <c r="D700" s="7"/>
      <c r="E700" s="7"/>
      <c r="F700" s="7"/>
      <c r="G700" s="7"/>
      <c r="H700" s="7"/>
      <c r="I700" s="63"/>
      <c r="J700" s="7"/>
      <c r="K700" s="7"/>
      <c r="L700" s="7"/>
      <c r="N700" s="7"/>
    </row>
    <row r="701" customFormat="false" ht="15.75" hidden="false" customHeight="true" outlineLevel="0" collapsed="false">
      <c r="C701" s="7"/>
      <c r="D701" s="7"/>
      <c r="E701" s="7"/>
      <c r="F701" s="7"/>
      <c r="G701" s="7"/>
      <c r="H701" s="7"/>
      <c r="I701" s="63"/>
      <c r="J701" s="7"/>
      <c r="K701" s="7"/>
      <c r="L701" s="7"/>
      <c r="N701" s="7"/>
    </row>
    <row r="702" customFormat="false" ht="15.75" hidden="false" customHeight="true" outlineLevel="0" collapsed="false">
      <c r="C702" s="7"/>
      <c r="D702" s="7"/>
      <c r="E702" s="7"/>
      <c r="F702" s="7"/>
      <c r="G702" s="7"/>
      <c r="H702" s="7"/>
      <c r="I702" s="63"/>
      <c r="J702" s="7"/>
      <c r="K702" s="7"/>
      <c r="L702" s="7"/>
      <c r="N702" s="7"/>
    </row>
    <row r="703" customFormat="false" ht="15.75" hidden="false" customHeight="true" outlineLevel="0" collapsed="false">
      <c r="C703" s="7"/>
      <c r="D703" s="7"/>
      <c r="E703" s="7"/>
      <c r="F703" s="7"/>
      <c r="G703" s="7"/>
      <c r="H703" s="7"/>
      <c r="I703" s="63"/>
      <c r="J703" s="7"/>
      <c r="K703" s="7"/>
      <c r="L703" s="7"/>
      <c r="N703" s="7"/>
    </row>
    <row r="704" customFormat="false" ht="15.75" hidden="false" customHeight="true" outlineLevel="0" collapsed="false">
      <c r="C704" s="7"/>
      <c r="D704" s="7"/>
      <c r="E704" s="7"/>
      <c r="F704" s="7"/>
      <c r="G704" s="7"/>
      <c r="H704" s="7"/>
      <c r="I704" s="63"/>
      <c r="J704" s="7"/>
      <c r="K704" s="7"/>
      <c r="L704" s="7"/>
      <c r="N704" s="7"/>
    </row>
    <row r="705" customFormat="false" ht="15.75" hidden="false" customHeight="true" outlineLevel="0" collapsed="false">
      <c r="C705" s="7"/>
      <c r="D705" s="7"/>
      <c r="E705" s="7"/>
      <c r="F705" s="7"/>
      <c r="G705" s="7"/>
      <c r="H705" s="7"/>
      <c r="I705" s="63"/>
      <c r="J705" s="7"/>
      <c r="K705" s="7"/>
      <c r="L705" s="7"/>
      <c r="N705" s="7"/>
    </row>
    <row r="706" customFormat="false" ht="15.75" hidden="false" customHeight="true" outlineLevel="0" collapsed="false">
      <c r="C706" s="7"/>
      <c r="D706" s="7"/>
      <c r="E706" s="7"/>
      <c r="F706" s="7"/>
      <c r="G706" s="7"/>
      <c r="H706" s="7"/>
      <c r="I706" s="63"/>
      <c r="J706" s="7"/>
      <c r="K706" s="7"/>
      <c r="L706" s="7"/>
      <c r="N706" s="7"/>
    </row>
    <row r="707" customFormat="false" ht="15.75" hidden="false" customHeight="true" outlineLevel="0" collapsed="false">
      <c r="C707" s="7"/>
      <c r="D707" s="7"/>
      <c r="E707" s="7"/>
      <c r="F707" s="7"/>
      <c r="G707" s="7"/>
      <c r="H707" s="7"/>
      <c r="I707" s="63"/>
      <c r="J707" s="7"/>
      <c r="K707" s="7"/>
      <c r="L707" s="7"/>
      <c r="N707" s="7"/>
    </row>
    <row r="708" customFormat="false" ht="15.75" hidden="false" customHeight="true" outlineLevel="0" collapsed="false">
      <c r="C708" s="7"/>
      <c r="D708" s="7"/>
      <c r="E708" s="7"/>
      <c r="F708" s="7"/>
      <c r="G708" s="7"/>
      <c r="H708" s="7"/>
      <c r="I708" s="63"/>
      <c r="J708" s="7"/>
      <c r="K708" s="7"/>
      <c r="L708" s="7"/>
      <c r="N708" s="7"/>
    </row>
    <row r="709" customFormat="false" ht="15.75" hidden="false" customHeight="true" outlineLevel="0" collapsed="false">
      <c r="C709" s="7"/>
      <c r="D709" s="7"/>
      <c r="E709" s="7"/>
      <c r="F709" s="7"/>
      <c r="G709" s="7"/>
      <c r="H709" s="7"/>
      <c r="I709" s="63"/>
      <c r="J709" s="7"/>
      <c r="K709" s="7"/>
      <c r="L709" s="7"/>
      <c r="N709" s="7"/>
    </row>
    <row r="710" customFormat="false" ht="15.75" hidden="false" customHeight="true" outlineLevel="0" collapsed="false">
      <c r="C710" s="7"/>
      <c r="D710" s="7"/>
      <c r="E710" s="7"/>
      <c r="F710" s="7"/>
      <c r="G710" s="7"/>
      <c r="H710" s="7"/>
      <c r="I710" s="63"/>
      <c r="J710" s="7"/>
      <c r="K710" s="7"/>
      <c r="L710" s="7"/>
      <c r="N710" s="7"/>
    </row>
    <row r="711" customFormat="false" ht="15.75" hidden="false" customHeight="true" outlineLevel="0" collapsed="false">
      <c r="C711" s="7"/>
      <c r="D711" s="7"/>
      <c r="E711" s="7"/>
      <c r="F711" s="7"/>
      <c r="G711" s="7"/>
      <c r="H711" s="7"/>
      <c r="I711" s="63"/>
      <c r="J711" s="7"/>
      <c r="K711" s="7"/>
      <c r="L711" s="7"/>
      <c r="N711" s="7"/>
    </row>
    <row r="712" customFormat="false" ht="15.75" hidden="false" customHeight="true" outlineLevel="0" collapsed="false">
      <c r="C712" s="7"/>
      <c r="D712" s="7"/>
      <c r="E712" s="7"/>
      <c r="F712" s="7"/>
      <c r="G712" s="7"/>
      <c r="H712" s="7"/>
      <c r="I712" s="63"/>
      <c r="J712" s="7"/>
      <c r="K712" s="7"/>
      <c r="L712" s="7"/>
      <c r="N712" s="7"/>
    </row>
    <row r="713" customFormat="false" ht="15.75" hidden="false" customHeight="true" outlineLevel="0" collapsed="false">
      <c r="C713" s="7"/>
      <c r="D713" s="7"/>
      <c r="E713" s="7"/>
      <c r="F713" s="7"/>
      <c r="G713" s="7"/>
      <c r="H713" s="7"/>
      <c r="I713" s="63"/>
      <c r="J713" s="7"/>
      <c r="K713" s="7"/>
      <c r="L713" s="7"/>
      <c r="N713" s="7"/>
    </row>
    <row r="714" customFormat="false" ht="15.75" hidden="false" customHeight="true" outlineLevel="0" collapsed="false">
      <c r="C714" s="7"/>
      <c r="D714" s="7"/>
      <c r="E714" s="7"/>
      <c r="F714" s="7"/>
      <c r="G714" s="7"/>
      <c r="H714" s="7"/>
      <c r="I714" s="63"/>
      <c r="J714" s="7"/>
      <c r="K714" s="7"/>
      <c r="L714" s="7"/>
      <c r="N714" s="7"/>
    </row>
    <row r="715" customFormat="false" ht="15.75" hidden="false" customHeight="true" outlineLevel="0" collapsed="false">
      <c r="C715" s="7"/>
      <c r="D715" s="7"/>
      <c r="E715" s="7"/>
      <c r="F715" s="7"/>
      <c r="G715" s="7"/>
      <c r="H715" s="7"/>
      <c r="I715" s="63"/>
      <c r="J715" s="7"/>
      <c r="K715" s="7"/>
      <c r="L715" s="7"/>
      <c r="N715" s="7"/>
    </row>
    <row r="716" customFormat="false" ht="15.75" hidden="false" customHeight="true" outlineLevel="0" collapsed="false">
      <c r="C716" s="7"/>
      <c r="D716" s="7"/>
      <c r="E716" s="7"/>
      <c r="F716" s="7"/>
      <c r="G716" s="7"/>
      <c r="H716" s="7"/>
      <c r="I716" s="63"/>
      <c r="J716" s="7"/>
      <c r="K716" s="7"/>
      <c r="L716" s="7"/>
      <c r="N716" s="7"/>
    </row>
    <row r="717" customFormat="false" ht="15.75" hidden="false" customHeight="true" outlineLevel="0" collapsed="false">
      <c r="C717" s="7"/>
      <c r="D717" s="7"/>
      <c r="E717" s="7"/>
      <c r="F717" s="7"/>
      <c r="G717" s="7"/>
      <c r="H717" s="7"/>
      <c r="I717" s="63"/>
      <c r="J717" s="7"/>
      <c r="K717" s="7"/>
      <c r="L717" s="7"/>
      <c r="N717" s="7"/>
    </row>
    <row r="718" customFormat="false" ht="15.75" hidden="false" customHeight="true" outlineLevel="0" collapsed="false">
      <c r="C718" s="7"/>
      <c r="D718" s="7"/>
      <c r="E718" s="7"/>
      <c r="F718" s="7"/>
      <c r="G718" s="7"/>
      <c r="H718" s="7"/>
      <c r="I718" s="63"/>
      <c r="J718" s="7"/>
      <c r="K718" s="7"/>
      <c r="L718" s="7"/>
      <c r="N718" s="7"/>
    </row>
    <row r="719" customFormat="false" ht="15.75" hidden="false" customHeight="true" outlineLevel="0" collapsed="false">
      <c r="C719" s="7"/>
      <c r="D719" s="7"/>
      <c r="E719" s="7"/>
      <c r="F719" s="7"/>
      <c r="G719" s="7"/>
      <c r="H719" s="7"/>
      <c r="I719" s="63"/>
      <c r="J719" s="7"/>
      <c r="K719" s="7"/>
      <c r="L719" s="7"/>
      <c r="N719" s="7"/>
    </row>
    <row r="720" customFormat="false" ht="15.75" hidden="false" customHeight="true" outlineLevel="0" collapsed="false">
      <c r="C720" s="7"/>
      <c r="D720" s="7"/>
      <c r="E720" s="7"/>
      <c r="F720" s="7"/>
      <c r="G720" s="7"/>
      <c r="H720" s="7"/>
      <c r="I720" s="63"/>
      <c r="J720" s="7"/>
      <c r="K720" s="7"/>
      <c r="L720" s="7"/>
      <c r="N720" s="7"/>
    </row>
    <row r="721" customFormat="false" ht="15.75" hidden="false" customHeight="true" outlineLevel="0" collapsed="false">
      <c r="C721" s="7"/>
      <c r="D721" s="7"/>
      <c r="E721" s="7"/>
      <c r="F721" s="7"/>
      <c r="G721" s="7"/>
      <c r="H721" s="7"/>
      <c r="I721" s="63"/>
      <c r="J721" s="7"/>
      <c r="K721" s="7"/>
      <c r="L721" s="7"/>
      <c r="N721" s="7"/>
    </row>
    <row r="722" customFormat="false" ht="15.75" hidden="false" customHeight="true" outlineLevel="0" collapsed="false">
      <c r="C722" s="7"/>
      <c r="D722" s="7"/>
      <c r="E722" s="7"/>
      <c r="F722" s="7"/>
      <c r="G722" s="7"/>
      <c r="H722" s="7"/>
      <c r="I722" s="63"/>
      <c r="J722" s="7"/>
      <c r="K722" s="7"/>
      <c r="L722" s="7"/>
      <c r="N722" s="7"/>
    </row>
    <row r="723" customFormat="false" ht="15.75" hidden="false" customHeight="true" outlineLevel="0" collapsed="false">
      <c r="C723" s="7"/>
      <c r="D723" s="7"/>
      <c r="E723" s="7"/>
      <c r="F723" s="7"/>
      <c r="G723" s="7"/>
      <c r="H723" s="7"/>
      <c r="I723" s="63"/>
      <c r="J723" s="7"/>
      <c r="K723" s="7"/>
      <c r="L723" s="7"/>
      <c r="N723" s="7"/>
    </row>
    <row r="724" customFormat="false" ht="15.75" hidden="false" customHeight="true" outlineLevel="0" collapsed="false">
      <c r="C724" s="7"/>
      <c r="D724" s="7"/>
      <c r="E724" s="7"/>
      <c r="F724" s="7"/>
      <c r="G724" s="7"/>
      <c r="H724" s="7"/>
      <c r="I724" s="63"/>
      <c r="J724" s="7"/>
      <c r="K724" s="7"/>
      <c r="L724" s="7"/>
      <c r="N724" s="7"/>
    </row>
    <row r="725" customFormat="false" ht="15.75" hidden="false" customHeight="true" outlineLevel="0" collapsed="false">
      <c r="C725" s="7"/>
      <c r="D725" s="7"/>
      <c r="E725" s="7"/>
      <c r="F725" s="7"/>
      <c r="G725" s="7"/>
      <c r="H725" s="7"/>
      <c r="I725" s="63"/>
      <c r="J725" s="7"/>
      <c r="K725" s="7"/>
      <c r="L725" s="7"/>
      <c r="N725" s="7"/>
    </row>
    <row r="726" customFormat="false" ht="15.75" hidden="false" customHeight="true" outlineLevel="0" collapsed="false">
      <c r="C726" s="7"/>
      <c r="D726" s="7"/>
      <c r="E726" s="7"/>
      <c r="F726" s="7"/>
      <c r="G726" s="7"/>
      <c r="H726" s="7"/>
      <c r="I726" s="63"/>
      <c r="J726" s="7"/>
      <c r="K726" s="7"/>
      <c r="L726" s="7"/>
      <c r="N726" s="7"/>
    </row>
    <row r="727" customFormat="false" ht="15.75" hidden="false" customHeight="true" outlineLevel="0" collapsed="false">
      <c r="C727" s="7"/>
      <c r="D727" s="7"/>
      <c r="E727" s="7"/>
      <c r="F727" s="7"/>
      <c r="G727" s="7"/>
      <c r="H727" s="7"/>
      <c r="I727" s="63"/>
      <c r="J727" s="7"/>
      <c r="K727" s="7"/>
      <c r="L727" s="7"/>
      <c r="N727" s="7"/>
    </row>
    <row r="728" customFormat="false" ht="15.75" hidden="false" customHeight="true" outlineLevel="0" collapsed="false">
      <c r="C728" s="7"/>
      <c r="D728" s="7"/>
      <c r="E728" s="7"/>
      <c r="F728" s="7"/>
      <c r="G728" s="7"/>
      <c r="H728" s="7"/>
      <c r="I728" s="63"/>
      <c r="J728" s="7"/>
      <c r="K728" s="7"/>
      <c r="L728" s="7"/>
      <c r="N728" s="7"/>
    </row>
    <row r="729" customFormat="false" ht="15.75" hidden="false" customHeight="true" outlineLevel="0" collapsed="false">
      <c r="C729" s="7"/>
      <c r="D729" s="7"/>
      <c r="E729" s="7"/>
      <c r="F729" s="7"/>
      <c r="G729" s="7"/>
      <c r="H729" s="7"/>
      <c r="I729" s="63"/>
      <c r="J729" s="7"/>
      <c r="K729" s="7"/>
      <c r="L729" s="7"/>
      <c r="N729" s="7"/>
    </row>
    <row r="730" customFormat="false" ht="15.75" hidden="false" customHeight="true" outlineLevel="0" collapsed="false">
      <c r="C730" s="7"/>
      <c r="D730" s="7"/>
      <c r="E730" s="7"/>
      <c r="F730" s="7"/>
      <c r="G730" s="7"/>
      <c r="H730" s="7"/>
      <c r="I730" s="63"/>
      <c r="J730" s="7"/>
      <c r="K730" s="7"/>
      <c r="L730" s="7"/>
      <c r="N730" s="7"/>
    </row>
    <row r="731" customFormat="false" ht="15.75" hidden="false" customHeight="true" outlineLevel="0" collapsed="false">
      <c r="C731" s="7"/>
      <c r="D731" s="7"/>
      <c r="E731" s="7"/>
      <c r="F731" s="7"/>
      <c r="G731" s="7"/>
      <c r="H731" s="7"/>
      <c r="I731" s="63"/>
      <c r="J731" s="7"/>
      <c r="K731" s="7"/>
      <c r="L731" s="7"/>
      <c r="N731" s="7"/>
    </row>
    <row r="732" customFormat="false" ht="15.75" hidden="false" customHeight="true" outlineLevel="0" collapsed="false">
      <c r="C732" s="7"/>
      <c r="D732" s="7"/>
      <c r="E732" s="7"/>
      <c r="F732" s="7"/>
      <c r="G732" s="7"/>
      <c r="H732" s="7"/>
      <c r="I732" s="63"/>
      <c r="J732" s="7"/>
      <c r="K732" s="7"/>
      <c r="L732" s="7"/>
      <c r="N732" s="7"/>
    </row>
    <row r="733" customFormat="false" ht="15.75" hidden="false" customHeight="true" outlineLevel="0" collapsed="false">
      <c r="C733" s="7"/>
      <c r="D733" s="7"/>
      <c r="E733" s="7"/>
      <c r="F733" s="7"/>
      <c r="G733" s="7"/>
      <c r="H733" s="7"/>
      <c r="I733" s="63"/>
      <c r="J733" s="7"/>
      <c r="K733" s="7"/>
      <c r="L733" s="7"/>
      <c r="N733" s="7"/>
    </row>
    <row r="734" customFormat="false" ht="15.75" hidden="false" customHeight="true" outlineLevel="0" collapsed="false">
      <c r="C734" s="7"/>
      <c r="D734" s="7"/>
      <c r="E734" s="7"/>
      <c r="F734" s="7"/>
      <c r="G734" s="7"/>
      <c r="H734" s="7"/>
      <c r="I734" s="63"/>
      <c r="J734" s="7"/>
      <c r="K734" s="7"/>
      <c r="L734" s="7"/>
      <c r="N734" s="7"/>
    </row>
    <row r="735" customFormat="false" ht="15.75" hidden="false" customHeight="true" outlineLevel="0" collapsed="false">
      <c r="C735" s="7"/>
      <c r="D735" s="7"/>
      <c r="E735" s="7"/>
      <c r="F735" s="7"/>
      <c r="G735" s="7"/>
      <c r="H735" s="7"/>
      <c r="I735" s="63"/>
      <c r="J735" s="7"/>
      <c r="K735" s="7"/>
      <c r="L735" s="7"/>
      <c r="N735" s="7"/>
    </row>
    <row r="736" customFormat="false" ht="15.75" hidden="false" customHeight="true" outlineLevel="0" collapsed="false">
      <c r="C736" s="7"/>
      <c r="D736" s="7"/>
      <c r="E736" s="7"/>
      <c r="F736" s="7"/>
      <c r="G736" s="7"/>
      <c r="H736" s="7"/>
      <c r="I736" s="63"/>
      <c r="J736" s="7"/>
      <c r="K736" s="7"/>
      <c r="L736" s="7"/>
      <c r="N736" s="7"/>
    </row>
    <row r="737" customFormat="false" ht="15.75" hidden="false" customHeight="true" outlineLevel="0" collapsed="false">
      <c r="C737" s="7"/>
      <c r="D737" s="7"/>
      <c r="E737" s="7"/>
      <c r="F737" s="7"/>
      <c r="G737" s="7"/>
      <c r="H737" s="7"/>
      <c r="I737" s="63"/>
      <c r="J737" s="7"/>
      <c r="K737" s="7"/>
      <c r="L737" s="7"/>
      <c r="N737" s="7"/>
    </row>
    <row r="738" customFormat="false" ht="15.75" hidden="false" customHeight="true" outlineLevel="0" collapsed="false">
      <c r="C738" s="7"/>
      <c r="D738" s="7"/>
      <c r="E738" s="7"/>
      <c r="F738" s="7"/>
      <c r="G738" s="7"/>
      <c r="H738" s="7"/>
      <c r="I738" s="63"/>
      <c r="J738" s="7"/>
      <c r="K738" s="7"/>
      <c r="L738" s="7"/>
      <c r="N738" s="7"/>
    </row>
    <row r="739" customFormat="false" ht="15.75" hidden="false" customHeight="true" outlineLevel="0" collapsed="false">
      <c r="C739" s="7"/>
      <c r="D739" s="7"/>
      <c r="E739" s="7"/>
      <c r="F739" s="7"/>
      <c r="G739" s="7"/>
      <c r="H739" s="7"/>
      <c r="I739" s="63"/>
      <c r="J739" s="7"/>
      <c r="K739" s="7"/>
      <c r="L739" s="7"/>
      <c r="N739" s="7"/>
    </row>
    <row r="740" customFormat="false" ht="15.75" hidden="false" customHeight="true" outlineLevel="0" collapsed="false">
      <c r="C740" s="7"/>
      <c r="D740" s="7"/>
      <c r="E740" s="7"/>
      <c r="F740" s="7"/>
      <c r="G740" s="7"/>
      <c r="H740" s="7"/>
      <c r="I740" s="63"/>
      <c r="J740" s="7"/>
      <c r="K740" s="7"/>
      <c r="L740" s="7"/>
      <c r="N740" s="7"/>
    </row>
    <row r="741" customFormat="false" ht="15.75" hidden="false" customHeight="true" outlineLevel="0" collapsed="false">
      <c r="C741" s="7"/>
      <c r="D741" s="7"/>
      <c r="E741" s="7"/>
      <c r="F741" s="7"/>
      <c r="G741" s="7"/>
      <c r="H741" s="7"/>
      <c r="I741" s="63"/>
      <c r="J741" s="7"/>
      <c r="K741" s="7"/>
      <c r="L741" s="7"/>
      <c r="N741" s="7"/>
    </row>
    <row r="742" customFormat="false" ht="15.75" hidden="false" customHeight="true" outlineLevel="0" collapsed="false">
      <c r="C742" s="7"/>
      <c r="D742" s="7"/>
      <c r="E742" s="7"/>
      <c r="F742" s="7"/>
      <c r="G742" s="7"/>
      <c r="H742" s="7"/>
      <c r="I742" s="63"/>
      <c r="J742" s="7"/>
      <c r="K742" s="7"/>
      <c r="L742" s="7"/>
      <c r="N742" s="7"/>
    </row>
    <row r="743" customFormat="false" ht="15.75" hidden="false" customHeight="true" outlineLevel="0" collapsed="false">
      <c r="C743" s="7"/>
      <c r="D743" s="7"/>
      <c r="E743" s="7"/>
      <c r="F743" s="7"/>
      <c r="G743" s="7"/>
      <c r="H743" s="7"/>
      <c r="I743" s="63"/>
      <c r="J743" s="7"/>
      <c r="K743" s="7"/>
      <c r="L743" s="7"/>
      <c r="N743" s="7"/>
    </row>
    <row r="744" customFormat="false" ht="15.75" hidden="false" customHeight="true" outlineLevel="0" collapsed="false">
      <c r="C744" s="7"/>
      <c r="D744" s="7"/>
      <c r="E744" s="7"/>
      <c r="F744" s="7"/>
      <c r="G744" s="7"/>
      <c r="H744" s="7"/>
      <c r="I744" s="63"/>
      <c r="J744" s="7"/>
      <c r="K744" s="7"/>
      <c r="L744" s="7"/>
      <c r="N744" s="7"/>
    </row>
    <row r="745" customFormat="false" ht="15.75" hidden="false" customHeight="true" outlineLevel="0" collapsed="false">
      <c r="C745" s="7"/>
      <c r="D745" s="7"/>
      <c r="E745" s="7"/>
      <c r="F745" s="7"/>
      <c r="G745" s="7"/>
      <c r="H745" s="7"/>
      <c r="I745" s="63"/>
      <c r="J745" s="7"/>
      <c r="K745" s="7"/>
      <c r="L745" s="7"/>
      <c r="N745" s="7"/>
    </row>
    <row r="746" customFormat="false" ht="15.75" hidden="false" customHeight="true" outlineLevel="0" collapsed="false">
      <c r="C746" s="7"/>
      <c r="D746" s="7"/>
      <c r="E746" s="7"/>
      <c r="F746" s="7"/>
      <c r="G746" s="7"/>
      <c r="H746" s="7"/>
      <c r="I746" s="63"/>
      <c r="J746" s="7"/>
      <c r="K746" s="7"/>
      <c r="L746" s="7"/>
      <c r="N746" s="7"/>
    </row>
    <row r="747" customFormat="false" ht="15.75" hidden="false" customHeight="true" outlineLevel="0" collapsed="false">
      <c r="C747" s="7"/>
      <c r="D747" s="7"/>
      <c r="E747" s="7"/>
      <c r="F747" s="7"/>
      <c r="G747" s="7"/>
      <c r="H747" s="7"/>
      <c r="I747" s="63"/>
      <c r="J747" s="7"/>
      <c r="K747" s="7"/>
      <c r="L747" s="7"/>
      <c r="N747" s="7"/>
    </row>
    <row r="748" customFormat="false" ht="15.75" hidden="false" customHeight="true" outlineLevel="0" collapsed="false">
      <c r="C748" s="7"/>
      <c r="D748" s="7"/>
      <c r="E748" s="7"/>
      <c r="F748" s="7"/>
      <c r="G748" s="7"/>
      <c r="H748" s="7"/>
      <c r="I748" s="63"/>
      <c r="J748" s="7"/>
      <c r="K748" s="7"/>
      <c r="L748" s="7"/>
      <c r="N748" s="7"/>
    </row>
    <row r="749" customFormat="false" ht="15.75" hidden="false" customHeight="true" outlineLevel="0" collapsed="false">
      <c r="C749" s="7"/>
      <c r="D749" s="7"/>
      <c r="E749" s="7"/>
      <c r="F749" s="7"/>
      <c r="G749" s="7"/>
      <c r="H749" s="7"/>
      <c r="I749" s="63"/>
      <c r="J749" s="7"/>
      <c r="K749" s="7"/>
      <c r="L749" s="7"/>
      <c r="N749" s="7"/>
    </row>
    <row r="750" customFormat="false" ht="15.75" hidden="false" customHeight="true" outlineLevel="0" collapsed="false">
      <c r="C750" s="7"/>
      <c r="D750" s="7"/>
      <c r="E750" s="7"/>
      <c r="F750" s="7"/>
      <c r="G750" s="7"/>
      <c r="H750" s="7"/>
      <c r="I750" s="63"/>
      <c r="J750" s="7"/>
      <c r="K750" s="7"/>
      <c r="L750" s="7"/>
      <c r="N750" s="7"/>
    </row>
    <row r="751" customFormat="false" ht="15.75" hidden="false" customHeight="true" outlineLevel="0" collapsed="false">
      <c r="C751" s="7"/>
      <c r="D751" s="7"/>
      <c r="E751" s="7"/>
      <c r="F751" s="7"/>
      <c r="G751" s="7"/>
      <c r="H751" s="7"/>
      <c r="I751" s="63"/>
      <c r="J751" s="7"/>
      <c r="K751" s="7"/>
      <c r="L751" s="7"/>
      <c r="N751" s="7"/>
    </row>
    <row r="752" customFormat="false" ht="15.75" hidden="false" customHeight="true" outlineLevel="0" collapsed="false">
      <c r="C752" s="7"/>
      <c r="D752" s="7"/>
      <c r="E752" s="7"/>
      <c r="F752" s="7"/>
      <c r="G752" s="7"/>
      <c r="H752" s="7"/>
      <c r="I752" s="63"/>
      <c r="J752" s="7"/>
      <c r="K752" s="7"/>
      <c r="L752" s="7"/>
      <c r="N752" s="7"/>
    </row>
    <row r="753" customFormat="false" ht="15.75" hidden="false" customHeight="true" outlineLevel="0" collapsed="false">
      <c r="C753" s="7"/>
      <c r="D753" s="7"/>
      <c r="E753" s="7"/>
      <c r="F753" s="7"/>
      <c r="G753" s="7"/>
      <c r="H753" s="7"/>
      <c r="I753" s="63"/>
      <c r="J753" s="7"/>
      <c r="K753" s="7"/>
      <c r="L753" s="7"/>
      <c r="N753" s="7"/>
    </row>
    <row r="754" customFormat="false" ht="15.75" hidden="false" customHeight="true" outlineLevel="0" collapsed="false">
      <c r="C754" s="7"/>
      <c r="D754" s="7"/>
      <c r="E754" s="7"/>
      <c r="F754" s="7"/>
      <c r="G754" s="7"/>
      <c r="H754" s="7"/>
      <c r="I754" s="63"/>
      <c r="J754" s="7"/>
      <c r="K754" s="7"/>
      <c r="L754" s="7"/>
      <c r="N754" s="7"/>
    </row>
    <row r="755" customFormat="false" ht="15.75" hidden="false" customHeight="true" outlineLevel="0" collapsed="false">
      <c r="C755" s="7"/>
      <c r="D755" s="7"/>
      <c r="E755" s="7"/>
      <c r="F755" s="7"/>
      <c r="G755" s="7"/>
      <c r="H755" s="7"/>
      <c r="I755" s="63"/>
      <c r="J755" s="7"/>
      <c r="K755" s="7"/>
      <c r="L755" s="7"/>
      <c r="N755" s="7"/>
    </row>
    <row r="756" customFormat="false" ht="15.75" hidden="false" customHeight="true" outlineLevel="0" collapsed="false">
      <c r="C756" s="7"/>
      <c r="D756" s="7"/>
      <c r="E756" s="7"/>
      <c r="F756" s="7"/>
      <c r="G756" s="7"/>
      <c r="H756" s="7"/>
      <c r="I756" s="63"/>
      <c r="J756" s="7"/>
      <c r="K756" s="7"/>
      <c r="L756" s="7"/>
      <c r="N756" s="7"/>
    </row>
    <row r="757" customFormat="false" ht="15.75" hidden="false" customHeight="true" outlineLevel="0" collapsed="false">
      <c r="C757" s="7"/>
      <c r="D757" s="7"/>
      <c r="E757" s="7"/>
      <c r="F757" s="7"/>
      <c r="G757" s="7"/>
      <c r="H757" s="7"/>
      <c r="I757" s="63"/>
      <c r="J757" s="7"/>
      <c r="K757" s="7"/>
      <c r="L757" s="7"/>
      <c r="N757" s="7"/>
    </row>
    <row r="758" customFormat="false" ht="15.75" hidden="false" customHeight="true" outlineLevel="0" collapsed="false">
      <c r="C758" s="7"/>
      <c r="D758" s="7"/>
      <c r="E758" s="7"/>
      <c r="F758" s="7"/>
      <c r="G758" s="7"/>
      <c r="H758" s="7"/>
      <c r="I758" s="63"/>
      <c r="J758" s="7"/>
      <c r="K758" s="7"/>
      <c r="L758" s="7"/>
      <c r="N758" s="7"/>
    </row>
    <row r="759" customFormat="false" ht="15.75" hidden="false" customHeight="true" outlineLevel="0" collapsed="false">
      <c r="C759" s="7"/>
      <c r="D759" s="7"/>
      <c r="E759" s="7"/>
      <c r="F759" s="7"/>
      <c r="G759" s="7"/>
      <c r="H759" s="7"/>
      <c r="I759" s="63"/>
      <c r="J759" s="7"/>
      <c r="K759" s="7"/>
      <c r="L759" s="7"/>
      <c r="N759" s="7"/>
    </row>
    <row r="760" customFormat="false" ht="15.75" hidden="false" customHeight="true" outlineLevel="0" collapsed="false">
      <c r="C760" s="7"/>
      <c r="D760" s="7"/>
      <c r="E760" s="7"/>
      <c r="F760" s="7"/>
      <c r="G760" s="7"/>
      <c r="H760" s="7"/>
      <c r="I760" s="63"/>
      <c r="J760" s="7"/>
      <c r="K760" s="7"/>
      <c r="L760" s="7"/>
      <c r="N760" s="7"/>
    </row>
    <row r="761" customFormat="false" ht="15.75" hidden="false" customHeight="true" outlineLevel="0" collapsed="false">
      <c r="C761" s="7"/>
      <c r="D761" s="7"/>
      <c r="E761" s="7"/>
      <c r="F761" s="7"/>
      <c r="G761" s="7"/>
      <c r="H761" s="7"/>
      <c r="I761" s="63"/>
      <c r="J761" s="7"/>
      <c r="K761" s="7"/>
      <c r="L761" s="7"/>
      <c r="N761" s="7"/>
    </row>
    <row r="762" customFormat="false" ht="15.75" hidden="false" customHeight="true" outlineLevel="0" collapsed="false">
      <c r="C762" s="7"/>
      <c r="D762" s="7"/>
      <c r="E762" s="7"/>
      <c r="F762" s="7"/>
      <c r="G762" s="7"/>
      <c r="H762" s="7"/>
      <c r="I762" s="63"/>
      <c r="J762" s="7"/>
      <c r="K762" s="7"/>
      <c r="L762" s="7"/>
      <c r="N762" s="7"/>
    </row>
    <row r="763" customFormat="false" ht="15.75" hidden="false" customHeight="true" outlineLevel="0" collapsed="false">
      <c r="C763" s="7"/>
      <c r="D763" s="7"/>
      <c r="E763" s="7"/>
      <c r="F763" s="7"/>
      <c r="G763" s="7"/>
      <c r="H763" s="7"/>
      <c r="I763" s="63"/>
      <c r="J763" s="7"/>
      <c r="K763" s="7"/>
      <c r="L763" s="7"/>
      <c r="N763" s="7"/>
    </row>
    <row r="764" customFormat="false" ht="15.75" hidden="false" customHeight="true" outlineLevel="0" collapsed="false">
      <c r="C764" s="7"/>
      <c r="D764" s="7"/>
      <c r="E764" s="7"/>
      <c r="F764" s="7"/>
      <c r="G764" s="7"/>
      <c r="H764" s="7"/>
      <c r="I764" s="63"/>
      <c r="J764" s="7"/>
      <c r="K764" s="7"/>
      <c r="L764" s="7"/>
      <c r="N764" s="7"/>
    </row>
    <row r="765" customFormat="false" ht="15.75" hidden="false" customHeight="true" outlineLevel="0" collapsed="false">
      <c r="C765" s="7"/>
      <c r="D765" s="7"/>
      <c r="E765" s="7"/>
      <c r="F765" s="7"/>
      <c r="G765" s="7"/>
      <c r="H765" s="7"/>
      <c r="I765" s="63"/>
      <c r="J765" s="7"/>
      <c r="K765" s="7"/>
      <c r="L765" s="7"/>
      <c r="N765" s="7"/>
    </row>
    <row r="766" customFormat="false" ht="15.75" hidden="false" customHeight="true" outlineLevel="0" collapsed="false">
      <c r="C766" s="7"/>
      <c r="D766" s="7"/>
      <c r="E766" s="7"/>
      <c r="F766" s="7"/>
      <c r="G766" s="7"/>
      <c r="H766" s="7"/>
      <c r="I766" s="63"/>
      <c r="J766" s="7"/>
      <c r="K766" s="7"/>
      <c r="L766" s="7"/>
      <c r="N766" s="7"/>
    </row>
    <row r="767" customFormat="false" ht="15.75" hidden="false" customHeight="true" outlineLevel="0" collapsed="false">
      <c r="C767" s="7"/>
      <c r="D767" s="7"/>
      <c r="E767" s="7"/>
      <c r="F767" s="7"/>
      <c r="G767" s="7"/>
      <c r="H767" s="7"/>
      <c r="I767" s="63"/>
      <c r="J767" s="7"/>
      <c r="K767" s="7"/>
      <c r="L767" s="7"/>
      <c r="N767" s="7"/>
    </row>
    <row r="768" customFormat="false" ht="15.75" hidden="false" customHeight="true" outlineLevel="0" collapsed="false">
      <c r="C768" s="7"/>
      <c r="D768" s="7"/>
      <c r="E768" s="7"/>
      <c r="F768" s="7"/>
      <c r="G768" s="7"/>
      <c r="H768" s="7"/>
      <c r="I768" s="63"/>
      <c r="J768" s="7"/>
      <c r="K768" s="7"/>
      <c r="L768" s="7"/>
      <c r="N768" s="7"/>
    </row>
    <row r="769" customFormat="false" ht="15.75" hidden="false" customHeight="true" outlineLevel="0" collapsed="false">
      <c r="C769" s="7"/>
      <c r="D769" s="7"/>
      <c r="E769" s="7"/>
      <c r="F769" s="7"/>
      <c r="G769" s="7"/>
      <c r="H769" s="7"/>
      <c r="I769" s="63"/>
      <c r="J769" s="7"/>
      <c r="K769" s="7"/>
      <c r="L769" s="7"/>
      <c r="N769" s="7"/>
    </row>
    <row r="770" customFormat="false" ht="15.75" hidden="false" customHeight="true" outlineLevel="0" collapsed="false">
      <c r="C770" s="7"/>
      <c r="D770" s="7"/>
      <c r="E770" s="7"/>
      <c r="F770" s="7"/>
      <c r="G770" s="7"/>
      <c r="H770" s="7"/>
      <c r="I770" s="63"/>
      <c r="J770" s="7"/>
      <c r="K770" s="7"/>
      <c r="L770" s="7"/>
      <c r="N770" s="7"/>
    </row>
    <row r="771" customFormat="false" ht="15.75" hidden="false" customHeight="true" outlineLevel="0" collapsed="false">
      <c r="C771" s="7"/>
      <c r="D771" s="7"/>
      <c r="E771" s="7"/>
      <c r="F771" s="7"/>
      <c r="G771" s="7"/>
      <c r="H771" s="7"/>
      <c r="I771" s="63"/>
      <c r="J771" s="7"/>
      <c r="K771" s="7"/>
      <c r="L771" s="7"/>
      <c r="N771" s="7"/>
    </row>
    <row r="772" customFormat="false" ht="15.75" hidden="false" customHeight="true" outlineLevel="0" collapsed="false">
      <c r="C772" s="7"/>
      <c r="D772" s="7"/>
      <c r="E772" s="7"/>
      <c r="F772" s="7"/>
      <c r="G772" s="7"/>
      <c r="H772" s="7"/>
      <c r="I772" s="63"/>
      <c r="J772" s="7"/>
      <c r="K772" s="7"/>
      <c r="L772" s="7"/>
      <c r="N772" s="7"/>
    </row>
    <row r="773" customFormat="false" ht="15.75" hidden="false" customHeight="true" outlineLevel="0" collapsed="false">
      <c r="C773" s="7"/>
      <c r="D773" s="7"/>
      <c r="E773" s="7"/>
      <c r="F773" s="7"/>
      <c r="G773" s="7"/>
      <c r="H773" s="7"/>
      <c r="I773" s="63"/>
      <c r="J773" s="7"/>
      <c r="K773" s="7"/>
      <c r="L773" s="7"/>
      <c r="N773" s="7"/>
    </row>
    <row r="774" customFormat="false" ht="15.75" hidden="false" customHeight="true" outlineLevel="0" collapsed="false">
      <c r="C774" s="7"/>
      <c r="D774" s="7"/>
      <c r="E774" s="7"/>
      <c r="F774" s="7"/>
      <c r="G774" s="7"/>
      <c r="H774" s="7"/>
      <c r="I774" s="63"/>
      <c r="J774" s="7"/>
      <c r="K774" s="7"/>
      <c r="L774" s="7"/>
      <c r="N774" s="7"/>
    </row>
    <row r="775" customFormat="false" ht="15.75" hidden="false" customHeight="true" outlineLevel="0" collapsed="false">
      <c r="C775" s="7"/>
      <c r="D775" s="7"/>
      <c r="E775" s="7"/>
      <c r="F775" s="7"/>
      <c r="G775" s="7"/>
      <c r="H775" s="7"/>
      <c r="I775" s="63"/>
      <c r="J775" s="7"/>
      <c r="K775" s="7"/>
      <c r="L775" s="7"/>
      <c r="N775" s="7"/>
    </row>
    <row r="776" customFormat="false" ht="15.75" hidden="false" customHeight="true" outlineLevel="0" collapsed="false">
      <c r="C776" s="7"/>
      <c r="D776" s="7"/>
      <c r="E776" s="7"/>
      <c r="F776" s="7"/>
      <c r="G776" s="7"/>
      <c r="H776" s="7"/>
      <c r="I776" s="63"/>
      <c r="J776" s="7"/>
      <c r="K776" s="7"/>
      <c r="L776" s="7"/>
      <c r="N776" s="7"/>
    </row>
    <row r="777" customFormat="false" ht="15.75" hidden="false" customHeight="true" outlineLevel="0" collapsed="false">
      <c r="C777" s="7"/>
      <c r="D777" s="7"/>
      <c r="E777" s="7"/>
      <c r="F777" s="7"/>
      <c r="G777" s="7"/>
      <c r="H777" s="7"/>
      <c r="I777" s="63"/>
      <c r="J777" s="7"/>
      <c r="K777" s="7"/>
      <c r="L777" s="7"/>
      <c r="N777" s="7"/>
    </row>
    <row r="778" customFormat="false" ht="15.75" hidden="false" customHeight="true" outlineLevel="0" collapsed="false">
      <c r="C778" s="7"/>
      <c r="D778" s="7"/>
      <c r="E778" s="7"/>
      <c r="F778" s="7"/>
      <c r="G778" s="7"/>
      <c r="H778" s="7"/>
      <c r="I778" s="63"/>
      <c r="J778" s="7"/>
      <c r="K778" s="7"/>
      <c r="L778" s="7"/>
      <c r="N778" s="7"/>
    </row>
    <row r="779" customFormat="false" ht="15.75" hidden="false" customHeight="true" outlineLevel="0" collapsed="false">
      <c r="C779" s="7"/>
      <c r="D779" s="7"/>
      <c r="E779" s="7"/>
      <c r="F779" s="7"/>
      <c r="G779" s="7"/>
      <c r="H779" s="7"/>
      <c r="I779" s="63"/>
      <c r="J779" s="7"/>
      <c r="K779" s="7"/>
      <c r="L779" s="7"/>
      <c r="N779" s="7"/>
    </row>
    <row r="780" customFormat="false" ht="15.75" hidden="false" customHeight="true" outlineLevel="0" collapsed="false">
      <c r="C780" s="7"/>
      <c r="D780" s="7"/>
      <c r="E780" s="7"/>
      <c r="F780" s="7"/>
      <c r="G780" s="7"/>
      <c r="H780" s="7"/>
      <c r="I780" s="63"/>
      <c r="J780" s="7"/>
      <c r="K780" s="7"/>
      <c r="L780" s="7"/>
      <c r="N780" s="7"/>
    </row>
    <row r="781" customFormat="false" ht="15.75" hidden="false" customHeight="true" outlineLevel="0" collapsed="false">
      <c r="C781" s="7"/>
      <c r="D781" s="7"/>
      <c r="E781" s="7"/>
      <c r="F781" s="7"/>
      <c r="G781" s="7"/>
      <c r="H781" s="7"/>
      <c r="I781" s="63"/>
      <c r="J781" s="7"/>
      <c r="K781" s="7"/>
      <c r="L781" s="7"/>
      <c r="N781" s="7"/>
    </row>
    <row r="782" customFormat="false" ht="15.75" hidden="false" customHeight="true" outlineLevel="0" collapsed="false">
      <c r="C782" s="7"/>
      <c r="D782" s="7"/>
      <c r="E782" s="7"/>
      <c r="F782" s="7"/>
      <c r="G782" s="7"/>
      <c r="H782" s="7"/>
      <c r="I782" s="63"/>
      <c r="J782" s="7"/>
      <c r="K782" s="7"/>
      <c r="L782" s="7"/>
      <c r="N782" s="7"/>
    </row>
    <row r="783" customFormat="false" ht="15.75" hidden="false" customHeight="true" outlineLevel="0" collapsed="false">
      <c r="C783" s="7"/>
      <c r="D783" s="7"/>
      <c r="E783" s="7"/>
      <c r="F783" s="7"/>
      <c r="G783" s="7"/>
      <c r="H783" s="7"/>
      <c r="I783" s="63"/>
      <c r="J783" s="7"/>
      <c r="K783" s="7"/>
      <c r="L783" s="7"/>
      <c r="N783" s="7"/>
    </row>
    <row r="784" customFormat="false" ht="15.75" hidden="false" customHeight="true" outlineLevel="0" collapsed="false">
      <c r="C784" s="7"/>
      <c r="D784" s="7"/>
      <c r="E784" s="7"/>
      <c r="F784" s="7"/>
      <c r="G784" s="7"/>
      <c r="H784" s="7"/>
      <c r="I784" s="63"/>
      <c r="J784" s="7"/>
      <c r="K784" s="7"/>
      <c r="L784" s="7"/>
      <c r="N784" s="7"/>
    </row>
    <row r="785" customFormat="false" ht="15.75" hidden="false" customHeight="true" outlineLevel="0" collapsed="false">
      <c r="C785" s="7"/>
      <c r="D785" s="7"/>
      <c r="E785" s="7"/>
      <c r="F785" s="7"/>
      <c r="G785" s="7"/>
      <c r="H785" s="7"/>
      <c r="I785" s="63"/>
      <c r="J785" s="7"/>
      <c r="K785" s="7"/>
      <c r="L785" s="7"/>
      <c r="N785" s="7"/>
    </row>
    <row r="786" customFormat="false" ht="15.75" hidden="false" customHeight="true" outlineLevel="0" collapsed="false">
      <c r="C786" s="7"/>
      <c r="D786" s="7"/>
      <c r="E786" s="7"/>
      <c r="F786" s="7"/>
      <c r="G786" s="7"/>
      <c r="H786" s="7"/>
      <c r="I786" s="63"/>
      <c r="J786" s="7"/>
      <c r="K786" s="7"/>
      <c r="L786" s="7"/>
      <c r="N786" s="7"/>
    </row>
    <row r="787" customFormat="false" ht="15.75" hidden="false" customHeight="true" outlineLevel="0" collapsed="false">
      <c r="C787" s="7"/>
      <c r="D787" s="7"/>
      <c r="E787" s="7"/>
      <c r="F787" s="7"/>
      <c r="G787" s="7"/>
      <c r="H787" s="7"/>
      <c r="I787" s="63"/>
      <c r="J787" s="7"/>
      <c r="K787" s="7"/>
      <c r="L787" s="7"/>
      <c r="N787" s="7"/>
    </row>
    <row r="788" customFormat="false" ht="15.75" hidden="false" customHeight="true" outlineLevel="0" collapsed="false">
      <c r="C788" s="7"/>
      <c r="D788" s="7"/>
      <c r="E788" s="7"/>
      <c r="F788" s="7"/>
      <c r="G788" s="7"/>
      <c r="H788" s="7"/>
      <c r="I788" s="63"/>
      <c r="J788" s="7"/>
      <c r="K788" s="7"/>
      <c r="L788" s="7"/>
      <c r="N788" s="7"/>
    </row>
    <row r="789" customFormat="false" ht="15.75" hidden="false" customHeight="true" outlineLevel="0" collapsed="false">
      <c r="C789" s="7"/>
      <c r="D789" s="7"/>
      <c r="E789" s="7"/>
      <c r="F789" s="7"/>
      <c r="G789" s="7"/>
      <c r="H789" s="7"/>
      <c r="I789" s="63"/>
      <c r="J789" s="7"/>
      <c r="K789" s="7"/>
      <c r="L789" s="7"/>
      <c r="N789" s="7"/>
    </row>
    <row r="790" customFormat="false" ht="15.75" hidden="false" customHeight="true" outlineLevel="0" collapsed="false">
      <c r="C790" s="7"/>
      <c r="D790" s="7"/>
      <c r="E790" s="7"/>
      <c r="F790" s="7"/>
      <c r="G790" s="7"/>
      <c r="H790" s="7"/>
      <c r="I790" s="63"/>
      <c r="J790" s="7"/>
      <c r="K790" s="7"/>
      <c r="L790" s="7"/>
      <c r="N790" s="7"/>
    </row>
    <row r="791" customFormat="false" ht="15.75" hidden="false" customHeight="true" outlineLevel="0" collapsed="false">
      <c r="C791" s="7"/>
      <c r="D791" s="7"/>
      <c r="E791" s="7"/>
      <c r="F791" s="7"/>
      <c r="G791" s="7"/>
      <c r="H791" s="7"/>
      <c r="I791" s="63"/>
      <c r="J791" s="7"/>
      <c r="K791" s="7"/>
      <c r="L791" s="7"/>
      <c r="N791" s="7"/>
    </row>
    <row r="792" customFormat="false" ht="15.75" hidden="false" customHeight="true" outlineLevel="0" collapsed="false">
      <c r="C792" s="7"/>
      <c r="D792" s="7"/>
      <c r="E792" s="7"/>
      <c r="F792" s="7"/>
      <c r="G792" s="7"/>
      <c r="H792" s="7"/>
      <c r="I792" s="63"/>
      <c r="J792" s="7"/>
      <c r="K792" s="7"/>
      <c r="L792" s="7"/>
      <c r="N792" s="7"/>
    </row>
    <row r="793" customFormat="false" ht="15.75" hidden="false" customHeight="true" outlineLevel="0" collapsed="false">
      <c r="C793" s="7"/>
      <c r="D793" s="7"/>
      <c r="E793" s="7"/>
      <c r="F793" s="7"/>
      <c r="G793" s="7"/>
      <c r="H793" s="7"/>
      <c r="I793" s="63"/>
      <c r="J793" s="7"/>
      <c r="K793" s="7"/>
      <c r="L793" s="7"/>
      <c r="N793" s="7"/>
    </row>
    <row r="794" customFormat="false" ht="15.75" hidden="false" customHeight="true" outlineLevel="0" collapsed="false">
      <c r="C794" s="7"/>
      <c r="D794" s="7"/>
      <c r="E794" s="7"/>
      <c r="F794" s="7"/>
      <c r="G794" s="7"/>
      <c r="H794" s="7"/>
      <c r="I794" s="63"/>
      <c r="J794" s="7"/>
      <c r="K794" s="7"/>
      <c r="L794" s="7"/>
      <c r="N794" s="7"/>
    </row>
    <row r="795" customFormat="false" ht="15.75" hidden="false" customHeight="true" outlineLevel="0" collapsed="false">
      <c r="C795" s="7"/>
      <c r="D795" s="7"/>
      <c r="E795" s="7"/>
      <c r="F795" s="7"/>
      <c r="G795" s="7"/>
      <c r="H795" s="7"/>
      <c r="I795" s="63"/>
      <c r="J795" s="7"/>
      <c r="K795" s="7"/>
      <c r="L795" s="7"/>
      <c r="N795" s="7"/>
    </row>
    <row r="796" customFormat="false" ht="15.75" hidden="false" customHeight="true" outlineLevel="0" collapsed="false">
      <c r="C796" s="7"/>
      <c r="D796" s="7"/>
      <c r="E796" s="7"/>
      <c r="F796" s="7"/>
      <c r="G796" s="7"/>
      <c r="H796" s="7"/>
      <c r="I796" s="63"/>
      <c r="J796" s="7"/>
      <c r="K796" s="7"/>
      <c r="L796" s="7"/>
      <c r="N796" s="7"/>
    </row>
    <row r="797" customFormat="false" ht="15.75" hidden="false" customHeight="true" outlineLevel="0" collapsed="false">
      <c r="C797" s="7"/>
      <c r="D797" s="7"/>
      <c r="E797" s="7"/>
      <c r="F797" s="7"/>
      <c r="G797" s="7"/>
      <c r="H797" s="7"/>
      <c r="I797" s="63"/>
      <c r="J797" s="7"/>
      <c r="K797" s="7"/>
      <c r="L797" s="7"/>
      <c r="N797" s="7"/>
    </row>
    <row r="798" customFormat="false" ht="15.75" hidden="false" customHeight="true" outlineLevel="0" collapsed="false">
      <c r="C798" s="7"/>
      <c r="D798" s="7"/>
      <c r="E798" s="7"/>
      <c r="F798" s="7"/>
      <c r="G798" s="7"/>
      <c r="H798" s="7"/>
      <c r="I798" s="63"/>
      <c r="J798" s="7"/>
      <c r="K798" s="7"/>
      <c r="L798" s="7"/>
      <c r="N798" s="7"/>
    </row>
    <row r="799" customFormat="false" ht="15.75" hidden="false" customHeight="true" outlineLevel="0" collapsed="false">
      <c r="C799" s="7"/>
      <c r="D799" s="7"/>
      <c r="E799" s="7"/>
      <c r="F799" s="7"/>
      <c r="G799" s="7"/>
      <c r="H799" s="7"/>
      <c r="I799" s="63"/>
      <c r="J799" s="7"/>
      <c r="K799" s="7"/>
      <c r="L799" s="7"/>
      <c r="N799" s="7"/>
    </row>
    <row r="800" customFormat="false" ht="15.75" hidden="false" customHeight="true" outlineLevel="0" collapsed="false">
      <c r="C800" s="7"/>
      <c r="D800" s="7"/>
      <c r="E800" s="7"/>
      <c r="F800" s="7"/>
      <c r="G800" s="7"/>
      <c r="H800" s="7"/>
      <c r="I800" s="63"/>
      <c r="J800" s="7"/>
      <c r="K800" s="7"/>
      <c r="L800" s="7"/>
      <c r="N800" s="7"/>
    </row>
    <row r="801" customFormat="false" ht="15.75" hidden="false" customHeight="true" outlineLevel="0" collapsed="false">
      <c r="C801" s="7"/>
      <c r="D801" s="7"/>
      <c r="E801" s="7"/>
      <c r="F801" s="7"/>
      <c r="G801" s="7"/>
      <c r="H801" s="7"/>
      <c r="I801" s="63"/>
      <c r="J801" s="7"/>
      <c r="K801" s="7"/>
      <c r="L801" s="7"/>
      <c r="N801" s="7"/>
    </row>
    <row r="802" customFormat="false" ht="15.75" hidden="false" customHeight="true" outlineLevel="0" collapsed="false">
      <c r="C802" s="7"/>
      <c r="D802" s="7"/>
      <c r="E802" s="7"/>
      <c r="F802" s="7"/>
      <c r="G802" s="7"/>
      <c r="H802" s="7"/>
      <c r="I802" s="63"/>
      <c r="J802" s="7"/>
      <c r="K802" s="7"/>
      <c r="L802" s="7"/>
      <c r="N802" s="7"/>
    </row>
    <row r="803" customFormat="false" ht="15.75" hidden="false" customHeight="true" outlineLevel="0" collapsed="false">
      <c r="C803" s="7"/>
      <c r="D803" s="7"/>
      <c r="E803" s="7"/>
      <c r="F803" s="7"/>
      <c r="G803" s="7"/>
      <c r="H803" s="7"/>
      <c r="I803" s="63"/>
      <c r="J803" s="7"/>
      <c r="K803" s="7"/>
      <c r="L803" s="7"/>
      <c r="N803" s="7"/>
    </row>
    <row r="804" customFormat="false" ht="15.75" hidden="false" customHeight="true" outlineLevel="0" collapsed="false">
      <c r="C804" s="7"/>
      <c r="D804" s="7"/>
      <c r="E804" s="7"/>
      <c r="F804" s="7"/>
      <c r="G804" s="7"/>
      <c r="H804" s="7"/>
      <c r="I804" s="63"/>
      <c r="J804" s="7"/>
      <c r="K804" s="7"/>
      <c r="L804" s="7"/>
      <c r="N804" s="7"/>
    </row>
    <row r="805" customFormat="false" ht="15.75" hidden="false" customHeight="true" outlineLevel="0" collapsed="false">
      <c r="C805" s="7"/>
      <c r="D805" s="7"/>
      <c r="E805" s="7"/>
      <c r="F805" s="7"/>
      <c r="G805" s="7"/>
      <c r="H805" s="7"/>
      <c r="I805" s="63"/>
      <c r="J805" s="7"/>
      <c r="K805" s="7"/>
      <c r="L805" s="7"/>
      <c r="N805" s="7"/>
    </row>
    <row r="806" customFormat="false" ht="15.75" hidden="false" customHeight="true" outlineLevel="0" collapsed="false">
      <c r="C806" s="7"/>
      <c r="D806" s="7"/>
      <c r="E806" s="7"/>
      <c r="F806" s="7"/>
      <c r="G806" s="7"/>
      <c r="H806" s="7"/>
      <c r="I806" s="63"/>
      <c r="J806" s="7"/>
      <c r="K806" s="7"/>
      <c r="L806" s="7"/>
      <c r="N806" s="7"/>
    </row>
    <row r="807" customFormat="false" ht="15.75" hidden="false" customHeight="true" outlineLevel="0" collapsed="false">
      <c r="C807" s="7"/>
      <c r="D807" s="7"/>
      <c r="E807" s="7"/>
      <c r="F807" s="7"/>
      <c r="G807" s="7"/>
      <c r="H807" s="7"/>
      <c r="I807" s="63"/>
      <c r="J807" s="7"/>
      <c r="K807" s="7"/>
      <c r="L807" s="7"/>
      <c r="N807" s="7"/>
    </row>
    <row r="808" customFormat="false" ht="15.75" hidden="false" customHeight="true" outlineLevel="0" collapsed="false">
      <c r="C808" s="7"/>
      <c r="D808" s="7"/>
      <c r="E808" s="7"/>
      <c r="F808" s="7"/>
      <c r="G808" s="7"/>
      <c r="H808" s="7"/>
      <c r="I808" s="63"/>
      <c r="J808" s="7"/>
      <c r="K808" s="7"/>
      <c r="L808" s="7"/>
      <c r="N808" s="7"/>
    </row>
    <row r="809" customFormat="false" ht="15.75" hidden="false" customHeight="true" outlineLevel="0" collapsed="false">
      <c r="C809" s="7"/>
      <c r="D809" s="7"/>
      <c r="E809" s="7"/>
      <c r="F809" s="7"/>
      <c r="G809" s="7"/>
      <c r="H809" s="7"/>
      <c r="I809" s="63"/>
      <c r="J809" s="7"/>
      <c r="K809" s="7"/>
      <c r="L809" s="7"/>
      <c r="N809" s="7"/>
    </row>
    <row r="810" customFormat="false" ht="15.75" hidden="false" customHeight="true" outlineLevel="0" collapsed="false">
      <c r="C810" s="7"/>
      <c r="D810" s="7"/>
      <c r="E810" s="7"/>
      <c r="F810" s="7"/>
      <c r="G810" s="7"/>
      <c r="H810" s="7"/>
      <c r="I810" s="63"/>
      <c r="J810" s="7"/>
      <c r="K810" s="7"/>
      <c r="L810" s="7"/>
      <c r="N810" s="7"/>
    </row>
    <row r="811" customFormat="false" ht="15.75" hidden="false" customHeight="true" outlineLevel="0" collapsed="false">
      <c r="C811" s="7"/>
      <c r="D811" s="7"/>
      <c r="E811" s="7"/>
      <c r="F811" s="7"/>
      <c r="G811" s="7"/>
      <c r="H811" s="7"/>
      <c r="I811" s="63"/>
      <c r="J811" s="7"/>
      <c r="K811" s="7"/>
      <c r="L811" s="7"/>
      <c r="N811" s="7"/>
    </row>
    <row r="812" customFormat="false" ht="15.75" hidden="false" customHeight="true" outlineLevel="0" collapsed="false">
      <c r="C812" s="7"/>
      <c r="D812" s="7"/>
      <c r="E812" s="7"/>
      <c r="F812" s="7"/>
      <c r="G812" s="7"/>
      <c r="H812" s="7"/>
      <c r="I812" s="63"/>
      <c r="J812" s="7"/>
      <c r="K812" s="7"/>
      <c r="L812" s="7"/>
      <c r="N812" s="7"/>
    </row>
    <row r="813" customFormat="false" ht="15.75" hidden="false" customHeight="true" outlineLevel="0" collapsed="false">
      <c r="C813" s="7"/>
      <c r="D813" s="7"/>
      <c r="E813" s="7"/>
      <c r="F813" s="7"/>
      <c r="G813" s="7"/>
      <c r="H813" s="7"/>
      <c r="I813" s="63"/>
      <c r="J813" s="7"/>
      <c r="K813" s="7"/>
      <c r="L813" s="7"/>
      <c r="N813" s="7"/>
    </row>
    <row r="814" customFormat="false" ht="15.75" hidden="false" customHeight="true" outlineLevel="0" collapsed="false">
      <c r="C814" s="7"/>
      <c r="D814" s="7"/>
      <c r="E814" s="7"/>
      <c r="F814" s="7"/>
      <c r="G814" s="7"/>
      <c r="H814" s="7"/>
      <c r="I814" s="63"/>
      <c r="J814" s="7"/>
      <c r="K814" s="7"/>
      <c r="L814" s="7"/>
      <c r="N814" s="7"/>
    </row>
    <row r="815" customFormat="false" ht="15.75" hidden="false" customHeight="true" outlineLevel="0" collapsed="false">
      <c r="C815" s="7"/>
      <c r="D815" s="7"/>
      <c r="E815" s="7"/>
      <c r="F815" s="7"/>
      <c r="G815" s="7"/>
      <c r="H815" s="7"/>
      <c r="I815" s="63"/>
      <c r="J815" s="7"/>
      <c r="K815" s="7"/>
      <c r="L815" s="7"/>
      <c r="N815" s="7"/>
    </row>
    <row r="816" customFormat="false" ht="15.75" hidden="false" customHeight="true" outlineLevel="0" collapsed="false">
      <c r="C816" s="7"/>
      <c r="D816" s="7"/>
      <c r="E816" s="7"/>
      <c r="F816" s="7"/>
      <c r="G816" s="7"/>
      <c r="H816" s="7"/>
      <c r="I816" s="63"/>
      <c r="J816" s="7"/>
      <c r="K816" s="7"/>
      <c r="L816" s="7"/>
      <c r="N816" s="7"/>
    </row>
    <row r="817" customFormat="false" ht="15.75" hidden="false" customHeight="true" outlineLevel="0" collapsed="false">
      <c r="C817" s="7"/>
      <c r="D817" s="7"/>
      <c r="E817" s="7"/>
      <c r="F817" s="7"/>
      <c r="G817" s="7"/>
      <c r="H817" s="7"/>
      <c r="I817" s="63"/>
      <c r="J817" s="7"/>
      <c r="K817" s="7"/>
      <c r="L817" s="7"/>
      <c r="N817" s="7"/>
    </row>
    <row r="818" customFormat="false" ht="15.75" hidden="false" customHeight="true" outlineLevel="0" collapsed="false">
      <c r="C818" s="7"/>
      <c r="D818" s="7"/>
      <c r="E818" s="7"/>
      <c r="F818" s="7"/>
      <c r="G818" s="7"/>
      <c r="H818" s="7"/>
      <c r="I818" s="63"/>
      <c r="J818" s="7"/>
      <c r="K818" s="7"/>
      <c r="L818" s="7"/>
      <c r="N818" s="7"/>
    </row>
    <row r="819" customFormat="false" ht="15.75" hidden="false" customHeight="true" outlineLevel="0" collapsed="false">
      <c r="C819" s="7"/>
      <c r="D819" s="7"/>
      <c r="E819" s="7"/>
      <c r="F819" s="7"/>
      <c r="G819" s="7"/>
      <c r="H819" s="7"/>
      <c r="I819" s="63"/>
      <c r="J819" s="7"/>
      <c r="K819" s="7"/>
      <c r="L819" s="7"/>
      <c r="N819" s="7"/>
    </row>
    <row r="820" customFormat="false" ht="15.75" hidden="false" customHeight="true" outlineLevel="0" collapsed="false">
      <c r="C820" s="7"/>
      <c r="D820" s="7"/>
      <c r="E820" s="7"/>
      <c r="F820" s="7"/>
      <c r="G820" s="7"/>
      <c r="H820" s="7"/>
      <c r="I820" s="63"/>
      <c r="J820" s="7"/>
      <c r="K820" s="7"/>
      <c r="L820" s="7"/>
      <c r="N820" s="7"/>
    </row>
    <row r="821" customFormat="false" ht="15.75" hidden="false" customHeight="true" outlineLevel="0" collapsed="false">
      <c r="C821" s="7"/>
      <c r="D821" s="7"/>
      <c r="E821" s="7"/>
      <c r="F821" s="7"/>
      <c r="G821" s="7"/>
      <c r="H821" s="7"/>
      <c r="I821" s="63"/>
      <c r="J821" s="7"/>
      <c r="K821" s="7"/>
      <c r="L821" s="7"/>
      <c r="N821" s="7"/>
    </row>
    <row r="822" customFormat="false" ht="15.75" hidden="false" customHeight="true" outlineLevel="0" collapsed="false">
      <c r="C822" s="7"/>
      <c r="D822" s="7"/>
      <c r="E822" s="7"/>
      <c r="F822" s="7"/>
      <c r="G822" s="7"/>
      <c r="H822" s="7"/>
      <c r="I822" s="63"/>
      <c r="J822" s="7"/>
      <c r="K822" s="7"/>
      <c r="L822" s="7"/>
      <c r="N822" s="7"/>
    </row>
    <row r="823" customFormat="false" ht="15.75" hidden="false" customHeight="true" outlineLevel="0" collapsed="false">
      <c r="C823" s="7"/>
      <c r="D823" s="7"/>
      <c r="E823" s="7"/>
      <c r="F823" s="7"/>
      <c r="G823" s="7"/>
      <c r="H823" s="7"/>
      <c r="I823" s="63"/>
      <c r="J823" s="7"/>
      <c r="K823" s="7"/>
      <c r="L823" s="7"/>
      <c r="N823" s="7"/>
    </row>
    <row r="824" customFormat="false" ht="15.75" hidden="false" customHeight="true" outlineLevel="0" collapsed="false">
      <c r="C824" s="7"/>
      <c r="D824" s="7"/>
      <c r="E824" s="7"/>
      <c r="F824" s="7"/>
      <c r="G824" s="7"/>
      <c r="H824" s="7"/>
      <c r="I824" s="63"/>
      <c r="J824" s="7"/>
      <c r="K824" s="7"/>
      <c r="L824" s="7"/>
      <c r="N824" s="7"/>
    </row>
    <row r="825" customFormat="false" ht="15.75" hidden="false" customHeight="true" outlineLevel="0" collapsed="false">
      <c r="C825" s="7"/>
      <c r="D825" s="7"/>
      <c r="E825" s="7"/>
      <c r="F825" s="7"/>
      <c r="G825" s="7"/>
      <c r="H825" s="7"/>
      <c r="I825" s="63"/>
      <c r="J825" s="7"/>
      <c r="K825" s="7"/>
      <c r="L825" s="7"/>
      <c r="N825" s="7"/>
    </row>
    <row r="826" customFormat="false" ht="15.75" hidden="false" customHeight="true" outlineLevel="0" collapsed="false">
      <c r="C826" s="7"/>
      <c r="D826" s="7"/>
      <c r="E826" s="7"/>
      <c r="F826" s="7"/>
      <c r="G826" s="7"/>
      <c r="H826" s="7"/>
      <c r="I826" s="63"/>
      <c r="J826" s="7"/>
      <c r="K826" s="7"/>
      <c r="L826" s="7"/>
      <c r="N826" s="7"/>
    </row>
    <row r="827" customFormat="false" ht="15.75" hidden="false" customHeight="true" outlineLevel="0" collapsed="false">
      <c r="C827" s="7"/>
      <c r="D827" s="7"/>
      <c r="E827" s="7"/>
      <c r="F827" s="7"/>
      <c r="G827" s="7"/>
      <c r="H827" s="7"/>
      <c r="I827" s="63"/>
      <c r="J827" s="7"/>
      <c r="K827" s="7"/>
      <c r="L827" s="7"/>
      <c r="N827" s="7"/>
    </row>
    <row r="828" customFormat="false" ht="15.75" hidden="false" customHeight="true" outlineLevel="0" collapsed="false">
      <c r="C828" s="7"/>
      <c r="D828" s="7"/>
      <c r="E828" s="7"/>
      <c r="F828" s="7"/>
      <c r="G828" s="7"/>
      <c r="H828" s="7"/>
      <c r="I828" s="63"/>
      <c r="J828" s="7"/>
      <c r="K828" s="7"/>
      <c r="L828" s="7"/>
      <c r="N828" s="7"/>
    </row>
    <row r="829" customFormat="false" ht="15.75" hidden="false" customHeight="true" outlineLevel="0" collapsed="false">
      <c r="C829" s="7"/>
      <c r="D829" s="7"/>
      <c r="E829" s="7"/>
      <c r="F829" s="7"/>
      <c r="G829" s="7"/>
      <c r="H829" s="7"/>
      <c r="I829" s="63"/>
      <c r="J829" s="7"/>
      <c r="K829" s="7"/>
      <c r="L829" s="7"/>
      <c r="N829" s="7"/>
    </row>
    <row r="830" customFormat="false" ht="15.75" hidden="false" customHeight="true" outlineLevel="0" collapsed="false">
      <c r="C830" s="7"/>
      <c r="D830" s="7"/>
      <c r="E830" s="7"/>
      <c r="F830" s="7"/>
      <c r="G830" s="7"/>
      <c r="H830" s="7"/>
      <c r="I830" s="63"/>
      <c r="J830" s="7"/>
      <c r="K830" s="7"/>
      <c r="L830" s="7"/>
      <c r="N830" s="7"/>
    </row>
    <row r="831" customFormat="false" ht="15.75" hidden="false" customHeight="true" outlineLevel="0" collapsed="false">
      <c r="C831" s="7"/>
      <c r="D831" s="7"/>
      <c r="E831" s="7"/>
      <c r="F831" s="7"/>
      <c r="G831" s="7"/>
      <c r="H831" s="7"/>
      <c r="I831" s="63"/>
      <c r="J831" s="7"/>
      <c r="K831" s="7"/>
      <c r="L831" s="7"/>
      <c r="N831" s="7"/>
    </row>
    <row r="832" customFormat="false" ht="15.75" hidden="false" customHeight="true" outlineLevel="0" collapsed="false">
      <c r="C832" s="7"/>
      <c r="D832" s="7"/>
      <c r="E832" s="7"/>
      <c r="F832" s="7"/>
      <c r="G832" s="7"/>
      <c r="H832" s="7"/>
      <c r="I832" s="63"/>
      <c r="J832" s="7"/>
      <c r="K832" s="7"/>
      <c r="L832" s="7"/>
      <c r="N832" s="7"/>
    </row>
    <row r="833" customFormat="false" ht="15.75" hidden="false" customHeight="true" outlineLevel="0" collapsed="false">
      <c r="C833" s="7"/>
      <c r="D833" s="7"/>
      <c r="E833" s="7"/>
      <c r="F833" s="7"/>
      <c r="G833" s="7"/>
      <c r="H833" s="7"/>
      <c r="I833" s="63"/>
      <c r="J833" s="7"/>
      <c r="K833" s="7"/>
      <c r="L833" s="7"/>
      <c r="N833" s="7"/>
    </row>
    <row r="834" customFormat="false" ht="15.75" hidden="false" customHeight="true" outlineLevel="0" collapsed="false">
      <c r="C834" s="7"/>
      <c r="D834" s="7"/>
      <c r="E834" s="7"/>
      <c r="F834" s="7"/>
      <c r="G834" s="7"/>
      <c r="H834" s="7"/>
      <c r="I834" s="63"/>
      <c r="J834" s="7"/>
      <c r="K834" s="7"/>
      <c r="L834" s="7"/>
      <c r="N834" s="7"/>
    </row>
    <row r="835" customFormat="false" ht="15.75" hidden="false" customHeight="true" outlineLevel="0" collapsed="false">
      <c r="C835" s="7"/>
      <c r="D835" s="7"/>
      <c r="E835" s="7"/>
      <c r="F835" s="7"/>
      <c r="G835" s="7"/>
      <c r="H835" s="7"/>
      <c r="I835" s="63"/>
      <c r="J835" s="7"/>
      <c r="K835" s="7"/>
      <c r="L835" s="7"/>
      <c r="N835" s="7"/>
    </row>
    <row r="836" customFormat="false" ht="15.75" hidden="false" customHeight="true" outlineLevel="0" collapsed="false">
      <c r="C836" s="7"/>
      <c r="D836" s="7"/>
      <c r="E836" s="7"/>
      <c r="F836" s="7"/>
      <c r="G836" s="7"/>
      <c r="H836" s="7"/>
      <c r="I836" s="63"/>
      <c r="J836" s="7"/>
      <c r="K836" s="7"/>
      <c r="L836" s="7"/>
      <c r="N836" s="7"/>
    </row>
    <row r="837" customFormat="false" ht="15.75" hidden="false" customHeight="true" outlineLevel="0" collapsed="false">
      <c r="C837" s="7"/>
      <c r="D837" s="7"/>
      <c r="E837" s="7"/>
      <c r="F837" s="7"/>
      <c r="G837" s="7"/>
      <c r="H837" s="7"/>
      <c r="I837" s="63"/>
      <c r="J837" s="7"/>
      <c r="K837" s="7"/>
      <c r="L837" s="7"/>
      <c r="N837" s="7"/>
    </row>
    <row r="838" customFormat="false" ht="15.75" hidden="false" customHeight="true" outlineLevel="0" collapsed="false">
      <c r="C838" s="7"/>
      <c r="D838" s="7"/>
      <c r="E838" s="7"/>
      <c r="F838" s="7"/>
      <c r="G838" s="7"/>
      <c r="H838" s="7"/>
      <c r="I838" s="63"/>
      <c r="J838" s="7"/>
      <c r="K838" s="7"/>
      <c r="L838" s="7"/>
      <c r="N838" s="7"/>
    </row>
    <row r="839" customFormat="false" ht="15.75" hidden="false" customHeight="true" outlineLevel="0" collapsed="false">
      <c r="C839" s="7"/>
      <c r="D839" s="7"/>
      <c r="E839" s="7"/>
      <c r="F839" s="7"/>
      <c r="G839" s="7"/>
      <c r="H839" s="7"/>
      <c r="I839" s="63"/>
      <c r="J839" s="7"/>
      <c r="K839" s="7"/>
      <c r="L839" s="7"/>
      <c r="N839" s="7"/>
    </row>
    <row r="840" customFormat="false" ht="15.75" hidden="false" customHeight="true" outlineLevel="0" collapsed="false">
      <c r="C840" s="7"/>
      <c r="D840" s="7"/>
      <c r="E840" s="7"/>
      <c r="F840" s="7"/>
      <c r="G840" s="7"/>
      <c r="H840" s="7"/>
      <c r="I840" s="63"/>
      <c r="J840" s="7"/>
      <c r="K840" s="7"/>
      <c r="L840" s="7"/>
      <c r="N840" s="7"/>
    </row>
    <row r="841" customFormat="false" ht="15.75" hidden="false" customHeight="true" outlineLevel="0" collapsed="false">
      <c r="C841" s="7"/>
      <c r="D841" s="7"/>
      <c r="E841" s="7"/>
      <c r="F841" s="7"/>
      <c r="G841" s="7"/>
      <c r="H841" s="7"/>
      <c r="I841" s="63"/>
      <c r="J841" s="7"/>
      <c r="K841" s="7"/>
      <c r="L841" s="7"/>
      <c r="N841" s="7"/>
    </row>
    <row r="842" customFormat="false" ht="15.75" hidden="false" customHeight="true" outlineLevel="0" collapsed="false">
      <c r="C842" s="7"/>
      <c r="D842" s="7"/>
      <c r="E842" s="7"/>
      <c r="F842" s="7"/>
      <c r="G842" s="7"/>
      <c r="H842" s="7"/>
      <c r="I842" s="63"/>
      <c r="J842" s="7"/>
      <c r="K842" s="7"/>
      <c r="L842" s="7"/>
      <c r="N842" s="7"/>
    </row>
    <row r="843" customFormat="false" ht="15.75" hidden="false" customHeight="true" outlineLevel="0" collapsed="false">
      <c r="C843" s="7"/>
      <c r="D843" s="7"/>
      <c r="E843" s="7"/>
      <c r="F843" s="7"/>
      <c r="G843" s="7"/>
      <c r="H843" s="7"/>
      <c r="I843" s="63"/>
      <c r="J843" s="7"/>
      <c r="K843" s="7"/>
      <c r="L843" s="7"/>
      <c r="N843" s="7"/>
    </row>
    <row r="844" customFormat="false" ht="15.75" hidden="false" customHeight="true" outlineLevel="0" collapsed="false">
      <c r="C844" s="7"/>
      <c r="D844" s="7"/>
      <c r="E844" s="7"/>
      <c r="F844" s="7"/>
      <c r="G844" s="7"/>
      <c r="H844" s="7"/>
      <c r="I844" s="63"/>
      <c r="J844" s="7"/>
      <c r="K844" s="7"/>
      <c r="L844" s="7"/>
      <c r="N844" s="7"/>
    </row>
    <row r="845" customFormat="false" ht="15.75" hidden="false" customHeight="true" outlineLevel="0" collapsed="false">
      <c r="C845" s="7"/>
      <c r="D845" s="7"/>
      <c r="E845" s="7"/>
      <c r="F845" s="7"/>
      <c r="G845" s="7"/>
      <c r="H845" s="7"/>
      <c r="I845" s="63"/>
      <c r="J845" s="7"/>
      <c r="K845" s="7"/>
      <c r="L845" s="7"/>
      <c r="N845" s="7"/>
    </row>
    <row r="846" customFormat="false" ht="15.75" hidden="false" customHeight="true" outlineLevel="0" collapsed="false">
      <c r="C846" s="7"/>
      <c r="D846" s="7"/>
      <c r="E846" s="7"/>
      <c r="F846" s="7"/>
      <c r="G846" s="7"/>
      <c r="H846" s="7"/>
      <c r="I846" s="63"/>
      <c r="J846" s="7"/>
      <c r="K846" s="7"/>
      <c r="L846" s="7"/>
      <c r="N846" s="7"/>
    </row>
    <row r="847" customFormat="false" ht="15.75" hidden="false" customHeight="true" outlineLevel="0" collapsed="false">
      <c r="C847" s="7"/>
      <c r="D847" s="7"/>
      <c r="E847" s="7"/>
      <c r="F847" s="7"/>
      <c r="G847" s="7"/>
      <c r="H847" s="7"/>
      <c r="I847" s="63"/>
      <c r="J847" s="7"/>
      <c r="K847" s="7"/>
      <c r="L847" s="7"/>
      <c r="N847" s="7"/>
    </row>
    <row r="848" customFormat="false" ht="15.75" hidden="false" customHeight="true" outlineLevel="0" collapsed="false">
      <c r="C848" s="7"/>
      <c r="D848" s="7"/>
      <c r="E848" s="7"/>
      <c r="F848" s="7"/>
      <c r="G848" s="7"/>
      <c r="H848" s="7"/>
      <c r="I848" s="63"/>
      <c r="J848" s="7"/>
      <c r="K848" s="7"/>
      <c r="L848" s="7"/>
      <c r="N848" s="7"/>
    </row>
    <row r="849" customFormat="false" ht="15.75" hidden="false" customHeight="true" outlineLevel="0" collapsed="false">
      <c r="C849" s="7"/>
      <c r="D849" s="7"/>
      <c r="E849" s="7"/>
      <c r="F849" s="7"/>
      <c r="G849" s="7"/>
      <c r="H849" s="7"/>
      <c r="I849" s="63"/>
      <c r="J849" s="7"/>
      <c r="K849" s="7"/>
      <c r="L849" s="7"/>
      <c r="N849" s="7"/>
    </row>
    <row r="850" customFormat="false" ht="15.75" hidden="false" customHeight="true" outlineLevel="0" collapsed="false">
      <c r="C850" s="7"/>
      <c r="D850" s="7"/>
      <c r="E850" s="7"/>
      <c r="F850" s="7"/>
      <c r="G850" s="7"/>
      <c r="H850" s="7"/>
      <c r="I850" s="63"/>
      <c r="J850" s="7"/>
      <c r="K850" s="7"/>
      <c r="L850" s="7"/>
      <c r="N850" s="7"/>
    </row>
    <row r="851" customFormat="false" ht="15.75" hidden="false" customHeight="true" outlineLevel="0" collapsed="false">
      <c r="C851" s="7"/>
      <c r="D851" s="7"/>
      <c r="E851" s="7"/>
      <c r="F851" s="7"/>
      <c r="G851" s="7"/>
      <c r="H851" s="7"/>
      <c r="I851" s="63"/>
      <c r="J851" s="7"/>
      <c r="K851" s="7"/>
      <c r="L851" s="7"/>
      <c r="N851" s="7"/>
    </row>
    <row r="852" customFormat="false" ht="15.75" hidden="false" customHeight="true" outlineLevel="0" collapsed="false">
      <c r="C852" s="7"/>
      <c r="D852" s="7"/>
      <c r="E852" s="7"/>
      <c r="F852" s="7"/>
      <c r="G852" s="7"/>
      <c r="H852" s="7"/>
      <c r="I852" s="63"/>
      <c r="J852" s="7"/>
      <c r="K852" s="7"/>
      <c r="L852" s="7"/>
      <c r="N852" s="7"/>
    </row>
    <row r="853" customFormat="false" ht="15.75" hidden="false" customHeight="true" outlineLevel="0" collapsed="false">
      <c r="C853" s="7"/>
      <c r="D853" s="7"/>
      <c r="E853" s="7"/>
      <c r="F853" s="7"/>
      <c r="G853" s="7"/>
      <c r="H853" s="7"/>
      <c r="I853" s="63"/>
      <c r="J853" s="7"/>
      <c r="K853" s="7"/>
      <c r="L853" s="7"/>
      <c r="N853" s="7"/>
    </row>
    <row r="854" customFormat="false" ht="15.75" hidden="false" customHeight="true" outlineLevel="0" collapsed="false">
      <c r="C854" s="7"/>
      <c r="D854" s="7"/>
      <c r="E854" s="7"/>
      <c r="F854" s="7"/>
      <c r="G854" s="7"/>
      <c r="H854" s="7"/>
      <c r="I854" s="63"/>
      <c r="J854" s="7"/>
      <c r="K854" s="7"/>
      <c r="L854" s="7"/>
      <c r="N854" s="7"/>
    </row>
    <row r="855" customFormat="false" ht="15.75" hidden="false" customHeight="true" outlineLevel="0" collapsed="false">
      <c r="C855" s="7"/>
      <c r="D855" s="7"/>
      <c r="E855" s="7"/>
      <c r="F855" s="7"/>
      <c r="G855" s="7"/>
      <c r="H855" s="7"/>
      <c r="I855" s="63"/>
      <c r="J855" s="7"/>
      <c r="K855" s="7"/>
      <c r="L855" s="7"/>
      <c r="N855" s="7"/>
    </row>
    <row r="856" customFormat="false" ht="15.75" hidden="false" customHeight="true" outlineLevel="0" collapsed="false">
      <c r="C856" s="7"/>
      <c r="D856" s="7"/>
      <c r="E856" s="7"/>
      <c r="F856" s="7"/>
      <c r="G856" s="7"/>
      <c r="H856" s="7"/>
      <c r="I856" s="63"/>
      <c r="J856" s="7"/>
      <c r="K856" s="7"/>
      <c r="L856" s="7"/>
      <c r="N856" s="7"/>
    </row>
    <row r="857" customFormat="false" ht="15.75" hidden="false" customHeight="true" outlineLevel="0" collapsed="false">
      <c r="C857" s="7"/>
      <c r="D857" s="7"/>
      <c r="E857" s="7"/>
      <c r="F857" s="7"/>
      <c r="G857" s="7"/>
      <c r="H857" s="7"/>
      <c r="I857" s="63"/>
      <c r="J857" s="7"/>
      <c r="K857" s="7"/>
      <c r="L857" s="7"/>
      <c r="N857" s="7"/>
    </row>
    <row r="858" customFormat="false" ht="15.75" hidden="false" customHeight="true" outlineLevel="0" collapsed="false">
      <c r="C858" s="7"/>
      <c r="D858" s="7"/>
      <c r="E858" s="7"/>
      <c r="F858" s="7"/>
      <c r="G858" s="7"/>
      <c r="H858" s="7"/>
      <c r="I858" s="63"/>
      <c r="J858" s="7"/>
      <c r="K858" s="7"/>
      <c r="L858" s="7"/>
      <c r="N858" s="7"/>
    </row>
    <row r="859" customFormat="false" ht="15.75" hidden="false" customHeight="true" outlineLevel="0" collapsed="false">
      <c r="C859" s="7"/>
      <c r="D859" s="7"/>
      <c r="E859" s="7"/>
      <c r="F859" s="7"/>
      <c r="G859" s="7"/>
      <c r="H859" s="7"/>
      <c r="I859" s="63"/>
      <c r="J859" s="7"/>
      <c r="K859" s="7"/>
      <c r="L859" s="7"/>
      <c r="N859" s="7"/>
    </row>
    <row r="860" customFormat="false" ht="15.75" hidden="false" customHeight="true" outlineLevel="0" collapsed="false">
      <c r="C860" s="7"/>
      <c r="D860" s="7"/>
      <c r="E860" s="7"/>
      <c r="F860" s="7"/>
      <c r="G860" s="7"/>
      <c r="H860" s="7"/>
      <c r="I860" s="63"/>
      <c r="J860" s="7"/>
      <c r="K860" s="7"/>
      <c r="L860" s="7"/>
      <c r="N860" s="7"/>
    </row>
    <row r="861" customFormat="false" ht="15.75" hidden="false" customHeight="true" outlineLevel="0" collapsed="false">
      <c r="C861" s="7"/>
      <c r="D861" s="7"/>
      <c r="E861" s="7"/>
      <c r="F861" s="7"/>
      <c r="G861" s="7"/>
      <c r="H861" s="7"/>
      <c r="I861" s="63"/>
      <c r="J861" s="7"/>
      <c r="K861" s="7"/>
      <c r="L861" s="7"/>
      <c r="N861" s="7"/>
    </row>
    <row r="862" customFormat="false" ht="15.75" hidden="false" customHeight="true" outlineLevel="0" collapsed="false">
      <c r="C862" s="7"/>
      <c r="D862" s="7"/>
      <c r="E862" s="7"/>
      <c r="F862" s="7"/>
      <c r="G862" s="7"/>
      <c r="H862" s="7"/>
      <c r="I862" s="63"/>
      <c r="J862" s="7"/>
      <c r="K862" s="7"/>
      <c r="L862" s="7"/>
      <c r="N862" s="7"/>
    </row>
    <row r="863" customFormat="false" ht="15.75" hidden="false" customHeight="true" outlineLevel="0" collapsed="false">
      <c r="C863" s="7"/>
      <c r="D863" s="7"/>
      <c r="E863" s="7"/>
      <c r="F863" s="7"/>
      <c r="G863" s="7"/>
      <c r="H863" s="7"/>
      <c r="I863" s="63"/>
      <c r="J863" s="7"/>
      <c r="K863" s="7"/>
      <c r="L863" s="7"/>
      <c r="N863" s="7"/>
    </row>
    <row r="864" customFormat="false" ht="15.75" hidden="false" customHeight="true" outlineLevel="0" collapsed="false">
      <c r="C864" s="7"/>
      <c r="D864" s="7"/>
      <c r="E864" s="7"/>
      <c r="F864" s="7"/>
      <c r="G864" s="7"/>
      <c r="H864" s="7"/>
      <c r="I864" s="63"/>
      <c r="J864" s="7"/>
      <c r="K864" s="7"/>
      <c r="L864" s="7"/>
      <c r="N864" s="7"/>
    </row>
    <row r="865" customFormat="false" ht="15.75" hidden="false" customHeight="true" outlineLevel="0" collapsed="false">
      <c r="C865" s="7"/>
      <c r="D865" s="7"/>
      <c r="E865" s="7"/>
      <c r="F865" s="7"/>
      <c r="G865" s="7"/>
      <c r="H865" s="7"/>
      <c r="I865" s="63"/>
      <c r="J865" s="7"/>
      <c r="K865" s="7"/>
      <c r="L865" s="7"/>
      <c r="N865" s="7"/>
    </row>
    <row r="866" customFormat="false" ht="15.75" hidden="false" customHeight="true" outlineLevel="0" collapsed="false">
      <c r="C866" s="7"/>
      <c r="D866" s="7"/>
      <c r="E866" s="7"/>
      <c r="F866" s="7"/>
      <c r="G866" s="7"/>
      <c r="H866" s="7"/>
      <c r="I866" s="63"/>
      <c r="J866" s="7"/>
      <c r="K866" s="7"/>
      <c r="L866" s="7"/>
      <c r="N866" s="7"/>
    </row>
    <row r="867" customFormat="false" ht="15.75" hidden="false" customHeight="true" outlineLevel="0" collapsed="false">
      <c r="C867" s="7"/>
      <c r="D867" s="7"/>
      <c r="E867" s="7"/>
      <c r="F867" s="7"/>
      <c r="G867" s="7"/>
      <c r="H867" s="7"/>
      <c r="I867" s="63"/>
      <c r="J867" s="7"/>
      <c r="K867" s="7"/>
      <c r="L867" s="7"/>
      <c r="N867" s="7"/>
    </row>
    <row r="868" customFormat="false" ht="15.75" hidden="false" customHeight="true" outlineLevel="0" collapsed="false">
      <c r="C868" s="7"/>
      <c r="D868" s="7"/>
      <c r="E868" s="7"/>
      <c r="F868" s="7"/>
      <c r="G868" s="7"/>
      <c r="H868" s="7"/>
      <c r="I868" s="63"/>
      <c r="J868" s="7"/>
      <c r="K868" s="7"/>
      <c r="L868" s="7"/>
      <c r="N868" s="7"/>
    </row>
    <row r="869" customFormat="false" ht="15.75" hidden="false" customHeight="true" outlineLevel="0" collapsed="false">
      <c r="C869" s="7"/>
      <c r="D869" s="7"/>
      <c r="E869" s="7"/>
      <c r="F869" s="7"/>
      <c r="G869" s="7"/>
      <c r="H869" s="7"/>
      <c r="I869" s="63"/>
      <c r="J869" s="7"/>
      <c r="K869" s="7"/>
      <c r="L869" s="7"/>
      <c r="N869" s="7"/>
    </row>
    <row r="870" customFormat="false" ht="15.75" hidden="false" customHeight="true" outlineLevel="0" collapsed="false">
      <c r="C870" s="7"/>
      <c r="D870" s="7"/>
      <c r="E870" s="7"/>
      <c r="F870" s="7"/>
      <c r="G870" s="7"/>
      <c r="H870" s="7"/>
      <c r="I870" s="63"/>
      <c r="J870" s="7"/>
      <c r="K870" s="7"/>
      <c r="L870" s="7"/>
      <c r="N870" s="7"/>
    </row>
    <row r="871" customFormat="false" ht="15.75" hidden="false" customHeight="true" outlineLevel="0" collapsed="false">
      <c r="C871" s="7"/>
      <c r="D871" s="7"/>
      <c r="E871" s="7"/>
      <c r="F871" s="7"/>
      <c r="G871" s="7"/>
      <c r="H871" s="7"/>
      <c r="I871" s="63"/>
      <c r="J871" s="7"/>
      <c r="K871" s="7"/>
      <c r="L871" s="7"/>
      <c r="N871" s="7"/>
    </row>
    <row r="872" customFormat="false" ht="15.75" hidden="false" customHeight="true" outlineLevel="0" collapsed="false">
      <c r="C872" s="7"/>
      <c r="D872" s="7"/>
      <c r="E872" s="7"/>
      <c r="F872" s="7"/>
      <c r="G872" s="7"/>
      <c r="H872" s="7"/>
      <c r="I872" s="63"/>
      <c r="J872" s="7"/>
      <c r="K872" s="7"/>
      <c r="L872" s="7"/>
      <c r="N872" s="7"/>
    </row>
    <row r="873" customFormat="false" ht="15.75" hidden="false" customHeight="true" outlineLevel="0" collapsed="false">
      <c r="C873" s="7"/>
      <c r="D873" s="7"/>
      <c r="E873" s="7"/>
      <c r="F873" s="7"/>
      <c r="G873" s="7"/>
      <c r="H873" s="7"/>
      <c r="I873" s="63"/>
      <c r="J873" s="7"/>
      <c r="K873" s="7"/>
      <c r="L873" s="7"/>
      <c r="N873" s="7"/>
    </row>
    <row r="874" customFormat="false" ht="15.75" hidden="false" customHeight="true" outlineLevel="0" collapsed="false">
      <c r="C874" s="7"/>
      <c r="D874" s="7"/>
      <c r="E874" s="7"/>
      <c r="F874" s="7"/>
      <c r="G874" s="7"/>
      <c r="H874" s="7"/>
      <c r="I874" s="63"/>
      <c r="J874" s="7"/>
      <c r="K874" s="7"/>
      <c r="L874" s="7"/>
      <c r="N874" s="7"/>
    </row>
    <row r="875" customFormat="false" ht="15.75" hidden="false" customHeight="true" outlineLevel="0" collapsed="false">
      <c r="C875" s="7"/>
      <c r="D875" s="7"/>
      <c r="E875" s="7"/>
      <c r="F875" s="7"/>
      <c r="G875" s="7"/>
      <c r="H875" s="7"/>
      <c r="I875" s="63"/>
      <c r="J875" s="7"/>
      <c r="K875" s="7"/>
      <c r="L875" s="7"/>
      <c r="N875" s="7"/>
    </row>
    <row r="876" customFormat="false" ht="15.75" hidden="false" customHeight="true" outlineLevel="0" collapsed="false">
      <c r="C876" s="7"/>
      <c r="D876" s="7"/>
      <c r="E876" s="7"/>
      <c r="F876" s="7"/>
      <c r="G876" s="7"/>
      <c r="H876" s="7"/>
      <c r="I876" s="63"/>
      <c r="J876" s="7"/>
      <c r="K876" s="7"/>
      <c r="L876" s="7"/>
      <c r="N876" s="7"/>
    </row>
    <row r="877" customFormat="false" ht="15.75" hidden="false" customHeight="true" outlineLevel="0" collapsed="false">
      <c r="C877" s="7"/>
      <c r="D877" s="7"/>
      <c r="E877" s="7"/>
      <c r="F877" s="7"/>
      <c r="G877" s="7"/>
      <c r="H877" s="7"/>
      <c r="I877" s="63"/>
      <c r="J877" s="7"/>
      <c r="K877" s="7"/>
      <c r="L877" s="7"/>
      <c r="N877" s="7"/>
    </row>
    <row r="878" customFormat="false" ht="15.75" hidden="false" customHeight="true" outlineLevel="0" collapsed="false">
      <c r="C878" s="7"/>
      <c r="D878" s="7"/>
      <c r="E878" s="7"/>
      <c r="F878" s="7"/>
      <c r="G878" s="7"/>
      <c r="H878" s="7"/>
      <c r="I878" s="63"/>
      <c r="J878" s="7"/>
      <c r="K878" s="7"/>
      <c r="L878" s="7"/>
      <c r="N878" s="7"/>
    </row>
    <row r="879" customFormat="false" ht="15.75" hidden="false" customHeight="true" outlineLevel="0" collapsed="false">
      <c r="C879" s="7"/>
      <c r="D879" s="7"/>
      <c r="E879" s="7"/>
      <c r="F879" s="7"/>
      <c r="G879" s="7"/>
      <c r="H879" s="7"/>
      <c r="I879" s="63"/>
      <c r="J879" s="7"/>
      <c r="K879" s="7"/>
      <c r="L879" s="7"/>
      <c r="N879" s="7"/>
    </row>
    <row r="880" customFormat="false" ht="15.75" hidden="false" customHeight="true" outlineLevel="0" collapsed="false">
      <c r="C880" s="7"/>
      <c r="D880" s="7"/>
      <c r="E880" s="7"/>
      <c r="F880" s="7"/>
      <c r="G880" s="7"/>
      <c r="H880" s="7"/>
      <c r="I880" s="63"/>
      <c r="J880" s="7"/>
      <c r="K880" s="7"/>
      <c r="L880" s="7"/>
      <c r="N880" s="7"/>
    </row>
    <row r="881" customFormat="false" ht="15.75" hidden="false" customHeight="true" outlineLevel="0" collapsed="false">
      <c r="C881" s="7"/>
      <c r="D881" s="7"/>
      <c r="E881" s="7"/>
      <c r="F881" s="7"/>
      <c r="G881" s="7"/>
      <c r="H881" s="7"/>
      <c r="I881" s="63"/>
      <c r="J881" s="7"/>
      <c r="K881" s="7"/>
      <c r="L881" s="7"/>
      <c r="N881" s="7"/>
    </row>
    <row r="882" customFormat="false" ht="15.75" hidden="false" customHeight="true" outlineLevel="0" collapsed="false">
      <c r="C882" s="7"/>
      <c r="D882" s="7"/>
      <c r="E882" s="7"/>
      <c r="F882" s="7"/>
      <c r="G882" s="7"/>
      <c r="H882" s="7"/>
      <c r="I882" s="63"/>
      <c r="J882" s="7"/>
      <c r="K882" s="7"/>
      <c r="L882" s="7"/>
      <c r="N882" s="7"/>
    </row>
    <row r="883" customFormat="false" ht="15.75" hidden="false" customHeight="true" outlineLevel="0" collapsed="false">
      <c r="C883" s="7"/>
      <c r="D883" s="7"/>
      <c r="E883" s="7"/>
      <c r="F883" s="7"/>
      <c r="G883" s="7"/>
      <c r="H883" s="7"/>
      <c r="I883" s="63"/>
      <c r="J883" s="7"/>
      <c r="K883" s="7"/>
      <c r="L883" s="7"/>
      <c r="N883" s="7"/>
    </row>
    <row r="884" customFormat="false" ht="15.75" hidden="false" customHeight="true" outlineLevel="0" collapsed="false">
      <c r="C884" s="7"/>
      <c r="D884" s="7"/>
      <c r="E884" s="7"/>
      <c r="F884" s="7"/>
      <c r="G884" s="7"/>
      <c r="H884" s="7"/>
      <c r="I884" s="63"/>
      <c r="J884" s="7"/>
      <c r="K884" s="7"/>
      <c r="L884" s="7"/>
      <c r="N884" s="7"/>
    </row>
    <row r="885" customFormat="false" ht="15.75" hidden="false" customHeight="true" outlineLevel="0" collapsed="false">
      <c r="C885" s="7"/>
      <c r="D885" s="7"/>
      <c r="E885" s="7"/>
      <c r="F885" s="7"/>
      <c r="G885" s="7"/>
      <c r="H885" s="7"/>
      <c r="I885" s="63"/>
      <c r="J885" s="7"/>
      <c r="K885" s="7"/>
      <c r="L885" s="7"/>
      <c r="N885" s="7"/>
    </row>
    <row r="886" customFormat="false" ht="15.75" hidden="false" customHeight="true" outlineLevel="0" collapsed="false">
      <c r="C886" s="7"/>
      <c r="D886" s="7"/>
      <c r="E886" s="7"/>
      <c r="F886" s="7"/>
      <c r="G886" s="7"/>
      <c r="H886" s="7"/>
      <c r="I886" s="63"/>
      <c r="J886" s="7"/>
      <c r="K886" s="7"/>
      <c r="L886" s="7"/>
      <c r="N886" s="7"/>
    </row>
    <row r="887" customFormat="false" ht="15.75" hidden="false" customHeight="true" outlineLevel="0" collapsed="false">
      <c r="C887" s="7"/>
      <c r="D887" s="7"/>
      <c r="E887" s="7"/>
      <c r="F887" s="7"/>
      <c r="G887" s="7"/>
      <c r="H887" s="7"/>
      <c r="I887" s="63"/>
      <c r="J887" s="7"/>
      <c r="K887" s="7"/>
      <c r="L887" s="7"/>
      <c r="N887" s="7"/>
    </row>
    <row r="888" customFormat="false" ht="15.75" hidden="false" customHeight="true" outlineLevel="0" collapsed="false">
      <c r="C888" s="7"/>
      <c r="D888" s="7"/>
      <c r="E888" s="7"/>
      <c r="F888" s="7"/>
      <c r="G888" s="7"/>
      <c r="H888" s="7"/>
      <c r="I888" s="63"/>
      <c r="J888" s="7"/>
      <c r="K888" s="7"/>
      <c r="L888" s="7"/>
      <c r="N888" s="7"/>
    </row>
    <row r="889" customFormat="false" ht="15.75" hidden="false" customHeight="true" outlineLevel="0" collapsed="false">
      <c r="C889" s="7"/>
      <c r="D889" s="7"/>
      <c r="E889" s="7"/>
      <c r="F889" s="7"/>
      <c r="G889" s="7"/>
      <c r="H889" s="7"/>
      <c r="I889" s="63"/>
      <c r="J889" s="7"/>
      <c r="K889" s="7"/>
      <c r="L889" s="7"/>
      <c r="N889" s="7"/>
    </row>
    <row r="890" customFormat="false" ht="15.75" hidden="false" customHeight="true" outlineLevel="0" collapsed="false">
      <c r="C890" s="7"/>
      <c r="D890" s="7"/>
      <c r="E890" s="7"/>
      <c r="F890" s="7"/>
      <c r="G890" s="7"/>
      <c r="H890" s="7"/>
      <c r="I890" s="63"/>
      <c r="J890" s="7"/>
      <c r="K890" s="7"/>
      <c r="L890" s="7"/>
      <c r="N890" s="7"/>
    </row>
    <row r="891" customFormat="false" ht="15.75" hidden="false" customHeight="true" outlineLevel="0" collapsed="false">
      <c r="C891" s="7"/>
      <c r="D891" s="7"/>
      <c r="E891" s="7"/>
      <c r="F891" s="7"/>
      <c r="G891" s="7"/>
      <c r="H891" s="7"/>
      <c r="I891" s="63"/>
      <c r="J891" s="7"/>
      <c r="K891" s="7"/>
      <c r="L891" s="7"/>
      <c r="N891" s="7"/>
    </row>
    <row r="892" customFormat="false" ht="15.75" hidden="false" customHeight="true" outlineLevel="0" collapsed="false">
      <c r="C892" s="7"/>
      <c r="D892" s="7"/>
      <c r="E892" s="7"/>
      <c r="F892" s="7"/>
      <c r="G892" s="7"/>
      <c r="H892" s="7"/>
      <c r="I892" s="63"/>
      <c r="J892" s="7"/>
      <c r="K892" s="7"/>
      <c r="L892" s="7"/>
      <c r="N892" s="7"/>
    </row>
    <row r="893" customFormat="false" ht="15.75" hidden="false" customHeight="true" outlineLevel="0" collapsed="false">
      <c r="C893" s="7"/>
      <c r="D893" s="7"/>
      <c r="E893" s="7"/>
      <c r="F893" s="7"/>
      <c r="G893" s="7"/>
      <c r="H893" s="7"/>
      <c r="I893" s="63"/>
      <c r="J893" s="7"/>
      <c r="K893" s="7"/>
      <c r="L893" s="7"/>
      <c r="N893" s="7"/>
    </row>
    <row r="894" customFormat="false" ht="15.75" hidden="false" customHeight="true" outlineLevel="0" collapsed="false">
      <c r="C894" s="7"/>
      <c r="D894" s="7"/>
      <c r="E894" s="7"/>
      <c r="F894" s="7"/>
      <c r="G894" s="7"/>
      <c r="H894" s="7"/>
      <c r="I894" s="63"/>
      <c r="J894" s="7"/>
      <c r="K894" s="7"/>
      <c r="L894" s="7"/>
      <c r="N894" s="7"/>
    </row>
    <row r="895" customFormat="false" ht="15.75" hidden="false" customHeight="true" outlineLevel="0" collapsed="false">
      <c r="C895" s="7"/>
      <c r="D895" s="7"/>
      <c r="E895" s="7"/>
      <c r="F895" s="7"/>
      <c r="G895" s="7"/>
      <c r="H895" s="7"/>
      <c r="I895" s="63"/>
      <c r="J895" s="7"/>
      <c r="K895" s="7"/>
      <c r="L895" s="7"/>
      <c r="N895" s="7"/>
    </row>
    <row r="896" customFormat="false" ht="15.75" hidden="false" customHeight="true" outlineLevel="0" collapsed="false">
      <c r="C896" s="7"/>
      <c r="D896" s="7"/>
      <c r="E896" s="7"/>
      <c r="F896" s="7"/>
      <c r="G896" s="7"/>
      <c r="H896" s="7"/>
      <c r="I896" s="63"/>
      <c r="J896" s="7"/>
      <c r="K896" s="7"/>
      <c r="L896" s="7"/>
      <c r="N896" s="7"/>
    </row>
    <row r="897" customFormat="false" ht="15.75" hidden="false" customHeight="true" outlineLevel="0" collapsed="false">
      <c r="C897" s="7"/>
      <c r="D897" s="7"/>
      <c r="E897" s="7"/>
      <c r="F897" s="7"/>
      <c r="G897" s="7"/>
      <c r="H897" s="7"/>
      <c r="I897" s="63"/>
      <c r="J897" s="7"/>
      <c r="K897" s="7"/>
      <c r="L897" s="7"/>
      <c r="N897" s="7"/>
    </row>
    <row r="898" customFormat="false" ht="15.75" hidden="false" customHeight="true" outlineLevel="0" collapsed="false">
      <c r="C898" s="7"/>
      <c r="D898" s="7"/>
      <c r="E898" s="7"/>
      <c r="F898" s="7"/>
      <c r="G898" s="7"/>
      <c r="H898" s="7"/>
      <c r="I898" s="63"/>
      <c r="J898" s="7"/>
      <c r="K898" s="7"/>
      <c r="L898" s="7"/>
      <c r="N898" s="7"/>
    </row>
    <row r="899" customFormat="false" ht="15.75" hidden="false" customHeight="true" outlineLevel="0" collapsed="false">
      <c r="C899" s="7"/>
      <c r="D899" s="7"/>
      <c r="E899" s="7"/>
      <c r="F899" s="7"/>
      <c r="G899" s="7"/>
      <c r="H899" s="7"/>
      <c r="I899" s="63"/>
      <c r="J899" s="7"/>
      <c r="K899" s="7"/>
      <c r="L899" s="7"/>
      <c r="N899" s="7"/>
    </row>
    <row r="900" customFormat="false" ht="15.75" hidden="false" customHeight="true" outlineLevel="0" collapsed="false">
      <c r="C900" s="7"/>
      <c r="D900" s="7"/>
      <c r="E900" s="7"/>
      <c r="F900" s="7"/>
      <c r="G900" s="7"/>
      <c r="H900" s="7"/>
      <c r="I900" s="63"/>
      <c r="J900" s="7"/>
      <c r="K900" s="7"/>
      <c r="L900" s="7"/>
      <c r="N900" s="7"/>
    </row>
    <row r="901" customFormat="false" ht="15.75" hidden="false" customHeight="true" outlineLevel="0" collapsed="false">
      <c r="C901" s="7"/>
      <c r="D901" s="7"/>
      <c r="E901" s="7"/>
      <c r="F901" s="7"/>
      <c r="G901" s="7"/>
      <c r="H901" s="7"/>
      <c r="I901" s="63"/>
      <c r="J901" s="7"/>
      <c r="K901" s="7"/>
      <c r="L901" s="7"/>
      <c r="N901" s="7"/>
    </row>
    <row r="902" customFormat="false" ht="15.75" hidden="false" customHeight="true" outlineLevel="0" collapsed="false">
      <c r="C902" s="7"/>
      <c r="D902" s="7"/>
      <c r="E902" s="7"/>
      <c r="F902" s="7"/>
      <c r="G902" s="7"/>
      <c r="H902" s="7"/>
      <c r="I902" s="63"/>
      <c r="J902" s="7"/>
      <c r="K902" s="7"/>
      <c r="L902" s="7"/>
      <c r="N902" s="7"/>
    </row>
    <row r="903" customFormat="false" ht="15.75" hidden="false" customHeight="true" outlineLevel="0" collapsed="false">
      <c r="C903" s="7"/>
      <c r="D903" s="7"/>
      <c r="E903" s="7"/>
      <c r="F903" s="7"/>
      <c r="G903" s="7"/>
      <c r="H903" s="7"/>
      <c r="I903" s="63"/>
      <c r="J903" s="7"/>
      <c r="K903" s="7"/>
      <c r="L903" s="7"/>
      <c r="N903" s="7"/>
    </row>
    <row r="904" customFormat="false" ht="15.75" hidden="false" customHeight="true" outlineLevel="0" collapsed="false">
      <c r="C904" s="7"/>
      <c r="D904" s="7"/>
      <c r="E904" s="7"/>
      <c r="F904" s="7"/>
      <c r="G904" s="7"/>
      <c r="H904" s="7"/>
      <c r="I904" s="63"/>
      <c r="J904" s="7"/>
      <c r="K904" s="7"/>
      <c r="L904" s="7"/>
      <c r="N904" s="7"/>
    </row>
    <row r="905" customFormat="false" ht="15.75" hidden="false" customHeight="true" outlineLevel="0" collapsed="false">
      <c r="C905" s="7"/>
      <c r="D905" s="7"/>
      <c r="E905" s="7"/>
      <c r="F905" s="7"/>
      <c r="G905" s="7"/>
      <c r="H905" s="7"/>
      <c r="I905" s="63"/>
      <c r="J905" s="7"/>
      <c r="K905" s="7"/>
      <c r="L905" s="7"/>
      <c r="N905" s="7"/>
    </row>
    <row r="906" customFormat="false" ht="15.75" hidden="false" customHeight="true" outlineLevel="0" collapsed="false">
      <c r="C906" s="7"/>
      <c r="D906" s="7"/>
      <c r="E906" s="7"/>
      <c r="F906" s="7"/>
      <c r="G906" s="7"/>
      <c r="H906" s="7"/>
      <c r="I906" s="63"/>
      <c r="J906" s="7"/>
      <c r="K906" s="7"/>
      <c r="L906" s="7"/>
      <c r="N906" s="7"/>
    </row>
    <row r="907" customFormat="false" ht="15.75" hidden="false" customHeight="true" outlineLevel="0" collapsed="false">
      <c r="C907" s="7"/>
      <c r="D907" s="7"/>
      <c r="E907" s="7"/>
      <c r="F907" s="7"/>
      <c r="G907" s="7"/>
      <c r="H907" s="7"/>
      <c r="I907" s="63"/>
      <c r="J907" s="7"/>
      <c r="K907" s="7"/>
      <c r="L907" s="7"/>
      <c r="N907" s="7"/>
    </row>
    <row r="908" customFormat="false" ht="15.75" hidden="false" customHeight="true" outlineLevel="0" collapsed="false">
      <c r="C908" s="7"/>
      <c r="D908" s="7"/>
      <c r="E908" s="7"/>
      <c r="F908" s="7"/>
      <c r="G908" s="7"/>
      <c r="H908" s="7"/>
      <c r="I908" s="63"/>
      <c r="J908" s="7"/>
      <c r="K908" s="7"/>
      <c r="L908" s="7"/>
      <c r="N908" s="7"/>
    </row>
    <row r="909" customFormat="false" ht="15.75" hidden="false" customHeight="true" outlineLevel="0" collapsed="false">
      <c r="C909" s="7"/>
      <c r="D909" s="7"/>
      <c r="E909" s="7"/>
      <c r="F909" s="7"/>
      <c r="G909" s="7"/>
      <c r="H909" s="7"/>
      <c r="I909" s="63"/>
      <c r="J909" s="7"/>
      <c r="K909" s="7"/>
      <c r="L909" s="7"/>
      <c r="N909" s="7"/>
    </row>
    <row r="910" customFormat="false" ht="15.75" hidden="false" customHeight="true" outlineLevel="0" collapsed="false">
      <c r="C910" s="7"/>
      <c r="D910" s="7"/>
      <c r="E910" s="7"/>
      <c r="F910" s="7"/>
      <c r="G910" s="7"/>
      <c r="H910" s="7"/>
      <c r="I910" s="63"/>
      <c r="J910" s="7"/>
      <c r="K910" s="7"/>
      <c r="L910" s="7"/>
      <c r="N910" s="7"/>
    </row>
    <row r="911" customFormat="false" ht="15.75" hidden="false" customHeight="true" outlineLevel="0" collapsed="false">
      <c r="C911" s="7"/>
      <c r="D911" s="7"/>
      <c r="E911" s="7"/>
      <c r="F911" s="7"/>
      <c r="G911" s="7"/>
      <c r="H911" s="7"/>
      <c r="I911" s="63"/>
      <c r="J911" s="7"/>
      <c r="K911" s="7"/>
      <c r="L911" s="7"/>
      <c r="N911" s="7"/>
    </row>
    <row r="912" customFormat="false" ht="15.75" hidden="false" customHeight="true" outlineLevel="0" collapsed="false">
      <c r="C912" s="7"/>
      <c r="D912" s="7"/>
      <c r="E912" s="7"/>
      <c r="F912" s="7"/>
      <c r="G912" s="7"/>
      <c r="H912" s="7"/>
      <c r="I912" s="63"/>
      <c r="J912" s="7"/>
      <c r="K912" s="7"/>
      <c r="L912" s="7"/>
      <c r="N912" s="7"/>
    </row>
    <row r="913" customFormat="false" ht="15.75" hidden="false" customHeight="true" outlineLevel="0" collapsed="false">
      <c r="C913" s="7"/>
      <c r="D913" s="7"/>
      <c r="E913" s="7"/>
      <c r="F913" s="7"/>
      <c r="G913" s="7"/>
      <c r="H913" s="7"/>
      <c r="I913" s="63"/>
      <c r="J913" s="7"/>
      <c r="K913" s="7"/>
      <c r="L913" s="7"/>
      <c r="N913" s="7"/>
    </row>
    <row r="914" customFormat="false" ht="15.75" hidden="false" customHeight="true" outlineLevel="0" collapsed="false">
      <c r="C914" s="7"/>
      <c r="D914" s="7"/>
      <c r="E914" s="7"/>
      <c r="F914" s="7"/>
      <c r="G914" s="7"/>
      <c r="H914" s="7"/>
      <c r="I914" s="63"/>
      <c r="J914" s="7"/>
      <c r="K914" s="7"/>
      <c r="L914" s="7"/>
      <c r="N914" s="7"/>
    </row>
    <row r="915" customFormat="false" ht="15.75" hidden="false" customHeight="true" outlineLevel="0" collapsed="false">
      <c r="C915" s="7"/>
      <c r="D915" s="7"/>
      <c r="E915" s="7"/>
      <c r="F915" s="7"/>
      <c r="G915" s="7"/>
      <c r="H915" s="7"/>
      <c r="I915" s="63"/>
      <c r="J915" s="7"/>
      <c r="K915" s="7"/>
      <c r="L915" s="7"/>
      <c r="N915" s="7"/>
    </row>
    <row r="916" customFormat="false" ht="15.75" hidden="false" customHeight="true" outlineLevel="0" collapsed="false">
      <c r="C916" s="7"/>
      <c r="D916" s="7"/>
      <c r="E916" s="7"/>
      <c r="F916" s="7"/>
      <c r="G916" s="7"/>
      <c r="H916" s="7"/>
      <c r="I916" s="63"/>
      <c r="J916" s="7"/>
      <c r="K916" s="7"/>
      <c r="L916" s="7"/>
      <c r="N916" s="7"/>
    </row>
    <row r="917" customFormat="false" ht="15.75" hidden="false" customHeight="true" outlineLevel="0" collapsed="false">
      <c r="C917" s="7"/>
      <c r="D917" s="7"/>
      <c r="E917" s="7"/>
      <c r="F917" s="7"/>
      <c r="G917" s="7"/>
      <c r="H917" s="7"/>
      <c r="I917" s="63"/>
      <c r="J917" s="7"/>
      <c r="K917" s="7"/>
      <c r="L917" s="7"/>
      <c r="N917" s="7"/>
    </row>
    <row r="918" customFormat="false" ht="15.75" hidden="false" customHeight="true" outlineLevel="0" collapsed="false">
      <c r="C918" s="7"/>
      <c r="D918" s="7"/>
      <c r="E918" s="7"/>
      <c r="F918" s="7"/>
      <c r="G918" s="7"/>
      <c r="H918" s="7"/>
      <c r="I918" s="63"/>
      <c r="J918" s="7"/>
      <c r="K918" s="7"/>
      <c r="L918" s="7"/>
      <c r="N918" s="7"/>
    </row>
    <row r="919" customFormat="false" ht="15.75" hidden="false" customHeight="true" outlineLevel="0" collapsed="false">
      <c r="C919" s="7"/>
      <c r="D919" s="7"/>
      <c r="E919" s="7"/>
      <c r="F919" s="7"/>
      <c r="G919" s="7"/>
      <c r="H919" s="7"/>
      <c r="I919" s="63"/>
      <c r="J919" s="7"/>
      <c r="K919" s="7"/>
      <c r="L919" s="7"/>
      <c r="N919" s="7"/>
    </row>
    <row r="920" customFormat="false" ht="15.75" hidden="false" customHeight="true" outlineLevel="0" collapsed="false">
      <c r="C920" s="7"/>
      <c r="D920" s="7"/>
      <c r="E920" s="7"/>
      <c r="F920" s="7"/>
      <c r="G920" s="7"/>
      <c r="H920" s="7"/>
      <c r="I920" s="63"/>
      <c r="J920" s="7"/>
      <c r="K920" s="7"/>
      <c r="L920" s="7"/>
      <c r="N920" s="7"/>
    </row>
    <row r="921" customFormat="false" ht="15.75" hidden="false" customHeight="true" outlineLevel="0" collapsed="false">
      <c r="C921" s="7"/>
      <c r="D921" s="7"/>
      <c r="E921" s="7"/>
      <c r="F921" s="7"/>
      <c r="G921" s="7"/>
      <c r="H921" s="7"/>
      <c r="I921" s="63"/>
      <c r="J921" s="7"/>
      <c r="K921" s="7"/>
      <c r="L921" s="7"/>
      <c r="N921" s="7"/>
    </row>
    <row r="922" customFormat="false" ht="15.75" hidden="false" customHeight="true" outlineLevel="0" collapsed="false">
      <c r="C922" s="7"/>
      <c r="D922" s="7"/>
      <c r="E922" s="7"/>
      <c r="F922" s="7"/>
      <c r="G922" s="7"/>
      <c r="H922" s="7"/>
      <c r="I922" s="63"/>
      <c r="J922" s="7"/>
      <c r="K922" s="7"/>
      <c r="L922" s="7"/>
      <c r="N922" s="7"/>
    </row>
    <row r="923" customFormat="false" ht="15.75" hidden="false" customHeight="true" outlineLevel="0" collapsed="false">
      <c r="C923" s="7"/>
      <c r="D923" s="7"/>
      <c r="E923" s="7"/>
      <c r="F923" s="7"/>
      <c r="G923" s="7"/>
      <c r="H923" s="7"/>
      <c r="I923" s="63"/>
      <c r="J923" s="7"/>
      <c r="K923" s="7"/>
      <c r="L923" s="7"/>
      <c r="N923" s="7"/>
    </row>
    <row r="924" customFormat="false" ht="15.75" hidden="false" customHeight="true" outlineLevel="0" collapsed="false">
      <c r="C924" s="7"/>
      <c r="D924" s="7"/>
      <c r="E924" s="7"/>
      <c r="F924" s="7"/>
      <c r="G924" s="7"/>
      <c r="H924" s="7"/>
      <c r="I924" s="63"/>
      <c r="J924" s="7"/>
      <c r="K924" s="7"/>
      <c r="L924" s="7"/>
      <c r="N924" s="7"/>
    </row>
    <row r="925" customFormat="false" ht="15.75" hidden="false" customHeight="true" outlineLevel="0" collapsed="false">
      <c r="C925" s="7"/>
      <c r="D925" s="7"/>
      <c r="E925" s="7"/>
      <c r="F925" s="7"/>
      <c r="G925" s="7"/>
      <c r="H925" s="7"/>
      <c r="I925" s="63"/>
      <c r="J925" s="7"/>
      <c r="K925" s="7"/>
      <c r="L925" s="7"/>
      <c r="N925" s="7"/>
    </row>
    <row r="926" customFormat="false" ht="15.75" hidden="false" customHeight="true" outlineLevel="0" collapsed="false">
      <c r="C926" s="7"/>
      <c r="D926" s="7"/>
      <c r="E926" s="7"/>
      <c r="F926" s="7"/>
      <c r="G926" s="7"/>
      <c r="H926" s="7"/>
      <c r="I926" s="63"/>
      <c r="J926" s="7"/>
      <c r="K926" s="7"/>
      <c r="L926" s="7"/>
      <c r="N926" s="7"/>
    </row>
    <row r="927" customFormat="false" ht="15.75" hidden="false" customHeight="true" outlineLevel="0" collapsed="false">
      <c r="C927" s="7"/>
      <c r="D927" s="7"/>
      <c r="E927" s="7"/>
      <c r="F927" s="7"/>
      <c r="G927" s="7"/>
      <c r="H927" s="7"/>
      <c r="I927" s="63"/>
      <c r="J927" s="7"/>
      <c r="K927" s="7"/>
      <c r="L927" s="7"/>
      <c r="N927" s="7"/>
    </row>
    <row r="928" customFormat="false" ht="15.75" hidden="false" customHeight="true" outlineLevel="0" collapsed="false">
      <c r="C928" s="7"/>
      <c r="D928" s="7"/>
      <c r="E928" s="7"/>
      <c r="F928" s="7"/>
      <c r="G928" s="7"/>
      <c r="H928" s="7"/>
      <c r="I928" s="63"/>
      <c r="J928" s="7"/>
      <c r="K928" s="7"/>
      <c r="L928" s="7"/>
      <c r="N928" s="7"/>
    </row>
    <row r="929" customFormat="false" ht="15.75" hidden="false" customHeight="true" outlineLevel="0" collapsed="false">
      <c r="C929" s="7"/>
      <c r="D929" s="7"/>
      <c r="E929" s="7"/>
      <c r="F929" s="7"/>
      <c r="G929" s="7"/>
      <c r="H929" s="7"/>
      <c r="I929" s="63"/>
      <c r="J929" s="7"/>
      <c r="K929" s="7"/>
      <c r="L929" s="7"/>
      <c r="N929" s="7"/>
    </row>
    <row r="930" customFormat="false" ht="15.75" hidden="false" customHeight="true" outlineLevel="0" collapsed="false">
      <c r="C930" s="7"/>
      <c r="D930" s="7"/>
      <c r="E930" s="7"/>
      <c r="F930" s="7"/>
      <c r="G930" s="7"/>
      <c r="H930" s="7"/>
      <c r="I930" s="63"/>
      <c r="J930" s="7"/>
      <c r="K930" s="7"/>
      <c r="L930" s="7"/>
      <c r="N930" s="7"/>
    </row>
    <row r="931" customFormat="false" ht="15.75" hidden="false" customHeight="true" outlineLevel="0" collapsed="false">
      <c r="C931" s="7"/>
      <c r="D931" s="7"/>
      <c r="E931" s="7"/>
      <c r="F931" s="7"/>
      <c r="G931" s="7"/>
      <c r="H931" s="7"/>
      <c r="I931" s="63"/>
      <c r="J931" s="7"/>
      <c r="K931" s="7"/>
      <c r="L931" s="7"/>
      <c r="N931" s="7"/>
    </row>
    <row r="932" customFormat="false" ht="15.75" hidden="false" customHeight="true" outlineLevel="0" collapsed="false">
      <c r="C932" s="7"/>
      <c r="D932" s="7"/>
      <c r="E932" s="7"/>
      <c r="F932" s="7"/>
      <c r="G932" s="7"/>
      <c r="H932" s="7"/>
      <c r="I932" s="63"/>
      <c r="J932" s="7"/>
      <c r="K932" s="7"/>
      <c r="L932" s="7"/>
      <c r="N932" s="7"/>
    </row>
    <row r="933" customFormat="false" ht="15.75" hidden="false" customHeight="true" outlineLevel="0" collapsed="false">
      <c r="C933" s="7"/>
      <c r="D933" s="7"/>
      <c r="E933" s="7"/>
      <c r="F933" s="7"/>
      <c r="G933" s="7"/>
      <c r="H933" s="7"/>
      <c r="I933" s="63"/>
      <c r="J933" s="7"/>
      <c r="K933" s="7"/>
      <c r="L933" s="7"/>
      <c r="N933" s="7"/>
    </row>
    <row r="934" customFormat="false" ht="15.75" hidden="false" customHeight="true" outlineLevel="0" collapsed="false">
      <c r="C934" s="7"/>
      <c r="D934" s="7"/>
      <c r="E934" s="7"/>
      <c r="F934" s="7"/>
      <c r="G934" s="7"/>
      <c r="H934" s="7"/>
      <c r="I934" s="63"/>
      <c r="J934" s="7"/>
      <c r="K934" s="7"/>
      <c r="L934" s="7"/>
      <c r="N934" s="7"/>
    </row>
    <row r="935" customFormat="false" ht="15.75" hidden="false" customHeight="true" outlineLevel="0" collapsed="false">
      <c r="C935" s="7"/>
      <c r="D935" s="7"/>
      <c r="E935" s="7"/>
      <c r="F935" s="7"/>
      <c r="G935" s="7"/>
      <c r="H935" s="7"/>
      <c r="I935" s="63"/>
      <c r="J935" s="7"/>
      <c r="K935" s="7"/>
      <c r="L935" s="7"/>
      <c r="N935" s="7"/>
    </row>
    <row r="936" customFormat="false" ht="15.75" hidden="false" customHeight="true" outlineLevel="0" collapsed="false">
      <c r="C936" s="7"/>
      <c r="D936" s="7"/>
      <c r="E936" s="7"/>
      <c r="F936" s="7"/>
      <c r="G936" s="7"/>
      <c r="H936" s="7"/>
      <c r="I936" s="63"/>
      <c r="J936" s="7"/>
      <c r="K936" s="7"/>
      <c r="L936" s="7"/>
      <c r="N936" s="7"/>
    </row>
    <row r="937" customFormat="false" ht="15.75" hidden="false" customHeight="true" outlineLevel="0" collapsed="false">
      <c r="C937" s="7"/>
      <c r="D937" s="7"/>
      <c r="E937" s="7"/>
      <c r="F937" s="7"/>
      <c r="G937" s="7"/>
      <c r="H937" s="7"/>
      <c r="I937" s="63"/>
      <c r="J937" s="7"/>
      <c r="K937" s="7"/>
      <c r="L937" s="7"/>
      <c r="N937" s="7"/>
    </row>
    <row r="938" customFormat="false" ht="15.75" hidden="false" customHeight="true" outlineLevel="0" collapsed="false">
      <c r="C938" s="7"/>
      <c r="D938" s="7"/>
      <c r="E938" s="7"/>
      <c r="F938" s="7"/>
      <c r="G938" s="7"/>
      <c r="H938" s="7"/>
      <c r="I938" s="63"/>
      <c r="J938" s="7"/>
      <c r="K938" s="7"/>
      <c r="L938" s="7"/>
      <c r="N938" s="7"/>
    </row>
    <row r="939" customFormat="false" ht="15.75" hidden="false" customHeight="true" outlineLevel="0" collapsed="false">
      <c r="C939" s="7"/>
      <c r="D939" s="7"/>
      <c r="E939" s="7"/>
      <c r="F939" s="7"/>
      <c r="G939" s="7"/>
      <c r="H939" s="7"/>
      <c r="I939" s="63"/>
      <c r="J939" s="7"/>
      <c r="K939" s="7"/>
      <c r="L939" s="7"/>
      <c r="N939" s="7"/>
    </row>
    <row r="940" customFormat="false" ht="15.75" hidden="false" customHeight="true" outlineLevel="0" collapsed="false">
      <c r="C940" s="7"/>
      <c r="D940" s="7"/>
      <c r="E940" s="7"/>
      <c r="F940" s="7"/>
      <c r="G940" s="7"/>
      <c r="H940" s="7"/>
      <c r="I940" s="63"/>
      <c r="J940" s="7"/>
      <c r="K940" s="7"/>
      <c r="L940" s="7"/>
      <c r="N940" s="7"/>
    </row>
    <row r="941" customFormat="false" ht="15.75" hidden="false" customHeight="true" outlineLevel="0" collapsed="false">
      <c r="C941" s="7"/>
      <c r="D941" s="7"/>
      <c r="E941" s="7"/>
      <c r="F941" s="7"/>
      <c r="G941" s="7"/>
      <c r="H941" s="7"/>
      <c r="I941" s="63"/>
      <c r="J941" s="7"/>
      <c r="K941" s="7"/>
      <c r="L941" s="7"/>
      <c r="N941" s="7"/>
    </row>
    <row r="942" customFormat="false" ht="15.75" hidden="false" customHeight="true" outlineLevel="0" collapsed="false">
      <c r="C942" s="7"/>
      <c r="D942" s="7"/>
      <c r="E942" s="7"/>
      <c r="F942" s="7"/>
      <c r="G942" s="7"/>
      <c r="H942" s="7"/>
      <c r="I942" s="63"/>
      <c r="J942" s="7"/>
      <c r="K942" s="7"/>
      <c r="L942" s="7"/>
      <c r="N942" s="7"/>
    </row>
    <row r="943" customFormat="false" ht="15.75" hidden="false" customHeight="true" outlineLevel="0" collapsed="false">
      <c r="C943" s="7"/>
      <c r="D943" s="7"/>
      <c r="E943" s="7"/>
      <c r="F943" s="7"/>
      <c r="G943" s="7"/>
      <c r="H943" s="7"/>
      <c r="I943" s="63"/>
      <c r="J943" s="7"/>
      <c r="K943" s="7"/>
      <c r="L943" s="7"/>
      <c r="N943" s="7"/>
    </row>
    <row r="944" customFormat="false" ht="15.75" hidden="false" customHeight="true" outlineLevel="0" collapsed="false">
      <c r="C944" s="7"/>
      <c r="D944" s="7"/>
      <c r="E944" s="7"/>
      <c r="F944" s="7"/>
      <c r="G944" s="7"/>
      <c r="H944" s="7"/>
      <c r="I944" s="63"/>
      <c r="J944" s="7"/>
      <c r="K944" s="7"/>
      <c r="L944" s="7"/>
      <c r="N944" s="7"/>
    </row>
    <row r="945" customFormat="false" ht="15.75" hidden="false" customHeight="true" outlineLevel="0" collapsed="false">
      <c r="C945" s="7"/>
      <c r="D945" s="7"/>
      <c r="E945" s="7"/>
      <c r="F945" s="7"/>
      <c r="G945" s="7"/>
      <c r="H945" s="7"/>
      <c r="I945" s="63"/>
      <c r="J945" s="7"/>
      <c r="K945" s="7"/>
      <c r="L945" s="7"/>
      <c r="N945" s="7"/>
    </row>
    <row r="946" customFormat="false" ht="15.75" hidden="false" customHeight="true" outlineLevel="0" collapsed="false">
      <c r="C946" s="7"/>
      <c r="D946" s="7"/>
      <c r="E946" s="7"/>
      <c r="F946" s="7"/>
      <c r="G946" s="7"/>
      <c r="H946" s="7"/>
      <c r="I946" s="63"/>
      <c r="J946" s="7"/>
      <c r="K946" s="7"/>
      <c r="L946" s="7"/>
      <c r="N946" s="7"/>
    </row>
    <row r="947" customFormat="false" ht="15.75" hidden="false" customHeight="true" outlineLevel="0" collapsed="false">
      <c r="C947" s="7"/>
      <c r="D947" s="7"/>
      <c r="E947" s="7"/>
      <c r="F947" s="7"/>
      <c r="G947" s="7"/>
      <c r="H947" s="7"/>
      <c r="I947" s="63"/>
      <c r="J947" s="7"/>
      <c r="K947" s="7"/>
      <c r="L947" s="7"/>
      <c r="N947" s="7"/>
    </row>
    <row r="948" customFormat="false" ht="15.75" hidden="false" customHeight="true" outlineLevel="0" collapsed="false">
      <c r="C948" s="7"/>
      <c r="D948" s="7"/>
      <c r="E948" s="7"/>
      <c r="F948" s="7"/>
      <c r="G948" s="7"/>
      <c r="H948" s="7"/>
      <c r="I948" s="63"/>
      <c r="J948" s="7"/>
      <c r="K948" s="7"/>
      <c r="L948" s="7"/>
      <c r="N948" s="7"/>
    </row>
    <row r="949" customFormat="false" ht="15.75" hidden="false" customHeight="true" outlineLevel="0" collapsed="false">
      <c r="C949" s="7"/>
      <c r="D949" s="7"/>
      <c r="E949" s="7"/>
      <c r="F949" s="7"/>
      <c r="G949" s="7"/>
      <c r="H949" s="7"/>
      <c r="I949" s="63"/>
      <c r="J949" s="7"/>
      <c r="K949" s="7"/>
      <c r="L949" s="7"/>
      <c r="N949" s="7"/>
    </row>
    <row r="950" customFormat="false" ht="15.75" hidden="false" customHeight="true" outlineLevel="0" collapsed="false">
      <c r="C950" s="7"/>
      <c r="D950" s="7"/>
      <c r="E950" s="7"/>
      <c r="F950" s="7"/>
      <c r="G950" s="7"/>
      <c r="H950" s="7"/>
      <c r="I950" s="63"/>
      <c r="J950" s="7"/>
      <c r="K950" s="7"/>
      <c r="L950" s="7"/>
      <c r="N950" s="7"/>
    </row>
    <row r="951" customFormat="false" ht="15.75" hidden="false" customHeight="true" outlineLevel="0" collapsed="false">
      <c r="C951" s="7"/>
      <c r="D951" s="7"/>
      <c r="E951" s="7"/>
      <c r="F951" s="7"/>
      <c r="G951" s="7"/>
      <c r="H951" s="7"/>
      <c r="I951" s="63"/>
      <c r="J951" s="7"/>
      <c r="K951" s="7"/>
      <c r="L951" s="7"/>
      <c r="N951" s="7"/>
    </row>
    <row r="952" customFormat="false" ht="15.75" hidden="false" customHeight="true" outlineLevel="0" collapsed="false">
      <c r="C952" s="7"/>
      <c r="D952" s="7"/>
      <c r="E952" s="7"/>
      <c r="F952" s="7"/>
      <c r="G952" s="7"/>
      <c r="H952" s="7"/>
      <c r="I952" s="63"/>
      <c r="J952" s="7"/>
      <c r="K952" s="7"/>
      <c r="L952" s="7"/>
      <c r="N952" s="7"/>
    </row>
    <row r="953" customFormat="false" ht="15.75" hidden="false" customHeight="true" outlineLevel="0" collapsed="false">
      <c r="C953" s="7"/>
      <c r="D953" s="7"/>
      <c r="E953" s="7"/>
      <c r="F953" s="7"/>
      <c r="G953" s="7"/>
      <c r="H953" s="7"/>
      <c r="I953" s="63"/>
      <c r="J953" s="7"/>
      <c r="K953" s="7"/>
      <c r="L953" s="7"/>
      <c r="N953" s="7"/>
    </row>
    <row r="954" customFormat="false" ht="15.75" hidden="false" customHeight="true" outlineLevel="0" collapsed="false">
      <c r="C954" s="7"/>
      <c r="D954" s="7"/>
      <c r="E954" s="7"/>
      <c r="F954" s="7"/>
      <c r="G954" s="7"/>
      <c r="H954" s="7"/>
      <c r="I954" s="63"/>
      <c r="J954" s="7"/>
      <c r="K954" s="7"/>
      <c r="L954" s="7"/>
      <c r="N954" s="7"/>
    </row>
    <row r="955" customFormat="false" ht="15.75" hidden="false" customHeight="true" outlineLevel="0" collapsed="false">
      <c r="C955" s="7"/>
      <c r="D955" s="7"/>
      <c r="E955" s="7"/>
      <c r="F955" s="7"/>
      <c r="G955" s="7"/>
      <c r="H955" s="7"/>
      <c r="I955" s="63"/>
      <c r="J955" s="7"/>
      <c r="K955" s="7"/>
      <c r="L955" s="7"/>
      <c r="N955" s="7"/>
    </row>
    <row r="956" customFormat="false" ht="15.75" hidden="false" customHeight="true" outlineLevel="0" collapsed="false">
      <c r="C956" s="7"/>
      <c r="D956" s="7"/>
      <c r="E956" s="7"/>
      <c r="F956" s="7"/>
      <c r="G956" s="7"/>
      <c r="H956" s="7"/>
      <c r="I956" s="63"/>
      <c r="J956" s="7"/>
      <c r="K956" s="7"/>
      <c r="L956" s="7"/>
      <c r="N956" s="7"/>
    </row>
    <row r="957" customFormat="false" ht="15.75" hidden="false" customHeight="true" outlineLevel="0" collapsed="false">
      <c r="C957" s="7"/>
      <c r="D957" s="7"/>
      <c r="E957" s="7"/>
      <c r="F957" s="7"/>
      <c r="G957" s="7"/>
      <c r="H957" s="7"/>
      <c r="I957" s="63"/>
      <c r="J957" s="7"/>
      <c r="K957" s="7"/>
      <c r="L957" s="7"/>
      <c r="N957" s="7"/>
    </row>
    <row r="958" customFormat="false" ht="15.75" hidden="false" customHeight="true" outlineLevel="0" collapsed="false">
      <c r="C958" s="7"/>
      <c r="D958" s="7"/>
      <c r="E958" s="7"/>
      <c r="F958" s="7"/>
      <c r="G958" s="7"/>
      <c r="H958" s="7"/>
      <c r="I958" s="63"/>
      <c r="J958" s="7"/>
      <c r="K958" s="7"/>
      <c r="L958" s="7"/>
      <c r="N958" s="7"/>
    </row>
    <row r="959" customFormat="false" ht="15.75" hidden="false" customHeight="true" outlineLevel="0" collapsed="false">
      <c r="C959" s="7"/>
      <c r="D959" s="7"/>
      <c r="E959" s="7"/>
      <c r="F959" s="7"/>
      <c r="G959" s="7"/>
      <c r="H959" s="7"/>
      <c r="I959" s="63"/>
      <c r="J959" s="7"/>
      <c r="K959" s="7"/>
      <c r="L959" s="7"/>
      <c r="N959" s="7"/>
    </row>
    <row r="960" customFormat="false" ht="15.75" hidden="false" customHeight="true" outlineLevel="0" collapsed="false">
      <c r="C960" s="7"/>
      <c r="D960" s="7"/>
      <c r="E960" s="7"/>
      <c r="F960" s="7"/>
      <c r="G960" s="7"/>
      <c r="H960" s="7"/>
      <c r="I960" s="63"/>
      <c r="J960" s="7"/>
      <c r="K960" s="7"/>
      <c r="L960" s="7"/>
      <c r="N960" s="7"/>
    </row>
    <row r="961" customFormat="false" ht="15.75" hidden="false" customHeight="true" outlineLevel="0" collapsed="false">
      <c r="C961" s="7"/>
      <c r="D961" s="7"/>
      <c r="E961" s="7"/>
      <c r="F961" s="7"/>
      <c r="G961" s="7"/>
      <c r="H961" s="7"/>
      <c r="I961" s="63"/>
      <c r="J961" s="7"/>
      <c r="K961" s="7"/>
      <c r="L961" s="7"/>
      <c r="N961" s="7"/>
    </row>
    <row r="962" customFormat="false" ht="15.75" hidden="false" customHeight="true" outlineLevel="0" collapsed="false">
      <c r="C962" s="7"/>
      <c r="D962" s="7"/>
      <c r="E962" s="7"/>
      <c r="F962" s="7"/>
      <c r="G962" s="7"/>
      <c r="H962" s="7"/>
      <c r="I962" s="63"/>
      <c r="J962" s="7"/>
      <c r="K962" s="7"/>
      <c r="L962" s="7"/>
      <c r="N962" s="7"/>
    </row>
    <row r="963" customFormat="false" ht="15.75" hidden="false" customHeight="true" outlineLevel="0" collapsed="false">
      <c r="C963" s="7"/>
      <c r="D963" s="7"/>
      <c r="E963" s="7"/>
      <c r="F963" s="7"/>
      <c r="G963" s="7"/>
      <c r="H963" s="7"/>
      <c r="I963" s="63"/>
      <c r="J963" s="7"/>
      <c r="K963" s="7"/>
      <c r="L963" s="7"/>
      <c r="N963" s="7"/>
    </row>
    <row r="964" customFormat="false" ht="15.75" hidden="false" customHeight="true" outlineLevel="0" collapsed="false">
      <c r="C964" s="7"/>
      <c r="D964" s="7"/>
      <c r="E964" s="7"/>
      <c r="F964" s="7"/>
      <c r="G964" s="7"/>
      <c r="H964" s="7"/>
      <c r="I964" s="63"/>
      <c r="J964" s="7"/>
      <c r="K964" s="7"/>
      <c r="L964" s="7"/>
      <c r="N964" s="7"/>
    </row>
    <row r="965" customFormat="false" ht="15.75" hidden="false" customHeight="true" outlineLevel="0" collapsed="false">
      <c r="C965" s="7"/>
      <c r="D965" s="7"/>
      <c r="E965" s="7"/>
      <c r="F965" s="7"/>
      <c r="G965" s="7"/>
      <c r="H965" s="7"/>
      <c r="I965" s="63"/>
      <c r="J965" s="7"/>
      <c r="K965" s="7"/>
      <c r="L965" s="7"/>
      <c r="N965" s="7"/>
    </row>
    <row r="966" customFormat="false" ht="15.75" hidden="false" customHeight="true" outlineLevel="0" collapsed="false">
      <c r="C966" s="7"/>
      <c r="D966" s="7"/>
      <c r="E966" s="7"/>
      <c r="F966" s="7"/>
      <c r="G966" s="7"/>
      <c r="H966" s="7"/>
      <c r="I966" s="63"/>
      <c r="J966" s="7"/>
      <c r="K966" s="7"/>
      <c r="L966" s="7"/>
      <c r="N966" s="7"/>
    </row>
    <row r="967" customFormat="false" ht="15.75" hidden="false" customHeight="true" outlineLevel="0" collapsed="false">
      <c r="C967" s="7"/>
      <c r="D967" s="7"/>
      <c r="E967" s="7"/>
      <c r="F967" s="7"/>
      <c r="G967" s="7"/>
      <c r="H967" s="7"/>
      <c r="I967" s="63"/>
      <c r="J967" s="7"/>
      <c r="K967" s="7"/>
      <c r="L967" s="7"/>
      <c r="N967" s="7"/>
    </row>
    <row r="968" customFormat="false" ht="15.75" hidden="false" customHeight="true" outlineLevel="0" collapsed="false">
      <c r="C968" s="7"/>
      <c r="D968" s="7"/>
      <c r="E968" s="7"/>
      <c r="F968" s="7"/>
      <c r="G968" s="7"/>
      <c r="H968" s="7"/>
      <c r="I968" s="63"/>
      <c r="J968" s="7"/>
      <c r="K968" s="7"/>
      <c r="L968" s="7"/>
      <c r="N968" s="7"/>
    </row>
    <row r="969" customFormat="false" ht="15.75" hidden="false" customHeight="true" outlineLevel="0" collapsed="false">
      <c r="C969" s="7"/>
      <c r="D969" s="7"/>
      <c r="E969" s="7"/>
      <c r="F969" s="7"/>
      <c r="G969" s="7"/>
      <c r="H969" s="7"/>
      <c r="I969" s="63"/>
      <c r="J969" s="7"/>
      <c r="K969" s="7"/>
      <c r="L969" s="7"/>
      <c r="N969" s="7"/>
    </row>
    <row r="970" customFormat="false" ht="15.75" hidden="false" customHeight="true" outlineLevel="0" collapsed="false">
      <c r="C970" s="7"/>
      <c r="D970" s="7"/>
      <c r="E970" s="7"/>
      <c r="F970" s="7"/>
      <c r="G970" s="7"/>
      <c r="H970" s="7"/>
      <c r="I970" s="63"/>
      <c r="J970" s="7"/>
      <c r="K970" s="7"/>
      <c r="L970" s="7"/>
      <c r="N970" s="7"/>
    </row>
    <row r="971" customFormat="false" ht="15.75" hidden="false" customHeight="true" outlineLevel="0" collapsed="false">
      <c r="C971" s="7"/>
      <c r="D971" s="7"/>
      <c r="E971" s="7"/>
      <c r="F971" s="7"/>
      <c r="G971" s="7"/>
      <c r="H971" s="7"/>
      <c r="I971" s="63"/>
      <c r="J971" s="7"/>
      <c r="K971" s="7"/>
      <c r="L971" s="7"/>
      <c r="N971" s="7"/>
    </row>
    <row r="972" customFormat="false" ht="15.75" hidden="false" customHeight="true" outlineLevel="0" collapsed="false">
      <c r="C972" s="7"/>
      <c r="D972" s="7"/>
      <c r="E972" s="7"/>
      <c r="F972" s="7"/>
      <c r="G972" s="7"/>
      <c r="H972" s="7"/>
      <c r="I972" s="63"/>
      <c r="J972" s="7"/>
      <c r="K972" s="7"/>
      <c r="L972" s="7"/>
      <c r="N972" s="7"/>
    </row>
    <row r="973" customFormat="false" ht="15.75" hidden="false" customHeight="true" outlineLevel="0" collapsed="false">
      <c r="C973" s="7"/>
      <c r="D973" s="7"/>
      <c r="E973" s="7"/>
      <c r="F973" s="7"/>
      <c r="G973" s="7"/>
      <c r="H973" s="7"/>
      <c r="I973" s="63"/>
      <c r="J973" s="7"/>
      <c r="K973" s="7"/>
      <c r="L973" s="7"/>
      <c r="N973" s="7"/>
    </row>
    <row r="974" customFormat="false" ht="15.75" hidden="false" customHeight="true" outlineLevel="0" collapsed="false">
      <c r="C974" s="7"/>
      <c r="D974" s="7"/>
      <c r="E974" s="7"/>
      <c r="F974" s="7"/>
      <c r="G974" s="7"/>
      <c r="H974" s="7"/>
      <c r="I974" s="63"/>
      <c r="J974" s="7"/>
      <c r="K974" s="7"/>
      <c r="L974" s="7"/>
      <c r="N974" s="7"/>
    </row>
    <row r="975" customFormat="false" ht="15.75" hidden="false" customHeight="true" outlineLevel="0" collapsed="false">
      <c r="C975" s="7"/>
      <c r="D975" s="7"/>
      <c r="E975" s="7"/>
      <c r="F975" s="7"/>
      <c r="G975" s="7"/>
      <c r="H975" s="7"/>
      <c r="I975" s="63"/>
      <c r="J975" s="7"/>
      <c r="K975" s="7"/>
      <c r="L975" s="7"/>
      <c r="N975" s="7"/>
    </row>
    <row r="976" customFormat="false" ht="15.75" hidden="false" customHeight="true" outlineLevel="0" collapsed="false">
      <c r="C976" s="7"/>
      <c r="D976" s="7"/>
      <c r="E976" s="7"/>
      <c r="F976" s="7"/>
      <c r="G976" s="7"/>
      <c r="H976" s="7"/>
      <c r="I976" s="63"/>
      <c r="J976" s="7"/>
      <c r="K976" s="7"/>
      <c r="L976" s="7"/>
      <c r="N976" s="7"/>
    </row>
    <row r="977" customFormat="false" ht="15.75" hidden="false" customHeight="true" outlineLevel="0" collapsed="false">
      <c r="C977" s="7"/>
      <c r="D977" s="7"/>
      <c r="E977" s="7"/>
      <c r="F977" s="7"/>
      <c r="G977" s="7"/>
      <c r="H977" s="7"/>
      <c r="I977" s="63"/>
      <c r="J977" s="7"/>
      <c r="K977" s="7"/>
      <c r="L977" s="7"/>
      <c r="N977" s="7"/>
    </row>
    <row r="978" customFormat="false" ht="15.75" hidden="false" customHeight="true" outlineLevel="0" collapsed="false">
      <c r="C978" s="7"/>
      <c r="D978" s="7"/>
      <c r="E978" s="7"/>
      <c r="F978" s="7"/>
      <c r="G978" s="7"/>
      <c r="H978" s="7"/>
      <c r="I978" s="63"/>
      <c r="J978" s="7"/>
      <c r="K978" s="7"/>
      <c r="L978" s="7"/>
      <c r="N978" s="7"/>
    </row>
    <row r="979" customFormat="false" ht="15.75" hidden="false" customHeight="true" outlineLevel="0" collapsed="false">
      <c r="C979" s="7"/>
      <c r="D979" s="7"/>
      <c r="E979" s="7"/>
      <c r="F979" s="7"/>
      <c r="G979" s="7"/>
      <c r="H979" s="7"/>
      <c r="I979" s="63"/>
      <c r="J979" s="7"/>
      <c r="K979" s="7"/>
      <c r="L979" s="7"/>
      <c r="N979" s="7"/>
    </row>
    <row r="980" customFormat="false" ht="15.75" hidden="false" customHeight="true" outlineLevel="0" collapsed="false">
      <c r="C980" s="7"/>
      <c r="D980" s="7"/>
      <c r="E980" s="7"/>
      <c r="F980" s="7"/>
      <c r="G980" s="7"/>
      <c r="H980" s="7"/>
      <c r="I980" s="63"/>
      <c r="J980" s="7"/>
      <c r="K980" s="7"/>
      <c r="L980" s="7"/>
      <c r="N980" s="7"/>
    </row>
    <row r="981" customFormat="false" ht="15.75" hidden="false" customHeight="true" outlineLevel="0" collapsed="false">
      <c r="C981" s="7"/>
      <c r="D981" s="7"/>
      <c r="E981" s="7"/>
      <c r="F981" s="7"/>
      <c r="G981" s="7"/>
      <c r="H981" s="7"/>
      <c r="I981" s="63"/>
      <c r="J981" s="7"/>
      <c r="K981" s="7"/>
      <c r="L981" s="7"/>
      <c r="N981" s="7"/>
    </row>
    <row r="982" customFormat="false" ht="15.75" hidden="false" customHeight="true" outlineLevel="0" collapsed="false">
      <c r="C982" s="7"/>
      <c r="D982" s="7"/>
      <c r="E982" s="7"/>
      <c r="F982" s="7"/>
      <c r="G982" s="7"/>
      <c r="H982" s="7"/>
      <c r="I982" s="63"/>
      <c r="J982" s="7"/>
      <c r="K982" s="7"/>
      <c r="L982" s="7"/>
      <c r="N982" s="7"/>
    </row>
    <row r="983" customFormat="false" ht="15.75" hidden="false" customHeight="true" outlineLevel="0" collapsed="false">
      <c r="C983" s="7"/>
      <c r="D983" s="7"/>
      <c r="E983" s="7"/>
      <c r="F983" s="7"/>
      <c r="G983" s="7"/>
      <c r="H983" s="7"/>
      <c r="I983" s="63"/>
      <c r="J983" s="7"/>
      <c r="K983" s="7"/>
      <c r="L983" s="7"/>
      <c r="N983" s="7"/>
    </row>
    <row r="984" customFormat="false" ht="15.75" hidden="false" customHeight="true" outlineLevel="0" collapsed="false">
      <c r="C984" s="7"/>
      <c r="D984" s="7"/>
      <c r="E984" s="7"/>
      <c r="F984" s="7"/>
      <c r="G984" s="7"/>
      <c r="H984" s="7"/>
      <c r="I984" s="63"/>
      <c r="J984" s="7"/>
      <c r="K984" s="7"/>
      <c r="L984" s="7"/>
      <c r="N984" s="7"/>
    </row>
    <row r="985" customFormat="false" ht="15.75" hidden="false" customHeight="true" outlineLevel="0" collapsed="false">
      <c r="C985" s="7"/>
      <c r="D985" s="7"/>
      <c r="E985" s="7"/>
      <c r="F985" s="7"/>
      <c r="G985" s="7"/>
      <c r="H985" s="7"/>
      <c r="I985" s="63"/>
      <c r="J985" s="7"/>
      <c r="K985" s="7"/>
      <c r="L985" s="7"/>
      <c r="N985" s="7"/>
    </row>
    <row r="986" customFormat="false" ht="15.75" hidden="false" customHeight="true" outlineLevel="0" collapsed="false">
      <c r="C986" s="7"/>
      <c r="D986" s="7"/>
      <c r="E986" s="7"/>
      <c r="F986" s="7"/>
      <c r="G986" s="7"/>
      <c r="H986" s="7"/>
      <c r="I986" s="63"/>
      <c r="J986" s="7"/>
      <c r="K986" s="7"/>
      <c r="L986" s="7"/>
      <c r="N986" s="7"/>
    </row>
    <row r="987" customFormat="false" ht="15.75" hidden="false" customHeight="true" outlineLevel="0" collapsed="false">
      <c r="C987" s="7"/>
      <c r="D987" s="7"/>
      <c r="E987" s="7"/>
      <c r="F987" s="7"/>
      <c r="G987" s="7"/>
      <c r="H987" s="7"/>
      <c r="I987" s="63"/>
      <c r="J987" s="7"/>
      <c r="K987" s="7"/>
      <c r="L987" s="7"/>
      <c r="N987" s="7"/>
    </row>
    <row r="988" customFormat="false" ht="15.75" hidden="false" customHeight="true" outlineLevel="0" collapsed="false">
      <c r="C988" s="7"/>
      <c r="D988" s="7"/>
      <c r="E988" s="7"/>
      <c r="F988" s="7"/>
      <c r="G988" s="7"/>
      <c r="H988" s="7"/>
      <c r="I988" s="63"/>
      <c r="J988" s="7"/>
      <c r="K988" s="7"/>
      <c r="L988" s="7"/>
      <c r="N988" s="7"/>
    </row>
    <row r="989" customFormat="false" ht="15.75" hidden="false" customHeight="true" outlineLevel="0" collapsed="false">
      <c r="C989" s="7"/>
      <c r="D989" s="7"/>
      <c r="E989" s="7"/>
      <c r="F989" s="7"/>
      <c r="G989" s="7"/>
      <c r="H989" s="7"/>
      <c r="I989" s="63"/>
      <c r="J989" s="7"/>
      <c r="K989" s="7"/>
      <c r="L989" s="7"/>
      <c r="N989" s="7"/>
    </row>
    <row r="990" customFormat="false" ht="15.75" hidden="false" customHeight="true" outlineLevel="0" collapsed="false">
      <c r="C990" s="7"/>
      <c r="D990" s="7"/>
      <c r="E990" s="7"/>
      <c r="F990" s="7"/>
      <c r="G990" s="7"/>
      <c r="H990" s="7"/>
      <c r="I990" s="63"/>
      <c r="J990" s="7"/>
      <c r="K990" s="7"/>
      <c r="L990" s="7"/>
      <c r="N990" s="7"/>
    </row>
    <row r="991" customFormat="false" ht="15.75" hidden="false" customHeight="true" outlineLevel="0" collapsed="false">
      <c r="C991" s="7"/>
      <c r="D991" s="7"/>
      <c r="E991" s="7"/>
      <c r="F991" s="7"/>
      <c r="G991" s="7"/>
      <c r="H991" s="7"/>
      <c r="I991" s="63"/>
      <c r="J991" s="7"/>
      <c r="K991" s="7"/>
      <c r="L991" s="7"/>
      <c r="N991" s="7"/>
    </row>
    <row r="992" customFormat="false" ht="15.75" hidden="false" customHeight="true" outlineLevel="0" collapsed="false">
      <c r="C992" s="7"/>
      <c r="D992" s="7"/>
      <c r="E992" s="7"/>
      <c r="F992" s="7"/>
      <c r="G992" s="7"/>
      <c r="H992" s="7"/>
      <c r="I992" s="63"/>
      <c r="J992" s="7"/>
      <c r="K992" s="7"/>
      <c r="L992" s="7"/>
      <c r="N992" s="7"/>
    </row>
    <row r="993" customFormat="false" ht="15.75" hidden="false" customHeight="true" outlineLevel="0" collapsed="false">
      <c r="C993" s="7"/>
      <c r="D993" s="7"/>
      <c r="E993" s="7"/>
      <c r="F993" s="7"/>
      <c r="G993" s="7"/>
      <c r="H993" s="7"/>
      <c r="I993" s="63"/>
      <c r="J993" s="7"/>
      <c r="K993" s="7"/>
      <c r="L993" s="7"/>
      <c r="N993" s="7"/>
    </row>
    <row r="994" customFormat="false" ht="15.75" hidden="false" customHeight="true" outlineLevel="0" collapsed="false">
      <c r="C994" s="7"/>
      <c r="D994" s="7"/>
      <c r="E994" s="7"/>
      <c r="F994" s="7"/>
      <c r="G994" s="7"/>
      <c r="H994" s="7"/>
      <c r="I994" s="63"/>
      <c r="J994" s="7"/>
      <c r="K994" s="7"/>
      <c r="L994" s="7"/>
      <c r="N994" s="7"/>
    </row>
    <row r="995" customFormat="false" ht="15.75" hidden="false" customHeight="true" outlineLevel="0" collapsed="false">
      <c r="C995" s="7"/>
      <c r="D995" s="7"/>
      <c r="E995" s="7"/>
      <c r="F995" s="7"/>
      <c r="G995" s="7"/>
      <c r="H995" s="7"/>
      <c r="I995" s="63"/>
      <c r="J995" s="7"/>
      <c r="K995" s="7"/>
      <c r="L995" s="7"/>
      <c r="N995" s="7"/>
    </row>
    <row r="996" customFormat="false" ht="15.75" hidden="false" customHeight="true" outlineLevel="0" collapsed="false">
      <c r="C996" s="7"/>
      <c r="D996" s="7"/>
      <c r="E996" s="7"/>
      <c r="F996" s="7"/>
      <c r="G996" s="7"/>
      <c r="H996" s="7"/>
      <c r="I996" s="63"/>
      <c r="J996" s="7"/>
      <c r="K996" s="7"/>
      <c r="L996" s="7"/>
      <c r="N996" s="7"/>
    </row>
    <row r="997" customFormat="false" ht="15.75" hidden="false" customHeight="true" outlineLevel="0" collapsed="false">
      <c r="C997" s="7"/>
      <c r="D997" s="7"/>
      <c r="E997" s="7"/>
      <c r="F997" s="7"/>
      <c r="G997" s="7"/>
      <c r="H997" s="7"/>
      <c r="I997" s="63"/>
      <c r="J997" s="7"/>
      <c r="K997" s="7"/>
      <c r="L997" s="7"/>
      <c r="N997" s="7"/>
    </row>
    <row r="998" customFormat="false" ht="15.75" hidden="false" customHeight="true" outlineLevel="0" collapsed="false">
      <c r="C998" s="7"/>
      <c r="D998" s="7"/>
      <c r="E998" s="7"/>
      <c r="F998" s="7"/>
      <c r="G998" s="7"/>
      <c r="H998" s="7"/>
      <c r="I998" s="63"/>
      <c r="J998" s="7"/>
      <c r="K998" s="7"/>
      <c r="L998" s="7"/>
      <c r="N998" s="7"/>
    </row>
    <row r="999" customFormat="false" ht="15.75" hidden="false" customHeight="true" outlineLevel="0" collapsed="false">
      <c r="C999" s="7"/>
      <c r="D999" s="7"/>
      <c r="E999" s="7"/>
      <c r="F999" s="7"/>
      <c r="G999" s="7"/>
      <c r="H999" s="7"/>
      <c r="I999" s="63"/>
      <c r="J999" s="7"/>
      <c r="K999" s="7"/>
      <c r="L999" s="7"/>
      <c r="N999" s="7"/>
    </row>
    <row r="1000" customFormat="false" ht="15.75" hidden="false" customHeight="true" outlineLevel="0" collapsed="false">
      <c r="C1000" s="7"/>
      <c r="D1000" s="7"/>
      <c r="E1000" s="7"/>
      <c r="F1000" s="7"/>
      <c r="G1000" s="7"/>
      <c r="H1000" s="7"/>
      <c r="I1000" s="63"/>
      <c r="J1000" s="7"/>
      <c r="K1000" s="7"/>
      <c r="L1000" s="7"/>
      <c r="N1000" s="7"/>
    </row>
  </sheetData>
  <autoFilter ref="A5:Z250"/>
  <conditionalFormatting sqref="M7:M506">
    <cfRule type="cellIs" priority="2" operator="equal" aboveAverage="0" equalAverage="0" bottom="0" percent="0" rank="0" text="" dxfId="10">
      <formula>"Pagado"</formula>
    </cfRule>
    <cfRule type="cellIs" priority="3" operator="equal" aboveAverage="0" equalAverage="0" bottom="0" percent="0" rank="0" text="" dxfId="11">
      <formula>"No Pagado"</formula>
    </cfRule>
  </conditionalFormatting>
  <dataValidations count="503">
    <dataValidation allowBlank="true" errorStyle="stop" operator="between" prompt="Quién realizó el pago (lista en la hoja Glosario)." promptTitle="Pagó" showDropDown="false" showErrorMessage="false" showInputMessage="false" sqref="D7:D506" type="list">
      <formula1>Glosario!$C$6:$C$20</formula1>
      <formula2>0</formula2>
    </dataValidation>
    <dataValidation allowBlank="true" errorStyle="stop" operator="between" prompt="Selecciona el contratista (lista jalada de la hoja Presupuesto)." promptTitle="Contratista" showDropDown="false" showErrorMessage="false" showInputMessage="false" sqref="E7:E506" type="list">
      <formula1>Presupuesto!$B$7:$B$66</formula1>
      <formula2>0</formula2>
    </dataValidation>
    <dataValidation allowBlank="true" errorStyle="stop" operator="between" prompt="¿Ya se realizó el pago, o sigue pendiente?" promptTitle="Estatus de Pago" showDropDown="false" showErrorMessage="false" showInputMessage="false" sqref="M7:M506" type="list">
      <formula1>"Pagado,No Pagado"</formula1>
      <formula2>0</formula2>
    </dataValidation>
    <dataValidation allowBlank="true" errorStyle="stop" operator="between" showDropDown="false" showErrorMessage="false" showInputMessage="false" sqref="F7" type="list">
      <formula1>_Aux!$H$7:$Q$7</formula1>
      <formula2>0</formula2>
    </dataValidation>
    <dataValidation allowBlank="true" errorStyle="stop" operator="between" showDropDown="false" showErrorMessage="false" showInputMessage="false" sqref="F8" type="list">
      <formula1>_Aux!$H$8:$Q$8</formula1>
      <formula2>0</formula2>
    </dataValidation>
    <dataValidation allowBlank="true" errorStyle="stop" operator="between" showDropDown="false" showErrorMessage="false" showInputMessage="false" sqref="F9" type="list">
      <formula1>_Aux!$H$9:$Q$9</formula1>
      <formula2>0</formula2>
    </dataValidation>
    <dataValidation allowBlank="true" errorStyle="stop" operator="between" showDropDown="false" showErrorMessage="false" showInputMessage="false" sqref="F10" type="list">
      <formula1>_Aux!$H$10:$Q$10</formula1>
      <formula2>0</formula2>
    </dataValidation>
    <dataValidation allowBlank="true" errorStyle="stop" operator="between" showDropDown="false" showErrorMessage="false" showInputMessage="false" sqref="F11" type="list">
      <formula1>_Aux!$H$11:$Q$11</formula1>
      <formula2>0</formula2>
    </dataValidation>
    <dataValidation allowBlank="true" errorStyle="stop" operator="between" showDropDown="false" showErrorMessage="false" showInputMessage="false" sqref="F12" type="list">
      <formula1>_Aux!$H$12:$Q$12</formula1>
      <formula2>0</formula2>
    </dataValidation>
    <dataValidation allowBlank="true" errorStyle="stop" operator="between" showDropDown="false" showErrorMessage="false" showInputMessage="false" sqref="F13" type="list">
      <formula1>_Aux!$H$13:$Q$13</formula1>
      <formula2>0</formula2>
    </dataValidation>
    <dataValidation allowBlank="true" errorStyle="stop" operator="between" showDropDown="false" showErrorMessage="false" showInputMessage="false" sqref="F14" type="list">
      <formula1>_Aux!$H$14:$Q$14</formula1>
      <formula2>0</formula2>
    </dataValidation>
    <dataValidation allowBlank="true" errorStyle="stop" operator="between" showDropDown="false" showErrorMessage="false" showInputMessage="false" sqref="F15" type="list">
      <formula1>_Aux!$H$15:$Q$15</formula1>
      <formula2>0</formula2>
    </dataValidation>
    <dataValidation allowBlank="true" errorStyle="stop" operator="between" showDropDown="false" showErrorMessage="false" showInputMessage="false" sqref="F16" type="list">
      <formula1>_Aux!$H$16:$Q$16</formula1>
      <formula2>0</formula2>
    </dataValidation>
    <dataValidation allowBlank="true" errorStyle="stop" operator="between" showDropDown="false" showErrorMessage="false" showInputMessage="false" sqref="F17" type="list">
      <formula1>_Aux!$H$17:$Q$17</formula1>
      <formula2>0</formula2>
    </dataValidation>
    <dataValidation allowBlank="true" errorStyle="stop" operator="between" showDropDown="false" showErrorMessage="false" showInputMessage="false" sqref="F18" type="list">
      <formula1>_Aux!$H$18:$Q$18</formula1>
      <formula2>0</formula2>
    </dataValidation>
    <dataValidation allowBlank="true" errorStyle="stop" operator="between" showDropDown="false" showErrorMessage="false" showInputMessage="false" sqref="F19" type="list">
      <formula1>_Aux!$H$19:$Q$19</formula1>
      <formula2>0</formula2>
    </dataValidation>
    <dataValidation allowBlank="true" errorStyle="stop" operator="between" showDropDown="false" showErrorMessage="false" showInputMessage="false" sqref="F20" type="list">
      <formula1>_Aux!$H$20:$Q$20</formula1>
      <formula2>0</formula2>
    </dataValidation>
    <dataValidation allowBlank="true" errorStyle="stop" operator="between" showDropDown="false" showErrorMessage="false" showInputMessage="false" sqref="F21" type="list">
      <formula1>_Aux!$H$21:$Q$21</formula1>
      <formula2>0</formula2>
    </dataValidation>
    <dataValidation allowBlank="true" errorStyle="stop" operator="between" showDropDown="false" showErrorMessage="false" showInputMessage="false" sqref="F22" type="list">
      <formula1>_Aux!$H$22:$Q$22</formula1>
      <formula2>0</formula2>
    </dataValidation>
    <dataValidation allowBlank="true" errorStyle="stop" operator="between" showDropDown="false" showErrorMessage="false" showInputMessage="false" sqref="F23" type="list">
      <formula1>_Aux!$H$23:$Q$23</formula1>
      <formula2>0</formula2>
    </dataValidation>
    <dataValidation allowBlank="true" errorStyle="stop" operator="between" showDropDown="false" showErrorMessage="false" showInputMessage="false" sqref="F24" type="list">
      <formula1>_Aux!$H$24:$Q$24</formula1>
      <formula2>0</formula2>
    </dataValidation>
    <dataValidation allowBlank="true" errorStyle="stop" operator="between" showDropDown="false" showErrorMessage="false" showInputMessage="false" sqref="F25" type="list">
      <formula1>_Aux!$H$25:$Q$25</formula1>
      <formula2>0</formula2>
    </dataValidation>
    <dataValidation allowBlank="true" errorStyle="stop" operator="between" showDropDown="false" showErrorMessage="false" showInputMessage="false" sqref="F26" type="list">
      <formula1>_Aux!$H$26:$Q$26</formula1>
      <formula2>0</formula2>
    </dataValidation>
    <dataValidation allowBlank="true" errorStyle="stop" operator="between" showDropDown="false" showErrorMessage="false" showInputMessage="false" sqref="F27" type="list">
      <formula1>_Aux!$H$27:$Q$27</formula1>
      <formula2>0</formula2>
    </dataValidation>
    <dataValidation allowBlank="true" errorStyle="stop" operator="between" showDropDown="false" showErrorMessage="false" showInputMessage="false" sqref="F28" type="list">
      <formula1>_Aux!$H$28:$Q$28</formula1>
      <formula2>0</formula2>
    </dataValidation>
    <dataValidation allowBlank="true" errorStyle="stop" operator="between" showDropDown="false" showErrorMessage="false" showInputMessage="false" sqref="F29" type="list">
      <formula1>_Aux!$H$29:$Q$29</formula1>
      <formula2>0</formula2>
    </dataValidation>
    <dataValidation allowBlank="true" errorStyle="stop" operator="between" showDropDown="false" showErrorMessage="false" showInputMessage="false" sqref="F30" type="list">
      <formula1>_Aux!$H$30:$Q$30</formula1>
      <formula2>0</formula2>
    </dataValidation>
    <dataValidation allowBlank="true" errorStyle="stop" operator="between" showDropDown="false" showErrorMessage="false" showInputMessage="false" sqref="F31" type="list">
      <formula1>_Aux!$H$31:$Q$31</formula1>
      <formula2>0</formula2>
    </dataValidation>
    <dataValidation allowBlank="true" errorStyle="stop" operator="between" showDropDown="false" showErrorMessage="false" showInputMessage="false" sqref="F32" type="list">
      <formula1>_Aux!$H$32:$Q$32</formula1>
      <formula2>0</formula2>
    </dataValidation>
    <dataValidation allowBlank="true" errorStyle="stop" operator="between" showDropDown="false" showErrorMessage="false" showInputMessage="false" sqref="F33" type="list">
      <formula1>_Aux!$H$33:$Q$33</formula1>
      <formula2>0</formula2>
    </dataValidation>
    <dataValidation allowBlank="true" errorStyle="stop" operator="between" showDropDown="false" showErrorMessage="false" showInputMessage="false" sqref="F34" type="list">
      <formula1>_Aux!$H$34:$Q$34</formula1>
      <formula2>0</formula2>
    </dataValidation>
    <dataValidation allowBlank="true" errorStyle="stop" operator="between" showDropDown="false" showErrorMessage="false" showInputMessage="false" sqref="F35" type="list">
      <formula1>_Aux!$H$35:$Q$35</formula1>
      <formula2>0</formula2>
    </dataValidation>
    <dataValidation allowBlank="true" errorStyle="stop" operator="between" showDropDown="false" showErrorMessage="false" showInputMessage="false" sqref="F36" type="list">
      <formula1>_Aux!$H$36:$Q$36</formula1>
      <formula2>0</formula2>
    </dataValidation>
    <dataValidation allowBlank="true" errorStyle="stop" operator="between" showDropDown="false" showErrorMessage="false" showInputMessage="false" sqref="F37" type="list">
      <formula1>_Aux!$H$37:$Q$37</formula1>
      <formula2>0</formula2>
    </dataValidation>
    <dataValidation allowBlank="true" errorStyle="stop" operator="between" showDropDown="false" showErrorMessage="false" showInputMessage="false" sqref="F38" type="list">
      <formula1>_Aux!$H$38:$Q$38</formula1>
      <formula2>0</formula2>
    </dataValidation>
    <dataValidation allowBlank="true" errorStyle="stop" operator="between" showDropDown="false" showErrorMessage="false" showInputMessage="false" sqref="F39" type="list">
      <formula1>_Aux!$H$39:$Q$39</formula1>
      <formula2>0</formula2>
    </dataValidation>
    <dataValidation allowBlank="true" errorStyle="stop" operator="between" showDropDown="false" showErrorMessage="false" showInputMessage="false" sqref="F40" type="list">
      <formula1>_Aux!$H$40:$Q$40</formula1>
      <formula2>0</formula2>
    </dataValidation>
    <dataValidation allowBlank="true" errorStyle="stop" operator="between" showDropDown="false" showErrorMessage="false" showInputMessage="false" sqref="F41" type="list">
      <formula1>_Aux!$H$41:$Q$41</formula1>
      <formula2>0</formula2>
    </dataValidation>
    <dataValidation allowBlank="true" errorStyle="stop" operator="between" showDropDown="false" showErrorMessage="false" showInputMessage="false" sqref="F42" type="list">
      <formula1>_Aux!$H$42:$Q$42</formula1>
      <formula2>0</formula2>
    </dataValidation>
    <dataValidation allowBlank="true" errorStyle="stop" operator="between" showDropDown="false" showErrorMessage="false" showInputMessage="false" sqref="F43" type="list">
      <formula1>_Aux!$H$43:$Q$43</formula1>
      <formula2>0</formula2>
    </dataValidation>
    <dataValidation allowBlank="true" errorStyle="stop" operator="between" showDropDown="false" showErrorMessage="false" showInputMessage="false" sqref="F44" type="list">
      <formula1>_Aux!$H$44:$Q$44</formula1>
      <formula2>0</formula2>
    </dataValidation>
    <dataValidation allowBlank="true" errorStyle="stop" operator="between" showDropDown="false" showErrorMessage="false" showInputMessage="false" sqref="F45" type="list">
      <formula1>_Aux!$H$45:$Q$45</formula1>
      <formula2>0</formula2>
    </dataValidation>
    <dataValidation allowBlank="true" errorStyle="stop" operator="between" showDropDown="false" showErrorMessage="false" showInputMessage="false" sqref="F46" type="list">
      <formula1>_Aux!$H$46:$Q$46</formula1>
      <formula2>0</formula2>
    </dataValidation>
    <dataValidation allowBlank="true" errorStyle="stop" operator="between" showDropDown="false" showErrorMessage="false" showInputMessage="false" sqref="F47" type="list">
      <formula1>_Aux!$H$47:$Q$47</formula1>
      <formula2>0</formula2>
    </dataValidation>
    <dataValidation allowBlank="true" errorStyle="stop" operator="between" showDropDown="false" showErrorMessage="false" showInputMessage="false" sqref="F48" type="list">
      <formula1>_Aux!$H$48:$Q$48</formula1>
      <formula2>0</formula2>
    </dataValidation>
    <dataValidation allowBlank="true" errorStyle="stop" operator="between" showDropDown="false" showErrorMessage="false" showInputMessage="false" sqref="F49" type="list">
      <formula1>_Aux!$H$49:$Q$49</formula1>
      <formula2>0</formula2>
    </dataValidation>
    <dataValidation allowBlank="true" errorStyle="stop" operator="between" showDropDown="false" showErrorMessage="false" showInputMessage="false" sqref="F50" type="list">
      <formula1>_Aux!$H$50:$Q$50</formula1>
      <formula2>0</formula2>
    </dataValidation>
    <dataValidation allowBlank="true" errorStyle="stop" operator="between" showDropDown="false" showErrorMessage="false" showInputMessage="false" sqref="F51" type="list">
      <formula1>_Aux!$H$51:$Q$51</formula1>
      <formula2>0</formula2>
    </dataValidation>
    <dataValidation allowBlank="true" errorStyle="stop" operator="between" showDropDown="false" showErrorMessage="false" showInputMessage="false" sqref="F52" type="list">
      <formula1>_Aux!$H$52:$Q$52</formula1>
      <formula2>0</formula2>
    </dataValidation>
    <dataValidation allowBlank="true" errorStyle="stop" operator="between" showDropDown="false" showErrorMessage="false" showInputMessage="false" sqref="F53" type="list">
      <formula1>_Aux!$H$53:$Q$53</formula1>
      <formula2>0</formula2>
    </dataValidation>
    <dataValidation allowBlank="true" errorStyle="stop" operator="between" showDropDown="false" showErrorMessage="false" showInputMessage="false" sqref="F54" type="list">
      <formula1>_Aux!$H$54:$Q$54</formula1>
      <formula2>0</formula2>
    </dataValidation>
    <dataValidation allowBlank="true" errorStyle="stop" operator="between" showDropDown="false" showErrorMessage="false" showInputMessage="false" sqref="F55" type="list">
      <formula1>_Aux!$H$55:$Q$55</formula1>
      <formula2>0</formula2>
    </dataValidation>
    <dataValidation allowBlank="true" errorStyle="stop" operator="between" showDropDown="false" showErrorMessage="false" showInputMessage="false" sqref="F56" type="list">
      <formula1>_Aux!$H$56:$Q$56</formula1>
      <formula2>0</formula2>
    </dataValidation>
    <dataValidation allowBlank="true" errorStyle="stop" operator="between" showDropDown="false" showErrorMessage="false" showInputMessage="false" sqref="F57" type="list">
      <formula1>_Aux!$H$57:$Q$57</formula1>
      <formula2>0</formula2>
    </dataValidation>
    <dataValidation allowBlank="true" errorStyle="stop" operator="between" showDropDown="false" showErrorMessage="false" showInputMessage="false" sqref="F58" type="list">
      <formula1>_Aux!$H$58:$Q$58</formula1>
      <formula2>0</formula2>
    </dataValidation>
    <dataValidation allowBlank="true" errorStyle="stop" operator="between" showDropDown="false" showErrorMessage="false" showInputMessage="false" sqref="F59" type="list">
      <formula1>_Aux!$H$59:$Q$59</formula1>
      <formula2>0</formula2>
    </dataValidation>
    <dataValidation allowBlank="true" errorStyle="stop" operator="between" showDropDown="false" showErrorMessage="false" showInputMessage="false" sqref="F60" type="list">
      <formula1>_Aux!$H$60:$Q$60</formula1>
      <formula2>0</formula2>
    </dataValidation>
    <dataValidation allowBlank="true" errorStyle="stop" operator="between" showDropDown="false" showErrorMessage="false" showInputMessage="false" sqref="F61" type="list">
      <formula1>_Aux!$H$61:$Q$61</formula1>
      <formula2>0</formula2>
    </dataValidation>
    <dataValidation allowBlank="true" errorStyle="stop" operator="between" showDropDown="false" showErrorMessage="false" showInputMessage="false" sqref="F62" type="list">
      <formula1>_Aux!$H$62:$Q$62</formula1>
      <formula2>0</formula2>
    </dataValidation>
    <dataValidation allowBlank="true" errorStyle="stop" operator="between" showDropDown="false" showErrorMessage="false" showInputMessage="false" sqref="F63" type="list">
      <formula1>_Aux!$H$63:$Q$63</formula1>
      <formula2>0</formula2>
    </dataValidation>
    <dataValidation allowBlank="true" errorStyle="stop" operator="between" showDropDown="false" showErrorMessage="false" showInputMessage="false" sqref="F64" type="list">
      <formula1>_Aux!$H$64:$Q$64</formula1>
      <formula2>0</formula2>
    </dataValidation>
    <dataValidation allowBlank="true" errorStyle="stop" operator="between" showDropDown="false" showErrorMessage="false" showInputMessage="false" sqref="F65" type="list">
      <formula1>_Aux!$H$65:$Q$65</formula1>
      <formula2>0</formula2>
    </dataValidation>
    <dataValidation allowBlank="true" errorStyle="stop" operator="between" showDropDown="false" showErrorMessage="false" showInputMessage="false" sqref="F66" type="list">
      <formula1>_Aux!$H$66:$Q$66</formula1>
      <formula2>0</formula2>
    </dataValidation>
    <dataValidation allowBlank="true" errorStyle="stop" operator="between" showDropDown="false" showErrorMessage="false" showInputMessage="false" sqref="F67" type="list">
      <formula1>_Aux!$H$67:$Q$67</formula1>
      <formula2>0</formula2>
    </dataValidation>
    <dataValidation allowBlank="true" errorStyle="stop" operator="between" showDropDown="false" showErrorMessage="false" showInputMessage="false" sqref="F68" type="list">
      <formula1>_Aux!$H$68:$Q$68</formula1>
      <formula2>0</formula2>
    </dataValidation>
    <dataValidation allowBlank="true" errorStyle="stop" operator="between" showDropDown="false" showErrorMessage="false" showInputMessage="false" sqref="F69" type="list">
      <formula1>_Aux!$H$69:$Q$69</formula1>
      <formula2>0</formula2>
    </dataValidation>
    <dataValidation allowBlank="true" errorStyle="stop" operator="between" showDropDown="false" showErrorMessage="false" showInputMessage="false" sqref="F70" type="list">
      <formula1>_Aux!$H$70:$Q$70</formula1>
      <formula2>0</formula2>
    </dataValidation>
    <dataValidation allowBlank="true" errorStyle="stop" operator="between" showDropDown="false" showErrorMessage="false" showInputMessage="false" sqref="F71" type="list">
      <formula1>_Aux!$H$71:$Q$71</formula1>
      <formula2>0</formula2>
    </dataValidation>
    <dataValidation allowBlank="true" errorStyle="stop" operator="between" showDropDown="false" showErrorMessage="false" showInputMessage="false" sqref="F72" type="list">
      <formula1>_Aux!$H$72:$Q$72</formula1>
      <formula2>0</formula2>
    </dataValidation>
    <dataValidation allowBlank="true" errorStyle="stop" operator="between" showDropDown="false" showErrorMessage="false" showInputMessage="false" sqref="F73" type="list">
      <formula1>_Aux!$H$73:$Q$73</formula1>
      <formula2>0</formula2>
    </dataValidation>
    <dataValidation allowBlank="true" errorStyle="stop" operator="between" showDropDown="false" showErrorMessage="false" showInputMessage="false" sqref="F74" type="list">
      <formula1>_Aux!$H$74:$Q$74</formula1>
      <formula2>0</formula2>
    </dataValidation>
    <dataValidation allowBlank="true" errorStyle="stop" operator="between" showDropDown="false" showErrorMessage="false" showInputMessage="false" sqref="F75" type="list">
      <formula1>_Aux!$H$75:$Q$75</formula1>
      <formula2>0</formula2>
    </dataValidation>
    <dataValidation allowBlank="true" errorStyle="stop" operator="between" showDropDown="false" showErrorMessage="false" showInputMessage="false" sqref="F76" type="list">
      <formula1>_Aux!$H$76:$Q$76</formula1>
      <formula2>0</formula2>
    </dataValidation>
    <dataValidation allowBlank="true" errorStyle="stop" operator="between" showDropDown="false" showErrorMessage="false" showInputMessage="false" sqref="F77" type="list">
      <formula1>_Aux!$H$77:$Q$77</formula1>
      <formula2>0</formula2>
    </dataValidation>
    <dataValidation allowBlank="true" errorStyle="stop" operator="between" showDropDown="false" showErrorMessage="false" showInputMessage="false" sqref="F78" type="list">
      <formula1>_Aux!$H$78:$Q$78</formula1>
      <formula2>0</formula2>
    </dataValidation>
    <dataValidation allowBlank="true" errorStyle="stop" operator="between" showDropDown="false" showErrorMessage="false" showInputMessage="false" sqref="F79" type="list">
      <formula1>_Aux!$H$79:$Q$79</formula1>
      <formula2>0</formula2>
    </dataValidation>
    <dataValidation allowBlank="true" errorStyle="stop" operator="between" showDropDown="false" showErrorMessage="false" showInputMessage="false" sqref="F80" type="list">
      <formula1>_Aux!$H$80:$Q$80</formula1>
      <formula2>0</formula2>
    </dataValidation>
    <dataValidation allowBlank="true" errorStyle="stop" operator="between" showDropDown="false" showErrorMessage="false" showInputMessage="false" sqref="F81" type="list">
      <formula1>_Aux!$H$81:$Q$81</formula1>
      <formula2>0</formula2>
    </dataValidation>
    <dataValidation allowBlank="true" errorStyle="stop" operator="between" showDropDown="false" showErrorMessage="false" showInputMessage="false" sqref="F82" type="list">
      <formula1>_Aux!$H$82:$Q$82</formula1>
      <formula2>0</formula2>
    </dataValidation>
    <dataValidation allowBlank="true" errorStyle="stop" operator="between" showDropDown="false" showErrorMessage="false" showInputMessage="false" sqref="F83" type="list">
      <formula1>_Aux!$H$83:$Q$83</formula1>
      <formula2>0</formula2>
    </dataValidation>
    <dataValidation allowBlank="true" errorStyle="stop" operator="between" showDropDown="false" showErrorMessage="false" showInputMessage="false" sqref="F84" type="list">
      <formula1>_Aux!$H$84:$Q$84</formula1>
      <formula2>0</formula2>
    </dataValidation>
    <dataValidation allowBlank="true" errorStyle="stop" operator="between" showDropDown="false" showErrorMessage="false" showInputMessage="false" sqref="F85" type="list">
      <formula1>_Aux!$H$85:$Q$85</formula1>
      <formula2>0</formula2>
    </dataValidation>
    <dataValidation allowBlank="true" errorStyle="stop" operator="between" showDropDown="false" showErrorMessage="false" showInputMessage="false" sqref="F86" type="list">
      <formula1>_Aux!$H$86:$Q$86</formula1>
      <formula2>0</formula2>
    </dataValidation>
    <dataValidation allowBlank="true" errorStyle="stop" operator="between" showDropDown="false" showErrorMessage="false" showInputMessage="false" sqref="F87" type="list">
      <formula1>_Aux!$H$87:$Q$87</formula1>
      <formula2>0</formula2>
    </dataValidation>
    <dataValidation allowBlank="true" errorStyle="stop" operator="between" showDropDown="false" showErrorMessage="false" showInputMessage="false" sqref="F88" type="list">
      <formula1>_Aux!$H$88:$Q$88</formula1>
      <formula2>0</formula2>
    </dataValidation>
    <dataValidation allowBlank="true" errorStyle="stop" operator="between" showDropDown="false" showErrorMessage="false" showInputMessage="false" sqref="F89" type="list">
      <formula1>_Aux!$H$89:$Q$89</formula1>
      <formula2>0</formula2>
    </dataValidation>
    <dataValidation allowBlank="true" errorStyle="stop" operator="between" showDropDown="false" showErrorMessage="false" showInputMessage="false" sqref="F90" type="list">
      <formula1>_Aux!$H$90:$Q$90</formula1>
      <formula2>0</formula2>
    </dataValidation>
    <dataValidation allowBlank="true" errorStyle="stop" operator="between" showDropDown="false" showErrorMessage="false" showInputMessage="false" sqref="F91" type="list">
      <formula1>_Aux!$H$91:$Q$91</formula1>
      <formula2>0</formula2>
    </dataValidation>
    <dataValidation allowBlank="true" errorStyle="stop" operator="between" showDropDown="false" showErrorMessage="false" showInputMessage="false" sqref="F92" type="list">
      <formula1>_Aux!$H$92:$Q$92</formula1>
      <formula2>0</formula2>
    </dataValidation>
    <dataValidation allowBlank="true" errorStyle="stop" operator="between" showDropDown="false" showErrorMessage="false" showInputMessage="false" sqref="F93" type="list">
      <formula1>_Aux!$H$93:$Q$93</formula1>
      <formula2>0</formula2>
    </dataValidation>
    <dataValidation allowBlank="true" errorStyle="stop" operator="between" showDropDown="false" showErrorMessage="false" showInputMessage="false" sqref="F94" type="list">
      <formula1>_Aux!$H$94:$Q$94</formula1>
      <formula2>0</formula2>
    </dataValidation>
    <dataValidation allowBlank="true" errorStyle="stop" operator="between" showDropDown="false" showErrorMessage="false" showInputMessage="false" sqref="F95" type="list">
      <formula1>_Aux!$H$95:$Q$95</formula1>
      <formula2>0</formula2>
    </dataValidation>
    <dataValidation allowBlank="true" errorStyle="stop" operator="between" showDropDown="false" showErrorMessage="false" showInputMessage="false" sqref="F96" type="list">
      <formula1>_Aux!$H$96:$Q$96</formula1>
      <formula2>0</formula2>
    </dataValidation>
    <dataValidation allowBlank="true" errorStyle="stop" operator="between" showDropDown="false" showErrorMessage="false" showInputMessage="false" sqref="F97" type="list">
      <formula1>_Aux!$H$97:$Q$97</formula1>
      <formula2>0</formula2>
    </dataValidation>
    <dataValidation allowBlank="true" errorStyle="stop" operator="between" showDropDown="false" showErrorMessage="false" showInputMessage="false" sqref="F98" type="list">
      <formula1>_Aux!$H$98:$Q$98</formula1>
      <formula2>0</formula2>
    </dataValidation>
    <dataValidation allowBlank="true" errorStyle="stop" operator="between" showDropDown="false" showErrorMessage="false" showInputMessage="false" sqref="F99" type="list">
      <formula1>_Aux!$H$99:$Q$99</formula1>
      <formula2>0</formula2>
    </dataValidation>
    <dataValidation allowBlank="true" errorStyle="stop" operator="between" showDropDown="false" showErrorMessage="false" showInputMessage="false" sqref="F100" type="list">
      <formula1>_Aux!$H$100:$Q$100</formula1>
      <formula2>0</formula2>
    </dataValidation>
    <dataValidation allowBlank="true" errorStyle="stop" operator="between" showDropDown="false" showErrorMessage="false" showInputMessage="false" sqref="F101" type="list">
      <formula1>_Aux!$H$101:$Q$101</formula1>
      <formula2>0</formula2>
    </dataValidation>
    <dataValidation allowBlank="true" errorStyle="stop" operator="between" showDropDown="false" showErrorMessage="false" showInputMessage="false" sqref="F102" type="list">
      <formula1>_Aux!$H$102:$Q$102</formula1>
      <formula2>0</formula2>
    </dataValidation>
    <dataValidation allowBlank="true" errorStyle="stop" operator="between" showDropDown="false" showErrorMessage="false" showInputMessage="false" sqref="F103" type="list">
      <formula1>_Aux!$H$103:$Q$103</formula1>
      <formula2>0</formula2>
    </dataValidation>
    <dataValidation allowBlank="true" errorStyle="stop" operator="between" showDropDown="false" showErrorMessage="false" showInputMessage="false" sqref="F104" type="list">
      <formula1>_Aux!$H$104:$Q$104</formula1>
      <formula2>0</formula2>
    </dataValidation>
    <dataValidation allowBlank="true" errorStyle="stop" operator="between" showDropDown="false" showErrorMessage="false" showInputMessage="false" sqref="F105" type="list">
      <formula1>_Aux!$H$105:$Q$105</formula1>
      <formula2>0</formula2>
    </dataValidation>
    <dataValidation allowBlank="true" errorStyle="stop" operator="between" showDropDown="false" showErrorMessage="false" showInputMessage="false" sqref="F106" type="list">
      <formula1>_Aux!$H$106:$Q$106</formula1>
      <formula2>0</formula2>
    </dataValidation>
    <dataValidation allowBlank="true" errorStyle="stop" operator="between" showDropDown="false" showErrorMessage="false" showInputMessage="false" sqref="F107" type="list">
      <formula1>_Aux!$H$107:$Q$107</formula1>
      <formula2>0</formula2>
    </dataValidation>
    <dataValidation allowBlank="true" errorStyle="stop" operator="between" showDropDown="false" showErrorMessage="false" showInputMessage="false" sqref="F108" type="list">
      <formula1>_Aux!$H$108:$Q$108</formula1>
      <formula2>0</formula2>
    </dataValidation>
    <dataValidation allowBlank="true" errorStyle="stop" operator="between" showDropDown="false" showErrorMessage="false" showInputMessage="false" sqref="F109" type="list">
      <formula1>_Aux!$H$109:$Q$109</formula1>
      <formula2>0</formula2>
    </dataValidation>
    <dataValidation allowBlank="true" errorStyle="stop" operator="between" showDropDown="false" showErrorMessage="false" showInputMessage="false" sqref="F110" type="list">
      <formula1>_Aux!$H$110:$Q$110</formula1>
      <formula2>0</formula2>
    </dataValidation>
    <dataValidation allowBlank="true" errorStyle="stop" operator="between" showDropDown="false" showErrorMessage="false" showInputMessage="false" sqref="F111" type="list">
      <formula1>_Aux!$H$111:$Q$111</formula1>
      <formula2>0</formula2>
    </dataValidation>
    <dataValidation allowBlank="true" errorStyle="stop" operator="between" showDropDown="false" showErrorMessage="false" showInputMessage="false" sqref="F112" type="list">
      <formula1>_Aux!$H$112:$Q$112</formula1>
      <formula2>0</formula2>
    </dataValidation>
    <dataValidation allowBlank="true" errorStyle="stop" operator="between" showDropDown="false" showErrorMessage="false" showInputMessage="false" sqref="F113" type="list">
      <formula1>_Aux!$H$113:$Q$113</formula1>
      <formula2>0</formula2>
    </dataValidation>
    <dataValidation allowBlank="true" errorStyle="stop" operator="between" showDropDown="false" showErrorMessage="false" showInputMessage="false" sqref="F114" type="list">
      <formula1>_Aux!$H$114:$Q$114</formula1>
      <formula2>0</formula2>
    </dataValidation>
    <dataValidation allowBlank="true" errorStyle="stop" operator="between" showDropDown="false" showErrorMessage="false" showInputMessage="false" sqref="F115" type="list">
      <formula1>_Aux!$H$115:$Q$115</formula1>
      <formula2>0</formula2>
    </dataValidation>
    <dataValidation allowBlank="true" errorStyle="stop" operator="between" showDropDown="false" showErrorMessage="false" showInputMessage="false" sqref="F116" type="list">
      <formula1>_Aux!$H$116:$Q$116</formula1>
      <formula2>0</formula2>
    </dataValidation>
    <dataValidation allowBlank="true" errorStyle="stop" operator="between" showDropDown="false" showErrorMessage="false" showInputMessage="false" sqref="F117" type="list">
      <formula1>_Aux!$H$117:$Q$117</formula1>
      <formula2>0</formula2>
    </dataValidation>
    <dataValidation allowBlank="true" errorStyle="stop" operator="between" showDropDown="false" showErrorMessage="false" showInputMessage="false" sqref="F118" type="list">
      <formula1>_Aux!$H$118:$Q$118</formula1>
      <formula2>0</formula2>
    </dataValidation>
    <dataValidation allowBlank="true" errorStyle="stop" operator="between" showDropDown="false" showErrorMessage="false" showInputMessage="false" sqref="F119" type="list">
      <formula1>_Aux!$H$119:$Q$119</formula1>
      <formula2>0</formula2>
    </dataValidation>
    <dataValidation allowBlank="true" errorStyle="stop" operator="between" showDropDown="false" showErrorMessage="false" showInputMessage="false" sqref="F120" type="list">
      <formula1>_Aux!$H$120:$Q$120</formula1>
      <formula2>0</formula2>
    </dataValidation>
    <dataValidation allowBlank="true" errorStyle="stop" operator="between" showDropDown="false" showErrorMessage="false" showInputMessage="false" sqref="F121" type="list">
      <formula1>_Aux!$H$121:$Q$121</formula1>
      <formula2>0</formula2>
    </dataValidation>
    <dataValidation allowBlank="true" errorStyle="stop" operator="between" showDropDown="false" showErrorMessage="false" showInputMessage="false" sqref="F122" type="list">
      <formula1>_Aux!$H$122:$Q$122</formula1>
      <formula2>0</formula2>
    </dataValidation>
    <dataValidation allowBlank="true" errorStyle="stop" operator="between" showDropDown="false" showErrorMessage="false" showInputMessage="false" sqref="F123" type="list">
      <formula1>_Aux!$H$123:$Q$123</formula1>
      <formula2>0</formula2>
    </dataValidation>
    <dataValidation allowBlank="true" errorStyle="stop" operator="between" showDropDown="false" showErrorMessage="false" showInputMessage="false" sqref="F124" type="list">
      <formula1>_Aux!$H$124:$Q$124</formula1>
      <formula2>0</formula2>
    </dataValidation>
    <dataValidation allowBlank="true" errorStyle="stop" operator="between" showDropDown="false" showErrorMessage="false" showInputMessage="false" sqref="F125" type="list">
      <formula1>_Aux!$H$125:$Q$125</formula1>
      <formula2>0</formula2>
    </dataValidation>
    <dataValidation allowBlank="true" errorStyle="stop" operator="between" showDropDown="false" showErrorMessage="false" showInputMessage="false" sqref="F126" type="list">
      <formula1>_Aux!$H$126:$Q$126</formula1>
      <formula2>0</formula2>
    </dataValidation>
    <dataValidation allowBlank="true" errorStyle="stop" operator="between" showDropDown="false" showErrorMessage="false" showInputMessage="false" sqref="F127" type="list">
      <formula1>_Aux!$H$127:$Q$127</formula1>
      <formula2>0</formula2>
    </dataValidation>
    <dataValidation allowBlank="true" errorStyle="stop" operator="between" showDropDown="false" showErrorMessage="false" showInputMessage="false" sqref="F128" type="list">
      <formula1>_Aux!$H$128:$Q$128</formula1>
      <formula2>0</formula2>
    </dataValidation>
    <dataValidation allowBlank="true" errorStyle="stop" operator="between" showDropDown="false" showErrorMessage="false" showInputMessage="false" sqref="F129" type="list">
      <formula1>_Aux!$H$129:$Q$129</formula1>
      <formula2>0</formula2>
    </dataValidation>
    <dataValidation allowBlank="true" errorStyle="stop" operator="between" showDropDown="false" showErrorMessage="false" showInputMessage="false" sqref="F130" type="list">
      <formula1>_Aux!$H$130:$Q$130</formula1>
      <formula2>0</formula2>
    </dataValidation>
    <dataValidation allowBlank="true" errorStyle="stop" operator="between" showDropDown="false" showErrorMessage="false" showInputMessage="false" sqref="F131" type="list">
      <formula1>_Aux!$H$131:$Q$131</formula1>
      <formula2>0</formula2>
    </dataValidation>
    <dataValidation allowBlank="true" errorStyle="stop" operator="between" showDropDown="false" showErrorMessage="false" showInputMessage="false" sqref="F132" type="list">
      <formula1>_Aux!$H$132:$Q$132</formula1>
      <formula2>0</formula2>
    </dataValidation>
    <dataValidation allowBlank="true" errorStyle="stop" operator="between" showDropDown="false" showErrorMessage="false" showInputMessage="false" sqref="F133" type="list">
      <formula1>_Aux!$H$133:$Q$133</formula1>
      <formula2>0</formula2>
    </dataValidation>
    <dataValidation allowBlank="true" errorStyle="stop" operator="between" showDropDown="false" showErrorMessage="false" showInputMessage="false" sqref="F134" type="list">
      <formula1>_Aux!$H$134:$Q$134</formula1>
      <formula2>0</formula2>
    </dataValidation>
    <dataValidation allowBlank="true" errorStyle="stop" operator="between" showDropDown="false" showErrorMessage="false" showInputMessage="false" sqref="F135" type="list">
      <formula1>_Aux!$H$135:$Q$135</formula1>
      <formula2>0</formula2>
    </dataValidation>
    <dataValidation allowBlank="true" errorStyle="stop" operator="between" showDropDown="false" showErrorMessage="false" showInputMessage="false" sqref="F136" type="list">
      <formula1>_Aux!$H$136:$Q$136</formula1>
      <formula2>0</formula2>
    </dataValidation>
    <dataValidation allowBlank="true" errorStyle="stop" operator="between" showDropDown="false" showErrorMessage="false" showInputMessage="false" sqref="F137" type="list">
      <formula1>_Aux!$H$137:$Q$137</formula1>
      <formula2>0</formula2>
    </dataValidation>
    <dataValidation allowBlank="true" errorStyle="stop" operator="between" showDropDown="false" showErrorMessage="false" showInputMessage="false" sqref="F138" type="list">
      <formula1>_Aux!$H$138:$Q$138</formula1>
      <formula2>0</formula2>
    </dataValidation>
    <dataValidation allowBlank="true" errorStyle="stop" operator="between" showDropDown="false" showErrorMessage="false" showInputMessage="false" sqref="F139" type="list">
      <formula1>_Aux!$H$139:$Q$139</formula1>
      <formula2>0</formula2>
    </dataValidation>
    <dataValidation allowBlank="true" errorStyle="stop" operator="between" showDropDown="false" showErrorMessage="false" showInputMessage="false" sqref="F140" type="list">
      <formula1>_Aux!$H$140:$Q$140</formula1>
      <formula2>0</formula2>
    </dataValidation>
    <dataValidation allowBlank="true" errorStyle="stop" operator="between" showDropDown="false" showErrorMessage="false" showInputMessage="false" sqref="F141" type="list">
      <formula1>_Aux!$H$141:$Q$141</formula1>
      <formula2>0</formula2>
    </dataValidation>
    <dataValidation allowBlank="true" errorStyle="stop" operator="between" showDropDown="false" showErrorMessage="false" showInputMessage="false" sqref="F142" type="list">
      <formula1>_Aux!$H$142:$Q$142</formula1>
      <formula2>0</formula2>
    </dataValidation>
    <dataValidation allowBlank="true" errorStyle="stop" operator="between" showDropDown="false" showErrorMessage="false" showInputMessage="false" sqref="F143" type="list">
      <formula1>_Aux!$H$143:$Q$143</formula1>
      <formula2>0</formula2>
    </dataValidation>
    <dataValidation allowBlank="true" errorStyle="stop" operator="between" showDropDown="false" showErrorMessage="false" showInputMessage="false" sqref="F144" type="list">
      <formula1>_Aux!$H$144:$Q$144</formula1>
      <formula2>0</formula2>
    </dataValidation>
    <dataValidation allowBlank="true" errorStyle="stop" operator="between" showDropDown="false" showErrorMessage="false" showInputMessage="false" sqref="F145" type="list">
      <formula1>_Aux!$H$145:$Q$145</formula1>
      <formula2>0</formula2>
    </dataValidation>
    <dataValidation allowBlank="true" errorStyle="stop" operator="between" showDropDown="false" showErrorMessage="false" showInputMessage="false" sqref="F146" type="list">
      <formula1>_Aux!$H$146:$Q$146</formula1>
      <formula2>0</formula2>
    </dataValidation>
    <dataValidation allowBlank="true" errorStyle="stop" operator="between" showDropDown="false" showErrorMessage="false" showInputMessage="false" sqref="F147" type="list">
      <formula1>_Aux!$H$147:$Q$147</formula1>
      <formula2>0</formula2>
    </dataValidation>
    <dataValidation allowBlank="true" errorStyle="stop" operator="between" showDropDown="false" showErrorMessage="false" showInputMessage="false" sqref="F148" type="list">
      <formula1>_Aux!$H$148:$Q$148</formula1>
      <formula2>0</formula2>
    </dataValidation>
    <dataValidation allowBlank="true" errorStyle="stop" operator="between" showDropDown="false" showErrorMessage="false" showInputMessage="false" sqref="F149" type="list">
      <formula1>_Aux!$H$149:$Q$149</formula1>
      <formula2>0</formula2>
    </dataValidation>
    <dataValidation allowBlank="true" errorStyle="stop" operator="between" showDropDown="false" showErrorMessage="false" showInputMessage="false" sqref="F150" type="list">
      <formula1>_Aux!$H$150:$Q$150</formula1>
      <formula2>0</formula2>
    </dataValidation>
    <dataValidation allowBlank="true" errorStyle="stop" operator="between" showDropDown="false" showErrorMessage="false" showInputMessage="false" sqref="F151" type="list">
      <formula1>_Aux!$H$151:$Q$151</formula1>
      <formula2>0</formula2>
    </dataValidation>
    <dataValidation allowBlank="true" errorStyle="stop" operator="between" showDropDown="false" showErrorMessage="false" showInputMessage="false" sqref="F152" type="list">
      <formula1>_Aux!$H$152:$Q$152</formula1>
      <formula2>0</formula2>
    </dataValidation>
    <dataValidation allowBlank="true" errorStyle="stop" operator="between" showDropDown="false" showErrorMessage="false" showInputMessage="false" sqref="F153" type="list">
      <formula1>_Aux!$H$153:$Q$153</formula1>
      <formula2>0</formula2>
    </dataValidation>
    <dataValidation allowBlank="true" errorStyle="stop" operator="between" showDropDown="false" showErrorMessage="false" showInputMessage="false" sqref="F154" type="list">
      <formula1>_Aux!$H$154:$Q$154</formula1>
      <formula2>0</formula2>
    </dataValidation>
    <dataValidation allowBlank="true" errorStyle="stop" operator="between" showDropDown="false" showErrorMessage="false" showInputMessage="false" sqref="F155" type="list">
      <formula1>_Aux!$H$155:$Q$155</formula1>
      <formula2>0</formula2>
    </dataValidation>
    <dataValidation allowBlank="true" errorStyle="stop" operator="between" showDropDown="false" showErrorMessage="false" showInputMessage="false" sqref="F156" type="list">
      <formula1>_Aux!$H$156:$Q$156</formula1>
      <formula2>0</formula2>
    </dataValidation>
    <dataValidation allowBlank="true" errorStyle="stop" operator="between" showDropDown="false" showErrorMessage="false" showInputMessage="false" sqref="F157" type="list">
      <formula1>_Aux!$H$157:$Q$157</formula1>
      <formula2>0</formula2>
    </dataValidation>
    <dataValidation allowBlank="true" errorStyle="stop" operator="between" showDropDown="false" showErrorMessage="false" showInputMessage="false" sqref="F158" type="list">
      <formula1>_Aux!$H$158:$Q$158</formula1>
      <formula2>0</formula2>
    </dataValidation>
    <dataValidation allowBlank="true" errorStyle="stop" operator="between" showDropDown="false" showErrorMessage="false" showInputMessage="false" sqref="F159" type="list">
      <formula1>_Aux!$H$159:$Q$159</formula1>
      <formula2>0</formula2>
    </dataValidation>
    <dataValidation allowBlank="true" errorStyle="stop" operator="between" showDropDown="false" showErrorMessage="false" showInputMessage="false" sqref="F160" type="list">
      <formula1>_Aux!$H$160:$Q$160</formula1>
      <formula2>0</formula2>
    </dataValidation>
    <dataValidation allowBlank="true" errorStyle="stop" operator="between" showDropDown="false" showErrorMessage="false" showInputMessage="false" sqref="F161" type="list">
      <formula1>_Aux!$H$161:$Q$161</formula1>
      <formula2>0</formula2>
    </dataValidation>
    <dataValidation allowBlank="true" errorStyle="stop" operator="between" showDropDown="false" showErrorMessage="false" showInputMessage="false" sqref="F162" type="list">
      <formula1>_Aux!$H$162:$Q$162</formula1>
      <formula2>0</formula2>
    </dataValidation>
    <dataValidation allowBlank="true" errorStyle="stop" operator="between" showDropDown="false" showErrorMessage="false" showInputMessage="false" sqref="F163" type="list">
      <formula1>_Aux!$H$163:$Q$163</formula1>
      <formula2>0</formula2>
    </dataValidation>
    <dataValidation allowBlank="true" errorStyle="stop" operator="between" showDropDown="false" showErrorMessage="false" showInputMessage="false" sqref="F164" type="list">
      <formula1>_Aux!$H$164:$Q$164</formula1>
      <formula2>0</formula2>
    </dataValidation>
    <dataValidation allowBlank="true" errorStyle="stop" operator="between" showDropDown="false" showErrorMessage="false" showInputMessage="false" sqref="F165" type="list">
      <formula1>_Aux!$H$165:$Q$165</formula1>
      <formula2>0</formula2>
    </dataValidation>
    <dataValidation allowBlank="true" errorStyle="stop" operator="between" showDropDown="false" showErrorMessage="false" showInputMessage="false" sqref="F166" type="list">
      <formula1>_Aux!$H$166:$Q$166</formula1>
      <formula2>0</formula2>
    </dataValidation>
    <dataValidation allowBlank="true" errorStyle="stop" operator="between" showDropDown="false" showErrorMessage="false" showInputMessage="false" sqref="F167" type="list">
      <formula1>_Aux!$H$167:$Q$167</formula1>
      <formula2>0</formula2>
    </dataValidation>
    <dataValidation allowBlank="true" errorStyle="stop" operator="between" showDropDown="false" showErrorMessage="false" showInputMessage="false" sqref="F168" type="list">
      <formula1>_Aux!$H$168:$Q$168</formula1>
      <formula2>0</formula2>
    </dataValidation>
    <dataValidation allowBlank="true" errorStyle="stop" operator="between" showDropDown="false" showErrorMessage="false" showInputMessage="false" sqref="F169" type="list">
      <formula1>_Aux!$H$169:$Q$169</formula1>
      <formula2>0</formula2>
    </dataValidation>
    <dataValidation allowBlank="true" errorStyle="stop" operator="between" showDropDown="false" showErrorMessage="false" showInputMessage="false" sqref="F170" type="list">
      <formula1>_Aux!$H$170:$Q$170</formula1>
      <formula2>0</formula2>
    </dataValidation>
    <dataValidation allowBlank="true" errorStyle="stop" operator="between" showDropDown="false" showErrorMessage="false" showInputMessage="false" sqref="F171" type="list">
      <formula1>_Aux!$H$171:$Q$171</formula1>
      <formula2>0</formula2>
    </dataValidation>
    <dataValidation allowBlank="true" errorStyle="stop" operator="between" showDropDown="false" showErrorMessage="false" showInputMessage="false" sqref="F172" type="list">
      <formula1>_Aux!$H$172:$Q$172</formula1>
      <formula2>0</formula2>
    </dataValidation>
    <dataValidation allowBlank="true" errorStyle="stop" operator="between" showDropDown="false" showErrorMessage="false" showInputMessage="false" sqref="F173" type="list">
      <formula1>_Aux!$H$173:$Q$173</formula1>
      <formula2>0</formula2>
    </dataValidation>
    <dataValidation allowBlank="true" errorStyle="stop" operator="between" showDropDown="false" showErrorMessage="false" showInputMessage="false" sqref="F174" type="list">
      <formula1>_Aux!$H$174:$Q$174</formula1>
      <formula2>0</formula2>
    </dataValidation>
    <dataValidation allowBlank="true" errorStyle="stop" operator="between" showDropDown="false" showErrorMessage="false" showInputMessage="false" sqref="F175" type="list">
      <formula1>_Aux!$H$175:$Q$175</formula1>
      <formula2>0</formula2>
    </dataValidation>
    <dataValidation allowBlank="true" errorStyle="stop" operator="between" showDropDown="false" showErrorMessage="false" showInputMessage="false" sqref="F176" type="list">
      <formula1>_Aux!$H$176:$Q$176</formula1>
      <formula2>0</formula2>
    </dataValidation>
    <dataValidation allowBlank="true" errorStyle="stop" operator="between" showDropDown="false" showErrorMessage="false" showInputMessage="false" sqref="F177" type="list">
      <formula1>_Aux!$H$177:$Q$177</formula1>
      <formula2>0</formula2>
    </dataValidation>
    <dataValidation allowBlank="true" errorStyle="stop" operator="between" showDropDown="false" showErrorMessage="false" showInputMessage="false" sqref="F178" type="list">
      <formula1>_Aux!$H$178:$Q$178</formula1>
      <formula2>0</formula2>
    </dataValidation>
    <dataValidation allowBlank="true" errorStyle="stop" operator="between" showDropDown="false" showErrorMessage="false" showInputMessage="false" sqref="F179" type="list">
      <formula1>_Aux!$H$179:$Q$179</formula1>
      <formula2>0</formula2>
    </dataValidation>
    <dataValidation allowBlank="true" errorStyle="stop" operator="between" showDropDown="false" showErrorMessage="false" showInputMessage="false" sqref="F180" type="list">
      <formula1>_Aux!$H$180:$Q$180</formula1>
      <formula2>0</formula2>
    </dataValidation>
    <dataValidation allowBlank="true" errorStyle="stop" operator="between" showDropDown="false" showErrorMessage="false" showInputMessage="false" sqref="F181" type="list">
      <formula1>_Aux!$H$181:$Q$181</formula1>
      <formula2>0</formula2>
    </dataValidation>
    <dataValidation allowBlank="true" errorStyle="stop" operator="between" showDropDown="false" showErrorMessage="false" showInputMessage="false" sqref="F182" type="list">
      <formula1>_Aux!$H$182:$Q$182</formula1>
      <formula2>0</formula2>
    </dataValidation>
    <dataValidation allowBlank="true" errorStyle="stop" operator="between" showDropDown="false" showErrorMessage="false" showInputMessage="false" sqref="F183" type="list">
      <formula1>_Aux!$H$183:$Q$183</formula1>
      <formula2>0</formula2>
    </dataValidation>
    <dataValidation allowBlank="true" errorStyle="stop" operator="between" showDropDown="false" showErrorMessage="false" showInputMessage="false" sqref="F184" type="list">
      <formula1>_Aux!$H$184:$Q$184</formula1>
      <formula2>0</formula2>
    </dataValidation>
    <dataValidation allowBlank="true" errorStyle="stop" operator="between" showDropDown="false" showErrorMessage="false" showInputMessage="false" sqref="F185" type="list">
      <formula1>_Aux!$H$185:$Q$185</formula1>
      <formula2>0</formula2>
    </dataValidation>
    <dataValidation allowBlank="true" errorStyle="stop" operator="between" showDropDown="false" showErrorMessage="false" showInputMessage="false" sqref="F186" type="list">
      <formula1>_Aux!$H$186:$Q$186</formula1>
      <formula2>0</formula2>
    </dataValidation>
    <dataValidation allowBlank="true" errorStyle="stop" operator="between" showDropDown="false" showErrorMessage="false" showInputMessage="false" sqref="F187" type="list">
      <formula1>_Aux!$H$187:$Q$187</formula1>
      <formula2>0</formula2>
    </dataValidation>
    <dataValidation allowBlank="true" errorStyle="stop" operator="between" showDropDown="false" showErrorMessage="false" showInputMessage="false" sqref="F188" type="list">
      <formula1>_Aux!$H$188:$Q$188</formula1>
      <formula2>0</formula2>
    </dataValidation>
    <dataValidation allowBlank="true" errorStyle="stop" operator="between" showDropDown="false" showErrorMessage="false" showInputMessage="false" sqref="F189" type="list">
      <formula1>_Aux!$H$189:$Q$189</formula1>
      <formula2>0</formula2>
    </dataValidation>
    <dataValidation allowBlank="true" errorStyle="stop" operator="between" showDropDown="false" showErrorMessage="false" showInputMessage="false" sqref="F190" type="list">
      <formula1>_Aux!$H$190:$Q$190</formula1>
      <formula2>0</formula2>
    </dataValidation>
    <dataValidation allowBlank="true" errorStyle="stop" operator="between" showDropDown="false" showErrorMessage="false" showInputMessage="false" sqref="F191" type="list">
      <formula1>_Aux!$H$191:$Q$191</formula1>
      <formula2>0</formula2>
    </dataValidation>
    <dataValidation allowBlank="true" errorStyle="stop" operator="between" showDropDown="false" showErrorMessage="false" showInputMessage="false" sqref="F192" type="list">
      <formula1>_Aux!$H$192:$Q$192</formula1>
      <formula2>0</formula2>
    </dataValidation>
    <dataValidation allowBlank="true" errorStyle="stop" operator="between" showDropDown="false" showErrorMessage="false" showInputMessage="false" sqref="F193" type="list">
      <formula1>_Aux!$H$193:$Q$193</formula1>
      <formula2>0</formula2>
    </dataValidation>
    <dataValidation allowBlank="true" errorStyle="stop" operator="between" showDropDown="false" showErrorMessage="false" showInputMessage="false" sqref="F194" type="list">
      <formula1>_Aux!$H$194:$Q$194</formula1>
      <formula2>0</formula2>
    </dataValidation>
    <dataValidation allowBlank="true" errorStyle="stop" operator="between" showDropDown="false" showErrorMessage="false" showInputMessage="false" sqref="F195" type="list">
      <formula1>_Aux!$H$195:$Q$195</formula1>
      <formula2>0</formula2>
    </dataValidation>
    <dataValidation allowBlank="true" errorStyle="stop" operator="between" showDropDown="false" showErrorMessage="false" showInputMessage="false" sqref="F196" type="list">
      <formula1>_Aux!$H$196:$Q$196</formula1>
      <formula2>0</formula2>
    </dataValidation>
    <dataValidation allowBlank="true" errorStyle="stop" operator="between" showDropDown="false" showErrorMessage="false" showInputMessage="false" sqref="F197" type="list">
      <formula1>_Aux!$H$197:$Q$197</formula1>
      <formula2>0</formula2>
    </dataValidation>
    <dataValidation allowBlank="true" errorStyle="stop" operator="between" showDropDown="false" showErrorMessage="false" showInputMessage="false" sqref="F198" type="list">
      <formula1>_Aux!$H$198:$Q$198</formula1>
      <formula2>0</formula2>
    </dataValidation>
    <dataValidation allowBlank="true" errorStyle="stop" operator="between" showDropDown="false" showErrorMessage="false" showInputMessage="false" sqref="F199" type="list">
      <formula1>_Aux!$H$199:$Q$199</formula1>
      <formula2>0</formula2>
    </dataValidation>
    <dataValidation allowBlank="true" errorStyle="stop" operator="between" showDropDown="false" showErrorMessage="false" showInputMessage="false" sqref="F200" type="list">
      <formula1>_Aux!$H$200:$Q$200</formula1>
      <formula2>0</formula2>
    </dataValidation>
    <dataValidation allowBlank="true" errorStyle="stop" operator="between" showDropDown="false" showErrorMessage="false" showInputMessage="false" sqref="F201" type="list">
      <formula1>_Aux!$H$201:$Q$201</formula1>
      <formula2>0</formula2>
    </dataValidation>
    <dataValidation allowBlank="true" errorStyle="stop" operator="between" showDropDown="false" showErrorMessage="false" showInputMessage="false" sqref="F202" type="list">
      <formula1>_Aux!$H$202:$Q$202</formula1>
      <formula2>0</formula2>
    </dataValidation>
    <dataValidation allowBlank="true" errorStyle="stop" operator="between" showDropDown="false" showErrorMessage="false" showInputMessage="false" sqref="F203" type="list">
      <formula1>_Aux!$H$203:$Q$203</formula1>
      <formula2>0</formula2>
    </dataValidation>
    <dataValidation allowBlank="true" errorStyle="stop" operator="between" showDropDown="false" showErrorMessage="false" showInputMessage="false" sqref="F204" type="list">
      <formula1>_Aux!$H$204:$Q$204</formula1>
      <formula2>0</formula2>
    </dataValidation>
    <dataValidation allowBlank="true" errorStyle="stop" operator="between" showDropDown="false" showErrorMessage="false" showInputMessage="false" sqref="F205" type="list">
      <formula1>_Aux!$H$205:$Q$205</formula1>
      <formula2>0</formula2>
    </dataValidation>
    <dataValidation allowBlank="true" errorStyle="stop" operator="between" showDropDown="false" showErrorMessage="false" showInputMessage="false" sqref="F206" type="list">
      <formula1>_Aux!$H$206:$Q$206</formula1>
      <formula2>0</formula2>
    </dataValidation>
    <dataValidation allowBlank="true" errorStyle="stop" operator="between" showDropDown="false" showErrorMessage="false" showInputMessage="false" sqref="F207" type="list">
      <formula1>_Aux!$H$207:$Q$207</formula1>
      <formula2>0</formula2>
    </dataValidation>
    <dataValidation allowBlank="true" errorStyle="stop" operator="between" showDropDown="false" showErrorMessage="false" showInputMessage="false" sqref="F208" type="list">
      <formula1>_Aux!$H$208:$Q$208</formula1>
      <formula2>0</formula2>
    </dataValidation>
    <dataValidation allowBlank="true" errorStyle="stop" operator="between" showDropDown="false" showErrorMessage="false" showInputMessage="false" sqref="F209" type="list">
      <formula1>_Aux!$H$209:$Q$209</formula1>
      <formula2>0</formula2>
    </dataValidation>
    <dataValidation allowBlank="true" errorStyle="stop" operator="between" showDropDown="false" showErrorMessage="false" showInputMessage="false" sqref="F210" type="list">
      <formula1>_Aux!$H$210:$Q$210</formula1>
      <formula2>0</formula2>
    </dataValidation>
    <dataValidation allowBlank="true" errorStyle="stop" operator="between" showDropDown="false" showErrorMessage="false" showInputMessage="false" sqref="F211" type="list">
      <formula1>_Aux!$H$211:$Q$211</formula1>
      <formula2>0</formula2>
    </dataValidation>
    <dataValidation allowBlank="true" errorStyle="stop" operator="between" showDropDown="false" showErrorMessage="false" showInputMessage="false" sqref="F212" type="list">
      <formula1>_Aux!$H$212:$Q$212</formula1>
      <formula2>0</formula2>
    </dataValidation>
    <dataValidation allowBlank="true" errorStyle="stop" operator="between" showDropDown="false" showErrorMessage="false" showInputMessage="false" sqref="F213" type="list">
      <formula1>_Aux!$H$213:$Q$213</formula1>
      <formula2>0</formula2>
    </dataValidation>
    <dataValidation allowBlank="true" errorStyle="stop" operator="between" showDropDown="false" showErrorMessage="false" showInputMessage="false" sqref="F214" type="list">
      <formula1>_Aux!$H$214:$Q$214</formula1>
      <formula2>0</formula2>
    </dataValidation>
    <dataValidation allowBlank="true" errorStyle="stop" operator="between" showDropDown="false" showErrorMessage="false" showInputMessage="false" sqref="F215" type="list">
      <formula1>_Aux!$H$215:$Q$215</formula1>
      <formula2>0</formula2>
    </dataValidation>
    <dataValidation allowBlank="true" errorStyle="stop" operator="between" showDropDown="false" showErrorMessage="false" showInputMessage="false" sqref="F216" type="list">
      <formula1>_Aux!$H$216:$Q$216</formula1>
      <formula2>0</formula2>
    </dataValidation>
    <dataValidation allowBlank="true" errorStyle="stop" operator="between" showDropDown="false" showErrorMessage="false" showInputMessage="false" sqref="F217" type="list">
      <formula1>_Aux!$H$217:$Q$217</formula1>
      <formula2>0</formula2>
    </dataValidation>
    <dataValidation allowBlank="true" errorStyle="stop" operator="between" showDropDown="false" showErrorMessage="false" showInputMessage="false" sqref="F218" type="list">
      <formula1>_Aux!$H$218:$Q$218</formula1>
      <formula2>0</formula2>
    </dataValidation>
    <dataValidation allowBlank="true" errorStyle="stop" operator="between" showDropDown="false" showErrorMessage="false" showInputMessage="false" sqref="F219" type="list">
      <formula1>_Aux!$H$219:$Q$219</formula1>
      <formula2>0</formula2>
    </dataValidation>
    <dataValidation allowBlank="true" errorStyle="stop" operator="between" showDropDown="false" showErrorMessage="false" showInputMessage="false" sqref="F220" type="list">
      <formula1>_Aux!$H$220:$Q$220</formula1>
      <formula2>0</formula2>
    </dataValidation>
    <dataValidation allowBlank="true" errorStyle="stop" operator="between" showDropDown="false" showErrorMessage="false" showInputMessage="false" sqref="F221" type="list">
      <formula1>_Aux!$H$221:$Q$221</formula1>
      <formula2>0</formula2>
    </dataValidation>
    <dataValidation allowBlank="true" errorStyle="stop" operator="between" showDropDown="false" showErrorMessage="false" showInputMessage="false" sqref="F222" type="list">
      <formula1>_Aux!$H$222:$Q$222</formula1>
      <formula2>0</formula2>
    </dataValidation>
    <dataValidation allowBlank="true" errorStyle="stop" operator="between" showDropDown="false" showErrorMessage="false" showInputMessage="false" sqref="F223" type="list">
      <formula1>_Aux!$H$223:$Q$223</formula1>
      <formula2>0</formula2>
    </dataValidation>
    <dataValidation allowBlank="true" errorStyle="stop" operator="between" showDropDown="false" showErrorMessage="false" showInputMessage="false" sqref="F224" type="list">
      <formula1>_Aux!$H$224:$Q$224</formula1>
      <formula2>0</formula2>
    </dataValidation>
    <dataValidation allowBlank="true" errorStyle="stop" operator="between" showDropDown="false" showErrorMessage="false" showInputMessage="false" sqref="F225" type="list">
      <formula1>_Aux!$H$225:$Q$225</formula1>
      <formula2>0</formula2>
    </dataValidation>
    <dataValidation allowBlank="true" errorStyle="stop" operator="between" showDropDown="false" showErrorMessage="false" showInputMessage="false" sqref="F226" type="list">
      <formula1>_Aux!$H$226:$Q$226</formula1>
      <formula2>0</formula2>
    </dataValidation>
    <dataValidation allowBlank="true" errorStyle="stop" operator="between" showDropDown="false" showErrorMessage="false" showInputMessage="false" sqref="F227" type="list">
      <formula1>_Aux!$H$227:$Q$227</formula1>
      <formula2>0</formula2>
    </dataValidation>
    <dataValidation allowBlank="true" errorStyle="stop" operator="between" showDropDown="false" showErrorMessage="false" showInputMessage="false" sqref="F228" type="list">
      <formula1>_Aux!$H$228:$Q$228</formula1>
      <formula2>0</formula2>
    </dataValidation>
    <dataValidation allowBlank="true" errorStyle="stop" operator="between" showDropDown="false" showErrorMessage="false" showInputMessage="false" sqref="F229" type="list">
      <formula1>_Aux!$H$229:$Q$229</formula1>
      <formula2>0</formula2>
    </dataValidation>
    <dataValidation allowBlank="true" errorStyle="stop" operator="between" showDropDown="false" showErrorMessage="false" showInputMessage="false" sqref="F230" type="list">
      <formula1>_Aux!$H$230:$Q$230</formula1>
      <formula2>0</formula2>
    </dataValidation>
    <dataValidation allowBlank="true" errorStyle="stop" operator="between" showDropDown="false" showErrorMessage="false" showInputMessage="false" sqref="F231" type="list">
      <formula1>_Aux!$H$231:$Q$231</formula1>
      <formula2>0</formula2>
    </dataValidation>
    <dataValidation allowBlank="true" errorStyle="stop" operator="between" showDropDown="false" showErrorMessage="false" showInputMessage="false" sqref="F232" type="list">
      <formula1>_Aux!$H$232:$Q$232</formula1>
      <formula2>0</formula2>
    </dataValidation>
    <dataValidation allowBlank="true" errorStyle="stop" operator="between" showDropDown="false" showErrorMessage="false" showInputMessage="false" sqref="F233" type="list">
      <formula1>_Aux!$H$233:$Q$233</formula1>
      <formula2>0</formula2>
    </dataValidation>
    <dataValidation allowBlank="true" errorStyle="stop" operator="between" showDropDown="false" showErrorMessage="false" showInputMessage="false" sqref="F234" type="list">
      <formula1>_Aux!$H$234:$Q$234</formula1>
      <formula2>0</formula2>
    </dataValidation>
    <dataValidation allowBlank="true" errorStyle="stop" operator="between" showDropDown="false" showErrorMessage="false" showInputMessage="false" sqref="F235" type="list">
      <formula1>_Aux!$H$235:$Q$235</formula1>
      <formula2>0</formula2>
    </dataValidation>
    <dataValidation allowBlank="true" errorStyle="stop" operator="between" showDropDown="false" showErrorMessage="false" showInputMessage="false" sqref="F236" type="list">
      <formula1>_Aux!$H$236:$Q$236</formula1>
      <formula2>0</formula2>
    </dataValidation>
    <dataValidation allowBlank="true" errorStyle="stop" operator="between" showDropDown="false" showErrorMessage="false" showInputMessage="false" sqref="F237" type="list">
      <formula1>_Aux!$H$237:$Q$237</formula1>
      <formula2>0</formula2>
    </dataValidation>
    <dataValidation allowBlank="true" errorStyle="stop" operator="between" showDropDown="false" showErrorMessage="false" showInputMessage="false" sqref="F238" type="list">
      <formula1>_Aux!$H$238:$Q$238</formula1>
      <formula2>0</formula2>
    </dataValidation>
    <dataValidation allowBlank="true" errorStyle="stop" operator="between" showDropDown="false" showErrorMessage="false" showInputMessage="false" sqref="F239" type="list">
      <formula1>_Aux!$H$239:$Q$239</formula1>
      <formula2>0</formula2>
    </dataValidation>
    <dataValidation allowBlank="true" errorStyle="stop" operator="between" showDropDown="false" showErrorMessage="false" showInputMessage="false" sqref="F240" type="list">
      <formula1>_Aux!$H$240:$Q$240</formula1>
      <formula2>0</formula2>
    </dataValidation>
    <dataValidation allowBlank="true" errorStyle="stop" operator="between" showDropDown="false" showErrorMessage="false" showInputMessage="false" sqref="F241" type="list">
      <formula1>_Aux!$H$241:$Q$241</formula1>
      <formula2>0</formula2>
    </dataValidation>
    <dataValidation allowBlank="true" errorStyle="stop" operator="between" showDropDown="false" showErrorMessage="false" showInputMessage="false" sqref="F242" type="list">
      <formula1>_Aux!$H$242:$Q$242</formula1>
      <formula2>0</formula2>
    </dataValidation>
    <dataValidation allowBlank="true" errorStyle="stop" operator="between" showDropDown="false" showErrorMessage="false" showInputMessage="false" sqref="F243" type="list">
      <formula1>_Aux!$H$243:$Q$243</formula1>
      <formula2>0</formula2>
    </dataValidation>
    <dataValidation allowBlank="true" errorStyle="stop" operator="between" showDropDown="false" showErrorMessage="false" showInputMessage="false" sqref="F244" type="list">
      <formula1>_Aux!$H$244:$Q$244</formula1>
      <formula2>0</formula2>
    </dataValidation>
    <dataValidation allowBlank="true" errorStyle="stop" operator="between" showDropDown="false" showErrorMessage="false" showInputMessage="false" sqref="F245" type="list">
      <formula1>_Aux!$H$245:$Q$245</formula1>
      <formula2>0</formula2>
    </dataValidation>
    <dataValidation allowBlank="true" errorStyle="stop" operator="between" showDropDown="false" showErrorMessage="false" showInputMessage="false" sqref="F246" type="list">
      <formula1>_Aux!$H$246:$Q$246</formula1>
      <formula2>0</formula2>
    </dataValidation>
    <dataValidation allowBlank="true" errorStyle="stop" operator="between" showDropDown="false" showErrorMessage="false" showInputMessage="false" sqref="F247" type="list">
      <formula1>_Aux!$H$247:$Q$247</formula1>
      <formula2>0</formula2>
    </dataValidation>
    <dataValidation allowBlank="true" errorStyle="stop" operator="between" showDropDown="false" showErrorMessage="false" showInputMessage="false" sqref="F248" type="list">
      <formula1>_Aux!$H$248:$Q$248</formula1>
      <formula2>0</formula2>
    </dataValidation>
    <dataValidation allowBlank="true" errorStyle="stop" operator="between" showDropDown="false" showErrorMessage="false" showInputMessage="false" sqref="F249" type="list">
      <formula1>_Aux!$H$249:$Q$249</formula1>
      <formula2>0</formula2>
    </dataValidation>
    <dataValidation allowBlank="true" errorStyle="stop" operator="between" showDropDown="false" showErrorMessage="false" showInputMessage="false" sqref="F250" type="list">
      <formula1>_Aux!$H$250:$Q$250</formula1>
      <formula2>0</formula2>
    </dataValidation>
    <dataValidation allowBlank="true" errorStyle="stop" operator="between" showDropDown="false" showErrorMessage="false" showInputMessage="false" sqref="F251" type="list">
      <formula1>_Aux!$H$251:$Q$251</formula1>
      <formula2>0</formula2>
    </dataValidation>
    <dataValidation allowBlank="true" errorStyle="stop" operator="between" showDropDown="false" showErrorMessage="false" showInputMessage="false" sqref="F252" type="list">
      <formula1>_Aux!$H$252:$Q$252</formula1>
      <formula2>0</formula2>
    </dataValidation>
    <dataValidation allowBlank="true" errorStyle="stop" operator="between" showDropDown="false" showErrorMessage="false" showInputMessage="false" sqref="F253" type="list">
      <formula1>_Aux!$H$253:$Q$253</formula1>
      <formula2>0</formula2>
    </dataValidation>
    <dataValidation allowBlank="true" errorStyle="stop" operator="between" showDropDown="false" showErrorMessage="false" showInputMessage="false" sqref="F254" type="list">
      <formula1>_Aux!$H$254:$Q$254</formula1>
      <formula2>0</formula2>
    </dataValidation>
    <dataValidation allowBlank="true" errorStyle="stop" operator="between" showDropDown="false" showErrorMessage="false" showInputMessage="false" sqref="F255" type="list">
      <formula1>_Aux!$H$255:$Q$255</formula1>
      <formula2>0</formula2>
    </dataValidation>
    <dataValidation allowBlank="true" errorStyle="stop" operator="between" showDropDown="false" showErrorMessage="false" showInputMessage="false" sqref="F256" type="list">
      <formula1>_Aux!$H$256:$Q$256</formula1>
      <formula2>0</formula2>
    </dataValidation>
    <dataValidation allowBlank="true" errorStyle="stop" operator="between" showDropDown="false" showErrorMessage="false" showInputMessage="false" sqref="F257" type="list">
      <formula1>_Aux!$H$257:$Q$257</formula1>
      <formula2>0</formula2>
    </dataValidation>
    <dataValidation allowBlank="true" errorStyle="stop" operator="between" showDropDown="false" showErrorMessage="false" showInputMessage="false" sqref="F258" type="list">
      <formula1>_Aux!$H$258:$Q$258</formula1>
      <formula2>0</formula2>
    </dataValidation>
    <dataValidation allowBlank="true" errorStyle="stop" operator="between" showDropDown="false" showErrorMessage="false" showInputMessage="false" sqref="F259" type="list">
      <formula1>_Aux!$H$259:$Q$259</formula1>
      <formula2>0</formula2>
    </dataValidation>
    <dataValidation allowBlank="true" errorStyle="stop" operator="between" showDropDown="false" showErrorMessage="false" showInputMessage="false" sqref="F260" type="list">
      <formula1>_Aux!$H$260:$Q$260</formula1>
      <formula2>0</formula2>
    </dataValidation>
    <dataValidation allowBlank="true" errorStyle="stop" operator="between" showDropDown="false" showErrorMessage="false" showInputMessage="false" sqref="F261" type="list">
      <formula1>_Aux!$H$261:$Q$261</formula1>
      <formula2>0</formula2>
    </dataValidation>
    <dataValidation allowBlank="true" errorStyle="stop" operator="between" showDropDown="false" showErrorMessage="false" showInputMessage="false" sqref="F262" type="list">
      <formula1>_Aux!$H$262:$Q$262</formula1>
      <formula2>0</formula2>
    </dataValidation>
    <dataValidation allowBlank="true" errorStyle="stop" operator="between" showDropDown="false" showErrorMessage="false" showInputMessage="false" sqref="F263" type="list">
      <formula1>_Aux!$H$263:$Q$263</formula1>
      <formula2>0</formula2>
    </dataValidation>
    <dataValidation allowBlank="true" errorStyle="stop" operator="between" showDropDown="false" showErrorMessage="false" showInputMessage="false" sqref="F264" type="list">
      <formula1>_Aux!$H$264:$Q$264</formula1>
      <formula2>0</formula2>
    </dataValidation>
    <dataValidation allowBlank="true" errorStyle="stop" operator="between" showDropDown="false" showErrorMessage="false" showInputMessage="false" sqref="F265" type="list">
      <formula1>_Aux!$H$265:$Q$265</formula1>
      <formula2>0</formula2>
    </dataValidation>
    <dataValidation allowBlank="true" errorStyle="stop" operator="between" showDropDown="false" showErrorMessage="false" showInputMessage="false" sqref="F266" type="list">
      <formula1>_Aux!$H$266:$Q$266</formula1>
      <formula2>0</formula2>
    </dataValidation>
    <dataValidation allowBlank="true" errorStyle="stop" operator="between" showDropDown="false" showErrorMessage="false" showInputMessage="false" sqref="F267" type="list">
      <formula1>_Aux!$H$267:$Q$267</formula1>
      <formula2>0</formula2>
    </dataValidation>
    <dataValidation allowBlank="true" errorStyle="stop" operator="between" showDropDown="false" showErrorMessage="false" showInputMessage="false" sqref="F268" type="list">
      <formula1>_Aux!$H$268:$Q$268</formula1>
      <formula2>0</formula2>
    </dataValidation>
    <dataValidation allowBlank="true" errorStyle="stop" operator="between" showDropDown="false" showErrorMessage="false" showInputMessage="false" sqref="F269" type="list">
      <formula1>_Aux!$H$269:$Q$269</formula1>
      <formula2>0</formula2>
    </dataValidation>
    <dataValidation allowBlank="true" errorStyle="stop" operator="between" showDropDown="false" showErrorMessage="false" showInputMessage="false" sqref="F270" type="list">
      <formula1>_Aux!$H$270:$Q$270</formula1>
      <formula2>0</formula2>
    </dataValidation>
    <dataValidation allowBlank="true" errorStyle="stop" operator="between" showDropDown="false" showErrorMessage="false" showInputMessage="false" sqref="F271" type="list">
      <formula1>_Aux!$H$271:$Q$271</formula1>
      <formula2>0</formula2>
    </dataValidation>
    <dataValidation allowBlank="true" errorStyle="stop" operator="between" showDropDown="false" showErrorMessage="false" showInputMessage="false" sqref="F272" type="list">
      <formula1>_Aux!$H$272:$Q$272</formula1>
      <formula2>0</formula2>
    </dataValidation>
    <dataValidation allowBlank="true" errorStyle="stop" operator="between" showDropDown="false" showErrorMessage="false" showInputMessage="false" sqref="F273" type="list">
      <formula1>_Aux!$H$273:$Q$273</formula1>
      <formula2>0</formula2>
    </dataValidation>
    <dataValidation allowBlank="true" errorStyle="stop" operator="between" showDropDown="false" showErrorMessage="false" showInputMessage="false" sqref="F274" type="list">
      <formula1>_Aux!$H$274:$Q$274</formula1>
      <formula2>0</formula2>
    </dataValidation>
    <dataValidation allowBlank="true" errorStyle="stop" operator="between" showDropDown="false" showErrorMessage="false" showInputMessage="false" sqref="F275" type="list">
      <formula1>_Aux!$H$275:$Q$275</formula1>
      <formula2>0</formula2>
    </dataValidation>
    <dataValidation allowBlank="true" errorStyle="stop" operator="between" showDropDown="false" showErrorMessage="false" showInputMessage="false" sqref="F276" type="list">
      <formula1>_Aux!$H$276:$Q$276</formula1>
      <formula2>0</formula2>
    </dataValidation>
    <dataValidation allowBlank="true" errorStyle="stop" operator="between" showDropDown="false" showErrorMessage="false" showInputMessage="false" sqref="F277" type="list">
      <formula1>_Aux!$H$277:$Q$277</formula1>
      <formula2>0</formula2>
    </dataValidation>
    <dataValidation allowBlank="true" errorStyle="stop" operator="between" showDropDown="false" showErrorMessage="false" showInputMessage="false" sqref="F278" type="list">
      <formula1>_Aux!$H$278:$Q$278</formula1>
      <formula2>0</formula2>
    </dataValidation>
    <dataValidation allowBlank="true" errorStyle="stop" operator="between" showDropDown="false" showErrorMessage="false" showInputMessage="false" sqref="F279" type="list">
      <formula1>_Aux!$H$279:$Q$279</formula1>
      <formula2>0</formula2>
    </dataValidation>
    <dataValidation allowBlank="true" errorStyle="stop" operator="between" showDropDown="false" showErrorMessage="false" showInputMessage="false" sqref="F280" type="list">
      <formula1>_Aux!$H$280:$Q$280</formula1>
      <formula2>0</formula2>
    </dataValidation>
    <dataValidation allowBlank="true" errorStyle="stop" operator="between" showDropDown="false" showErrorMessage="false" showInputMessage="false" sqref="F281" type="list">
      <formula1>_Aux!$H$281:$Q$281</formula1>
      <formula2>0</formula2>
    </dataValidation>
    <dataValidation allowBlank="true" errorStyle="stop" operator="between" showDropDown="false" showErrorMessage="false" showInputMessage="false" sqref="F282" type="list">
      <formula1>_Aux!$H$282:$Q$282</formula1>
      <formula2>0</formula2>
    </dataValidation>
    <dataValidation allowBlank="true" errorStyle="stop" operator="between" showDropDown="false" showErrorMessage="false" showInputMessage="false" sqref="F283" type="list">
      <formula1>_Aux!$H$283:$Q$283</formula1>
      <formula2>0</formula2>
    </dataValidation>
    <dataValidation allowBlank="true" errorStyle="stop" operator="between" showDropDown="false" showErrorMessage="false" showInputMessage="false" sqref="F284" type="list">
      <formula1>_Aux!$H$284:$Q$284</formula1>
      <formula2>0</formula2>
    </dataValidation>
    <dataValidation allowBlank="true" errorStyle="stop" operator="between" showDropDown="false" showErrorMessage="false" showInputMessage="false" sqref="F285" type="list">
      <formula1>_Aux!$H$285:$Q$285</formula1>
      <formula2>0</formula2>
    </dataValidation>
    <dataValidation allowBlank="true" errorStyle="stop" operator="between" showDropDown="false" showErrorMessage="false" showInputMessage="false" sqref="F286" type="list">
      <formula1>_Aux!$H$286:$Q$286</formula1>
      <formula2>0</formula2>
    </dataValidation>
    <dataValidation allowBlank="true" errorStyle="stop" operator="between" showDropDown="false" showErrorMessage="false" showInputMessage="false" sqref="F287" type="list">
      <formula1>_Aux!$H$287:$Q$287</formula1>
      <formula2>0</formula2>
    </dataValidation>
    <dataValidation allowBlank="true" errorStyle="stop" operator="between" showDropDown="false" showErrorMessage="false" showInputMessage="false" sqref="F288" type="list">
      <formula1>_Aux!$H$288:$Q$288</formula1>
      <formula2>0</formula2>
    </dataValidation>
    <dataValidation allowBlank="true" errorStyle="stop" operator="between" showDropDown="false" showErrorMessage="false" showInputMessage="false" sqref="F289" type="list">
      <formula1>_Aux!$H$289:$Q$289</formula1>
      <formula2>0</formula2>
    </dataValidation>
    <dataValidation allowBlank="true" errorStyle="stop" operator="between" showDropDown="false" showErrorMessage="false" showInputMessage="false" sqref="F290" type="list">
      <formula1>_Aux!$H$290:$Q$290</formula1>
      <formula2>0</formula2>
    </dataValidation>
    <dataValidation allowBlank="true" errorStyle="stop" operator="between" showDropDown="false" showErrorMessage="false" showInputMessage="false" sqref="F291" type="list">
      <formula1>_Aux!$H$291:$Q$291</formula1>
      <formula2>0</formula2>
    </dataValidation>
    <dataValidation allowBlank="true" errorStyle="stop" operator="between" showDropDown="false" showErrorMessage="false" showInputMessage="false" sqref="F292" type="list">
      <formula1>_Aux!$H$292:$Q$292</formula1>
      <formula2>0</formula2>
    </dataValidation>
    <dataValidation allowBlank="true" errorStyle="stop" operator="between" showDropDown="false" showErrorMessage="false" showInputMessage="false" sqref="F293" type="list">
      <formula1>_Aux!$H$293:$Q$293</formula1>
      <formula2>0</formula2>
    </dataValidation>
    <dataValidation allowBlank="true" errorStyle="stop" operator="between" showDropDown="false" showErrorMessage="false" showInputMessage="false" sqref="F294" type="list">
      <formula1>_Aux!$H$294:$Q$294</formula1>
      <formula2>0</formula2>
    </dataValidation>
    <dataValidation allowBlank="true" errorStyle="stop" operator="between" showDropDown="false" showErrorMessage="false" showInputMessage="false" sqref="F295" type="list">
      <formula1>_Aux!$H$295:$Q$295</formula1>
      <formula2>0</formula2>
    </dataValidation>
    <dataValidation allowBlank="true" errorStyle="stop" operator="between" showDropDown="false" showErrorMessage="false" showInputMessage="false" sqref="F296" type="list">
      <formula1>_Aux!$H$296:$Q$296</formula1>
      <formula2>0</formula2>
    </dataValidation>
    <dataValidation allowBlank="true" errorStyle="stop" operator="between" showDropDown="false" showErrorMessage="false" showInputMessage="false" sqref="F297" type="list">
      <formula1>_Aux!$H$297:$Q$297</formula1>
      <formula2>0</formula2>
    </dataValidation>
    <dataValidation allowBlank="true" errorStyle="stop" operator="between" showDropDown="false" showErrorMessage="false" showInputMessage="false" sqref="F298" type="list">
      <formula1>_Aux!$H$298:$Q$298</formula1>
      <formula2>0</formula2>
    </dataValidation>
    <dataValidation allowBlank="true" errorStyle="stop" operator="between" showDropDown="false" showErrorMessage="false" showInputMessage="false" sqref="F299" type="list">
      <formula1>_Aux!$H$299:$Q$299</formula1>
      <formula2>0</formula2>
    </dataValidation>
    <dataValidation allowBlank="true" errorStyle="stop" operator="between" showDropDown="false" showErrorMessage="false" showInputMessage="false" sqref="F300" type="list">
      <formula1>_Aux!$H$300:$Q$300</formula1>
      <formula2>0</formula2>
    </dataValidation>
    <dataValidation allowBlank="true" errorStyle="stop" operator="between" showDropDown="false" showErrorMessage="false" showInputMessage="false" sqref="F301" type="list">
      <formula1>_Aux!$H$301:$Q$301</formula1>
      <formula2>0</formula2>
    </dataValidation>
    <dataValidation allowBlank="true" errorStyle="stop" operator="between" showDropDown="false" showErrorMessage="false" showInputMessage="false" sqref="F302" type="list">
      <formula1>_Aux!$H$302:$Q$302</formula1>
      <formula2>0</formula2>
    </dataValidation>
    <dataValidation allowBlank="true" errorStyle="stop" operator="between" showDropDown="false" showErrorMessage="false" showInputMessage="false" sqref="F303" type="list">
      <formula1>_Aux!$H$303:$Q$303</formula1>
      <formula2>0</formula2>
    </dataValidation>
    <dataValidation allowBlank="true" errorStyle="stop" operator="between" showDropDown="false" showErrorMessage="false" showInputMessage="false" sqref="F304" type="list">
      <formula1>_Aux!$H$304:$Q$304</formula1>
      <formula2>0</formula2>
    </dataValidation>
    <dataValidation allowBlank="true" errorStyle="stop" operator="between" showDropDown="false" showErrorMessage="false" showInputMessage="false" sqref="F305" type="list">
      <formula1>_Aux!$H$305:$Q$305</formula1>
      <formula2>0</formula2>
    </dataValidation>
    <dataValidation allowBlank="true" errorStyle="stop" operator="between" showDropDown="false" showErrorMessage="false" showInputMessage="false" sqref="F306" type="list">
      <formula1>_Aux!$H$306:$Q$306</formula1>
      <formula2>0</formula2>
    </dataValidation>
    <dataValidation allowBlank="true" errorStyle="stop" operator="between" showDropDown="false" showErrorMessage="false" showInputMessage="false" sqref="F307" type="list">
      <formula1>_Aux!$H$307:$Q$307</formula1>
      <formula2>0</formula2>
    </dataValidation>
    <dataValidation allowBlank="true" errorStyle="stop" operator="between" showDropDown="false" showErrorMessage="false" showInputMessage="false" sqref="F308" type="list">
      <formula1>_Aux!$H$308:$Q$308</formula1>
      <formula2>0</formula2>
    </dataValidation>
    <dataValidation allowBlank="true" errorStyle="stop" operator="between" showDropDown="false" showErrorMessage="false" showInputMessage="false" sqref="F309" type="list">
      <formula1>_Aux!$H$309:$Q$309</formula1>
      <formula2>0</formula2>
    </dataValidation>
    <dataValidation allowBlank="true" errorStyle="stop" operator="between" showDropDown="false" showErrorMessage="false" showInputMessage="false" sqref="F310" type="list">
      <formula1>_Aux!$H$310:$Q$310</formula1>
      <formula2>0</formula2>
    </dataValidation>
    <dataValidation allowBlank="true" errorStyle="stop" operator="between" showDropDown="false" showErrorMessage="false" showInputMessage="false" sqref="F311" type="list">
      <formula1>_Aux!$H$311:$Q$311</formula1>
      <formula2>0</formula2>
    </dataValidation>
    <dataValidation allowBlank="true" errorStyle="stop" operator="between" showDropDown="false" showErrorMessage="false" showInputMessage="false" sqref="F312" type="list">
      <formula1>_Aux!$H$312:$Q$312</formula1>
      <formula2>0</formula2>
    </dataValidation>
    <dataValidation allowBlank="true" errorStyle="stop" operator="between" showDropDown="false" showErrorMessage="false" showInputMessage="false" sqref="F313" type="list">
      <formula1>_Aux!$H$313:$Q$313</formula1>
      <formula2>0</formula2>
    </dataValidation>
    <dataValidation allowBlank="true" errorStyle="stop" operator="between" showDropDown="false" showErrorMessage="false" showInputMessage="false" sqref="F314" type="list">
      <formula1>_Aux!$H$314:$Q$314</formula1>
      <formula2>0</formula2>
    </dataValidation>
    <dataValidation allowBlank="true" errorStyle="stop" operator="between" showDropDown="false" showErrorMessage="false" showInputMessage="false" sqref="F315" type="list">
      <formula1>_Aux!$H$315:$Q$315</formula1>
      <formula2>0</formula2>
    </dataValidation>
    <dataValidation allowBlank="true" errorStyle="stop" operator="between" showDropDown="false" showErrorMessage="false" showInputMessage="false" sqref="F316" type="list">
      <formula1>_Aux!$H$316:$Q$316</formula1>
      <formula2>0</formula2>
    </dataValidation>
    <dataValidation allowBlank="true" errorStyle="stop" operator="between" showDropDown="false" showErrorMessage="false" showInputMessage="false" sqref="F317" type="list">
      <formula1>_Aux!$H$317:$Q$317</formula1>
      <formula2>0</formula2>
    </dataValidation>
    <dataValidation allowBlank="true" errorStyle="stop" operator="between" showDropDown="false" showErrorMessage="false" showInputMessage="false" sqref="F318" type="list">
      <formula1>_Aux!$H$318:$Q$318</formula1>
      <formula2>0</formula2>
    </dataValidation>
    <dataValidation allowBlank="true" errorStyle="stop" operator="between" showDropDown="false" showErrorMessage="false" showInputMessage="false" sqref="F319" type="list">
      <formula1>_Aux!$H$319:$Q$319</formula1>
      <formula2>0</formula2>
    </dataValidation>
    <dataValidation allowBlank="true" errorStyle="stop" operator="between" showDropDown="false" showErrorMessage="false" showInputMessage="false" sqref="F320" type="list">
      <formula1>_Aux!$H$320:$Q$320</formula1>
      <formula2>0</formula2>
    </dataValidation>
    <dataValidation allowBlank="true" errorStyle="stop" operator="between" showDropDown="false" showErrorMessage="false" showInputMessage="false" sqref="F321" type="list">
      <formula1>_Aux!$H$321:$Q$321</formula1>
      <formula2>0</formula2>
    </dataValidation>
    <dataValidation allowBlank="true" errorStyle="stop" operator="between" showDropDown="false" showErrorMessage="false" showInputMessage="false" sqref="F322" type="list">
      <formula1>_Aux!$H$322:$Q$322</formula1>
      <formula2>0</formula2>
    </dataValidation>
    <dataValidation allowBlank="true" errorStyle="stop" operator="between" showDropDown="false" showErrorMessage="false" showInputMessage="false" sqref="F323" type="list">
      <formula1>_Aux!$H$323:$Q$323</formula1>
      <formula2>0</formula2>
    </dataValidation>
    <dataValidation allowBlank="true" errorStyle="stop" operator="between" showDropDown="false" showErrorMessage="false" showInputMessage="false" sqref="F324" type="list">
      <formula1>_Aux!$H$324:$Q$324</formula1>
      <formula2>0</formula2>
    </dataValidation>
    <dataValidation allowBlank="true" errorStyle="stop" operator="between" showDropDown="false" showErrorMessage="false" showInputMessage="false" sqref="F325" type="list">
      <formula1>_Aux!$H$325:$Q$325</formula1>
      <formula2>0</formula2>
    </dataValidation>
    <dataValidation allowBlank="true" errorStyle="stop" operator="between" showDropDown="false" showErrorMessage="false" showInputMessage="false" sqref="F326" type="list">
      <formula1>_Aux!$H$326:$Q$326</formula1>
      <formula2>0</formula2>
    </dataValidation>
    <dataValidation allowBlank="true" errorStyle="stop" operator="between" showDropDown="false" showErrorMessage="false" showInputMessage="false" sqref="F327" type="list">
      <formula1>_Aux!$H$327:$Q$327</formula1>
      <formula2>0</formula2>
    </dataValidation>
    <dataValidation allowBlank="true" errorStyle="stop" operator="between" showDropDown="false" showErrorMessage="false" showInputMessage="false" sqref="F328" type="list">
      <formula1>_Aux!$H$328:$Q$328</formula1>
      <formula2>0</formula2>
    </dataValidation>
    <dataValidation allowBlank="true" errorStyle="stop" operator="between" showDropDown="false" showErrorMessage="false" showInputMessage="false" sqref="F329" type="list">
      <formula1>_Aux!$H$329:$Q$329</formula1>
      <formula2>0</formula2>
    </dataValidation>
    <dataValidation allowBlank="true" errorStyle="stop" operator="between" showDropDown="false" showErrorMessage="false" showInputMessage="false" sqref="F330" type="list">
      <formula1>_Aux!$H$330:$Q$330</formula1>
      <formula2>0</formula2>
    </dataValidation>
    <dataValidation allowBlank="true" errorStyle="stop" operator="between" showDropDown="false" showErrorMessage="false" showInputMessage="false" sqref="F331" type="list">
      <formula1>_Aux!$H$331:$Q$331</formula1>
      <formula2>0</formula2>
    </dataValidation>
    <dataValidation allowBlank="true" errorStyle="stop" operator="between" showDropDown="false" showErrorMessage="false" showInputMessage="false" sqref="F332" type="list">
      <formula1>_Aux!$H$332:$Q$332</formula1>
      <formula2>0</formula2>
    </dataValidation>
    <dataValidation allowBlank="true" errorStyle="stop" operator="between" showDropDown="false" showErrorMessage="false" showInputMessage="false" sqref="F333" type="list">
      <formula1>_Aux!$H$333:$Q$333</formula1>
      <formula2>0</formula2>
    </dataValidation>
    <dataValidation allowBlank="true" errorStyle="stop" operator="between" showDropDown="false" showErrorMessage="false" showInputMessage="false" sqref="F334" type="list">
      <formula1>_Aux!$H$334:$Q$334</formula1>
      <formula2>0</formula2>
    </dataValidation>
    <dataValidation allowBlank="true" errorStyle="stop" operator="between" showDropDown="false" showErrorMessage="false" showInputMessage="false" sqref="F335" type="list">
      <formula1>_Aux!$H$335:$Q$335</formula1>
      <formula2>0</formula2>
    </dataValidation>
    <dataValidation allowBlank="true" errorStyle="stop" operator="between" showDropDown="false" showErrorMessage="false" showInputMessage="false" sqref="F336" type="list">
      <formula1>_Aux!$H$336:$Q$336</formula1>
      <formula2>0</formula2>
    </dataValidation>
    <dataValidation allowBlank="true" errorStyle="stop" operator="between" showDropDown="false" showErrorMessage="false" showInputMessage="false" sqref="F337" type="list">
      <formula1>_Aux!$H$337:$Q$337</formula1>
      <formula2>0</formula2>
    </dataValidation>
    <dataValidation allowBlank="true" errorStyle="stop" operator="between" showDropDown="false" showErrorMessage="false" showInputMessage="false" sqref="F338" type="list">
      <formula1>_Aux!$H$338:$Q$338</formula1>
      <formula2>0</formula2>
    </dataValidation>
    <dataValidation allowBlank="true" errorStyle="stop" operator="between" showDropDown="false" showErrorMessage="false" showInputMessage="false" sqref="F339" type="list">
      <formula1>_Aux!$H$339:$Q$339</formula1>
      <formula2>0</formula2>
    </dataValidation>
    <dataValidation allowBlank="true" errorStyle="stop" operator="between" showDropDown="false" showErrorMessage="false" showInputMessage="false" sqref="F340" type="list">
      <formula1>_Aux!$H$340:$Q$340</formula1>
      <formula2>0</formula2>
    </dataValidation>
    <dataValidation allowBlank="true" errorStyle="stop" operator="between" showDropDown="false" showErrorMessage="false" showInputMessage="false" sqref="F341" type="list">
      <formula1>_Aux!$H$341:$Q$341</formula1>
      <formula2>0</formula2>
    </dataValidation>
    <dataValidation allowBlank="true" errorStyle="stop" operator="between" showDropDown="false" showErrorMessage="false" showInputMessage="false" sqref="F342" type="list">
      <formula1>_Aux!$H$342:$Q$342</formula1>
      <formula2>0</formula2>
    </dataValidation>
    <dataValidation allowBlank="true" errorStyle="stop" operator="between" showDropDown="false" showErrorMessage="false" showInputMessage="false" sqref="F343" type="list">
      <formula1>_Aux!$H$343:$Q$343</formula1>
      <formula2>0</formula2>
    </dataValidation>
    <dataValidation allowBlank="true" errorStyle="stop" operator="between" showDropDown="false" showErrorMessage="false" showInputMessage="false" sqref="F344" type="list">
      <formula1>_Aux!$H$344:$Q$344</formula1>
      <formula2>0</formula2>
    </dataValidation>
    <dataValidation allowBlank="true" errorStyle="stop" operator="between" showDropDown="false" showErrorMessage="false" showInputMessage="false" sqref="F345" type="list">
      <formula1>_Aux!$H$345:$Q$345</formula1>
      <formula2>0</formula2>
    </dataValidation>
    <dataValidation allowBlank="true" errorStyle="stop" operator="between" showDropDown="false" showErrorMessage="false" showInputMessage="false" sqref="F346" type="list">
      <formula1>_Aux!$H$346:$Q$346</formula1>
      <formula2>0</formula2>
    </dataValidation>
    <dataValidation allowBlank="true" errorStyle="stop" operator="between" showDropDown="false" showErrorMessage="false" showInputMessage="false" sqref="F347" type="list">
      <formula1>_Aux!$H$347:$Q$347</formula1>
      <formula2>0</formula2>
    </dataValidation>
    <dataValidation allowBlank="true" errorStyle="stop" operator="between" showDropDown="false" showErrorMessage="false" showInputMessage="false" sqref="F348" type="list">
      <formula1>_Aux!$H$348:$Q$348</formula1>
      <formula2>0</formula2>
    </dataValidation>
    <dataValidation allowBlank="true" errorStyle="stop" operator="between" showDropDown="false" showErrorMessage="false" showInputMessage="false" sqref="F349" type="list">
      <formula1>_Aux!$H$349:$Q$349</formula1>
      <formula2>0</formula2>
    </dataValidation>
    <dataValidation allowBlank="true" errorStyle="stop" operator="between" showDropDown="false" showErrorMessage="false" showInputMessage="false" sqref="F350" type="list">
      <formula1>_Aux!$H$350:$Q$350</formula1>
      <formula2>0</formula2>
    </dataValidation>
    <dataValidation allowBlank="true" errorStyle="stop" operator="between" showDropDown="false" showErrorMessage="false" showInputMessage="false" sqref="F351" type="list">
      <formula1>_Aux!$H$351:$Q$351</formula1>
      <formula2>0</formula2>
    </dataValidation>
    <dataValidation allowBlank="true" errorStyle="stop" operator="between" showDropDown="false" showErrorMessage="false" showInputMessage="false" sqref="F352" type="list">
      <formula1>_Aux!$H$352:$Q$352</formula1>
      <formula2>0</formula2>
    </dataValidation>
    <dataValidation allowBlank="true" errorStyle="stop" operator="between" showDropDown="false" showErrorMessage="false" showInputMessage="false" sqref="F353" type="list">
      <formula1>_Aux!$H$353:$Q$353</formula1>
      <formula2>0</formula2>
    </dataValidation>
    <dataValidation allowBlank="true" errorStyle="stop" operator="between" showDropDown="false" showErrorMessage="false" showInputMessage="false" sqref="F354" type="list">
      <formula1>_Aux!$H$354:$Q$354</formula1>
      <formula2>0</formula2>
    </dataValidation>
    <dataValidation allowBlank="true" errorStyle="stop" operator="between" showDropDown="false" showErrorMessage="false" showInputMessage="false" sqref="F355" type="list">
      <formula1>_Aux!$H$355:$Q$355</formula1>
      <formula2>0</formula2>
    </dataValidation>
    <dataValidation allowBlank="true" errorStyle="stop" operator="between" showDropDown="false" showErrorMessage="false" showInputMessage="false" sqref="F356" type="list">
      <formula1>_Aux!$H$356:$Q$356</formula1>
      <formula2>0</formula2>
    </dataValidation>
    <dataValidation allowBlank="true" errorStyle="stop" operator="between" showDropDown="false" showErrorMessage="false" showInputMessage="false" sqref="F357" type="list">
      <formula1>_Aux!$H$357:$Q$357</formula1>
      <formula2>0</formula2>
    </dataValidation>
    <dataValidation allowBlank="true" errorStyle="stop" operator="between" showDropDown="false" showErrorMessage="false" showInputMessage="false" sqref="F358" type="list">
      <formula1>_Aux!$H$358:$Q$358</formula1>
      <formula2>0</formula2>
    </dataValidation>
    <dataValidation allowBlank="true" errorStyle="stop" operator="between" showDropDown="false" showErrorMessage="false" showInputMessage="false" sqref="F359" type="list">
      <formula1>_Aux!$H$359:$Q$359</formula1>
      <formula2>0</formula2>
    </dataValidation>
    <dataValidation allowBlank="true" errorStyle="stop" operator="between" showDropDown="false" showErrorMessage="false" showInputMessage="false" sqref="F360" type="list">
      <formula1>_Aux!$H$360:$Q$360</formula1>
      <formula2>0</formula2>
    </dataValidation>
    <dataValidation allowBlank="true" errorStyle="stop" operator="between" showDropDown="false" showErrorMessage="false" showInputMessage="false" sqref="F361" type="list">
      <formula1>_Aux!$H$361:$Q$361</formula1>
      <formula2>0</formula2>
    </dataValidation>
    <dataValidation allowBlank="true" errorStyle="stop" operator="between" showDropDown="false" showErrorMessage="false" showInputMessage="false" sqref="F362" type="list">
      <formula1>_Aux!$H$362:$Q$362</formula1>
      <formula2>0</formula2>
    </dataValidation>
    <dataValidation allowBlank="true" errorStyle="stop" operator="between" showDropDown="false" showErrorMessage="false" showInputMessage="false" sqref="F363" type="list">
      <formula1>_Aux!$H$363:$Q$363</formula1>
      <formula2>0</formula2>
    </dataValidation>
    <dataValidation allowBlank="true" errorStyle="stop" operator="between" showDropDown="false" showErrorMessage="false" showInputMessage="false" sqref="F364" type="list">
      <formula1>_Aux!$H$364:$Q$364</formula1>
      <formula2>0</formula2>
    </dataValidation>
    <dataValidation allowBlank="true" errorStyle="stop" operator="between" showDropDown="false" showErrorMessage="false" showInputMessage="false" sqref="F365" type="list">
      <formula1>_Aux!$H$365:$Q$365</formula1>
      <formula2>0</formula2>
    </dataValidation>
    <dataValidation allowBlank="true" errorStyle="stop" operator="between" showDropDown="false" showErrorMessage="false" showInputMessage="false" sqref="F366" type="list">
      <formula1>_Aux!$H$366:$Q$366</formula1>
      <formula2>0</formula2>
    </dataValidation>
    <dataValidation allowBlank="true" errorStyle="stop" operator="between" showDropDown="false" showErrorMessage="false" showInputMessage="false" sqref="F367" type="list">
      <formula1>_Aux!$H$367:$Q$367</formula1>
      <formula2>0</formula2>
    </dataValidation>
    <dataValidation allowBlank="true" errorStyle="stop" operator="between" showDropDown="false" showErrorMessage="false" showInputMessage="false" sqref="F368" type="list">
      <formula1>_Aux!$H$368:$Q$368</formula1>
      <formula2>0</formula2>
    </dataValidation>
    <dataValidation allowBlank="true" errorStyle="stop" operator="between" showDropDown="false" showErrorMessage="false" showInputMessage="false" sqref="F369" type="list">
      <formula1>_Aux!$H$369:$Q$369</formula1>
      <formula2>0</formula2>
    </dataValidation>
    <dataValidation allowBlank="true" errorStyle="stop" operator="between" showDropDown="false" showErrorMessage="false" showInputMessage="false" sqref="F370" type="list">
      <formula1>_Aux!$H$370:$Q$370</formula1>
      <formula2>0</formula2>
    </dataValidation>
    <dataValidation allowBlank="true" errorStyle="stop" operator="between" showDropDown="false" showErrorMessage="false" showInputMessage="false" sqref="F371" type="list">
      <formula1>_Aux!$H$371:$Q$371</formula1>
      <formula2>0</formula2>
    </dataValidation>
    <dataValidation allowBlank="true" errorStyle="stop" operator="between" showDropDown="false" showErrorMessage="false" showInputMessage="false" sqref="F372" type="list">
      <formula1>_Aux!$H$372:$Q$372</formula1>
      <formula2>0</formula2>
    </dataValidation>
    <dataValidation allowBlank="true" errorStyle="stop" operator="between" showDropDown="false" showErrorMessage="false" showInputMessage="false" sqref="F373" type="list">
      <formula1>_Aux!$H$373:$Q$373</formula1>
      <formula2>0</formula2>
    </dataValidation>
    <dataValidation allowBlank="true" errorStyle="stop" operator="between" showDropDown="false" showErrorMessage="false" showInputMessage="false" sqref="F374" type="list">
      <formula1>_Aux!$H$374:$Q$374</formula1>
      <formula2>0</formula2>
    </dataValidation>
    <dataValidation allowBlank="true" errorStyle="stop" operator="between" showDropDown="false" showErrorMessage="false" showInputMessage="false" sqref="F375" type="list">
      <formula1>_Aux!$H$375:$Q$375</formula1>
      <formula2>0</formula2>
    </dataValidation>
    <dataValidation allowBlank="true" errorStyle="stop" operator="between" showDropDown="false" showErrorMessage="false" showInputMessage="false" sqref="F376" type="list">
      <formula1>_Aux!$H$376:$Q$376</formula1>
      <formula2>0</formula2>
    </dataValidation>
    <dataValidation allowBlank="true" errorStyle="stop" operator="between" showDropDown="false" showErrorMessage="false" showInputMessage="false" sqref="F377" type="list">
      <formula1>_Aux!$H$377:$Q$377</formula1>
      <formula2>0</formula2>
    </dataValidation>
    <dataValidation allowBlank="true" errorStyle="stop" operator="between" showDropDown="false" showErrorMessage="false" showInputMessage="false" sqref="F378" type="list">
      <formula1>_Aux!$H$378:$Q$378</formula1>
      <formula2>0</formula2>
    </dataValidation>
    <dataValidation allowBlank="true" errorStyle="stop" operator="between" showDropDown="false" showErrorMessage="false" showInputMessage="false" sqref="F379" type="list">
      <formula1>_Aux!$H$379:$Q$379</formula1>
      <formula2>0</formula2>
    </dataValidation>
    <dataValidation allowBlank="true" errorStyle="stop" operator="between" showDropDown="false" showErrorMessage="false" showInputMessage="false" sqref="F380" type="list">
      <formula1>_Aux!$H$380:$Q$380</formula1>
      <formula2>0</formula2>
    </dataValidation>
    <dataValidation allowBlank="true" errorStyle="stop" operator="between" showDropDown="false" showErrorMessage="false" showInputMessage="false" sqref="F381" type="list">
      <formula1>_Aux!$H$381:$Q$381</formula1>
      <formula2>0</formula2>
    </dataValidation>
    <dataValidation allowBlank="true" errorStyle="stop" operator="between" showDropDown="false" showErrorMessage="false" showInputMessage="false" sqref="F382" type="list">
      <formula1>_Aux!$H$382:$Q$382</formula1>
      <formula2>0</formula2>
    </dataValidation>
    <dataValidation allowBlank="true" errorStyle="stop" operator="between" showDropDown="false" showErrorMessage="false" showInputMessage="false" sqref="F383" type="list">
      <formula1>_Aux!$H$383:$Q$383</formula1>
      <formula2>0</formula2>
    </dataValidation>
    <dataValidation allowBlank="true" errorStyle="stop" operator="between" showDropDown="false" showErrorMessage="false" showInputMessage="false" sqref="F384" type="list">
      <formula1>_Aux!$H$384:$Q$384</formula1>
      <formula2>0</formula2>
    </dataValidation>
    <dataValidation allowBlank="true" errorStyle="stop" operator="between" showDropDown="false" showErrorMessage="false" showInputMessage="false" sqref="F385" type="list">
      <formula1>_Aux!$H$385:$Q$385</formula1>
      <formula2>0</formula2>
    </dataValidation>
    <dataValidation allowBlank="true" errorStyle="stop" operator="between" showDropDown="false" showErrorMessage="false" showInputMessage="false" sqref="F386" type="list">
      <formula1>_Aux!$H$386:$Q$386</formula1>
      <formula2>0</formula2>
    </dataValidation>
    <dataValidation allowBlank="true" errorStyle="stop" operator="between" showDropDown="false" showErrorMessage="false" showInputMessage="false" sqref="F387" type="list">
      <formula1>_Aux!$H$387:$Q$387</formula1>
      <formula2>0</formula2>
    </dataValidation>
    <dataValidation allowBlank="true" errorStyle="stop" operator="between" showDropDown="false" showErrorMessage="false" showInputMessage="false" sqref="F388" type="list">
      <formula1>_Aux!$H$388:$Q$388</formula1>
      <formula2>0</formula2>
    </dataValidation>
    <dataValidation allowBlank="true" errorStyle="stop" operator="between" showDropDown="false" showErrorMessage="false" showInputMessage="false" sqref="F389" type="list">
      <formula1>_Aux!$H$389:$Q$389</formula1>
      <formula2>0</formula2>
    </dataValidation>
    <dataValidation allowBlank="true" errorStyle="stop" operator="between" showDropDown="false" showErrorMessage="false" showInputMessage="false" sqref="F390" type="list">
      <formula1>_Aux!$H$390:$Q$390</formula1>
      <formula2>0</formula2>
    </dataValidation>
    <dataValidation allowBlank="true" errorStyle="stop" operator="between" showDropDown="false" showErrorMessage="false" showInputMessage="false" sqref="F391" type="list">
      <formula1>_Aux!$H$391:$Q$391</formula1>
      <formula2>0</formula2>
    </dataValidation>
    <dataValidation allowBlank="true" errorStyle="stop" operator="between" showDropDown="false" showErrorMessage="false" showInputMessage="false" sqref="F392" type="list">
      <formula1>_Aux!$H$392:$Q$392</formula1>
      <formula2>0</formula2>
    </dataValidation>
    <dataValidation allowBlank="true" errorStyle="stop" operator="between" showDropDown="false" showErrorMessage="false" showInputMessage="false" sqref="F393" type="list">
      <formula1>_Aux!$H$393:$Q$393</formula1>
      <formula2>0</formula2>
    </dataValidation>
    <dataValidation allowBlank="true" errorStyle="stop" operator="between" showDropDown="false" showErrorMessage="false" showInputMessage="false" sqref="F394" type="list">
      <formula1>_Aux!$H$394:$Q$394</formula1>
      <formula2>0</formula2>
    </dataValidation>
    <dataValidation allowBlank="true" errorStyle="stop" operator="between" showDropDown="false" showErrorMessage="false" showInputMessage="false" sqref="F395" type="list">
      <formula1>_Aux!$H$395:$Q$395</formula1>
      <formula2>0</formula2>
    </dataValidation>
    <dataValidation allowBlank="true" errorStyle="stop" operator="between" showDropDown="false" showErrorMessage="false" showInputMessage="false" sqref="F396" type="list">
      <formula1>_Aux!$H$396:$Q$396</formula1>
      <formula2>0</formula2>
    </dataValidation>
    <dataValidation allowBlank="true" errorStyle="stop" operator="between" showDropDown="false" showErrorMessage="false" showInputMessage="false" sqref="F397" type="list">
      <formula1>_Aux!$H$397:$Q$397</formula1>
      <formula2>0</formula2>
    </dataValidation>
    <dataValidation allowBlank="true" errorStyle="stop" operator="between" showDropDown="false" showErrorMessage="false" showInputMessage="false" sqref="F398" type="list">
      <formula1>_Aux!$H$398:$Q$398</formula1>
      <formula2>0</formula2>
    </dataValidation>
    <dataValidation allowBlank="true" errorStyle="stop" operator="between" showDropDown="false" showErrorMessage="false" showInputMessage="false" sqref="F399" type="list">
      <formula1>_Aux!$H$399:$Q$399</formula1>
      <formula2>0</formula2>
    </dataValidation>
    <dataValidation allowBlank="true" errorStyle="stop" operator="between" showDropDown="false" showErrorMessage="false" showInputMessage="false" sqref="F400" type="list">
      <formula1>_Aux!$H$400:$Q$400</formula1>
      <formula2>0</formula2>
    </dataValidation>
    <dataValidation allowBlank="true" errorStyle="stop" operator="between" showDropDown="false" showErrorMessage="false" showInputMessage="false" sqref="F401" type="list">
      <formula1>_Aux!$H$401:$Q$401</formula1>
      <formula2>0</formula2>
    </dataValidation>
    <dataValidation allowBlank="true" errorStyle="stop" operator="between" showDropDown="false" showErrorMessage="false" showInputMessage="false" sqref="F402" type="list">
      <formula1>_Aux!$H$402:$Q$402</formula1>
      <formula2>0</formula2>
    </dataValidation>
    <dataValidation allowBlank="true" errorStyle="stop" operator="between" showDropDown="false" showErrorMessage="false" showInputMessage="false" sqref="F403" type="list">
      <formula1>_Aux!$H$403:$Q$403</formula1>
      <formula2>0</formula2>
    </dataValidation>
    <dataValidation allowBlank="true" errorStyle="stop" operator="between" showDropDown="false" showErrorMessage="false" showInputMessage="false" sqref="F404" type="list">
      <formula1>_Aux!$H$404:$Q$404</formula1>
      <formula2>0</formula2>
    </dataValidation>
    <dataValidation allowBlank="true" errorStyle="stop" operator="between" showDropDown="false" showErrorMessage="false" showInputMessage="false" sqref="F405" type="list">
      <formula1>_Aux!$H$405:$Q$405</formula1>
      <formula2>0</formula2>
    </dataValidation>
    <dataValidation allowBlank="true" errorStyle="stop" operator="between" showDropDown="false" showErrorMessage="false" showInputMessage="false" sqref="F406" type="list">
      <formula1>_Aux!$H$406:$Q$406</formula1>
      <formula2>0</formula2>
    </dataValidation>
    <dataValidation allowBlank="true" errorStyle="stop" operator="between" showDropDown="false" showErrorMessage="false" showInputMessage="false" sqref="F407" type="list">
      <formula1>_Aux!$H$407:$Q$407</formula1>
      <formula2>0</formula2>
    </dataValidation>
    <dataValidation allowBlank="true" errorStyle="stop" operator="between" showDropDown="false" showErrorMessage="false" showInputMessage="false" sqref="F408" type="list">
      <formula1>_Aux!$H$408:$Q$408</formula1>
      <formula2>0</formula2>
    </dataValidation>
    <dataValidation allowBlank="true" errorStyle="stop" operator="between" showDropDown="false" showErrorMessage="false" showInputMessage="false" sqref="F409" type="list">
      <formula1>_Aux!$H$409:$Q$409</formula1>
      <formula2>0</formula2>
    </dataValidation>
    <dataValidation allowBlank="true" errorStyle="stop" operator="between" showDropDown="false" showErrorMessage="false" showInputMessage="false" sqref="F410" type="list">
      <formula1>_Aux!$H$410:$Q$410</formula1>
      <formula2>0</formula2>
    </dataValidation>
    <dataValidation allowBlank="true" errorStyle="stop" operator="between" showDropDown="false" showErrorMessage="false" showInputMessage="false" sqref="F411" type="list">
      <formula1>_Aux!$H$411:$Q$411</formula1>
      <formula2>0</formula2>
    </dataValidation>
    <dataValidation allowBlank="true" errorStyle="stop" operator="between" showDropDown="false" showErrorMessage="false" showInputMessage="false" sqref="F412" type="list">
      <formula1>_Aux!$H$412:$Q$412</formula1>
      <formula2>0</formula2>
    </dataValidation>
    <dataValidation allowBlank="true" errorStyle="stop" operator="between" showDropDown="false" showErrorMessage="false" showInputMessage="false" sqref="F413" type="list">
      <formula1>_Aux!$H$413:$Q$413</formula1>
      <formula2>0</formula2>
    </dataValidation>
    <dataValidation allowBlank="true" errorStyle="stop" operator="between" showDropDown="false" showErrorMessage="false" showInputMessage="false" sqref="F414" type="list">
      <formula1>_Aux!$H$414:$Q$414</formula1>
      <formula2>0</formula2>
    </dataValidation>
    <dataValidation allowBlank="true" errorStyle="stop" operator="between" showDropDown="false" showErrorMessage="false" showInputMessage="false" sqref="F415" type="list">
      <formula1>_Aux!$H$415:$Q$415</formula1>
      <formula2>0</formula2>
    </dataValidation>
    <dataValidation allowBlank="true" errorStyle="stop" operator="between" showDropDown="false" showErrorMessage="false" showInputMessage="false" sqref="F416" type="list">
      <formula1>_Aux!$H$416:$Q$416</formula1>
      <formula2>0</formula2>
    </dataValidation>
    <dataValidation allowBlank="true" errorStyle="stop" operator="between" showDropDown="false" showErrorMessage="false" showInputMessage="false" sqref="F417" type="list">
      <formula1>_Aux!$H$417:$Q$417</formula1>
      <formula2>0</formula2>
    </dataValidation>
    <dataValidation allowBlank="true" errorStyle="stop" operator="between" showDropDown="false" showErrorMessage="false" showInputMessage="false" sqref="F418" type="list">
      <formula1>_Aux!$H$418:$Q$418</formula1>
      <formula2>0</formula2>
    </dataValidation>
    <dataValidation allowBlank="true" errorStyle="stop" operator="between" showDropDown="false" showErrorMessage="false" showInputMessage="false" sqref="F419" type="list">
      <formula1>_Aux!$H$419:$Q$419</formula1>
      <formula2>0</formula2>
    </dataValidation>
    <dataValidation allowBlank="true" errorStyle="stop" operator="between" showDropDown="false" showErrorMessage="false" showInputMessage="false" sqref="F420" type="list">
      <formula1>_Aux!$H$420:$Q$420</formula1>
      <formula2>0</formula2>
    </dataValidation>
    <dataValidation allowBlank="true" errorStyle="stop" operator="between" showDropDown="false" showErrorMessage="false" showInputMessage="false" sqref="F421" type="list">
      <formula1>_Aux!$H$421:$Q$421</formula1>
      <formula2>0</formula2>
    </dataValidation>
    <dataValidation allowBlank="true" errorStyle="stop" operator="between" showDropDown="false" showErrorMessage="false" showInputMessage="false" sqref="F422" type="list">
      <formula1>_Aux!$H$422:$Q$422</formula1>
      <formula2>0</formula2>
    </dataValidation>
    <dataValidation allowBlank="true" errorStyle="stop" operator="between" showDropDown="false" showErrorMessage="false" showInputMessage="false" sqref="F423" type="list">
      <formula1>_Aux!$H$423:$Q$423</formula1>
      <formula2>0</formula2>
    </dataValidation>
    <dataValidation allowBlank="true" errorStyle="stop" operator="between" showDropDown="false" showErrorMessage="false" showInputMessage="false" sqref="F424" type="list">
      <formula1>_Aux!$H$424:$Q$424</formula1>
      <formula2>0</formula2>
    </dataValidation>
    <dataValidation allowBlank="true" errorStyle="stop" operator="between" showDropDown="false" showErrorMessage="false" showInputMessage="false" sqref="F425" type="list">
      <formula1>_Aux!$H$425:$Q$425</formula1>
      <formula2>0</formula2>
    </dataValidation>
    <dataValidation allowBlank="true" errorStyle="stop" operator="between" showDropDown="false" showErrorMessage="false" showInputMessage="false" sqref="F426" type="list">
      <formula1>_Aux!$H$426:$Q$426</formula1>
      <formula2>0</formula2>
    </dataValidation>
    <dataValidation allowBlank="true" errorStyle="stop" operator="between" showDropDown="false" showErrorMessage="false" showInputMessage="false" sqref="F427" type="list">
      <formula1>_Aux!$H$427:$Q$427</formula1>
      <formula2>0</formula2>
    </dataValidation>
    <dataValidation allowBlank="true" errorStyle="stop" operator="between" showDropDown="false" showErrorMessage="false" showInputMessage="false" sqref="F428" type="list">
      <formula1>_Aux!$H$428:$Q$428</formula1>
      <formula2>0</formula2>
    </dataValidation>
    <dataValidation allowBlank="true" errorStyle="stop" operator="between" showDropDown="false" showErrorMessage="false" showInputMessage="false" sqref="F429" type="list">
      <formula1>_Aux!$H$429:$Q$429</formula1>
      <formula2>0</formula2>
    </dataValidation>
    <dataValidation allowBlank="true" errorStyle="stop" operator="between" showDropDown="false" showErrorMessage="false" showInputMessage="false" sqref="F430" type="list">
      <formula1>_Aux!$H$430:$Q$430</formula1>
      <formula2>0</formula2>
    </dataValidation>
    <dataValidation allowBlank="true" errorStyle="stop" operator="between" showDropDown="false" showErrorMessage="false" showInputMessage="false" sqref="F431" type="list">
      <formula1>_Aux!$H$431:$Q$431</formula1>
      <formula2>0</formula2>
    </dataValidation>
    <dataValidation allowBlank="true" errorStyle="stop" operator="between" showDropDown="false" showErrorMessage="false" showInputMessage="false" sqref="F432" type="list">
      <formula1>_Aux!$H$432:$Q$432</formula1>
      <formula2>0</formula2>
    </dataValidation>
    <dataValidation allowBlank="true" errorStyle="stop" operator="between" showDropDown="false" showErrorMessage="false" showInputMessage="false" sqref="F433" type="list">
      <formula1>_Aux!$H$433:$Q$433</formula1>
      <formula2>0</formula2>
    </dataValidation>
    <dataValidation allowBlank="true" errorStyle="stop" operator="between" showDropDown="false" showErrorMessage="false" showInputMessage="false" sqref="F434" type="list">
      <formula1>_Aux!$H$434:$Q$434</formula1>
      <formula2>0</formula2>
    </dataValidation>
    <dataValidation allowBlank="true" errorStyle="stop" operator="between" showDropDown="false" showErrorMessage="false" showInputMessage="false" sqref="F435" type="list">
      <formula1>_Aux!$H$435:$Q$435</formula1>
      <formula2>0</formula2>
    </dataValidation>
    <dataValidation allowBlank="true" errorStyle="stop" operator="between" showDropDown="false" showErrorMessage="false" showInputMessage="false" sqref="F436" type="list">
      <formula1>_Aux!$H$436:$Q$436</formula1>
      <formula2>0</formula2>
    </dataValidation>
    <dataValidation allowBlank="true" errorStyle="stop" operator="between" showDropDown="false" showErrorMessage="false" showInputMessage="false" sqref="F437" type="list">
      <formula1>_Aux!$H$437:$Q$437</formula1>
      <formula2>0</formula2>
    </dataValidation>
    <dataValidation allowBlank="true" errorStyle="stop" operator="between" showDropDown="false" showErrorMessage="false" showInputMessage="false" sqref="F438" type="list">
      <formula1>_Aux!$H$438:$Q$438</formula1>
      <formula2>0</formula2>
    </dataValidation>
    <dataValidation allowBlank="true" errorStyle="stop" operator="between" showDropDown="false" showErrorMessage="false" showInputMessage="false" sqref="F439" type="list">
      <formula1>_Aux!$H$439:$Q$439</formula1>
      <formula2>0</formula2>
    </dataValidation>
    <dataValidation allowBlank="true" errorStyle="stop" operator="between" showDropDown="false" showErrorMessage="false" showInputMessage="false" sqref="F440" type="list">
      <formula1>_Aux!$H$440:$Q$440</formula1>
      <formula2>0</formula2>
    </dataValidation>
    <dataValidation allowBlank="true" errorStyle="stop" operator="between" showDropDown="false" showErrorMessage="false" showInputMessage="false" sqref="F441" type="list">
      <formula1>_Aux!$H$441:$Q$441</formula1>
      <formula2>0</formula2>
    </dataValidation>
    <dataValidation allowBlank="true" errorStyle="stop" operator="between" showDropDown="false" showErrorMessage="false" showInputMessage="false" sqref="F442" type="list">
      <formula1>_Aux!$H$442:$Q$442</formula1>
      <formula2>0</formula2>
    </dataValidation>
    <dataValidation allowBlank="true" errorStyle="stop" operator="between" showDropDown="false" showErrorMessage="false" showInputMessage="false" sqref="F443" type="list">
      <formula1>_Aux!$H$443:$Q$443</formula1>
      <formula2>0</formula2>
    </dataValidation>
    <dataValidation allowBlank="true" errorStyle="stop" operator="between" showDropDown="false" showErrorMessage="false" showInputMessage="false" sqref="F444" type="list">
      <formula1>_Aux!$H$444:$Q$444</formula1>
      <formula2>0</formula2>
    </dataValidation>
    <dataValidation allowBlank="true" errorStyle="stop" operator="between" showDropDown="false" showErrorMessage="false" showInputMessage="false" sqref="F445" type="list">
      <formula1>_Aux!$H$445:$Q$445</formula1>
      <formula2>0</formula2>
    </dataValidation>
    <dataValidation allowBlank="true" errorStyle="stop" operator="between" showDropDown="false" showErrorMessage="false" showInputMessage="false" sqref="F446" type="list">
      <formula1>_Aux!$H$446:$Q$446</formula1>
      <formula2>0</formula2>
    </dataValidation>
    <dataValidation allowBlank="true" errorStyle="stop" operator="between" showDropDown="false" showErrorMessage="false" showInputMessage="false" sqref="F447" type="list">
      <formula1>_Aux!$H$447:$Q$447</formula1>
      <formula2>0</formula2>
    </dataValidation>
    <dataValidation allowBlank="true" errorStyle="stop" operator="between" showDropDown="false" showErrorMessage="false" showInputMessage="false" sqref="F448" type="list">
      <formula1>_Aux!$H$448:$Q$448</formula1>
      <formula2>0</formula2>
    </dataValidation>
    <dataValidation allowBlank="true" errorStyle="stop" operator="between" showDropDown="false" showErrorMessage="false" showInputMessage="false" sqref="F449" type="list">
      <formula1>_Aux!$H$449:$Q$449</formula1>
      <formula2>0</formula2>
    </dataValidation>
    <dataValidation allowBlank="true" errorStyle="stop" operator="between" showDropDown="false" showErrorMessage="false" showInputMessage="false" sqref="F450" type="list">
      <formula1>_Aux!$H$450:$Q$450</formula1>
      <formula2>0</formula2>
    </dataValidation>
    <dataValidation allowBlank="true" errorStyle="stop" operator="between" showDropDown="false" showErrorMessage="false" showInputMessage="false" sqref="F451" type="list">
      <formula1>_Aux!$H$451:$Q$451</formula1>
      <formula2>0</formula2>
    </dataValidation>
    <dataValidation allowBlank="true" errorStyle="stop" operator="between" showDropDown="false" showErrorMessage="false" showInputMessage="false" sqref="F452" type="list">
      <formula1>_Aux!$H$452:$Q$452</formula1>
      <formula2>0</formula2>
    </dataValidation>
    <dataValidation allowBlank="true" errorStyle="stop" operator="between" showDropDown="false" showErrorMessage="false" showInputMessage="false" sqref="F453" type="list">
      <formula1>_Aux!$H$453:$Q$453</formula1>
      <formula2>0</formula2>
    </dataValidation>
    <dataValidation allowBlank="true" errorStyle="stop" operator="between" showDropDown="false" showErrorMessage="false" showInputMessage="false" sqref="F454" type="list">
      <formula1>_Aux!$H$454:$Q$454</formula1>
      <formula2>0</formula2>
    </dataValidation>
    <dataValidation allowBlank="true" errorStyle="stop" operator="between" showDropDown="false" showErrorMessage="false" showInputMessage="false" sqref="F455" type="list">
      <formula1>_Aux!$H$455:$Q$455</formula1>
      <formula2>0</formula2>
    </dataValidation>
    <dataValidation allowBlank="true" errorStyle="stop" operator="between" showDropDown="false" showErrorMessage="false" showInputMessage="false" sqref="F456" type="list">
      <formula1>_Aux!$H$456:$Q$456</formula1>
      <formula2>0</formula2>
    </dataValidation>
    <dataValidation allowBlank="true" errorStyle="stop" operator="between" showDropDown="false" showErrorMessage="false" showInputMessage="false" sqref="F457" type="list">
      <formula1>_Aux!$H$457:$Q$457</formula1>
      <formula2>0</formula2>
    </dataValidation>
    <dataValidation allowBlank="true" errorStyle="stop" operator="between" showDropDown="false" showErrorMessage="false" showInputMessage="false" sqref="F458" type="list">
      <formula1>_Aux!$H$458:$Q$458</formula1>
      <formula2>0</formula2>
    </dataValidation>
    <dataValidation allowBlank="true" errorStyle="stop" operator="between" showDropDown="false" showErrorMessage="false" showInputMessage="false" sqref="F459" type="list">
      <formula1>_Aux!$H$459:$Q$459</formula1>
      <formula2>0</formula2>
    </dataValidation>
    <dataValidation allowBlank="true" errorStyle="stop" operator="between" showDropDown="false" showErrorMessage="false" showInputMessage="false" sqref="F460" type="list">
      <formula1>_Aux!$H$460:$Q$460</formula1>
      <formula2>0</formula2>
    </dataValidation>
    <dataValidation allowBlank="true" errorStyle="stop" operator="between" showDropDown="false" showErrorMessage="false" showInputMessage="false" sqref="F461" type="list">
      <formula1>_Aux!$H$461:$Q$461</formula1>
      <formula2>0</formula2>
    </dataValidation>
    <dataValidation allowBlank="true" errorStyle="stop" operator="between" showDropDown="false" showErrorMessage="false" showInputMessage="false" sqref="F462" type="list">
      <formula1>_Aux!$H$462:$Q$462</formula1>
      <formula2>0</formula2>
    </dataValidation>
    <dataValidation allowBlank="true" errorStyle="stop" operator="between" showDropDown="false" showErrorMessage="false" showInputMessage="false" sqref="F463" type="list">
      <formula1>_Aux!$H$463:$Q$463</formula1>
      <formula2>0</formula2>
    </dataValidation>
    <dataValidation allowBlank="true" errorStyle="stop" operator="between" showDropDown="false" showErrorMessage="false" showInputMessage="false" sqref="F464" type="list">
      <formula1>_Aux!$H$464:$Q$464</formula1>
      <formula2>0</formula2>
    </dataValidation>
    <dataValidation allowBlank="true" errorStyle="stop" operator="between" showDropDown="false" showErrorMessage="false" showInputMessage="false" sqref="F465" type="list">
      <formula1>_Aux!$H$465:$Q$465</formula1>
      <formula2>0</formula2>
    </dataValidation>
    <dataValidation allowBlank="true" errorStyle="stop" operator="between" showDropDown="false" showErrorMessage="false" showInputMessage="false" sqref="F466" type="list">
      <formula1>_Aux!$H$466:$Q$466</formula1>
      <formula2>0</formula2>
    </dataValidation>
    <dataValidation allowBlank="true" errorStyle="stop" operator="between" showDropDown="false" showErrorMessage="false" showInputMessage="false" sqref="F467" type="list">
      <formula1>_Aux!$H$467:$Q$467</formula1>
      <formula2>0</formula2>
    </dataValidation>
    <dataValidation allowBlank="true" errorStyle="stop" operator="between" showDropDown="false" showErrorMessage="false" showInputMessage="false" sqref="F468" type="list">
      <formula1>_Aux!$H$468:$Q$468</formula1>
      <formula2>0</formula2>
    </dataValidation>
    <dataValidation allowBlank="true" errorStyle="stop" operator="between" showDropDown="false" showErrorMessage="false" showInputMessage="false" sqref="F469" type="list">
      <formula1>_Aux!$H$469:$Q$469</formula1>
      <formula2>0</formula2>
    </dataValidation>
    <dataValidation allowBlank="true" errorStyle="stop" operator="between" showDropDown="false" showErrorMessage="false" showInputMessage="false" sqref="F470" type="list">
      <formula1>_Aux!$H$470:$Q$470</formula1>
      <formula2>0</formula2>
    </dataValidation>
    <dataValidation allowBlank="true" errorStyle="stop" operator="between" showDropDown="false" showErrorMessage="false" showInputMessage="false" sqref="F471" type="list">
      <formula1>_Aux!$H$471:$Q$471</formula1>
      <formula2>0</formula2>
    </dataValidation>
    <dataValidation allowBlank="true" errorStyle="stop" operator="between" showDropDown="false" showErrorMessage="false" showInputMessage="false" sqref="F472" type="list">
      <formula1>_Aux!$H$472:$Q$472</formula1>
      <formula2>0</formula2>
    </dataValidation>
    <dataValidation allowBlank="true" errorStyle="stop" operator="between" showDropDown="false" showErrorMessage="false" showInputMessage="false" sqref="F473" type="list">
      <formula1>_Aux!$H$473:$Q$473</formula1>
      <formula2>0</formula2>
    </dataValidation>
    <dataValidation allowBlank="true" errorStyle="stop" operator="between" showDropDown="false" showErrorMessage="false" showInputMessage="false" sqref="F474" type="list">
      <formula1>_Aux!$H$474:$Q$474</formula1>
      <formula2>0</formula2>
    </dataValidation>
    <dataValidation allowBlank="true" errorStyle="stop" operator="between" showDropDown="false" showErrorMessage="false" showInputMessage="false" sqref="F475" type="list">
      <formula1>_Aux!$H$475:$Q$475</formula1>
      <formula2>0</formula2>
    </dataValidation>
    <dataValidation allowBlank="true" errorStyle="stop" operator="between" showDropDown="false" showErrorMessage="false" showInputMessage="false" sqref="F476" type="list">
      <formula1>_Aux!$H$476:$Q$476</formula1>
      <formula2>0</formula2>
    </dataValidation>
    <dataValidation allowBlank="true" errorStyle="stop" operator="between" showDropDown="false" showErrorMessage="false" showInputMessage="false" sqref="F477" type="list">
      <formula1>_Aux!$H$477:$Q$477</formula1>
      <formula2>0</formula2>
    </dataValidation>
    <dataValidation allowBlank="true" errorStyle="stop" operator="between" showDropDown="false" showErrorMessage="false" showInputMessage="false" sqref="F478" type="list">
      <formula1>_Aux!$H$478:$Q$478</formula1>
      <formula2>0</formula2>
    </dataValidation>
    <dataValidation allowBlank="true" errorStyle="stop" operator="between" showDropDown="false" showErrorMessage="false" showInputMessage="false" sqref="F479" type="list">
      <formula1>_Aux!$H$479:$Q$479</formula1>
      <formula2>0</formula2>
    </dataValidation>
    <dataValidation allowBlank="true" errorStyle="stop" operator="between" showDropDown="false" showErrorMessage="false" showInputMessage="false" sqref="F480" type="list">
      <formula1>_Aux!$H$480:$Q$480</formula1>
      <formula2>0</formula2>
    </dataValidation>
    <dataValidation allowBlank="true" errorStyle="stop" operator="between" showDropDown="false" showErrorMessage="false" showInputMessage="false" sqref="F481" type="list">
      <formula1>_Aux!$H$481:$Q$481</formula1>
      <formula2>0</formula2>
    </dataValidation>
    <dataValidation allowBlank="true" errorStyle="stop" operator="between" showDropDown="false" showErrorMessage="false" showInputMessage="false" sqref="F482" type="list">
      <formula1>_Aux!$H$482:$Q$482</formula1>
      <formula2>0</formula2>
    </dataValidation>
    <dataValidation allowBlank="true" errorStyle="stop" operator="between" showDropDown="false" showErrorMessage="false" showInputMessage="false" sqref="F483" type="list">
      <formula1>_Aux!$H$483:$Q$483</formula1>
      <formula2>0</formula2>
    </dataValidation>
    <dataValidation allowBlank="true" errorStyle="stop" operator="between" showDropDown="false" showErrorMessage="false" showInputMessage="false" sqref="F484" type="list">
      <formula1>_Aux!$H$484:$Q$484</formula1>
      <formula2>0</formula2>
    </dataValidation>
    <dataValidation allowBlank="true" errorStyle="stop" operator="between" showDropDown="false" showErrorMessage="false" showInputMessage="false" sqref="F485" type="list">
      <formula1>_Aux!$H$485:$Q$485</formula1>
      <formula2>0</formula2>
    </dataValidation>
    <dataValidation allowBlank="true" errorStyle="stop" operator="between" showDropDown="false" showErrorMessage="false" showInputMessage="false" sqref="F486" type="list">
      <formula1>_Aux!$H$486:$Q$486</formula1>
      <formula2>0</formula2>
    </dataValidation>
    <dataValidation allowBlank="true" errorStyle="stop" operator="between" showDropDown="false" showErrorMessage="false" showInputMessage="false" sqref="F487" type="list">
      <formula1>_Aux!$H$487:$Q$487</formula1>
      <formula2>0</formula2>
    </dataValidation>
    <dataValidation allowBlank="true" errorStyle="stop" operator="between" showDropDown="false" showErrorMessage="false" showInputMessage="false" sqref="F488" type="list">
      <formula1>_Aux!$H$488:$Q$488</formula1>
      <formula2>0</formula2>
    </dataValidation>
    <dataValidation allowBlank="true" errorStyle="stop" operator="between" showDropDown="false" showErrorMessage="false" showInputMessage="false" sqref="F489" type="list">
      <formula1>_Aux!$H$489:$Q$489</formula1>
      <formula2>0</formula2>
    </dataValidation>
    <dataValidation allowBlank="true" errorStyle="stop" operator="between" showDropDown="false" showErrorMessage="false" showInputMessage="false" sqref="F490" type="list">
      <formula1>_Aux!$H$490:$Q$490</formula1>
      <formula2>0</formula2>
    </dataValidation>
    <dataValidation allowBlank="true" errorStyle="stop" operator="between" showDropDown="false" showErrorMessage="false" showInputMessage="false" sqref="F491" type="list">
      <formula1>_Aux!$H$491:$Q$491</formula1>
      <formula2>0</formula2>
    </dataValidation>
    <dataValidation allowBlank="true" errorStyle="stop" operator="between" showDropDown="false" showErrorMessage="false" showInputMessage="false" sqref="F492" type="list">
      <formula1>_Aux!$H$492:$Q$492</formula1>
      <formula2>0</formula2>
    </dataValidation>
    <dataValidation allowBlank="true" errorStyle="stop" operator="between" showDropDown="false" showErrorMessage="false" showInputMessage="false" sqref="F493" type="list">
      <formula1>_Aux!$H$493:$Q$493</formula1>
      <formula2>0</formula2>
    </dataValidation>
    <dataValidation allowBlank="true" errorStyle="stop" operator="between" showDropDown="false" showErrorMessage="false" showInputMessage="false" sqref="F494" type="list">
      <formula1>_Aux!$H$494:$Q$494</formula1>
      <formula2>0</formula2>
    </dataValidation>
    <dataValidation allowBlank="true" errorStyle="stop" operator="between" showDropDown="false" showErrorMessage="false" showInputMessage="false" sqref="F495" type="list">
      <formula1>_Aux!$H$495:$Q$495</formula1>
      <formula2>0</formula2>
    </dataValidation>
    <dataValidation allowBlank="true" errorStyle="stop" operator="between" showDropDown="false" showErrorMessage="false" showInputMessage="false" sqref="F496" type="list">
      <formula1>_Aux!$H$496:$Q$496</formula1>
      <formula2>0</formula2>
    </dataValidation>
    <dataValidation allowBlank="true" errorStyle="stop" operator="between" showDropDown="false" showErrorMessage="false" showInputMessage="false" sqref="F497" type="list">
      <formula1>_Aux!$H$497:$Q$497</formula1>
      <formula2>0</formula2>
    </dataValidation>
    <dataValidation allowBlank="true" errorStyle="stop" operator="between" showDropDown="false" showErrorMessage="false" showInputMessage="false" sqref="F498" type="list">
      <formula1>_Aux!$H$498:$Q$498</formula1>
      <formula2>0</formula2>
    </dataValidation>
    <dataValidation allowBlank="true" errorStyle="stop" operator="between" showDropDown="false" showErrorMessage="false" showInputMessage="false" sqref="F499" type="list">
      <formula1>_Aux!$H$499:$Q$499</formula1>
      <formula2>0</formula2>
    </dataValidation>
    <dataValidation allowBlank="true" errorStyle="stop" operator="between" showDropDown="false" showErrorMessage="false" showInputMessage="false" sqref="F500" type="list">
      <formula1>_Aux!$H$500:$Q$500</formula1>
      <formula2>0</formula2>
    </dataValidation>
    <dataValidation allowBlank="true" errorStyle="stop" operator="between" showDropDown="false" showErrorMessage="false" showInputMessage="false" sqref="F501" type="list">
      <formula1>_Aux!$H$501:$Q$501</formula1>
      <formula2>0</formula2>
    </dataValidation>
    <dataValidation allowBlank="true" errorStyle="stop" operator="between" showDropDown="false" showErrorMessage="false" showInputMessage="false" sqref="F502" type="list">
      <formula1>_Aux!$H$502:$Q$502</formula1>
      <formula2>0</formula2>
    </dataValidation>
    <dataValidation allowBlank="true" errorStyle="stop" operator="between" showDropDown="false" showErrorMessage="false" showInputMessage="false" sqref="F503" type="list">
      <formula1>_Aux!$H$503:$Q$503</formula1>
      <formula2>0</formula2>
    </dataValidation>
    <dataValidation allowBlank="true" errorStyle="stop" operator="between" showDropDown="false" showErrorMessage="false" showInputMessage="false" sqref="F504" type="list">
      <formula1>_Aux!$H$504:$Q$504</formula1>
      <formula2>0</formula2>
    </dataValidation>
    <dataValidation allowBlank="true" errorStyle="stop" operator="between" showDropDown="false" showErrorMessage="false" showInputMessage="false" sqref="F505" type="list">
      <formula1>_Aux!$H$505:$Q$505</formula1>
      <formula2>0</formula2>
    </dataValidation>
    <dataValidation allowBlank="true" errorStyle="stop" operator="between" showDropDown="false" showErrorMessage="false" showInputMessage="false" sqref="F506" type="list">
      <formula1>_Aux!$H$506:$Q$506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40671"/>
    <pageSetUpPr fitToPage="false"/>
  </sheetPr>
  <dimension ref="A1:G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G33" activeCellId="0" sqref="G33"/>
    </sheetView>
  </sheetViews>
  <sheetFormatPr defaultColWidth="14.507812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26"/>
    <col collapsed="false" customWidth="true" hidden="false" outlineLevel="0" max="5" min="4" style="1" width="18"/>
    <col collapsed="false" customWidth="true" hidden="false" outlineLevel="0" max="6" min="6" style="1" width="12"/>
    <col collapsed="false" customWidth="true" hidden="false" outlineLevel="0" max="7" min="7" style="1" width="18"/>
    <col collapsed="false" customWidth="true" hidden="false" outlineLevel="0" max="26" min="8" style="1" width="8.67"/>
  </cols>
  <sheetData>
    <row r="1" customFormat="false" ht="15" hidden="false" customHeight="true" outlineLevel="0" collapsed="false">
      <c r="A1" s="33" t="s">
        <v>0</v>
      </c>
    </row>
    <row r="2" customFormat="false" ht="15" hidden="false" customHeight="true" outlineLevel="0" collapsed="false">
      <c r="A2" s="34" t="s">
        <v>77</v>
      </c>
    </row>
    <row r="3" customFormat="false" ht="15" hidden="false" customHeight="true" outlineLevel="0" collapsed="false">
      <c r="A3" s="35" t="s">
        <v>44</v>
      </c>
    </row>
    <row r="5" customFormat="false" ht="15" hidden="false" customHeight="true" outlineLevel="0" collapsed="false">
      <c r="A5" s="36" t="s">
        <v>4</v>
      </c>
      <c r="B5" s="36" t="s">
        <v>65</v>
      </c>
      <c r="C5" s="36" t="s">
        <v>46</v>
      </c>
      <c r="D5" s="36" t="s">
        <v>47</v>
      </c>
      <c r="E5" s="36" t="s">
        <v>78</v>
      </c>
      <c r="F5" s="36" t="s">
        <v>79</v>
      </c>
      <c r="G5" s="36" t="s">
        <v>80</v>
      </c>
    </row>
    <row r="6" customFormat="false" ht="15" hidden="false" customHeight="true" outlineLevel="0" collapsed="false">
      <c r="A6" s="38" t="n">
        <v>1</v>
      </c>
      <c r="B6" s="64" t="str">
        <f aca="false">IF(Presupuesto!B7="","",Presupuesto!B7)</f>
        <v>SAMSTORGAM</v>
      </c>
      <c r="C6" s="64" t="str">
        <f aca="false">IF(Presupuesto!C7="","",Presupuesto!C7)</f>
        <v>Mecanica de Suelos</v>
      </c>
      <c r="D6" s="65" t="n">
        <f aca="false">IF(Presupuesto!G7="","",Presupuesto!G7)</f>
        <v>212790.4</v>
      </c>
      <c r="E6" s="66" t="n">
        <f aca="false">IF(B6="","",SUMIFS('Flujo de Pagos'!I$7:I$506,'Flujo de Pagos'!E$7:E$506,B6))</f>
        <v>106395.2</v>
      </c>
      <c r="F6" s="67" t="n">
        <f aca="false">IF(OR(D6="",D6=0),"",E6/D6)</f>
        <v>0.5</v>
      </c>
      <c r="G6" s="66" t="n">
        <f aca="false">IF(D6="","",D6-E6)</f>
        <v>106395.2</v>
      </c>
    </row>
    <row r="7" customFormat="false" ht="15" hidden="false" customHeight="true" outlineLevel="0" collapsed="false">
      <c r="A7" s="38" t="n">
        <v>2</v>
      </c>
      <c r="B7" s="64" t="str">
        <f aca="false">IF(Presupuesto!B8="","",Presupuesto!B8)</f>
        <v>Hector Triana</v>
      </c>
      <c r="C7" s="64" t="str">
        <f aca="false">IF(Presupuesto!C8="","",Presupuesto!C8)</f>
        <v>Diseño Estructural</v>
      </c>
      <c r="D7" s="65" t="n">
        <f aca="false">IF(Presupuesto!G8="","",Presupuesto!G8)</f>
        <v>281880</v>
      </c>
      <c r="E7" s="66" t="n">
        <f aca="false">IF(B7="","",SUMIFS('Flujo de Pagos'!I$7:I$506,'Flujo de Pagos'!E$7:E$506,B7))</f>
        <v>100000</v>
      </c>
      <c r="F7" s="67" t="n">
        <f aca="false">IF(OR(D7="",D7=0),"",E7/D7)</f>
        <v>0.354760891159359</v>
      </c>
      <c r="G7" s="66" t="n">
        <f aca="false">IF(D7="","",D7-E7)</f>
        <v>181880</v>
      </c>
    </row>
    <row r="8" customFormat="false" ht="15" hidden="false" customHeight="true" outlineLevel="0" collapsed="false">
      <c r="A8" s="38" t="n">
        <v>3</v>
      </c>
      <c r="B8" s="64" t="str">
        <f aca="false">IF(Presupuesto!B9="","",Presupuesto!B9)</f>
        <v>ABIKAR</v>
      </c>
      <c r="C8" s="64" t="str">
        <f aca="false">IF(Presupuesto!C9="","",Presupuesto!C9)</f>
        <v>Colocaión cerca perimetral</v>
      </c>
      <c r="D8" s="65" t="n">
        <f aca="false">IF(Presupuesto!G9="","",Presupuesto!G9)</f>
        <v>191168</v>
      </c>
      <c r="E8" s="66" t="n">
        <f aca="false">IF(B8="","",SUMIFS('Flujo de Pagos'!I$7:I$506,'Flujo de Pagos'!E$7:E$506,B8))</f>
        <v>90000</v>
      </c>
      <c r="F8" s="67" t="n">
        <f aca="false">IF(OR(D8="",D8=0),"",E8/D8)</f>
        <v>0.470790090391697</v>
      </c>
      <c r="G8" s="66" t="n">
        <f aca="false">IF(D8="","",D8-E8)</f>
        <v>101168</v>
      </c>
    </row>
    <row r="9" customFormat="false" ht="15" hidden="false" customHeight="true" outlineLevel="0" collapsed="false">
      <c r="A9" s="38" t="n">
        <v>4</v>
      </c>
      <c r="B9" s="64" t="str">
        <f aca="false">IF(Presupuesto!B10="","",Presupuesto!B10)</f>
        <v>Urarq</v>
      </c>
      <c r="C9" s="64" t="str">
        <f aca="false">IF(Presupuesto!C10="","",Presupuesto!C10)</f>
        <v>Derribo y Reubicacion de Arboles</v>
      </c>
      <c r="D9" s="65" t="n">
        <f aca="false">IF(Presupuesto!G10="","",Presupuesto!G10)</f>
        <v>275953.6064</v>
      </c>
      <c r="E9" s="66" t="n">
        <f aca="false">IF(B9="","",SUMIFS('Flujo de Pagos'!I$7:I$506,'Flujo de Pagos'!E$7:E$506,B9))</f>
        <v>275952.81</v>
      </c>
      <c r="F9" s="67" t="n">
        <f aca="false">IF(OR(D9="",D9=0),"",E9/D9)</f>
        <v>0.999997114007639</v>
      </c>
      <c r="G9" s="66" t="n">
        <f aca="false">IF(D9="","",D9-E9)</f>
        <v>0.796399999991991</v>
      </c>
    </row>
    <row r="10" customFormat="false" ht="15" hidden="false" customHeight="true" outlineLevel="0" collapsed="false">
      <c r="A10" s="38" t="n">
        <v>5</v>
      </c>
      <c r="B10" s="64" t="str">
        <f aca="false">IF(Presupuesto!B11="","",Presupuesto!B11)</f>
        <v>Aquaconcepts</v>
      </c>
      <c r="C10" s="64" t="str">
        <f aca="false">IF(Presupuesto!C11="","",Presupuesto!C11)</f>
        <v>Proyecto Alberca y Jacuzzi</v>
      </c>
      <c r="D10" s="65" t="n">
        <f aca="false">IF(Presupuesto!G11="","",Presupuesto!G11)</f>
        <v>58000</v>
      </c>
      <c r="E10" s="66" t="n">
        <f aca="false">IF(B10="","",SUMIFS('Flujo de Pagos'!I$7:I$506,'Flujo de Pagos'!E$7:E$506,B10))</f>
        <v>17400</v>
      </c>
      <c r="F10" s="67" t="n">
        <f aca="false">IF(OR(D10="",D10=0),"",E10/D10)</f>
        <v>0.3</v>
      </c>
      <c r="G10" s="66" t="n">
        <f aca="false">IF(D10="","",D10-E10)</f>
        <v>40600</v>
      </c>
    </row>
    <row r="11" customFormat="false" ht="15" hidden="false" customHeight="true" outlineLevel="0" collapsed="false">
      <c r="A11" s="38" t="n">
        <v>6</v>
      </c>
      <c r="B11" s="64" t="str">
        <f aca="false">IF(Presupuesto!B12="","",Presupuesto!B12)</f>
        <v/>
      </c>
      <c r="C11" s="64" t="str">
        <f aca="false">IF(Presupuesto!C12="","",Presupuesto!C12)</f>
        <v/>
      </c>
      <c r="D11" s="65" t="str">
        <f aca="false">IF(Presupuesto!G12="","",Presupuesto!G12)</f>
        <v/>
      </c>
      <c r="E11" s="66" t="str">
        <f aca="false">IF(B11="","",SUMIFS('Flujo de Pagos'!I$7:I$506,'Flujo de Pagos'!E$7:E$506,B11))</f>
        <v/>
      </c>
      <c r="F11" s="67" t="str">
        <f aca="false">IF(OR(D11="",D11=0),"",E11/D11)</f>
        <v/>
      </c>
      <c r="G11" s="66" t="str">
        <f aca="false">IF(D11="","",D11-E11)</f>
        <v/>
      </c>
    </row>
    <row r="12" customFormat="false" ht="15" hidden="false" customHeight="true" outlineLevel="0" collapsed="false">
      <c r="A12" s="38" t="n">
        <v>7</v>
      </c>
      <c r="B12" s="64" t="str">
        <f aca="false">IF(Presupuesto!B13="","",Presupuesto!B13)</f>
        <v/>
      </c>
      <c r="C12" s="64" t="s">
        <v>59</v>
      </c>
      <c r="D12" s="65" t="n">
        <f aca="false">SUM(D6:D11)</f>
        <v>1019792.0064</v>
      </c>
      <c r="E12" s="66" t="n">
        <f aca="false">SUM(E6:E11)</f>
        <v>589748.01</v>
      </c>
      <c r="F12" s="67" t="n">
        <f aca="false">IF(OR(D12="",D12=0),"",E12/D12)</f>
        <v>0.578302248202443</v>
      </c>
      <c r="G12" s="66" t="n">
        <f aca="false">IF(D12="","",D12-E12)</f>
        <v>430043.9964</v>
      </c>
    </row>
    <row r="13" customFormat="false" ht="15" hidden="false" customHeight="true" outlineLevel="0" collapsed="false">
      <c r="A13" s="38" t="n">
        <v>8</v>
      </c>
      <c r="B13" s="64" t="str">
        <f aca="false">IF(Presupuesto!B14="","",Presupuesto!B14)</f>
        <v/>
      </c>
      <c r="C13" s="64" t="str">
        <f aca="false">IF(Presupuesto!C14="","",Presupuesto!C14)</f>
        <v/>
      </c>
      <c r="D13" s="68" t="str">
        <f aca="false">IF(Presupuesto!G14="","",Presupuesto!G14)</f>
        <v/>
      </c>
      <c r="E13" s="69"/>
      <c r="F13" s="67" t="str">
        <f aca="false">IF(OR(D13="",D13=0),"",E13/D13)</f>
        <v/>
      </c>
      <c r="G13" s="69" t="str">
        <f aca="false">IF(D13="","",D13-E13)</f>
        <v/>
      </c>
    </row>
    <row r="14" customFormat="false" ht="15" hidden="false" customHeight="true" outlineLevel="0" collapsed="false">
      <c r="A14" s="38" t="n">
        <v>9</v>
      </c>
      <c r="B14" s="64" t="str">
        <f aca="false">IF(Presupuesto!B15="","",Presupuesto!B15)</f>
        <v/>
      </c>
      <c r="C14" s="64" t="str">
        <f aca="false">IF(Presupuesto!C15="","",Presupuesto!C15)</f>
        <v/>
      </c>
      <c r="D14" s="68" t="str">
        <f aca="false">IF(Presupuesto!G15="","",Presupuesto!G15)</f>
        <v/>
      </c>
      <c r="E14" s="69" t="str">
        <f aca="false">IF(B14="","",SUMIFS('Flujo de Pagos'!I$7:I$506,'Flujo de Pagos'!E$7:E$506,B14))</f>
        <v/>
      </c>
      <c r="F14" s="67" t="str">
        <f aca="false">IF(OR(D14="",D14=0),"",E14/D14)</f>
        <v/>
      </c>
      <c r="G14" s="69" t="str">
        <f aca="false">IF(D14="","",D14-E14)</f>
        <v/>
      </c>
    </row>
    <row r="15" customFormat="false" ht="15" hidden="false" customHeight="true" outlineLevel="0" collapsed="false">
      <c r="A15" s="38" t="n">
        <v>10</v>
      </c>
      <c r="B15" s="64" t="str">
        <f aca="false">IF(Presupuesto!B16="","",Presupuesto!B16)</f>
        <v/>
      </c>
      <c r="C15" s="64" t="str">
        <f aca="false">IF(Presupuesto!C16="","",Presupuesto!C16)</f>
        <v/>
      </c>
      <c r="D15" s="68" t="str">
        <f aca="false">IF(Presupuesto!G16="","",Presupuesto!G16)</f>
        <v/>
      </c>
      <c r="E15" s="69" t="str">
        <f aca="false">IF(B15="","",SUMIFS('Flujo de Pagos'!I$7:I$506,'Flujo de Pagos'!E$7:E$506,B15))</f>
        <v/>
      </c>
      <c r="F15" s="67" t="str">
        <f aca="false">IF(OR(D15="",D15=0),"",E15/D15)</f>
        <v/>
      </c>
      <c r="G15" s="69" t="str">
        <f aca="false">IF(D15="","",D15-E15)</f>
        <v/>
      </c>
    </row>
    <row r="16" customFormat="false" ht="15" hidden="false" customHeight="true" outlineLevel="0" collapsed="false">
      <c r="A16" s="38" t="n">
        <v>11</v>
      </c>
      <c r="B16" s="64" t="str">
        <f aca="false">IF(Presupuesto!B17="","",Presupuesto!B17)</f>
        <v/>
      </c>
      <c r="C16" s="64" t="str">
        <f aca="false">IF(Presupuesto!C17="","",Presupuesto!C17)</f>
        <v/>
      </c>
      <c r="D16" s="68" t="str">
        <f aca="false">IF(Presupuesto!G17="","",Presupuesto!G17)</f>
        <v/>
      </c>
      <c r="E16" s="69" t="str">
        <f aca="false">IF(B16="","",SUMIFS('Flujo de Pagos'!I$7:I$506,'Flujo de Pagos'!E$7:E$506,B16))</f>
        <v/>
      </c>
      <c r="F16" s="67" t="str">
        <f aca="false">IF(OR(D16="",D16=0),"",E16/D16)</f>
        <v/>
      </c>
      <c r="G16" s="69" t="str">
        <f aca="false">IF(D16="","",D16-E16)</f>
        <v/>
      </c>
    </row>
    <row r="17" customFormat="false" ht="15" hidden="false" customHeight="true" outlineLevel="0" collapsed="false">
      <c r="A17" s="38" t="n">
        <v>12</v>
      </c>
      <c r="B17" s="64" t="str">
        <f aca="false">IF(Presupuesto!B18="","",Presupuesto!B18)</f>
        <v/>
      </c>
      <c r="C17" s="64" t="str">
        <f aca="false">IF(Presupuesto!C18="","",Presupuesto!C18)</f>
        <v/>
      </c>
      <c r="D17" s="68" t="str">
        <f aca="false">IF(Presupuesto!G18="","",Presupuesto!G18)</f>
        <v/>
      </c>
      <c r="E17" s="69" t="str">
        <f aca="false">IF(B17="","",SUMIFS('Flujo de Pagos'!I$7:I$506,'Flujo de Pagos'!E$7:E$506,B17))</f>
        <v/>
      </c>
      <c r="F17" s="67" t="str">
        <f aca="false">IF(OR(D17="",D17=0),"",E17/D17)</f>
        <v/>
      </c>
      <c r="G17" s="69" t="str">
        <f aca="false">IF(D17="","",D17-E17)</f>
        <v/>
      </c>
    </row>
    <row r="18" customFormat="false" ht="15" hidden="false" customHeight="true" outlineLevel="0" collapsed="false">
      <c r="A18" s="38" t="n">
        <v>13</v>
      </c>
      <c r="B18" s="64" t="str">
        <f aca="false">IF(Presupuesto!B19="","",Presupuesto!B19)</f>
        <v/>
      </c>
      <c r="C18" s="64" t="str">
        <f aca="false">IF(Presupuesto!C19="","",Presupuesto!C19)</f>
        <v/>
      </c>
      <c r="D18" s="68" t="str">
        <f aca="false">IF(Presupuesto!G19="","",Presupuesto!G19)</f>
        <v/>
      </c>
      <c r="E18" s="69" t="str">
        <f aca="false">IF(B18="","",SUMIFS('Flujo de Pagos'!I$7:I$506,'Flujo de Pagos'!E$7:E$506,B18))</f>
        <v/>
      </c>
      <c r="F18" s="67" t="str">
        <f aca="false">IF(OR(D18="",D18=0),"",E18/D18)</f>
        <v/>
      </c>
      <c r="G18" s="69" t="str">
        <f aca="false">IF(D18="","",D18-E18)</f>
        <v/>
      </c>
    </row>
    <row r="19" customFormat="false" ht="15" hidden="false" customHeight="true" outlineLevel="0" collapsed="false">
      <c r="A19" s="38" t="n">
        <v>14</v>
      </c>
      <c r="B19" s="64" t="str">
        <f aca="false">IF(Presupuesto!B20="","",Presupuesto!B20)</f>
        <v/>
      </c>
      <c r="C19" s="64" t="str">
        <f aca="false">IF(Presupuesto!C20="","",Presupuesto!C20)</f>
        <v/>
      </c>
      <c r="D19" s="68" t="str">
        <f aca="false">IF(Presupuesto!G20="","",Presupuesto!G20)</f>
        <v/>
      </c>
      <c r="E19" s="69" t="str">
        <f aca="false">IF(B19="","",SUMIFS('Flujo de Pagos'!I$7:I$506,'Flujo de Pagos'!E$7:E$506,B19))</f>
        <v/>
      </c>
      <c r="F19" s="67" t="str">
        <f aca="false">IF(OR(D19="",D19=0),"",E19/D19)</f>
        <v/>
      </c>
      <c r="G19" s="69" t="str">
        <f aca="false">IF(D19="","",D19-E19)</f>
        <v/>
      </c>
    </row>
    <row r="20" customFormat="false" ht="15" hidden="false" customHeight="true" outlineLevel="0" collapsed="false">
      <c r="A20" s="38" t="n">
        <v>15</v>
      </c>
      <c r="B20" s="64" t="str">
        <f aca="false">IF(Presupuesto!B21="","",Presupuesto!B21)</f>
        <v/>
      </c>
      <c r="C20" s="64" t="str">
        <f aca="false">IF(Presupuesto!C21="","",Presupuesto!C21)</f>
        <v/>
      </c>
      <c r="D20" s="68" t="str">
        <f aca="false">IF(Presupuesto!G21="","",Presupuesto!G21)</f>
        <v/>
      </c>
      <c r="E20" s="69" t="str">
        <f aca="false">IF(B20="","",SUMIFS('Flujo de Pagos'!I$7:I$506,'Flujo de Pagos'!E$7:E$506,B20))</f>
        <v/>
      </c>
      <c r="F20" s="67" t="str">
        <f aca="false">IF(OR(D20="",D20=0),"",E20/D20)</f>
        <v/>
      </c>
      <c r="G20" s="69" t="str">
        <f aca="false">IF(D20="","",D20-E20)</f>
        <v/>
      </c>
    </row>
    <row r="21" customFormat="false" ht="15.75" hidden="false" customHeight="true" outlineLevel="0" collapsed="false">
      <c r="A21" s="38" t="n">
        <v>16</v>
      </c>
      <c r="B21" s="64" t="str">
        <f aca="false">IF(Presupuesto!B22="","",Presupuesto!B22)</f>
        <v/>
      </c>
      <c r="C21" s="64" t="str">
        <f aca="false">IF(Presupuesto!C22="","",Presupuesto!C22)</f>
        <v/>
      </c>
      <c r="D21" s="68" t="str">
        <f aca="false">IF(Presupuesto!G22="","",Presupuesto!G22)</f>
        <v/>
      </c>
      <c r="E21" s="69" t="str">
        <f aca="false">IF(B21="","",SUMIFS('Flujo de Pagos'!I$7:I$506,'Flujo de Pagos'!E$7:E$506,B21))</f>
        <v/>
      </c>
      <c r="F21" s="67" t="str">
        <f aca="false">IF(OR(D21="",D21=0),"",E21/D21)</f>
        <v/>
      </c>
      <c r="G21" s="69" t="str">
        <f aca="false">IF(D21="","",D21-E21)</f>
        <v/>
      </c>
    </row>
    <row r="22" customFormat="false" ht="15.75" hidden="false" customHeight="true" outlineLevel="0" collapsed="false">
      <c r="A22" s="38" t="n">
        <v>17</v>
      </c>
      <c r="B22" s="64" t="str">
        <f aca="false">IF(Presupuesto!B23="","",Presupuesto!B23)</f>
        <v/>
      </c>
      <c r="C22" s="64" t="str">
        <f aca="false">IF(Presupuesto!C23="","",Presupuesto!C23)</f>
        <v/>
      </c>
      <c r="D22" s="68" t="str">
        <f aca="false">IF(Presupuesto!G23="","",Presupuesto!G23)</f>
        <v/>
      </c>
      <c r="E22" s="69" t="str">
        <f aca="false">IF(B22="","",SUMIFS('Flujo de Pagos'!I$7:I$506,'Flujo de Pagos'!E$7:E$506,B22))</f>
        <v/>
      </c>
      <c r="F22" s="67" t="str">
        <f aca="false">IF(OR(D22="",D22=0),"",E22/D22)</f>
        <v/>
      </c>
      <c r="G22" s="69" t="str">
        <f aca="false">IF(D22="","",D22-E22)</f>
        <v/>
      </c>
    </row>
    <row r="23" customFormat="false" ht="15.75" hidden="false" customHeight="true" outlineLevel="0" collapsed="false">
      <c r="A23" s="38" t="n">
        <v>18</v>
      </c>
      <c r="B23" s="64" t="str">
        <f aca="false">IF(Presupuesto!B24="","",Presupuesto!B24)</f>
        <v/>
      </c>
      <c r="C23" s="64" t="str">
        <f aca="false">IF(Presupuesto!C24="","",Presupuesto!C24)</f>
        <v/>
      </c>
      <c r="D23" s="68" t="str">
        <f aca="false">IF(Presupuesto!G24="","",Presupuesto!G24)</f>
        <v/>
      </c>
      <c r="E23" s="69" t="str">
        <f aca="false">IF(B23="","",SUMIFS('Flujo de Pagos'!I$7:I$506,'Flujo de Pagos'!E$7:E$506,B23))</f>
        <v/>
      </c>
      <c r="F23" s="67" t="str">
        <f aca="false">IF(OR(D23="",D23=0),"",E23/D23)</f>
        <v/>
      </c>
      <c r="G23" s="69" t="str">
        <f aca="false">IF(D23="","",D23-E23)</f>
        <v/>
      </c>
    </row>
    <row r="24" customFormat="false" ht="15.75" hidden="false" customHeight="true" outlineLevel="0" collapsed="false">
      <c r="A24" s="38" t="n">
        <v>19</v>
      </c>
      <c r="B24" s="64" t="str">
        <f aca="false">IF(Presupuesto!B25="","",Presupuesto!B25)</f>
        <v/>
      </c>
      <c r="C24" s="64" t="str">
        <f aca="false">IF(Presupuesto!C25="","",Presupuesto!C25)</f>
        <v/>
      </c>
      <c r="D24" s="68" t="str">
        <f aca="false">IF(Presupuesto!G25="","",Presupuesto!G25)</f>
        <v/>
      </c>
      <c r="E24" s="69" t="str">
        <f aca="false">IF(B24="","",SUMIFS('Flujo de Pagos'!I$7:I$506,'Flujo de Pagos'!E$7:E$506,B24))</f>
        <v/>
      </c>
      <c r="F24" s="67" t="str">
        <f aca="false">IF(OR(D24="",D24=0),"",E24/D24)</f>
        <v/>
      </c>
      <c r="G24" s="69" t="str">
        <f aca="false">IF(D24="","",D24-E24)</f>
        <v/>
      </c>
    </row>
    <row r="25" customFormat="false" ht="15.75" hidden="false" customHeight="true" outlineLevel="0" collapsed="false">
      <c r="A25" s="38" t="n">
        <v>20</v>
      </c>
      <c r="B25" s="64" t="str">
        <f aca="false">IF(Presupuesto!B26="","",Presupuesto!B26)</f>
        <v/>
      </c>
      <c r="C25" s="64" t="str">
        <f aca="false">IF(Presupuesto!C26="","",Presupuesto!C26)</f>
        <v/>
      </c>
      <c r="D25" s="68" t="str">
        <f aca="false">IF(Presupuesto!G26="","",Presupuesto!G26)</f>
        <v/>
      </c>
      <c r="E25" s="69" t="str">
        <f aca="false">IF(B25="","",SUMIFS('Flujo de Pagos'!I$7:I$506,'Flujo de Pagos'!E$7:E$506,B25))</f>
        <v/>
      </c>
      <c r="F25" s="67" t="str">
        <f aca="false">IF(OR(D25="",D25=0),"",E25/D25)</f>
        <v/>
      </c>
      <c r="G25" s="69" t="str">
        <f aca="false">IF(D25="","",D25-E25)</f>
        <v/>
      </c>
    </row>
    <row r="26" customFormat="false" ht="15.75" hidden="false" customHeight="true" outlineLevel="0" collapsed="false">
      <c r="A26" s="38" t="n">
        <v>21</v>
      </c>
      <c r="B26" s="64" t="str">
        <f aca="false">IF(Presupuesto!B27="","",Presupuesto!B27)</f>
        <v/>
      </c>
      <c r="C26" s="64" t="str">
        <f aca="false">IF(Presupuesto!C27="","",Presupuesto!C27)</f>
        <v/>
      </c>
      <c r="D26" s="68" t="str">
        <f aca="false">IF(Presupuesto!G27="","",Presupuesto!G27)</f>
        <v/>
      </c>
      <c r="E26" s="69" t="str">
        <f aca="false">IF(B26="","",SUMIFS('Flujo de Pagos'!I$7:I$506,'Flujo de Pagos'!E$7:E$506,B26))</f>
        <v/>
      </c>
      <c r="F26" s="67" t="str">
        <f aca="false">IF(OR(D26="",D26=0),"",E26/D26)</f>
        <v/>
      </c>
      <c r="G26" s="69" t="str">
        <f aca="false">IF(D26="","",D26-E26)</f>
        <v/>
      </c>
    </row>
    <row r="27" customFormat="false" ht="15.75" hidden="false" customHeight="true" outlineLevel="0" collapsed="false">
      <c r="A27" s="38" t="n">
        <v>22</v>
      </c>
      <c r="B27" s="64" t="str">
        <f aca="false">IF(Presupuesto!B28="","",Presupuesto!B28)</f>
        <v/>
      </c>
      <c r="C27" s="64" t="str">
        <f aca="false">IF(Presupuesto!C28="","",Presupuesto!C28)</f>
        <v/>
      </c>
      <c r="D27" s="68" t="str">
        <f aca="false">IF(Presupuesto!G28="","",Presupuesto!G28)</f>
        <v/>
      </c>
      <c r="E27" s="69" t="str">
        <f aca="false">IF(B27="","",SUMIFS('Flujo de Pagos'!I$7:I$506,'Flujo de Pagos'!E$7:E$506,B27))</f>
        <v/>
      </c>
      <c r="F27" s="67" t="str">
        <f aca="false">IF(OR(D27="",D27=0),"",E27/D27)</f>
        <v/>
      </c>
      <c r="G27" s="69" t="str">
        <f aca="false">IF(D27="","",D27-E27)</f>
        <v/>
      </c>
    </row>
    <row r="28" customFormat="false" ht="15.75" hidden="false" customHeight="true" outlineLevel="0" collapsed="false">
      <c r="A28" s="38" t="n">
        <v>23</v>
      </c>
      <c r="B28" s="64" t="str">
        <f aca="false">IF(Presupuesto!B29="","",Presupuesto!B29)</f>
        <v/>
      </c>
      <c r="C28" s="64" t="str">
        <f aca="false">IF(Presupuesto!C29="","",Presupuesto!C29)</f>
        <v/>
      </c>
      <c r="D28" s="68" t="str">
        <f aca="false">IF(Presupuesto!G29="","",Presupuesto!G29)</f>
        <v/>
      </c>
      <c r="E28" s="69" t="str">
        <f aca="false">IF(B28="","",SUMIFS('Flujo de Pagos'!I$7:I$506,'Flujo de Pagos'!E$7:E$506,B28))</f>
        <v/>
      </c>
      <c r="F28" s="67" t="str">
        <f aca="false">IF(OR(D28="",D28=0),"",E28/D28)</f>
        <v/>
      </c>
      <c r="G28" s="69" t="str">
        <f aca="false">IF(D28="","",D28-E28)</f>
        <v/>
      </c>
    </row>
    <row r="29" customFormat="false" ht="15.75" hidden="false" customHeight="true" outlineLevel="0" collapsed="false">
      <c r="A29" s="38" t="n">
        <v>24</v>
      </c>
      <c r="B29" s="64" t="str">
        <f aca="false">IF(Presupuesto!B30="","",Presupuesto!B30)</f>
        <v/>
      </c>
      <c r="C29" s="64" t="str">
        <f aca="false">IF(Presupuesto!C30="","",Presupuesto!C30)</f>
        <v/>
      </c>
      <c r="D29" s="68" t="str">
        <f aca="false">IF(Presupuesto!G30="","",Presupuesto!G30)</f>
        <v/>
      </c>
      <c r="E29" s="69" t="str">
        <f aca="false">IF(B29="","",SUMIFS('Flujo de Pagos'!I$7:I$506,'Flujo de Pagos'!E$7:E$506,B29))</f>
        <v/>
      </c>
      <c r="F29" s="67" t="str">
        <f aca="false">IF(OR(D29="",D29=0),"",E29/D29)</f>
        <v/>
      </c>
      <c r="G29" s="69" t="str">
        <f aca="false">IF(D29="","",D29-E29)</f>
        <v/>
      </c>
    </row>
    <row r="30" customFormat="false" ht="15.75" hidden="false" customHeight="true" outlineLevel="0" collapsed="false">
      <c r="A30" s="38" t="n">
        <v>25</v>
      </c>
      <c r="B30" s="64" t="str">
        <f aca="false">IF(Presupuesto!B31="","",Presupuesto!B31)</f>
        <v/>
      </c>
      <c r="C30" s="64" t="str">
        <f aca="false">IF(Presupuesto!C31="","",Presupuesto!C31)</f>
        <v/>
      </c>
      <c r="D30" s="68" t="str">
        <f aca="false">IF(Presupuesto!G31="","",Presupuesto!G31)</f>
        <v/>
      </c>
      <c r="E30" s="69" t="str">
        <f aca="false">IF(B30="","",SUMIFS('Flujo de Pagos'!I$7:I$506,'Flujo de Pagos'!E$7:E$506,B30))</f>
        <v/>
      </c>
      <c r="F30" s="67" t="str">
        <f aca="false">IF(OR(D30="",D30=0),"",E30/D30)</f>
        <v/>
      </c>
      <c r="G30" s="69" t="str">
        <f aca="false">IF(D30="","",D30-E30)</f>
        <v/>
      </c>
    </row>
    <row r="31" customFormat="false" ht="15.75" hidden="false" customHeight="true" outlineLevel="0" collapsed="false">
      <c r="A31" s="38" t="n">
        <v>26</v>
      </c>
      <c r="B31" s="64" t="str">
        <f aca="false">IF(Presupuesto!B32="","",Presupuesto!B32)</f>
        <v/>
      </c>
      <c r="C31" s="64" t="str">
        <f aca="false">IF(Presupuesto!C32="","",Presupuesto!C32)</f>
        <v/>
      </c>
      <c r="D31" s="68" t="str">
        <f aca="false">IF(Presupuesto!G32="","",Presupuesto!G32)</f>
        <v/>
      </c>
      <c r="E31" s="69" t="str">
        <f aca="false">IF(B31="","",SUMIFS('Flujo de Pagos'!I$7:I$506,'Flujo de Pagos'!E$7:E$506,B31))</f>
        <v/>
      </c>
      <c r="F31" s="67" t="str">
        <f aca="false">IF(OR(D31="",D31=0),"",E31/D31)</f>
        <v/>
      </c>
      <c r="G31" s="69" t="str">
        <f aca="false">IF(D31="","",D31-E31)</f>
        <v/>
      </c>
    </row>
    <row r="32" customFormat="false" ht="15.75" hidden="false" customHeight="true" outlineLevel="0" collapsed="false">
      <c r="A32" s="38" t="n">
        <v>27</v>
      </c>
      <c r="B32" s="64" t="str">
        <f aca="false">IF(Presupuesto!B33="","",Presupuesto!B33)</f>
        <v/>
      </c>
      <c r="C32" s="64" t="str">
        <f aca="false">IF(Presupuesto!C33="","",Presupuesto!C33)</f>
        <v/>
      </c>
      <c r="D32" s="68" t="str">
        <f aca="false">IF(Presupuesto!G33="","",Presupuesto!G33)</f>
        <v/>
      </c>
      <c r="E32" s="69" t="str">
        <f aca="false">IF(B32="","",SUMIFS('Flujo de Pagos'!I$7:I$506,'Flujo de Pagos'!E$7:E$506,B32))</f>
        <v/>
      </c>
      <c r="F32" s="67" t="str">
        <f aca="false">IF(OR(D32="",D32=0),"",E32/D32)</f>
        <v/>
      </c>
      <c r="G32" s="69" t="str">
        <f aca="false">IF(D32="","",D32-E32)</f>
        <v/>
      </c>
    </row>
    <row r="33" customFormat="false" ht="15.75" hidden="false" customHeight="true" outlineLevel="0" collapsed="false">
      <c r="A33" s="38" t="n">
        <v>28</v>
      </c>
      <c r="B33" s="64" t="str">
        <f aca="false">IF(Presupuesto!B34="","",Presupuesto!B34)</f>
        <v/>
      </c>
      <c r="C33" s="64" t="str">
        <f aca="false">IF(Presupuesto!C34="","",Presupuesto!C34)</f>
        <v/>
      </c>
      <c r="D33" s="68" t="str">
        <f aca="false">IF(Presupuesto!G34="","",Presupuesto!G34)</f>
        <v/>
      </c>
      <c r="E33" s="69" t="str">
        <f aca="false">IF(B33="","",SUMIFS('Flujo de Pagos'!I$7:I$506,'Flujo de Pagos'!E$7:E$506,B33))</f>
        <v/>
      </c>
      <c r="F33" s="67" t="str">
        <f aca="false">IF(OR(D33="",D33=0),"",E33/D33)</f>
        <v/>
      </c>
      <c r="G33" s="69" t="str">
        <f aca="false">IF(D33="","",D33-E33)</f>
        <v/>
      </c>
    </row>
    <row r="34" customFormat="false" ht="15.75" hidden="false" customHeight="true" outlineLevel="0" collapsed="false">
      <c r="A34" s="38" t="n">
        <v>29</v>
      </c>
      <c r="B34" s="64" t="str">
        <f aca="false">IF(Presupuesto!B35="","",Presupuesto!B35)</f>
        <v/>
      </c>
      <c r="C34" s="64" t="str">
        <f aca="false">IF(Presupuesto!C35="","",Presupuesto!C35)</f>
        <v/>
      </c>
      <c r="D34" s="68" t="str">
        <f aca="false">IF(Presupuesto!G35="","",Presupuesto!G35)</f>
        <v/>
      </c>
      <c r="E34" s="69" t="str">
        <f aca="false">IF(B34="","",SUMIFS('Flujo de Pagos'!I$7:I$506,'Flujo de Pagos'!E$7:E$506,B34))</f>
        <v/>
      </c>
      <c r="F34" s="67" t="str">
        <f aca="false">IF(OR(D34="",D34=0),"",E34/D34)</f>
        <v/>
      </c>
      <c r="G34" s="69" t="str">
        <f aca="false">IF(D34="","",D34-E34)</f>
        <v/>
      </c>
    </row>
    <row r="35" customFormat="false" ht="15.75" hidden="false" customHeight="true" outlineLevel="0" collapsed="false">
      <c r="A35" s="38" t="n">
        <v>30</v>
      </c>
      <c r="B35" s="64" t="str">
        <f aca="false">IF(Presupuesto!B36="","",Presupuesto!B36)</f>
        <v/>
      </c>
      <c r="C35" s="64" t="str">
        <f aca="false">IF(Presupuesto!C36="","",Presupuesto!C36)</f>
        <v/>
      </c>
      <c r="D35" s="68" t="str">
        <f aca="false">IF(Presupuesto!G36="","",Presupuesto!G36)</f>
        <v/>
      </c>
      <c r="E35" s="69" t="str">
        <f aca="false">IF(B35="","",SUMIFS('Flujo de Pagos'!I$7:I$506,'Flujo de Pagos'!E$7:E$506,B35))</f>
        <v/>
      </c>
      <c r="F35" s="67" t="str">
        <f aca="false">IF(OR(D35="",D35=0),"",E35/D35)</f>
        <v/>
      </c>
      <c r="G35" s="69" t="str">
        <f aca="false">IF(D35="","",D35-E35)</f>
        <v/>
      </c>
    </row>
    <row r="36" customFormat="false" ht="15.75" hidden="false" customHeight="true" outlineLevel="0" collapsed="false">
      <c r="A36" s="38" t="n">
        <v>31</v>
      </c>
      <c r="B36" s="64" t="str">
        <f aca="false">IF(Presupuesto!B37="","",Presupuesto!B37)</f>
        <v/>
      </c>
      <c r="C36" s="64" t="str">
        <f aca="false">IF(Presupuesto!C37="","",Presupuesto!C37)</f>
        <v/>
      </c>
      <c r="D36" s="68" t="str">
        <f aca="false">IF(Presupuesto!G37="","",Presupuesto!G37)</f>
        <v/>
      </c>
      <c r="E36" s="69" t="str">
        <f aca="false">IF(B36="","",SUMIFS('Flujo de Pagos'!I$7:I$506,'Flujo de Pagos'!E$7:E$506,B36))</f>
        <v/>
      </c>
      <c r="F36" s="67" t="str">
        <f aca="false">IF(OR(D36="",D36=0),"",E36/D36)</f>
        <v/>
      </c>
      <c r="G36" s="69" t="str">
        <f aca="false">IF(D36="","",D36-E36)</f>
        <v/>
      </c>
    </row>
    <row r="37" customFormat="false" ht="15.75" hidden="false" customHeight="true" outlineLevel="0" collapsed="false">
      <c r="A37" s="38" t="n">
        <v>32</v>
      </c>
      <c r="B37" s="64" t="str">
        <f aca="false">IF(Presupuesto!B38="","",Presupuesto!B38)</f>
        <v/>
      </c>
      <c r="C37" s="64" t="str">
        <f aca="false">IF(Presupuesto!C38="","",Presupuesto!C38)</f>
        <v/>
      </c>
      <c r="D37" s="68" t="str">
        <f aca="false">IF(Presupuesto!G38="","",Presupuesto!G38)</f>
        <v/>
      </c>
      <c r="E37" s="69" t="str">
        <f aca="false">IF(B37="","",SUMIFS('Flujo de Pagos'!I$7:I$506,'Flujo de Pagos'!E$7:E$506,B37))</f>
        <v/>
      </c>
      <c r="F37" s="67" t="str">
        <f aca="false">IF(OR(D37="",D37=0),"",E37/D37)</f>
        <v/>
      </c>
      <c r="G37" s="69" t="str">
        <f aca="false">IF(D37="","",D37-E37)</f>
        <v/>
      </c>
    </row>
    <row r="38" customFormat="false" ht="15.75" hidden="false" customHeight="true" outlineLevel="0" collapsed="false">
      <c r="A38" s="38" t="n">
        <v>33</v>
      </c>
      <c r="B38" s="64" t="str">
        <f aca="false">IF(Presupuesto!B39="","",Presupuesto!B39)</f>
        <v/>
      </c>
      <c r="C38" s="64" t="str">
        <f aca="false">IF(Presupuesto!C39="","",Presupuesto!C39)</f>
        <v/>
      </c>
      <c r="D38" s="68" t="str">
        <f aca="false">IF(Presupuesto!G39="","",Presupuesto!G39)</f>
        <v/>
      </c>
      <c r="E38" s="69" t="str">
        <f aca="false">IF(B38="","",SUMIFS('Flujo de Pagos'!I$7:I$506,'Flujo de Pagos'!E$7:E$506,B38))</f>
        <v/>
      </c>
      <c r="F38" s="67" t="str">
        <f aca="false">IF(OR(D38="",D38=0),"",E38/D38)</f>
        <v/>
      </c>
      <c r="G38" s="69" t="str">
        <f aca="false">IF(D38="","",D38-E38)</f>
        <v/>
      </c>
    </row>
    <row r="39" customFormat="false" ht="15.75" hidden="false" customHeight="true" outlineLevel="0" collapsed="false">
      <c r="A39" s="38" t="n">
        <v>34</v>
      </c>
      <c r="B39" s="64" t="str">
        <f aca="false">IF(Presupuesto!B40="","",Presupuesto!B40)</f>
        <v/>
      </c>
      <c r="C39" s="64" t="str">
        <f aca="false">IF(Presupuesto!C40="","",Presupuesto!C40)</f>
        <v/>
      </c>
      <c r="D39" s="68" t="str">
        <f aca="false">IF(Presupuesto!G40="","",Presupuesto!G40)</f>
        <v/>
      </c>
      <c r="E39" s="69" t="str">
        <f aca="false">IF(B39="","",SUMIFS('Flujo de Pagos'!I$7:I$506,'Flujo de Pagos'!E$7:E$506,B39))</f>
        <v/>
      </c>
      <c r="F39" s="67" t="str">
        <f aca="false">IF(OR(D39="",D39=0),"",E39/D39)</f>
        <v/>
      </c>
      <c r="G39" s="69" t="str">
        <f aca="false">IF(D39="","",D39-E39)</f>
        <v/>
      </c>
    </row>
    <row r="40" customFormat="false" ht="15.75" hidden="false" customHeight="true" outlineLevel="0" collapsed="false">
      <c r="A40" s="38" t="n">
        <v>35</v>
      </c>
      <c r="B40" s="64" t="str">
        <f aca="false">IF(Presupuesto!B41="","",Presupuesto!B41)</f>
        <v/>
      </c>
      <c r="C40" s="64" t="str">
        <f aca="false">IF(Presupuesto!C41="","",Presupuesto!C41)</f>
        <v/>
      </c>
      <c r="D40" s="68" t="str">
        <f aca="false">IF(Presupuesto!G41="","",Presupuesto!G41)</f>
        <v/>
      </c>
      <c r="E40" s="69" t="str">
        <f aca="false">IF(B40="","",SUMIFS('Flujo de Pagos'!I$7:I$506,'Flujo de Pagos'!E$7:E$506,B40))</f>
        <v/>
      </c>
      <c r="F40" s="67" t="str">
        <f aca="false">IF(OR(D40="",D40=0),"",E40/D40)</f>
        <v/>
      </c>
      <c r="G40" s="69" t="str">
        <f aca="false">IF(D40="","",D40-E40)</f>
        <v/>
      </c>
    </row>
    <row r="41" customFormat="false" ht="15.75" hidden="false" customHeight="true" outlineLevel="0" collapsed="false">
      <c r="A41" s="38" t="n">
        <v>36</v>
      </c>
      <c r="B41" s="64" t="str">
        <f aca="false">IF(Presupuesto!B42="","",Presupuesto!B42)</f>
        <v/>
      </c>
      <c r="C41" s="64" t="str">
        <f aca="false">IF(Presupuesto!C42="","",Presupuesto!C42)</f>
        <v/>
      </c>
      <c r="D41" s="68" t="str">
        <f aca="false">IF(Presupuesto!G42="","",Presupuesto!G42)</f>
        <v/>
      </c>
      <c r="E41" s="69" t="str">
        <f aca="false">IF(B41="","",SUMIFS('Flujo de Pagos'!I$7:I$506,'Flujo de Pagos'!E$7:E$506,B41))</f>
        <v/>
      </c>
      <c r="F41" s="67" t="str">
        <f aca="false">IF(OR(D41="",D41=0),"",E41/D41)</f>
        <v/>
      </c>
      <c r="G41" s="69" t="str">
        <f aca="false">IF(D41="","",D41-E41)</f>
        <v/>
      </c>
    </row>
    <row r="42" customFormat="false" ht="15.75" hidden="false" customHeight="true" outlineLevel="0" collapsed="false">
      <c r="A42" s="38" t="n">
        <v>37</v>
      </c>
      <c r="B42" s="64" t="str">
        <f aca="false">IF(Presupuesto!B43="","",Presupuesto!B43)</f>
        <v/>
      </c>
      <c r="C42" s="64" t="str">
        <f aca="false">IF(Presupuesto!C43="","",Presupuesto!C43)</f>
        <v/>
      </c>
      <c r="D42" s="68" t="str">
        <f aca="false">IF(Presupuesto!G43="","",Presupuesto!G43)</f>
        <v/>
      </c>
      <c r="E42" s="69" t="str">
        <f aca="false">IF(B42="","",SUMIFS('Flujo de Pagos'!I$7:I$506,'Flujo de Pagos'!E$7:E$506,B42))</f>
        <v/>
      </c>
      <c r="F42" s="67" t="str">
        <f aca="false">IF(OR(D42="",D42=0),"",E42/D42)</f>
        <v/>
      </c>
      <c r="G42" s="69" t="str">
        <f aca="false">IF(D42="","",D42-E42)</f>
        <v/>
      </c>
    </row>
    <row r="43" customFormat="false" ht="15.75" hidden="false" customHeight="true" outlineLevel="0" collapsed="false">
      <c r="A43" s="38" t="n">
        <v>38</v>
      </c>
      <c r="B43" s="64" t="str">
        <f aca="false">IF(Presupuesto!B44="","",Presupuesto!B44)</f>
        <v/>
      </c>
      <c r="C43" s="64" t="str">
        <f aca="false">IF(Presupuesto!C44="","",Presupuesto!C44)</f>
        <v/>
      </c>
      <c r="D43" s="68" t="str">
        <f aca="false">IF(Presupuesto!G44="","",Presupuesto!G44)</f>
        <v/>
      </c>
      <c r="E43" s="69" t="str">
        <f aca="false">IF(B43="","",SUMIFS('Flujo de Pagos'!I$7:I$506,'Flujo de Pagos'!E$7:E$506,B43))</f>
        <v/>
      </c>
      <c r="F43" s="67" t="str">
        <f aca="false">IF(OR(D43="",D43=0),"",E43/D43)</f>
        <v/>
      </c>
      <c r="G43" s="69" t="str">
        <f aca="false">IF(D43="","",D43-E43)</f>
        <v/>
      </c>
    </row>
    <row r="44" customFormat="false" ht="15.75" hidden="false" customHeight="true" outlineLevel="0" collapsed="false">
      <c r="A44" s="38" t="n">
        <v>39</v>
      </c>
      <c r="B44" s="64" t="str">
        <f aca="false">IF(Presupuesto!B45="","",Presupuesto!B45)</f>
        <v/>
      </c>
      <c r="C44" s="64" t="str">
        <f aca="false">IF(Presupuesto!C45="","",Presupuesto!C45)</f>
        <v/>
      </c>
      <c r="D44" s="68" t="str">
        <f aca="false">IF(Presupuesto!G45="","",Presupuesto!G45)</f>
        <v/>
      </c>
      <c r="E44" s="69" t="str">
        <f aca="false">IF(B44="","",SUMIFS('Flujo de Pagos'!I$7:I$506,'Flujo de Pagos'!E$7:E$506,B44))</f>
        <v/>
      </c>
      <c r="F44" s="67" t="str">
        <f aca="false">IF(OR(D44="",D44=0),"",E44/D44)</f>
        <v/>
      </c>
      <c r="G44" s="69" t="str">
        <f aca="false">IF(D44="","",D44-E44)</f>
        <v/>
      </c>
    </row>
    <row r="45" customFormat="false" ht="15.75" hidden="false" customHeight="true" outlineLevel="0" collapsed="false">
      <c r="A45" s="38" t="n">
        <v>40</v>
      </c>
      <c r="B45" s="64" t="str">
        <f aca="false">IF(Presupuesto!B46="","",Presupuesto!B46)</f>
        <v/>
      </c>
      <c r="C45" s="64" t="str">
        <f aca="false">IF(Presupuesto!C46="","",Presupuesto!C46)</f>
        <v/>
      </c>
      <c r="D45" s="68" t="str">
        <f aca="false">IF(Presupuesto!G46="","",Presupuesto!G46)</f>
        <v/>
      </c>
      <c r="E45" s="69" t="str">
        <f aca="false">IF(B45="","",SUMIFS('Flujo de Pagos'!I$7:I$506,'Flujo de Pagos'!E$7:E$506,B45))</f>
        <v/>
      </c>
      <c r="F45" s="67" t="str">
        <f aca="false">IF(OR(D45="",D45=0),"",E45/D45)</f>
        <v/>
      </c>
      <c r="G45" s="69" t="str">
        <f aca="false">IF(D45="","",D45-E45)</f>
        <v/>
      </c>
    </row>
    <row r="46" customFormat="false" ht="15.75" hidden="false" customHeight="true" outlineLevel="0" collapsed="false">
      <c r="A46" s="38" t="n">
        <v>41</v>
      </c>
      <c r="B46" s="64" t="str">
        <f aca="false">IF(Presupuesto!B47="","",Presupuesto!B47)</f>
        <v/>
      </c>
      <c r="C46" s="64" t="str">
        <f aca="false">IF(Presupuesto!C47="","",Presupuesto!C47)</f>
        <v/>
      </c>
      <c r="D46" s="68" t="str">
        <f aca="false">IF(Presupuesto!G47="","",Presupuesto!G47)</f>
        <v/>
      </c>
      <c r="E46" s="69" t="str">
        <f aca="false">IF(B46="","",SUMIFS('Flujo de Pagos'!I$7:I$506,'Flujo de Pagos'!E$7:E$506,B46))</f>
        <v/>
      </c>
      <c r="F46" s="67" t="str">
        <f aca="false">IF(OR(D46="",D46=0),"",E46/D46)</f>
        <v/>
      </c>
      <c r="G46" s="69" t="str">
        <f aca="false">IF(D46="","",D46-E46)</f>
        <v/>
      </c>
    </row>
    <row r="47" customFormat="false" ht="15.75" hidden="false" customHeight="true" outlineLevel="0" collapsed="false">
      <c r="A47" s="38" t="n">
        <v>42</v>
      </c>
      <c r="B47" s="64" t="str">
        <f aca="false">IF(Presupuesto!B48="","",Presupuesto!B48)</f>
        <v/>
      </c>
      <c r="C47" s="64" t="str">
        <f aca="false">IF(Presupuesto!C48="","",Presupuesto!C48)</f>
        <v/>
      </c>
      <c r="D47" s="68" t="str">
        <f aca="false">IF(Presupuesto!G48="","",Presupuesto!G48)</f>
        <v/>
      </c>
      <c r="E47" s="69" t="str">
        <f aca="false">IF(B47="","",SUMIFS('Flujo de Pagos'!I$7:I$506,'Flujo de Pagos'!E$7:E$506,B47))</f>
        <v/>
      </c>
      <c r="F47" s="67" t="str">
        <f aca="false">IF(OR(D47="",D47=0),"",E47/D47)</f>
        <v/>
      </c>
      <c r="G47" s="69" t="str">
        <f aca="false">IF(D47="","",D47-E47)</f>
        <v/>
      </c>
    </row>
    <row r="48" customFormat="false" ht="15.75" hidden="false" customHeight="true" outlineLevel="0" collapsed="false">
      <c r="A48" s="38" t="n">
        <v>43</v>
      </c>
      <c r="B48" s="64" t="str">
        <f aca="false">IF(Presupuesto!B49="","",Presupuesto!B49)</f>
        <v/>
      </c>
      <c r="C48" s="64" t="str">
        <f aca="false">IF(Presupuesto!C49="","",Presupuesto!C49)</f>
        <v/>
      </c>
      <c r="D48" s="68" t="str">
        <f aca="false">IF(Presupuesto!G49="","",Presupuesto!G49)</f>
        <v/>
      </c>
      <c r="E48" s="69" t="str">
        <f aca="false">IF(B48="","",SUMIFS('Flujo de Pagos'!I$7:I$506,'Flujo de Pagos'!E$7:E$506,B48))</f>
        <v/>
      </c>
      <c r="F48" s="67" t="str">
        <f aca="false">IF(OR(D48="",D48=0),"",E48/D48)</f>
        <v/>
      </c>
      <c r="G48" s="69" t="str">
        <f aca="false">IF(D48="","",D48-E48)</f>
        <v/>
      </c>
    </row>
    <row r="49" customFormat="false" ht="15.75" hidden="false" customHeight="true" outlineLevel="0" collapsed="false">
      <c r="A49" s="38" t="n">
        <v>44</v>
      </c>
      <c r="B49" s="64" t="str">
        <f aca="false">IF(Presupuesto!B50="","",Presupuesto!B50)</f>
        <v/>
      </c>
      <c r="C49" s="64" t="str">
        <f aca="false">IF(Presupuesto!C50="","",Presupuesto!C50)</f>
        <v/>
      </c>
      <c r="D49" s="68" t="str">
        <f aca="false">IF(Presupuesto!G50="","",Presupuesto!G50)</f>
        <v/>
      </c>
      <c r="E49" s="69" t="str">
        <f aca="false">IF(B49="","",SUMIFS('Flujo de Pagos'!I$7:I$506,'Flujo de Pagos'!E$7:E$506,B49))</f>
        <v/>
      </c>
      <c r="F49" s="67" t="str">
        <f aca="false">IF(OR(D49="",D49=0),"",E49/D49)</f>
        <v/>
      </c>
      <c r="G49" s="69" t="str">
        <f aca="false">IF(D49="","",D49-E49)</f>
        <v/>
      </c>
    </row>
    <row r="50" customFormat="false" ht="15.75" hidden="false" customHeight="true" outlineLevel="0" collapsed="false">
      <c r="A50" s="38" t="n">
        <v>45</v>
      </c>
      <c r="B50" s="64" t="str">
        <f aca="false">IF(Presupuesto!B51="","",Presupuesto!B51)</f>
        <v/>
      </c>
      <c r="C50" s="64" t="str">
        <f aca="false">IF(Presupuesto!C51="","",Presupuesto!C51)</f>
        <v/>
      </c>
      <c r="D50" s="68" t="str">
        <f aca="false">IF(Presupuesto!G51="","",Presupuesto!G51)</f>
        <v/>
      </c>
      <c r="E50" s="69" t="str">
        <f aca="false">IF(B50="","",SUMIFS('Flujo de Pagos'!I$7:I$506,'Flujo de Pagos'!E$7:E$506,B50))</f>
        <v/>
      </c>
      <c r="F50" s="67" t="str">
        <f aca="false">IF(OR(D50="",D50=0),"",E50/D50)</f>
        <v/>
      </c>
      <c r="G50" s="69" t="str">
        <f aca="false">IF(D50="","",D50-E50)</f>
        <v/>
      </c>
    </row>
    <row r="51" customFormat="false" ht="15.75" hidden="false" customHeight="true" outlineLevel="0" collapsed="false">
      <c r="A51" s="38" t="n">
        <v>46</v>
      </c>
      <c r="B51" s="64" t="str">
        <f aca="false">IF(Presupuesto!B52="","",Presupuesto!B52)</f>
        <v/>
      </c>
      <c r="C51" s="64" t="str">
        <f aca="false">IF(Presupuesto!C52="","",Presupuesto!C52)</f>
        <v/>
      </c>
      <c r="D51" s="68" t="str">
        <f aca="false">IF(Presupuesto!G52="","",Presupuesto!G52)</f>
        <v/>
      </c>
      <c r="E51" s="69" t="str">
        <f aca="false">IF(B51="","",SUMIFS('Flujo de Pagos'!I$7:I$506,'Flujo de Pagos'!E$7:E$506,B51))</f>
        <v/>
      </c>
      <c r="F51" s="67" t="str">
        <f aca="false">IF(OR(D51="",D51=0),"",E51/D51)</f>
        <v/>
      </c>
      <c r="G51" s="69" t="str">
        <f aca="false">IF(D51="","",D51-E51)</f>
        <v/>
      </c>
    </row>
    <row r="52" customFormat="false" ht="15.75" hidden="false" customHeight="true" outlineLevel="0" collapsed="false">
      <c r="A52" s="38" t="n">
        <v>47</v>
      </c>
      <c r="B52" s="64" t="str">
        <f aca="false">IF(Presupuesto!B53="","",Presupuesto!B53)</f>
        <v/>
      </c>
      <c r="C52" s="64" t="str">
        <f aca="false">IF(Presupuesto!C53="","",Presupuesto!C53)</f>
        <v/>
      </c>
      <c r="D52" s="68" t="str">
        <f aca="false">IF(Presupuesto!G53="","",Presupuesto!G53)</f>
        <v/>
      </c>
      <c r="E52" s="69" t="str">
        <f aca="false">IF(B52="","",SUMIFS('Flujo de Pagos'!I$7:I$506,'Flujo de Pagos'!E$7:E$506,B52))</f>
        <v/>
      </c>
      <c r="F52" s="67" t="str">
        <f aca="false">IF(OR(D52="",D52=0),"",E52/D52)</f>
        <v/>
      </c>
      <c r="G52" s="69" t="str">
        <f aca="false">IF(D52="","",D52-E52)</f>
        <v/>
      </c>
    </row>
    <row r="53" customFormat="false" ht="15.75" hidden="false" customHeight="true" outlineLevel="0" collapsed="false">
      <c r="A53" s="38" t="n">
        <v>48</v>
      </c>
      <c r="B53" s="64" t="str">
        <f aca="false">IF(Presupuesto!B54="","",Presupuesto!B54)</f>
        <v/>
      </c>
      <c r="C53" s="64" t="str">
        <f aca="false">IF(Presupuesto!C54="","",Presupuesto!C54)</f>
        <v/>
      </c>
      <c r="D53" s="68" t="str">
        <f aca="false">IF(Presupuesto!G54="","",Presupuesto!G54)</f>
        <v/>
      </c>
      <c r="E53" s="69" t="str">
        <f aca="false">IF(B53="","",SUMIFS('Flujo de Pagos'!I$7:I$506,'Flujo de Pagos'!E$7:E$506,B53))</f>
        <v/>
      </c>
      <c r="F53" s="67" t="str">
        <f aca="false">IF(OR(D53="",D53=0),"",E53/D53)</f>
        <v/>
      </c>
      <c r="G53" s="69" t="str">
        <f aca="false">IF(D53="","",D53-E53)</f>
        <v/>
      </c>
    </row>
    <row r="54" customFormat="false" ht="15.75" hidden="false" customHeight="true" outlineLevel="0" collapsed="false">
      <c r="A54" s="38" t="n">
        <v>49</v>
      </c>
      <c r="B54" s="64" t="str">
        <f aca="false">IF(Presupuesto!B55="","",Presupuesto!B55)</f>
        <v/>
      </c>
      <c r="C54" s="64" t="str">
        <f aca="false">IF(Presupuesto!C55="","",Presupuesto!C55)</f>
        <v/>
      </c>
      <c r="D54" s="68" t="str">
        <f aca="false">IF(Presupuesto!G55="","",Presupuesto!G55)</f>
        <v/>
      </c>
      <c r="E54" s="69" t="str">
        <f aca="false">IF(B54="","",SUMIFS('Flujo de Pagos'!I$7:I$506,'Flujo de Pagos'!E$7:E$506,B54))</f>
        <v/>
      </c>
      <c r="F54" s="67" t="str">
        <f aca="false">IF(OR(D54="",D54=0),"",E54/D54)</f>
        <v/>
      </c>
      <c r="G54" s="69" t="str">
        <f aca="false">IF(D54="","",D54-E54)</f>
        <v/>
      </c>
    </row>
    <row r="55" customFormat="false" ht="15.75" hidden="false" customHeight="true" outlineLevel="0" collapsed="false">
      <c r="A55" s="38" t="n">
        <v>50</v>
      </c>
      <c r="B55" s="64" t="str">
        <f aca="false">IF(Presupuesto!B56="","",Presupuesto!B56)</f>
        <v/>
      </c>
      <c r="C55" s="64" t="str">
        <f aca="false">IF(Presupuesto!C56="","",Presupuesto!C56)</f>
        <v/>
      </c>
      <c r="D55" s="68" t="str">
        <f aca="false">IF(Presupuesto!G56="","",Presupuesto!G56)</f>
        <v/>
      </c>
      <c r="E55" s="69" t="str">
        <f aca="false">IF(B55="","",SUMIFS('Flujo de Pagos'!I$7:I$506,'Flujo de Pagos'!E$7:E$506,B55))</f>
        <v/>
      </c>
      <c r="F55" s="67" t="str">
        <f aca="false">IF(OR(D55="",D55=0),"",E55/D55)</f>
        <v/>
      </c>
      <c r="G55" s="69" t="str">
        <f aca="false">IF(D55="","",D55-E55)</f>
        <v/>
      </c>
    </row>
    <row r="56" customFormat="false" ht="15.75" hidden="false" customHeight="true" outlineLevel="0" collapsed="false">
      <c r="A56" s="38" t="n">
        <v>51</v>
      </c>
      <c r="B56" s="64" t="str">
        <f aca="false">IF(Presupuesto!B57="","",Presupuesto!B57)</f>
        <v/>
      </c>
      <c r="C56" s="64" t="str">
        <f aca="false">IF(Presupuesto!C57="","",Presupuesto!C57)</f>
        <v/>
      </c>
      <c r="D56" s="68" t="str">
        <f aca="false">IF(Presupuesto!G57="","",Presupuesto!G57)</f>
        <v/>
      </c>
      <c r="E56" s="69" t="str">
        <f aca="false">IF(B56="","",SUMIFS('Flujo de Pagos'!I$7:I$506,'Flujo de Pagos'!E$7:E$506,B56))</f>
        <v/>
      </c>
      <c r="F56" s="67" t="str">
        <f aca="false">IF(OR(D56="",D56=0),"",E56/D56)</f>
        <v/>
      </c>
      <c r="G56" s="69" t="str">
        <f aca="false">IF(D56="","",D56-E56)</f>
        <v/>
      </c>
    </row>
    <row r="57" customFormat="false" ht="15.75" hidden="false" customHeight="true" outlineLevel="0" collapsed="false">
      <c r="A57" s="38" t="n">
        <v>52</v>
      </c>
      <c r="B57" s="64" t="str">
        <f aca="false">IF(Presupuesto!B58="","",Presupuesto!B58)</f>
        <v/>
      </c>
      <c r="C57" s="64" t="str">
        <f aca="false">IF(Presupuesto!C58="","",Presupuesto!C58)</f>
        <v/>
      </c>
      <c r="D57" s="68" t="str">
        <f aca="false">IF(Presupuesto!G58="","",Presupuesto!G58)</f>
        <v/>
      </c>
      <c r="E57" s="69" t="str">
        <f aca="false">IF(B57="","",SUMIFS('Flujo de Pagos'!I$7:I$506,'Flujo de Pagos'!E$7:E$506,B57))</f>
        <v/>
      </c>
      <c r="F57" s="67" t="str">
        <f aca="false">IF(OR(D57="",D57=0),"",E57/D57)</f>
        <v/>
      </c>
      <c r="G57" s="69" t="str">
        <f aca="false">IF(D57="","",D57-E57)</f>
        <v/>
      </c>
    </row>
    <row r="58" customFormat="false" ht="15.75" hidden="false" customHeight="true" outlineLevel="0" collapsed="false">
      <c r="A58" s="38" t="n">
        <v>53</v>
      </c>
      <c r="B58" s="64" t="str">
        <f aca="false">IF(Presupuesto!B59="","",Presupuesto!B59)</f>
        <v/>
      </c>
      <c r="C58" s="64" t="str">
        <f aca="false">IF(Presupuesto!C59="","",Presupuesto!C59)</f>
        <v/>
      </c>
      <c r="D58" s="68" t="str">
        <f aca="false">IF(Presupuesto!G59="","",Presupuesto!G59)</f>
        <v/>
      </c>
      <c r="E58" s="69" t="str">
        <f aca="false">IF(B58="","",SUMIFS('Flujo de Pagos'!I$7:I$506,'Flujo de Pagos'!E$7:E$506,B58))</f>
        <v/>
      </c>
      <c r="F58" s="67" t="str">
        <f aca="false">IF(OR(D58="",D58=0),"",E58/D58)</f>
        <v/>
      </c>
      <c r="G58" s="69" t="str">
        <f aca="false">IF(D58="","",D58-E58)</f>
        <v/>
      </c>
    </row>
    <row r="59" customFormat="false" ht="15.75" hidden="false" customHeight="true" outlineLevel="0" collapsed="false">
      <c r="A59" s="38" t="n">
        <v>54</v>
      </c>
      <c r="B59" s="64" t="str">
        <f aca="false">IF(Presupuesto!B60="","",Presupuesto!B60)</f>
        <v/>
      </c>
      <c r="C59" s="64" t="str">
        <f aca="false">IF(Presupuesto!C60="","",Presupuesto!C60)</f>
        <v/>
      </c>
      <c r="D59" s="68" t="str">
        <f aca="false">IF(Presupuesto!G60="","",Presupuesto!G60)</f>
        <v/>
      </c>
      <c r="E59" s="69" t="str">
        <f aca="false">IF(B59="","",SUMIFS('Flujo de Pagos'!I$7:I$506,'Flujo de Pagos'!E$7:E$506,B59))</f>
        <v/>
      </c>
      <c r="F59" s="67" t="str">
        <f aca="false">IF(OR(D59="",D59=0),"",E59/D59)</f>
        <v/>
      </c>
      <c r="G59" s="69" t="str">
        <f aca="false">IF(D59="","",D59-E59)</f>
        <v/>
      </c>
    </row>
    <row r="60" customFormat="false" ht="15.75" hidden="false" customHeight="true" outlineLevel="0" collapsed="false">
      <c r="A60" s="38" t="n">
        <v>55</v>
      </c>
      <c r="B60" s="64" t="str">
        <f aca="false">IF(Presupuesto!B61="","",Presupuesto!B61)</f>
        <v/>
      </c>
      <c r="C60" s="64" t="str">
        <f aca="false">IF(Presupuesto!C61="","",Presupuesto!C61)</f>
        <v/>
      </c>
      <c r="D60" s="68" t="str">
        <f aca="false">IF(Presupuesto!G61="","",Presupuesto!G61)</f>
        <v/>
      </c>
      <c r="E60" s="69" t="str">
        <f aca="false">IF(B60="","",SUMIFS('Flujo de Pagos'!I$7:I$506,'Flujo de Pagos'!E$7:E$506,B60))</f>
        <v/>
      </c>
      <c r="F60" s="67" t="str">
        <f aca="false">IF(OR(D60="",D60=0),"",E60/D60)</f>
        <v/>
      </c>
      <c r="G60" s="69" t="str">
        <f aca="false">IF(D60="","",D60-E60)</f>
        <v/>
      </c>
    </row>
    <row r="61" customFormat="false" ht="15.75" hidden="false" customHeight="true" outlineLevel="0" collapsed="false">
      <c r="A61" s="38" t="n">
        <v>56</v>
      </c>
      <c r="B61" s="64" t="str">
        <f aca="false">IF(Presupuesto!B62="","",Presupuesto!B62)</f>
        <v/>
      </c>
      <c r="C61" s="64" t="str">
        <f aca="false">IF(Presupuesto!C62="","",Presupuesto!C62)</f>
        <v/>
      </c>
      <c r="D61" s="68" t="str">
        <f aca="false">IF(Presupuesto!G62="","",Presupuesto!G62)</f>
        <v/>
      </c>
      <c r="E61" s="69" t="str">
        <f aca="false">IF(B61="","",SUMIFS('Flujo de Pagos'!I$7:I$506,'Flujo de Pagos'!E$7:E$506,B61))</f>
        <v/>
      </c>
      <c r="F61" s="67" t="str">
        <f aca="false">IF(OR(D61="",D61=0),"",E61/D61)</f>
        <v/>
      </c>
      <c r="G61" s="69" t="str">
        <f aca="false">IF(D61="","",D61-E61)</f>
        <v/>
      </c>
    </row>
    <row r="62" customFormat="false" ht="15.75" hidden="false" customHeight="true" outlineLevel="0" collapsed="false">
      <c r="A62" s="38" t="n">
        <v>57</v>
      </c>
      <c r="B62" s="64" t="str">
        <f aca="false">IF(Presupuesto!B63="","",Presupuesto!B63)</f>
        <v/>
      </c>
      <c r="C62" s="64" t="str">
        <f aca="false">IF(Presupuesto!C63="","",Presupuesto!C63)</f>
        <v/>
      </c>
      <c r="D62" s="68" t="str">
        <f aca="false">IF(Presupuesto!G63="","",Presupuesto!G63)</f>
        <v/>
      </c>
      <c r="E62" s="69" t="str">
        <f aca="false">IF(B62="","",SUMIFS('Flujo de Pagos'!I$7:I$506,'Flujo de Pagos'!E$7:E$506,B62))</f>
        <v/>
      </c>
      <c r="F62" s="67" t="str">
        <f aca="false">IF(OR(D62="",D62=0),"",E62/D62)</f>
        <v/>
      </c>
      <c r="G62" s="69" t="str">
        <f aca="false">IF(D62="","",D62-E62)</f>
        <v/>
      </c>
    </row>
    <row r="63" customFormat="false" ht="15.75" hidden="false" customHeight="true" outlineLevel="0" collapsed="false">
      <c r="A63" s="38" t="n">
        <v>58</v>
      </c>
      <c r="B63" s="64" t="str">
        <f aca="false">IF(Presupuesto!B64="","",Presupuesto!B64)</f>
        <v/>
      </c>
      <c r="C63" s="64" t="str">
        <f aca="false">IF(Presupuesto!C64="","",Presupuesto!C64)</f>
        <v/>
      </c>
      <c r="D63" s="68" t="str">
        <f aca="false">IF(Presupuesto!G64="","",Presupuesto!G64)</f>
        <v/>
      </c>
      <c r="E63" s="69" t="str">
        <f aca="false">IF(B63="","",SUMIFS('Flujo de Pagos'!I$7:I$506,'Flujo de Pagos'!E$7:E$506,B63))</f>
        <v/>
      </c>
      <c r="F63" s="67" t="str">
        <f aca="false">IF(OR(D63="",D63=0),"",E63/D63)</f>
        <v/>
      </c>
      <c r="G63" s="69" t="str">
        <f aca="false">IF(D63="","",D63-E63)</f>
        <v/>
      </c>
    </row>
    <row r="64" customFormat="false" ht="15.75" hidden="false" customHeight="true" outlineLevel="0" collapsed="false">
      <c r="A64" s="38" t="n">
        <v>59</v>
      </c>
      <c r="B64" s="64" t="str">
        <f aca="false">IF(Presupuesto!B65="","",Presupuesto!B65)</f>
        <v/>
      </c>
      <c r="C64" s="64" t="str">
        <f aca="false">IF(Presupuesto!C65="","",Presupuesto!C65)</f>
        <v/>
      </c>
      <c r="D64" s="68" t="str">
        <f aca="false">IF(Presupuesto!G65="","",Presupuesto!G65)</f>
        <v/>
      </c>
      <c r="E64" s="69" t="str">
        <f aca="false">IF(B64="","",SUMIFS('Flujo de Pagos'!I$7:I$506,'Flujo de Pagos'!E$7:E$506,B64))</f>
        <v/>
      </c>
      <c r="F64" s="67" t="str">
        <f aca="false">IF(OR(D64="",D64=0),"",E64/D64)</f>
        <v/>
      </c>
      <c r="G64" s="69" t="str">
        <f aca="false">IF(D64="","",D64-E64)</f>
        <v/>
      </c>
    </row>
    <row r="65" customFormat="false" ht="15.75" hidden="false" customHeight="true" outlineLevel="0" collapsed="false">
      <c r="A65" s="38" t="n">
        <v>60</v>
      </c>
      <c r="B65" s="64" t="str">
        <f aca="false">IF(Presupuesto!B66="","",Presupuesto!B66)</f>
        <v/>
      </c>
      <c r="C65" s="64" t="str">
        <f aca="false">IF(Presupuesto!C66="","",Presupuesto!C66)</f>
        <v/>
      </c>
      <c r="D65" s="68" t="str">
        <f aca="false">IF(Presupuesto!G66="","",Presupuesto!G66)</f>
        <v/>
      </c>
      <c r="E65" s="69" t="str">
        <f aca="false">IF(B65="","",SUMIFS('Flujo de Pagos'!I$7:I$506,'Flujo de Pagos'!E$7:E$506,B65))</f>
        <v/>
      </c>
      <c r="F65" s="67" t="str">
        <f aca="false">IF(OR(D65="",D65=0),"",E65/D65)</f>
        <v/>
      </c>
      <c r="G65" s="69" t="str">
        <f aca="false">IF(D65="","",D65-E65)</f>
        <v/>
      </c>
    </row>
    <row r="66" customFormat="false" ht="15.75" hidden="false" customHeight="true" outlineLevel="0" collapsed="false">
      <c r="A66" s="48"/>
      <c r="B66" s="49" t="s">
        <v>59</v>
      </c>
      <c r="C66" s="48"/>
      <c r="D66" s="51" t="n">
        <f aca="false">SUM(D6:D65)</f>
        <v>2039584.0128</v>
      </c>
      <c r="E66" s="51" t="n">
        <f aca="false">SUM(E6:E65)</f>
        <v>1179496.02</v>
      </c>
      <c r="F66" s="70" t="n">
        <f aca="false">IF(D66=0,"",E66/D66)</f>
        <v>0.578302248202443</v>
      </c>
      <c r="G66" s="51" t="n">
        <f aca="false">SUM(G6:G65)</f>
        <v>860087.9928</v>
      </c>
    </row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AM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C8" activeCellId="0" sqref="C8"/>
    </sheetView>
  </sheetViews>
  <sheetFormatPr defaultColWidth="14.507812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8" min="3" style="1" width="13"/>
    <col collapsed="false" customWidth="true" hidden="false" outlineLevel="0" max="39" min="39" style="1" width="16"/>
  </cols>
  <sheetData>
    <row r="1" customFormat="false" ht="15" hidden="false" customHeight="true" outlineLevel="0" collapsed="false">
      <c r="A1" s="33" t="s">
        <v>0</v>
      </c>
    </row>
    <row r="2" customFormat="false" ht="15" hidden="false" customHeight="true" outlineLevel="0" collapsed="false">
      <c r="A2" s="34" t="s">
        <v>81</v>
      </c>
    </row>
    <row r="3" customFormat="false" ht="15" hidden="false" customHeight="true" outlineLevel="0" collapsed="false">
      <c r="A3" s="35" t="s">
        <v>44</v>
      </c>
    </row>
    <row r="6" customFormat="false" ht="15" hidden="false" customHeight="true" outlineLevel="0" collapsed="false">
      <c r="A6" s="71"/>
      <c r="B6" s="71"/>
      <c r="C6" s="72" t="n">
        <f aca="false">YEAR(C7)</f>
        <v>2026</v>
      </c>
      <c r="D6" s="72" t="n">
        <f aca="false">YEAR(D7)</f>
        <v>2026</v>
      </c>
      <c r="E6" s="72" t="n">
        <f aca="false">YEAR(E7)</f>
        <v>2026</v>
      </c>
      <c r="F6" s="72" t="n">
        <f aca="false">YEAR(F7)</f>
        <v>2026</v>
      </c>
      <c r="G6" s="72" t="n">
        <f aca="false">YEAR(G7)</f>
        <v>2026</v>
      </c>
      <c r="H6" s="72" t="n">
        <f aca="false">YEAR(H7)</f>
        <v>2026</v>
      </c>
      <c r="I6" s="72" t="n">
        <f aca="false">YEAR(I7)</f>
        <v>2026</v>
      </c>
      <c r="J6" s="72" t="n">
        <f aca="false">YEAR(J7)</f>
        <v>2026</v>
      </c>
      <c r="K6" s="72" t="n">
        <f aca="false">YEAR(K7)</f>
        <v>2026</v>
      </c>
      <c r="L6" s="72" t="n">
        <f aca="false">YEAR(L7)</f>
        <v>2026</v>
      </c>
      <c r="M6" s="72" t="n">
        <f aca="false">YEAR(M7)</f>
        <v>2026</v>
      </c>
      <c r="N6" s="72" t="n">
        <f aca="false">YEAR(N7)</f>
        <v>2026</v>
      </c>
      <c r="O6" s="72" t="n">
        <f aca="false">YEAR(O7)</f>
        <v>2027</v>
      </c>
      <c r="P6" s="72" t="n">
        <f aca="false">YEAR(P7)</f>
        <v>2027</v>
      </c>
      <c r="Q6" s="72" t="n">
        <f aca="false">YEAR(Q7)</f>
        <v>2027</v>
      </c>
      <c r="R6" s="72" t="n">
        <f aca="false">YEAR(R7)</f>
        <v>2027</v>
      </c>
      <c r="S6" s="72" t="n">
        <f aca="false">YEAR(S7)</f>
        <v>2027</v>
      </c>
      <c r="T6" s="72" t="n">
        <f aca="false">YEAR(T7)</f>
        <v>2027</v>
      </c>
      <c r="U6" s="72" t="n">
        <f aca="false">YEAR(U7)</f>
        <v>2027</v>
      </c>
      <c r="V6" s="72" t="n">
        <f aca="false">YEAR(V7)</f>
        <v>2027</v>
      </c>
      <c r="W6" s="72" t="n">
        <f aca="false">YEAR(W7)</f>
        <v>2027</v>
      </c>
      <c r="X6" s="72" t="n">
        <f aca="false">YEAR(X7)</f>
        <v>2027</v>
      </c>
      <c r="Y6" s="72" t="n">
        <f aca="false">YEAR(Y7)</f>
        <v>2027</v>
      </c>
      <c r="Z6" s="72" t="n">
        <f aca="false">YEAR(Z7)</f>
        <v>2027</v>
      </c>
      <c r="AA6" s="72" t="n">
        <f aca="false">YEAR(AA7)</f>
        <v>2028</v>
      </c>
      <c r="AB6" s="72" t="n">
        <f aca="false">YEAR(AB7)</f>
        <v>2028</v>
      </c>
      <c r="AC6" s="72" t="n">
        <f aca="false">YEAR(AC7)</f>
        <v>2028</v>
      </c>
      <c r="AD6" s="72" t="n">
        <f aca="false">YEAR(AD7)</f>
        <v>2028</v>
      </c>
      <c r="AE6" s="72" t="n">
        <f aca="false">YEAR(AE7)</f>
        <v>2028</v>
      </c>
      <c r="AF6" s="72" t="n">
        <f aca="false">YEAR(AF7)</f>
        <v>2028</v>
      </c>
      <c r="AG6" s="72" t="n">
        <f aca="false">YEAR(AG7)</f>
        <v>2028</v>
      </c>
      <c r="AH6" s="72" t="n">
        <f aca="false">YEAR(AH7)</f>
        <v>2028</v>
      </c>
      <c r="AI6" s="72" t="n">
        <f aca="false">YEAR(AI7)</f>
        <v>2028</v>
      </c>
      <c r="AJ6" s="72" t="n">
        <f aca="false">YEAR(AJ7)</f>
        <v>2028</v>
      </c>
      <c r="AK6" s="72" t="n">
        <f aca="false">YEAR(AK7)</f>
        <v>2028</v>
      </c>
      <c r="AL6" s="72" t="n">
        <f aca="false">YEAR(AL7)</f>
        <v>2028</v>
      </c>
      <c r="AM6" s="72" t="n">
        <f aca="false">YEAR(AM7)</f>
        <v>1899</v>
      </c>
    </row>
    <row r="7" customFormat="false" ht="15" hidden="false" customHeight="true" outlineLevel="0" collapsed="false">
      <c r="A7" s="71"/>
      <c r="B7" s="73" t="s">
        <v>82</v>
      </c>
      <c r="C7" s="74" t="n">
        <v>46053</v>
      </c>
      <c r="D7" s="74" t="n">
        <f aca="false">EOMONTH(C7,1)</f>
        <v>46081</v>
      </c>
      <c r="E7" s="74" t="n">
        <f aca="false">EOMONTH(D7,1)</f>
        <v>46112</v>
      </c>
      <c r="F7" s="74" t="n">
        <f aca="false">EOMONTH(E7,1)</f>
        <v>46142</v>
      </c>
      <c r="G7" s="74" t="n">
        <f aca="false">EOMONTH(F7,1)</f>
        <v>46173</v>
      </c>
      <c r="H7" s="74" t="n">
        <f aca="false">EOMONTH(G7,1)</f>
        <v>46203</v>
      </c>
      <c r="I7" s="74" t="n">
        <f aca="false">EOMONTH(H7,1)</f>
        <v>46234</v>
      </c>
      <c r="J7" s="74" t="n">
        <f aca="false">EOMONTH(I7,1)</f>
        <v>46265</v>
      </c>
      <c r="K7" s="74" t="n">
        <f aca="false">EOMONTH(J7,1)</f>
        <v>46295</v>
      </c>
      <c r="L7" s="74" t="n">
        <f aca="false">EOMONTH(K7,1)</f>
        <v>46326</v>
      </c>
      <c r="M7" s="74" t="n">
        <f aca="false">EOMONTH(L7,1)</f>
        <v>46356</v>
      </c>
      <c r="N7" s="74" t="n">
        <f aca="false">EOMONTH(M7,1)</f>
        <v>46387</v>
      </c>
      <c r="O7" s="74" t="n">
        <f aca="false">EOMONTH(N7,1)</f>
        <v>46418</v>
      </c>
      <c r="P7" s="74" t="n">
        <f aca="false">EOMONTH(O7,1)</f>
        <v>46446</v>
      </c>
      <c r="Q7" s="74" t="n">
        <f aca="false">EOMONTH(P7,1)</f>
        <v>46477</v>
      </c>
      <c r="R7" s="74" t="n">
        <f aca="false">EOMONTH(Q7,1)</f>
        <v>46507</v>
      </c>
      <c r="S7" s="74" t="n">
        <f aca="false">EOMONTH(R7,1)</f>
        <v>46538</v>
      </c>
      <c r="T7" s="74" t="n">
        <f aca="false">EOMONTH(S7,1)</f>
        <v>46568</v>
      </c>
      <c r="U7" s="74" t="n">
        <f aca="false">EOMONTH(T7,1)</f>
        <v>46599</v>
      </c>
      <c r="V7" s="74" t="n">
        <f aca="false">EOMONTH(U7,1)</f>
        <v>46630</v>
      </c>
      <c r="W7" s="74" t="n">
        <f aca="false">EOMONTH(V7,1)</f>
        <v>46660</v>
      </c>
      <c r="X7" s="74" t="n">
        <f aca="false">EOMONTH(W7,1)</f>
        <v>46691</v>
      </c>
      <c r="Y7" s="74" t="n">
        <f aca="false">EOMONTH(X7,1)</f>
        <v>46721</v>
      </c>
      <c r="Z7" s="74" t="n">
        <f aca="false">EOMONTH(Y7,1)</f>
        <v>46752</v>
      </c>
      <c r="AA7" s="74" t="n">
        <f aca="false">EOMONTH(Z7,1)</f>
        <v>46783</v>
      </c>
      <c r="AB7" s="74" t="n">
        <f aca="false">EOMONTH(AA7,1)</f>
        <v>46812</v>
      </c>
      <c r="AC7" s="74" t="n">
        <f aca="false">EOMONTH(AB7,1)</f>
        <v>46843</v>
      </c>
      <c r="AD7" s="74" t="n">
        <f aca="false">EOMONTH(AC7,1)</f>
        <v>46873</v>
      </c>
      <c r="AE7" s="74" t="n">
        <f aca="false">EOMONTH(AD7,1)</f>
        <v>46904</v>
      </c>
      <c r="AF7" s="74" t="n">
        <f aca="false">EOMONTH(AE7,1)</f>
        <v>46934</v>
      </c>
      <c r="AG7" s="74" t="n">
        <f aca="false">EOMONTH(AF7,1)</f>
        <v>46965</v>
      </c>
      <c r="AH7" s="74" t="n">
        <f aca="false">EOMONTH(AG7,1)</f>
        <v>46996</v>
      </c>
      <c r="AI7" s="74" t="n">
        <f aca="false">EOMONTH(AH7,1)</f>
        <v>47026</v>
      </c>
      <c r="AJ7" s="74" t="n">
        <f aca="false">EOMONTH(AI7,1)</f>
        <v>47057</v>
      </c>
      <c r="AK7" s="74" t="n">
        <f aca="false">EOMONTH(AJ7,1)</f>
        <v>47087</v>
      </c>
      <c r="AL7" s="74" t="n">
        <f aca="false">EOMONTH(AK7,1)</f>
        <v>47118</v>
      </c>
      <c r="AM7" s="71"/>
    </row>
    <row r="9" customFormat="false" ht="15" hidden="false" customHeight="true" outlineLevel="0" collapsed="false">
      <c r="B9" s="75" t="s">
        <v>83</v>
      </c>
    </row>
    <row r="10" customFormat="false" ht="15" hidden="false" customHeight="true" outlineLevel="0" collapsed="false">
      <c r="B10" s="64" t="str">
        <f aca="false">IF(Presupuesto!B7="","",Presupuesto!B7)</f>
        <v>SAMSTORGAM</v>
      </c>
      <c r="C10" s="76" t="n">
        <f aca="false">IF($B10="","",SUMIFS('Flujo de Pagos'!$I$7:$I$506,'Flujo de Pagos'!$E$7:$E$506,$B10,'Flujo de Pagos'!$B$7:$B$506,C$7))</f>
        <v>106395.2</v>
      </c>
      <c r="D10" s="76" t="n">
        <f aca="false">IF($B10="","",SUMIFS('Flujo de Pagos'!$I$7:$I$506,'Flujo de Pagos'!$E$7:$E$506,$B10,'Flujo de Pagos'!$B$7:$B$506,D$7))</f>
        <v>0</v>
      </c>
      <c r="E10" s="76" t="n">
        <f aca="false">IF($B10="","",SUMIFS('Flujo de Pagos'!$I$7:$I$506,'Flujo de Pagos'!$E$7:$E$506,$B10,'Flujo de Pagos'!$B$7:$B$506,E$7))</f>
        <v>0</v>
      </c>
      <c r="F10" s="76" t="n">
        <f aca="false">IF($B10="","",SUMIFS('Flujo de Pagos'!$I$7:$I$506,'Flujo de Pagos'!$E$7:$E$506,$B10,'Flujo de Pagos'!$B$7:$B$506,F$7))</f>
        <v>0</v>
      </c>
      <c r="G10" s="76" t="n">
        <f aca="false">IF($B10="","",SUMIFS('Flujo de Pagos'!$I$7:$I$506,'Flujo de Pagos'!$E$7:$E$506,$B10,'Flujo de Pagos'!$B$7:$B$506,G$7))</f>
        <v>0</v>
      </c>
      <c r="H10" s="76" t="n">
        <f aca="false">IF($B10="","",SUMIFS('Flujo de Pagos'!$I$7:$I$506,'Flujo de Pagos'!$E$7:$E$506,$B10,'Flujo de Pagos'!$B$7:$B$506,H$7))</f>
        <v>0</v>
      </c>
      <c r="I10" s="76" t="n">
        <f aca="false">IF($B10="","",SUMIFS('Flujo de Pagos'!$I$7:$I$506,'Flujo de Pagos'!$E$7:$E$506,$B10,'Flujo de Pagos'!$B$7:$B$506,I$7))</f>
        <v>0</v>
      </c>
      <c r="J10" s="76" t="n">
        <f aca="false">IF($B10="","",SUMIFS('Flujo de Pagos'!$I$7:$I$506,'Flujo de Pagos'!$E$7:$E$506,$B10,'Flujo de Pagos'!$B$7:$B$506,J$7))</f>
        <v>0</v>
      </c>
      <c r="K10" s="76" t="n">
        <f aca="false">IF($B10="","",SUMIFS('Flujo de Pagos'!$I$7:$I$506,'Flujo de Pagos'!$E$7:$E$506,$B10,'Flujo de Pagos'!$B$7:$B$506,K$7))</f>
        <v>0</v>
      </c>
      <c r="L10" s="76" t="n">
        <f aca="false">IF($B10="","",SUMIFS('Flujo de Pagos'!$I$7:$I$506,'Flujo de Pagos'!$E$7:$E$506,$B10,'Flujo de Pagos'!$B$7:$B$506,L$7))</f>
        <v>0</v>
      </c>
      <c r="M10" s="76" t="n">
        <f aca="false">IF($B10="","",SUMIFS('Flujo de Pagos'!$I$7:$I$506,'Flujo de Pagos'!$E$7:$E$506,$B10,'Flujo de Pagos'!$B$7:$B$506,M$7))</f>
        <v>0</v>
      </c>
      <c r="N10" s="76" t="n">
        <f aca="false">IF($B10="","",SUMIFS('Flujo de Pagos'!$I$7:$I$506,'Flujo de Pagos'!$E$7:$E$506,$B10,'Flujo de Pagos'!$B$7:$B$506,N$7))</f>
        <v>0</v>
      </c>
      <c r="O10" s="76" t="n">
        <f aca="false">IF($B10="","",SUMIFS('Flujo de Pagos'!$I$7:$I$506,'Flujo de Pagos'!$E$7:$E$506,$B10,'Flujo de Pagos'!$B$7:$B$506,O$7))</f>
        <v>0</v>
      </c>
      <c r="P10" s="76" t="n">
        <f aca="false">IF($B10="","",SUMIFS('Flujo de Pagos'!$I$7:$I$506,'Flujo de Pagos'!$E$7:$E$506,$B10,'Flujo de Pagos'!$B$7:$B$506,P$7))</f>
        <v>0</v>
      </c>
      <c r="Q10" s="76" t="n">
        <f aca="false">IF($B10="","",SUMIFS('Flujo de Pagos'!$I$7:$I$506,'Flujo de Pagos'!$E$7:$E$506,$B10,'Flujo de Pagos'!$B$7:$B$506,Q$7))</f>
        <v>0</v>
      </c>
      <c r="R10" s="76" t="n">
        <f aca="false">IF($B10="","",SUMIFS('Flujo de Pagos'!$I$7:$I$506,'Flujo de Pagos'!$E$7:$E$506,$B10,'Flujo de Pagos'!$B$7:$B$506,R$7))</f>
        <v>0</v>
      </c>
      <c r="S10" s="76" t="n">
        <f aca="false">IF($B10="","",SUMIFS('Flujo de Pagos'!$I$7:$I$506,'Flujo de Pagos'!$E$7:$E$506,$B10,'Flujo de Pagos'!$B$7:$B$506,S$7))</f>
        <v>0</v>
      </c>
      <c r="T10" s="76" t="n">
        <f aca="false">IF($B10="","",SUMIFS('Flujo de Pagos'!$I$7:$I$506,'Flujo de Pagos'!$E$7:$E$506,$B10,'Flujo de Pagos'!$B$7:$B$506,T$7))</f>
        <v>0</v>
      </c>
      <c r="U10" s="76" t="n">
        <f aca="false">IF($B10="","",SUMIFS('Flujo de Pagos'!$I$7:$I$506,'Flujo de Pagos'!$E$7:$E$506,$B10,'Flujo de Pagos'!$B$7:$B$506,U$7))</f>
        <v>0</v>
      </c>
      <c r="V10" s="76" t="n">
        <f aca="false">IF($B10="","",SUMIFS('Flujo de Pagos'!$I$7:$I$506,'Flujo de Pagos'!$E$7:$E$506,$B10,'Flujo de Pagos'!$B$7:$B$506,V$7))</f>
        <v>0</v>
      </c>
      <c r="W10" s="76" t="n">
        <f aca="false">IF($B10="","",SUMIFS('Flujo de Pagos'!$I$7:$I$506,'Flujo de Pagos'!$E$7:$E$506,$B10,'Flujo de Pagos'!$B$7:$B$506,W$7))</f>
        <v>0</v>
      </c>
      <c r="X10" s="76" t="n">
        <f aca="false">IF($B10="","",SUMIFS('Flujo de Pagos'!$I$7:$I$506,'Flujo de Pagos'!$E$7:$E$506,$B10,'Flujo de Pagos'!$B$7:$B$506,X$7))</f>
        <v>0</v>
      </c>
      <c r="Y10" s="76" t="n">
        <f aca="false">IF($B10="","",SUMIFS('Flujo de Pagos'!$I$7:$I$506,'Flujo de Pagos'!$E$7:$E$506,$B10,'Flujo de Pagos'!$B$7:$B$506,Y$7))</f>
        <v>0</v>
      </c>
      <c r="Z10" s="76" t="n">
        <f aca="false">IF($B10="","",SUMIFS('Flujo de Pagos'!$I$7:$I$506,'Flujo de Pagos'!$E$7:$E$506,$B10,'Flujo de Pagos'!$B$7:$B$506,Z$7))</f>
        <v>0</v>
      </c>
      <c r="AA10" s="76" t="n">
        <f aca="false">IF($B10="","",SUMIFS('Flujo de Pagos'!$I$7:$I$506,'Flujo de Pagos'!$E$7:$E$506,$B10,'Flujo de Pagos'!$B$7:$B$506,AA$7))</f>
        <v>0</v>
      </c>
      <c r="AB10" s="76" t="n">
        <f aca="false">IF($B10="","",SUMIFS('Flujo de Pagos'!$I$7:$I$506,'Flujo de Pagos'!$E$7:$E$506,$B10,'Flujo de Pagos'!$B$7:$B$506,AB$7))</f>
        <v>0</v>
      </c>
      <c r="AC10" s="76" t="n">
        <f aca="false">IF($B10="","",SUMIFS('Flujo de Pagos'!$I$7:$I$506,'Flujo de Pagos'!$E$7:$E$506,$B10,'Flujo de Pagos'!$B$7:$B$506,AC$7))</f>
        <v>0</v>
      </c>
      <c r="AD10" s="76" t="n">
        <f aca="false">IF($B10="","",SUMIFS('Flujo de Pagos'!$I$7:$I$506,'Flujo de Pagos'!$E$7:$E$506,$B10,'Flujo de Pagos'!$B$7:$B$506,AD$7))</f>
        <v>0</v>
      </c>
      <c r="AE10" s="76" t="n">
        <f aca="false">IF($B10="","",SUMIFS('Flujo de Pagos'!$I$7:$I$506,'Flujo de Pagos'!$E$7:$E$506,$B10,'Flujo de Pagos'!$B$7:$B$506,AE$7))</f>
        <v>0</v>
      </c>
      <c r="AF10" s="76" t="n">
        <f aca="false">IF($B10="","",SUMIFS('Flujo de Pagos'!$I$7:$I$506,'Flujo de Pagos'!$E$7:$E$506,$B10,'Flujo de Pagos'!$B$7:$B$506,AF$7))</f>
        <v>0</v>
      </c>
      <c r="AG10" s="76" t="n">
        <f aca="false">IF($B10="","",SUMIFS('Flujo de Pagos'!$I$7:$I$506,'Flujo de Pagos'!$E$7:$E$506,$B10,'Flujo de Pagos'!$B$7:$B$506,AG$7))</f>
        <v>0</v>
      </c>
      <c r="AH10" s="76" t="n">
        <f aca="false">IF($B10="","",SUMIFS('Flujo de Pagos'!$I$7:$I$506,'Flujo de Pagos'!$E$7:$E$506,$B10,'Flujo de Pagos'!$B$7:$B$506,AH$7))</f>
        <v>0</v>
      </c>
      <c r="AI10" s="76" t="n">
        <f aca="false">IF($B10="","",SUMIFS('Flujo de Pagos'!$I$7:$I$506,'Flujo de Pagos'!$E$7:$E$506,$B10,'Flujo de Pagos'!$B$7:$B$506,AI$7))</f>
        <v>0</v>
      </c>
      <c r="AJ10" s="76" t="n">
        <f aca="false">IF($B10="","",SUMIFS('Flujo de Pagos'!$I$7:$I$506,'Flujo de Pagos'!$E$7:$E$506,$B10,'Flujo de Pagos'!$B$7:$B$506,AJ$7))</f>
        <v>0</v>
      </c>
      <c r="AK10" s="76" t="n">
        <f aca="false">IF($B10="","",SUMIFS('Flujo de Pagos'!$I$7:$I$506,'Flujo de Pagos'!$E$7:$E$506,$B10,'Flujo de Pagos'!$B$7:$B$506,AK$7))</f>
        <v>0</v>
      </c>
      <c r="AL10" s="76" t="n">
        <f aca="false">IF($B10="","",SUMIFS('Flujo de Pagos'!$I$7:$I$506,'Flujo de Pagos'!$E$7:$E$506,$B10,'Flujo de Pagos'!$B$7:$B$506,AL$7))</f>
        <v>0</v>
      </c>
      <c r="AM10" s="76" t="n">
        <f aca="false">SUM(C10:AL10)</f>
        <v>106395.2</v>
      </c>
    </row>
    <row r="11" customFormat="false" ht="15" hidden="false" customHeight="true" outlineLevel="0" collapsed="false">
      <c r="B11" s="64" t="str">
        <f aca="false">IF(Presupuesto!B8="","",Presupuesto!B8)</f>
        <v>Hector Triana</v>
      </c>
      <c r="C11" s="76" t="n">
        <f aca="false">IF($B11="","",SUMIFS('Flujo de Pagos'!$I$7:$I$506,'Flujo de Pagos'!$E$7:$E$506,$B11,'Flujo de Pagos'!$B$7:$B$506,C$7))</f>
        <v>0</v>
      </c>
      <c r="D11" s="76" t="n">
        <f aca="false">IF($B11="","",SUMIFS('Flujo de Pagos'!$I$7:$I$506,'Flujo de Pagos'!$E$7:$E$506,$B11,'Flujo de Pagos'!$B$7:$B$506,D$7))</f>
        <v>100000</v>
      </c>
      <c r="E11" s="76" t="n">
        <f aca="false">IF($B11="","",SUMIFS('Flujo de Pagos'!$I$7:$I$506,'Flujo de Pagos'!$E$7:$E$506,$B11,'Flujo de Pagos'!$B$7:$B$506,E$7))</f>
        <v>0</v>
      </c>
      <c r="F11" s="76" t="n">
        <f aca="false">IF($B11="","",SUMIFS('Flujo de Pagos'!$I$7:$I$506,'Flujo de Pagos'!$E$7:$E$506,$B11,'Flujo de Pagos'!$B$7:$B$506,F$7))</f>
        <v>0</v>
      </c>
      <c r="G11" s="76" t="n">
        <f aca="false">IF($B11="","",SUMIFS('Flujo de Pagos'!$I$7:$I$506,'Flujo de Pagos'!$E$7:$E$506,$B11,'Flujo de Pagos'!$B$7:$B$506,G$7))</f>
        <v>0</v>
      </c>
      <c r="H11" s="76" t="n">
        <f aca="false">IF($B11="","",SUMIFS('Flujo de Pagos'!$I$7:$I$506,'Flujo de Pagos'!$E$7:$E$506,$B11,'Flujo de Pagos'!$B$7:$B$506,H$7))</f>
        <v>0</v>
      </c>
      <c r="I11" s="76" t="n">
        <f aca="false">IF($B11="","",SUMIFS('Flujo de Pagos'!$I$7:$I$506,'Flujo de Pagos'!$E$7:$E$506,$B11,'Flujo de Pagos'!$B$7:$B$506,I$7))</f>
        <v>0</v>
      </c>
      <c r="J11" s="76" t="n">
        <f aca="false">IF($B11="","",SUMIFS('Flujo de Pagos'!$I$7:$I$506,'Flujo de Pagos'!$E$7:$E$506,$B11,'Flujo de Pagos'!$B$7:$B$506,J$7))</f>
        <v>0</v>
      </c>
      <c r="K11" s="76" t="n">
        <f aca="false">IF($B11="","",SUMIFS('Flujo de Pagos'!$I$7:$I$506,'Flujo de Pagos'!$E$7:$E$506,$B11,'Flujo de Pagos'!$B$7:$B$506,K$7))</f>
        <v>0</v>
      </c>
      <c r="L11" s="76" t="n">
        <f aca="false">IF($B11="","",SUMIFS('Flujo de Pagos'!$I$7:$I$506,'Flujo de Pagos'!$E$7:$E$506,$B11,'Flujo de Pagos'!$B$7:$B$506,L$7))</f>
        <v>0</v>
      </c>
      <c r="M11" s="76" t="n">
        <f aca="false">IF($B11="","",SUMIFS('Flujo de Pagos'!$I$7:$I$506,'Flujo de Pagos'!$E$7:$E$506,$B11,'Flujo de Pagos'!$B$7:$B$506,M$7))</f>
        <v>0</v>
      </c>
      <c r="N11" s="76" t="n">
        <f aca="false">IF($B11="","",SUMIFS('Flujo de Pagos'!$I$7:$I$506,'Flujo de Pagos'!$E$7:$E$506,$B11,'Flujo de Pagos'!$B$7:$B$506,N$7))</f>
        <v>0</v>
      </c>
      <c r="O11" s="76" t="n">
        <f aca="false">IF($B11="","",SUMIFS('Flujo de Pagos'!$I$7:$I$506,'Flujo de Pagos'!$E$7:$E$506,$B11,'Flujo de Pagos'!$B$7:$B$506,O$7))</f>
        <v>0</v>
      </c>
      <c r="P11" s="76" t="n">
        <f aca="false">IF($B11="","",SUMIFS('Flujo de Pagos'!$I$7:$I$506,'Flujo de Pagos'!$E$7:$E$506,$B11,'Flujo de Pagos'!$B$7:$B$506,P$7))</f>
        <v>0</v>
      </c>
      <c r="Q11" s="76" t="n">
        <f aca="false">IF($B11="","",SUMIFS('Flujo de Pagos'!$I$7:$I$506,'Flujo de Pagos'!$E$7:$E$506,$B11,'Flujo de Pagos'!$B$7:$B$506,Q$7))</f>
        <v>0</v>
      </c>
      <c r="R11" s="76" t="n">
        <f aca="false">IF($B11="","",SUMIFS('Flujo de Pagos'!$I$7:$I$506,'Flujo de Pagos'!$E$7:$E$506,$B11,'Flujo de Pagos'!$B$7:$B$506,R$7))</f>
        <v>0</v>
      </c>
      <c r="S11" s="76" t="n">
        <f aca="false">IF($B11="","",SUMIFS('Flujo de Pagos'!$I$7:$I$506,'Flujo de Pagos'!$E$7:$E$506,$B11,'Flujo de Pagos'!$B$7:$B$506,S$7))</f>
        <v>0</v>
      </c>
      <c r="T11" s="76" t="n">
        <f aca="false">IF($B11="","",SUMIFS('Flujo de Pagos'!$I$7:$I$506,'Flujo de Pagos'!$E$7:$E$506,$B11,'Flujo de Pagos'!$B$7:$B$506,T$7))</f>
        <v>0</v>
      </c>
      <c r="U11" s="76" t="n">
        <f aca="false">IF($B11="","",SUMIFS('Flujo de Pagos'!$I$7:$I$506,'Flujo de Pagos'!$E$7:$E$506,$B11,'Flujo de Pagos'!$B$7:$B$506,U$7))</f>
        <v>0</v>
      </c>
      <c r="V11" s="76" t="n">
        <f aca="false">IF($B11="","",SUMIFS('Flujo de Pagos'!$I$7:$I$506,'Flujo de Pagos'!$E$7:$E$506,$B11,'Flujo de Pagos'!$B$7:$B$506,V$7))</f>
        <v>0</v>
      </c>
      <c r="W11" s="76" t="n">
        <f aca="false">IF($B11="","",SUMIFS('Flujo de Pagos'!$I$7:$I$506,'Flujo de Pagos'!$E$7:$E$506,$B11,'Flujo de Pagos'!$B$7:$B$506,W$7))</f>
        <v>0</v>
      </c>
      <c r="X11" s="76" t="n">
        <f aca="false">IF($B11="","",SUMIFS('Flujo de Pagos'!$I$7:$I$506,'Flujo de Pagos'!$E$7:$E$506,$B11,'Flujo de Pagos'!$B$7:$B$506,X$7))</f>
        <v>0</v>
      </c>
      <c r="Y11" s="76" t="n">
        <f aca="false">IF($B11="","",SUMIFS('Flujo de Pagos'!$I$7:$I$506,'Flujo de Pagos'!$E$7:$E$506,$B11,'Flujo de Pagos'!$B$7:$B$506,Y$7))</f>
        <v>0</v>
      </c>
      <c r="Z11" s="76" t="n">
        <f aca="false">IF($B11="","",SUMIFS('Flujo de Pagos'!$I$7:$I$506,'Flujo de Pagos'!$E$7:$E$506,$B11,'Flujo de Pagos'!$B$7:$B$506,Z$7))</f>
        <v>0</v>
      </c>
      <c r="AA11" s="76" t="n">
        <f aca="false">IF($B11="","",SUMIFS('Flujo de Pagos'!$I$7:$I$506,'Flujo de Pagos'!$E$7:$E$506,$B11,'Flujo de Pagos'!$B$7:$B$506,AA$7))</f>
        <v>0</v>
      </c>
      <c r="AB11" s="76" t="n">
        <f aca="false">IF($B11="","",SUMIFS('Flujo de Pagos'!$I$7:$I$506,'Flujo de Pagos'!$E$7:$E$506,$B11,'Flujo de Pagos'!$B$7:$B$506,AB$7))</f>
        <v>0</v>
      </c>
      <c r="AC11" s="76" t="n">
        <f aca="false">IF($B11="","",SUMIFS('Flujo de Pagos'!$I$7:$I$506,'Flujo de Pagos'!$E$7:$E$506,$B11,'Flujo de Pagos'!$B$7:$B$506,AC$7))</f>
        <v>0</v>
      </c>
      <c r="AD11" s="76" t="n">
        <f aca="false">IF($B11="","",SUMIFS('Flujo de Pagos'!$I$7:$I$506,'Flujo de Pagos'!$E$7:$E$506,$B11,'Flujo de Pagos'!$B$7:$B$506,AD$7))</f>
        <v>0</v>
      </c>
      <c r="AE11" s="76" t="n">
        <f aca="false">IF($B11="","",SUMIFS('Flujo de Pagos'!$I$7:$I$506,'Flujo de Pagos'!$E$7:$E$506,$B11,'Flujo de Pagos'!$B$7:$B$506,AE$7))</f>
        <v>0</v>
      </c>
      <c r="AF11" s="76" t="n">
        <f aca="false">IF($B11="","",SUMIFS('Flujo de Pagos'!$I$7:$I$506,'Flujo de Pagos'!$E$7:$E$506,$B11,'Flujo de Pagos'!$B$7:$B$506,AF$7))</f>
        <v>0</v>
      </c>
      <c r="AG11" s="76" t="n">
        <f aca="false">IF($B11="","",SUMIFS('Flujo de Pagos'!$I$7:$I$506,'Flujo de Pagos'!$E$7:$E$506,$B11,'Flujo de Pagos'!$B$7:$B$506,AG$7))</f>
        <v>0</v>
      </c>
      <c r="AH11" s="76" t="n">
        <f aca="false">IF($B11="","",SUMIFS('Flujo de Pagos'!$I$7:$I$506,'Flujo de Pagos'!$E$7:$E$506,$B11,'Flujo de Pagos'!$B$7:$B$506,AH$7))</f>
        <v>0</v>
      </c>
      <c r="AI11" s="76" t="n">
        <f aca="false">IF($B11="","",SUMIFS('Flujo de Pagos'!$I$7:$I$506,'Flujo de Pagos'!$E$7:$E$506,$B11,'Flujo de Pagos'!$B$7:$B$506,AI$7))</f>
        <v>0</v>
      </c>
      <c r="AJ11" s="76" t="n">
        <f aca="false">IF($B11="","",SUMIFS('Flujo de Pagos'!$I$7:$I$506,'Flujo de Pagos'!$E$7:$E$506,$B11,'Flujo de Pagos'!$B$7:$B$506,AJ$7))</f>
        <v>0</v>
      </c>
      <c r="AK11" s="76" t="n">
        <f aca="false">IF($B11="","",SUMIFS('Flujo de Pagos'!$I$7:$I$506,'Flujo de Pagos'!$E$7:$E$506,$B11,'Flujo de Pagos'!$B$7:$B$506,AK$7))</f>
        <v>0</v>
      </c>
      <c r="AL11" s="76" t="n">
        <f aca="false">IF($B11="","",SUMIFS('Flujo de Pagos'!$I$7:$I$506,'Flujo de Pagos'!$E$7:$E$506,$B11,'Flujo de Pagos'!$B$7:$B$506,AL$7))</f>
        <v>0</v>
      </c>
      <c r="AM11" s="76" t="n">
        <f aca="false">SUM(C11:AL11)</f>
        <v>100000</v>
      </c>
    </row>
    <row r="12" customFormat="false" ht="15" hidden="false" customHeight="true" outlineLevel="0" collapsed="false">
      <c r="B12" s="64" t="str">
        <f aca="false">IF(Presupuesto!B9="","",Presupuesto!B9)</f>
        <v>ABIKAR</v>
      </c>
      <c r="C12" s="76" t="n">
        <f aca="false">IF($B12="","",SUMIFS('Flujo de Pagos'!$I$7:$I$506,'Flujo de Pagos'!$E$7:$E$506,$B12,'Flujo de Pagos'!$B$7:$B$506,C$7))</f>
        <v>0</v>
      </c>
      <c r="D12" s="76" t="n">
        <f aca="false">IF($B12="","",SUMIFS('Flujo de Pagos'!$I$7:$I$506,'Flujo de Pagos'!$E$7:$E$506,$B12,'Flujo de Pagos'!$B$7:$B$506,D$7))</f>
        <v>0</v>
      </c>
      <c r="E12" s="76" t="n">
        <f aca="false">IF($B12="","",SUMIFS('Flujo de Pagos'!$I$7:$I$506,'Flujo de Pagos'!$E$7:$E$506,$B12,'Flujo de Pagos'!$B$7:$B$506,E$7))</f>
        <v>0</v>
      </c>
      <c r="F12" s="76" t="n">
        <f aca="false">IF($B12="","",SUMIFS('Flujo de Pagos'!$I$7:$I$506,'Flujo de Pagos'!$E$7:$E$506,$B12,'Flujo de Pagos'!$B$7:$B$506,F$7))</f>
        <v>90000</v>
      </c>
      <c r="G12" s="76" t="n">
        <f aca="false">IF($B12="","",SUMIFS('Flujo de Pagos'!$I$7:$I$506,'Flujo de Pagos'!$E$7:$E$506,$B12,'Flujo de Pagos'!$B$7:$B$506,G$7))</f>
        <v>0</v>
      </c>
      <c r="H12" s="76" t="n">
        <f aca="false">IF($B12="","",SUMIFS('Flujo de Pagos'!$I$7:$I$506,'Flujo de Pagos'!$E$7:$E$506,$B12,'Flujo de Pagos'!$B$7:$B$506,H$7))</f>
        <v>0</v>
      </c>
      <c r="I12" s="76" t="n">
        <f aca="false">IF($B12="","",SUMIFS('Flujo de Pagos'!$I$7:$I$506,'Flujo de Pagos'!$E$7:$E$506,$B12,'Flujo de Pagos'!$B$7:$B$506,I$7))</f>
        <v>0</v>
      </c>
      <c r="J12" s="76" t="n">
        <f aca="false">IF($B12="","",SUMIFS('Flujo de Pagos'!$I$7:$I$506,'Flujo de Pagos'!$E$7:$E$506,$B12,'Flujo de Pagos'!$B$7:$B$506,J$7))</f>
        <v>0</v>
      </c>
      <c r="K12" s="76" t="n">
        <f aca="false">IF($B12="","",SUMIFS('Flujo de Pagos'!$I$7:$I$506,'Flujo de Pagos'!$E$7:$E$506,$B12,'Flujo de Pagos'!$B$7:$B$506,K$7))</f>
        <v>0</v>
      </c>
      <c r="L12" s="76" t="n">
        <f aca="false">IF($B12="","",SUMIFS('Flujo de Pagos'!$I$7:$I$506,'Flujo de Pagos'!$E$7:$E$506,$B12,'Flujo de Pagos'!$B$7:$B$506,L$7))</f>
        <v>0</v>
      </c>
      <c r="M12" s="76" t="n">
        <f aca="false">IF($B12="","",SUMIFS('Flujo de Pagos'!$I$7:$I$506,'Flujo de Pagos'!$E$7:$E$506,$B12,'Flujo de Pagos'!$B$7:$B$506,M$7))</f>
        <v>0</v>
      </c>
      <c r="N12" s="76" t="n">
        <f aca="false">IF($B12="","",SUMIFS('Flujo de Pagos'!$I$7:$I$506,'Flujo de Pagos'!$E$7:$E$506,$B12,'Flujo de Pagos'!$B$7:$B$506,N$7))</f>
        <v>0</v>
      </c>
      <c r="O12" s="76" t="n">
        <f aca="false">IF($B12="","",SUMIFS('Flujo de Pagos'!$I$7:$I$506,'Flujo de Pagos'!$E$7:$E$506,$B12,'Flujo de Pagos'!$B$7:$B$506,O$7))</f>
        <v>0</v>
      </c>
      <c r="P12" s="76" t="n">
        <f aca="false">IF($B12="","",SUMIFS('Flujo de Pagos'!$I$7:$I$506,'Flujo de Pagos'!$E$7:$E$506,$B12,'Flujo de Pagos'!$B$7:$B$506,P$7))</f>
        <v>0</v>
      </c>
      <c r="Q12" s="76" t="n">
        <f aca="false">IF($B12="","",SUMIFS('Flujo de Pagos'!$I$7:$I$506,'Flujo de Pagos'!$E$7:$E$506,$B12,'Flujo de Pagos'!$B$7:$B$506,Q$7))</f>
        <v>0</v>
      </c>
      <c r="R12" s="76" t="n">
        <f aca="false">IF($B12="","",SUMIFS('Flujo de Pagos'!$I$7:$I$506,'Flujo de Pagos'!$E$7:$E$506,$B12,'Flujo de Pagos'!$B$7:$B$506,R$7))</f>
        <v>0</v>
      </c>
      <c r="S12" s="76" t="n">
        <f aca="false">IF($B12="","",SUMIFS('Flujo de Pagos'!$I$7:$I$506,'Flujo de Pagos'!$E$7:$E$506,$B12,'Flujo de Pagos'!$B$7:$B$506,S$7))</f>
        <v>0</v>
      </c>
      <c r="T12" s="76" t="n">
        <f aca="false">IF($B12="","",SUMIFS('Flujo de Pagos'!$I$7:$I$506,'Flujo de Pagos'!$E$7:$E$506,$B12,'Flujo de Pagos'!$B$7:$B$506,T$7))</f>
        <v>0</v>
      </c>
      <c r="U12" s="76" t="n">
        <f aca="false">IF($B12="","",SUMIFS('Flujo de Pagos'!$I$7:$I$506,'Flujo de Pagos'!$E$7:$E$506,$B12,'Flujo de Pagos'!$B$7:$B$506,U$7))</f>
        <v>0</v>
      </c>
      <c r="V12" s="76" t="n">
        <f aca="false">IF($B12="","",SUMIFS('Flujo de Pagos'!$I$7:$I$506,'Flujo de Pagos'!$E$7:$E$506,$B12,'Flujo de Pagos'!$B$7:$B$506,V$7))</f>
        <v>0</v>
      </c>
      <c r="W12" s="76" t="n">
        <f aca="false">IF($B12="","",SUMIFS('Flujo de Pagos'!$I$7:$I$506,'Flujo de Pagos'!$E$7:$E$506,$B12,'Flujo de Pagos'!$B$7:$B$506,W$7))</f>
        <v>0</v>
      </c>
      <c r="X12" s="76" t="n">
        <f aca="false">IF($B12="","",SUMIFS('Flujo de Pagos'!$I$7:$I$506,'Flujo de Pagos'!$E$7:$E$506,$B12,'Flujo de Pagos'!$B$7:$B$506,X$7))</f>
        <v>0</v>
      </c>
      <c r="Y12" s="76" t="n">
        <f aca="false">IF($B12="","",SUMIFS('Flujo de Pagos'!$I$7:$I$506,'Flujo de Pagos'!$E$7:$E$506,$B12,'Flujo de Pagos'!$B$7:$B$506,Y$7))</f>
        <v>0</v>
      </c>
      <c r="Z12" s="76" t="n">
        <f aca="false">IF($B12="","",SUMIFS('Flujo de Pagos'!$I$7:$I$506,'Flujo de Pagos'!$E$7:$E$506,$B12,'Flujo de Pagos'!$B$7:$B$506,Z$7))</f>
        <v>0</v>
      </c>
      <c r="AA12" s="76" t="n">
        <f aca="false">IF($B12="","",SUMIFS('Flujo de Pagos'!$I$7:$I$506,'Flujo de Pagos'!$E$7:$E$506,$B12,'Flujo de Pagos'!$B$7:$B$506,AA$7))</f>
        <v>0</v>
      </c>
      <c r="AB12" s="76" t="n">
        <f aca="false">IF($B12="","",SUMIFS('Flujo de Pagos'!$I$7:$I$506,'Flujo de Pagos'!$E$7:$E$506,$B12,'Flujo de Pagos'!$B$7:$B$506,AB$7))</f>
        <v>0</v>
      </c>
      <c r="AC12" s="76" t="n">
        <f aca="false">IF($B12="","",SUMIFS('Flujo de Pagos'!$I$7:$I$506,'Flujo de Pagos'!$E$7:$E$506,$B12,'Flujo de Pagos'!$B$7:$B$506,AC$7))</f>
        <v>0</v>
      </c>
      <c r="AD12" s="76" t="n">
        <f aca="false">IF($B12="","",SUMIFS('Flujo de Pagos'!$I$7:$I$506,'Flujo de Pagos'!$E$7:$E$506,$B12,'Flujo de Pagos'!$B$7:$B$506,AD$7))</f>
        <v>0</v>
      </c>
      <c r="AE12" s="76" t="n">
        <f aca="false">IF($B12="","",SUMIFS('Flujo de Pagos'!$I$7:$I$506,'Flujo de Pagos'!$E$7:$E$506,$B12,'Flujo de Pagos'!$B$7:$B$506,AE$7))</f>
        <v>0</v>
      </c>
      <c r="AF12" s="76" t="n">
        <f aca="false">IF($B12="","",SUMIFS('Flujo de Pagos'!$I$7:$I$506,'Flujo de Pagos'!$E$7:$E$506,$B12,'Flujo de Pagos'!$B$7:$B$506,AF$7))</f>
        <v>0</v>
      </c>
      <c r="AG12" s="76" t="n">
        <f aca="false">IF($B12="","",SUMIFS('Flujo de Pagos'!$I$7:$I$506,'Flujo de Pagos'!$E$7:$E$506,$B12,'Flujo de Pagos'!$B$7:$B$506,AG$7))</f>
        <v>0</v>
      </c>
      <c r="AH12" s="76" t="n">
        <f aca="false">IF($B12="","",SUMIFS('Flujo de Pagos'!$I$7:$I$506,'Flujo de Pagos'!$E$7:$E$506,$B12,'Flujo de Pagos'!$B$7:$B$506,AH$7))</f>
        <v>0</v>
      </c>
      <c r="AI12" s="76" t="n">
        <f aca="false">IF($B12="","",SUMIFS('Flujo de Pagos'!$I$7:$I$506,'Flujo de Pagos'!$E$7:$E$506,$B12,'Flujo de Pagos'!$B$7:$B$506,AI$7))</f>
        <v>0</v>
      </c>
      <c r="AJ12" s="76" t="n">
        <f aca="false">IF($B12="","",SUMIFS('Flujo de Pagos'!$I$7:$I$506,'Flujo de Pagos'!$E$7:$E$506,$B12,'Flujo de Pagos'!$B$7:$B$506,AJ$7))</f>
        <v>0</v>
      </c>
      <c r="AK12" s="76" t="n">
        <f aca="false">IF($B12="","",SUMIFS('Flujo de Pagos'!$I$7:$I$506,'Flujo de Pagos'!$E$7:$E$506,$B12,'Flujo de Pagos'!$B$7:$B$506,AK$7))</f>
        <v>0</v>
      </c>
      <c r="AL12" s="76" t="n">
        <f aca="false">IF($B12="","",SUMIFS('Flujo de Pagos'!$I$7:$I$506,'Flujo de Pagos'!$E$7:$E$506,$B12,'Flujo de Pagos'!$B$7:$B$506,AL$7))</f>
        <v>0</v>
      </c>
      <c r="AM12" s="76" t="n">
        <f aca="false">SUM(C12:AL12)</f>
        <v>90000</v>
      </c>
    </row>
    <row r="13" customFormat="false" ht="15" hidden="false" customHeight="true" outlineLevel="0" collapsed="false">
      <c r="B13" s="64" t="str">
        <f aca="false">IF(Presupuesto!B10="","",Presupuesto!B10)</f>
        <v>Urarq</v>
      </c>
      <c r="C13" s="76" t="n">
        <f aca="false">IF($B13="","",SUMIFS('Flujo de Pagos'!$I$7:$I$506,'Flujo de Pagos'!$E$7:$E$506,$B13,'Flujo de Pagos'!$B$7:$B$506,C$7))</f>
        <v>0</v>
      </c>
      <c r="D13" s="76" t="n">
        <f aca="false">IF($B13="","",SUMIFS('Flujo de Pagos'!$I$7:$I$506,'Flujo de Pagos'!$E$7:$E$506,$B13,'Flujo de Pagos'!$B$7:$B$506,D$7))</f>
        <v>0</v>
      </c>
      <c r="E13" s="76" t="n">
        <f aca="false">IF($B13="","",SUMIFS('Flujo de Pagos'!$I$7:$I$506,'Flujo de Pagos'!$E$7:$E$506,$B13,'Flujo de Pagos'!$B$7:$B$506,E$7))</f>
        <v>0</v>
      </c>
      <c r="F13" s="76" t="n">
        <f aca="false">IF($B13="","",SUMIFS('Flujo de Pagos'!$I$7:$I$506,'Flujo de Pagos'!$E$7:$E$506,$B13,'Flujo de Pagos'!$B$7:$B$506,F$7))</f>
        <v>90000</v>
      </c>
      <c r="G13" s="76" t="n">
        <f aca="false">IF($B13="","",SUMIFS('Flujo de Pagos'!$I$7:$I$506,'Flujo de Pagos'!$E$7:$E$506,$B13,'Flujo de Pagos'!$B$7:$B$506,G$7))</f>
        <v>185952.81</v>
      </c>
      <c r="H13" s="76" t="n">
        <f aca="false">IF($B13="","",SUMIFS('Flujo de Pagos'!$I$7:$I$506,'Flujo de Pagos'!$E$7:$E$506,$B13,'Flujo de Pagos'!$B$7:$B$506,H$7))</f>
        <v>0</v>
      </c>
      <c r="I13" s="76" t="n">
        <f aca="false">IF($B13="","",SUMIFS('Flujo de Pagos'!$I$7:$I$506,'Flujo de Pagos'!$E$7:$E$506,$B13,'Flujo de Pagos'!$B$7:$B$506,I$7))</f>
        <v>0</v>
      </c>
      <c r="J13" s="76" t="n">
        <f aca="false">IF($B13="","",SUMIFS('Flujo de Pagos'!$I$7:$I$506,'Flujo de Pagos'!$E$7:$E$506,$B13,'Flujo de Pagos'!$B$7:$B$506,J$7))</f>
        <v>0</v>
      </c>
      <c r="K13" s="76" t="n">
        <f aca="false">IF($B13="","",SUMIFS('Flujo de Pagos'!$I$7:$I$506,'Flujo de Pagos'!$E$7:$E$506,$B13,'Flujo de Pagos'!$B$7:$B$506,K$7))</f>
        <v>0</v>
      </c>
      <c r="L13" s="76" t="n">
        <f aca="false">IF($B13="","",SUMIFS('Flujo de Pagos'!$I$7:$I$506,'Flujo de Pagos'!$E$7:$E$506,$B13,'Flujo de Pagos'!$B$7:$B$506,L$7))</f>
        <v>0</v>
      </c>
      <c r="M13" s="76" t="n">
        <f aca="false">IF($B13="","",SUMIFS('Flujo de Pagos'!$I$7:$I$506,'Flujo de Pagos'!$E$7:$E$506,$B13,'Flujo de Pagos'!$B$7:$B$506,M$7))</f>
        <v>0</v>
      </c>
      <c r="N13" s="76" t="n">
        <f aca="false">IF($B13="","",SUMIFS('Flujo de Pagos'!$I$7:$I$506,'Flujo de Pagos'!$E$7:$E$506,$B13,'Flujo de Pagos'!$B$7:$B$506,N$7))</f>
        <v>0</v>
      </c>
      <c r="O13" s="76" t="n">
        <f aca="false">IF($B13="","",SUMIFS('Flujo de Pagos'!$I$7:$I$506,'Flujo de Pagos'!$E$7:$E$506,$B13,'Flujo de Pagos'!$B$7:$B$506,O$7))</f>
        <v>0</v>
      </c>
      <c r="P13" s="76" t="n">
        <f aca="false">IF($B13="","",SUMIFS('Flujo de Pagos'!$I$7:$I$506,'Flujo de Pagos'!$E$7:$E$506,$B13,'Flujo de Pagos'!$B$7:$B$506,P$7))</f>
        <v>0</v>
      </c>
      <c r="Q13" s="76" t="n">
        <f aca="false">IF($B13="","",SUMIFS('Flujo de Pagos'!$I$7:$I$506,'Flujo de Pagos'!$E$7:$E$506,$B13,'Flujo de Pagos'!$B$7:$B$506,Q$7))</f>
        <v>0</v>
      </c>
      <c r="R13" s="76" t="n">
        <f aca="false">IF($B13="","",SUMIFS('Flujo de Pagos'!$I$7:$I$506,'Flujo de Pagos'!$E$7:$E$506,$B13,'Flujo de Pagos'!$B$7:$B$506,R$7))</f>
        <v>0</v>
      </c>
      <c r="S13" s="76" t="n">
        <f aca="false">IF($B13="","",SUMIFS('Flujo de Pagos'!$I$7:$I$506,'Flujo de Pagos'!$E$7:$E$506,$B13,'Flujo de Pagos'!$B$7:$B$506,S$7))</f>
        <v>0</v>
      </c>
      <c r="T13" s="76" t="n">
        <f aca="false">IF($B13="","",SUMIFS('Flujo de Pagos'!$I$7:$I$506,'Flujo de Pagos'!$E$7:$E$506,$B13,'Flujo de Pagos'!$B$7:$B$506,T$7))</f>
        <v>0</v>
      </c>
      <c r="U13" s="76" t="n">
        <f aca="false">IF($B13="","",SUMIFS('Flujo de Pagos'!$I$7:$I$506,'Flujo de Pagos'!$E$7:$E$506,$B13,'Flujo de Pagos'!$B$7:$B$506,U$7))</f>
        <v>0</v>
      </c>
      <c r="V13" s="76" t="n">
        <f aca="false">IF($B13="","",SUMIFS('Flujo de Pagos'!$I$7:$I$506,'Flujo de Pagos'!$E$7:$E$506,$B13,'Flujo de Pagos'!$B$7:$B$506,V$7))</f>
        <v>0</v>
      </c>
      <c r="W13" s="76" t="n">
        <f aca="false">IF($B13="","",SUMIFS('Flujo de Pagos'!$I$7:$I$506,'Flujo de Pagos'!$E$7:$E$506,$B13,'Flujo de Pagos'!$B$7:$B$506,W$7))</f>
        <v>0</v>
      </c>
      <c r="X13" s="76" t="n">
        <f aca="false">IF($B13="","",SUMIFS('Flujo de Pagos'!$I$7:$I$506,'Flujo de Pagos'!$E$7:$E$506,$B13,'Flujo de Pagos'!$B$7:$B$506,X$7))</f>
        <v>0</v>
      </c>
      <c r="Y13" s="76" t="n">
        <f aca="false">IF($B13="","",SUMIFS('Flujo de Pagos'!$I$7:$I$506,'Flujo de Pagos'!$E$7:$E$506,$B13,'Flujo de Pagos'!$B$7:$B$506,Y$7))</f>
        <v>0</v>
      </c>
      <c r="Z13" s="76" t="n">
        <f aca="false">IF($B13="","",SUMIFS('Flujo de Pagos'!$I$7:$I$506,'Flujo de Pagos'!$E$7:$E$506,$B13,'Flujo de Pagos'!$B$7:$B$506,Z$7))</f>
        <v>0</v>
      </c>
      <c r="AA13" s="76" t="n">
        <f aca="false">IF($B13="","",SUMIFS('Flujo de Pagos'!$I$7:$I$506,'Flujo de Pagos'!$E$7:$E$506,$B13,'Flujo de Pagos'!$B$7:$B$506,AA$7))</f>
        <v>0</v>
      </c>
      <c r="AB13" s="76" t="n">
        <f aca="false">IF($B13="","",SUMIFS('Flujo de Pagos'!$I$7:$I$506,'Flujo de Pagos'!$E$7:$E$506,$B13,'Flujo de Pagos'!$B$7:$B$506,AB$7))</f>
        <v>0</v>
      </c>
      <c r="AC13" s="76" t="n">
        <f aca="false">IF($B13="","",SUMIFS('Flujo de Pagos'!$I$7:$I$506,'Flujo de Pagos'!$E$7:$E$506,$B13,'Flujo de Pagos'!$B$7:$B$506,AC$7))</f>
        <v>0</v>
      </c>
      <c r="AD13" s="76" t="n">
        <f aca="false">IF($B13="","",SUMIFS('Flujo de Pagos'!$I$7:$I$506,'Flujo de Pagos'!$E$7:$E$506,$B13,'Flujo de Pagos'!$B$7:$B$506,AD$7))</f>
        <v>0</v>
      </c>
      <c r="AE13" s="76" t="n">
        <f aca="false">IF($B13="","",SUMIFS('Flujo de Pagos'!$I$7:$I$506,'Flujo de Pagos'!$E$7:$E$506,$B13,'Flujo de Pagos'!$B$7:$B$506,AE$7))</f>
        <v>0</v>
      </c>
      <c r="AF13" s="76" t="n">
        <f aca="false">IF($B13="","",SUMIFS('Flujo de Pagos'!$I$7:$I$506,'Flujo de Pagos'!$E$7:$E$506,$B13,'Flujo de Pagos'!$B$7:$B$506,AF$7))</f>
        <v>0</v>
      </c>
      <c r="AG13" s="76" t="n">
        <f aca="false">IF($B13="","",SUMIFS('Flujo de Pagos'!$I$7:$I$506,'Flujo de Pagos'!$E$7:$E$506,$B13,'Flujo de Pagos'!$B$7:$B$506,AG$7))</f>
        <v>0</v>
      </c>
      <c r="AH13" s="76" t="n">
        <f aca="false">IF($B13="","",SUMIFS('Flujo de Pagos'!$I$7:$I$506,'Flujo de Pagos'!$E$7:$E$506,$B13,'Flujo de Pagos'!$B$7:$B$506,AH$7))</f>
        <v>0</v>
      </c>
      <c r="AI13" s="76" t="n">
        <f aca="false">IF($B13="","",SUMIFS('Flujo de Pagos'!$I$7:$I$506,'Flujo de Pagos'!$E$7:$E$506,$B13,'Flujo de Pagos'!$B$7:$B$506,AI$7))</f>
        <v>0</v>
      </c>
      <c r="AJ13" s="76" t="n">
        <f aca="false">IF($B13="","",SUMIFS('Flujo de Pagos'!$I$7:$I$506,'Flujo de Pagos'!$E$7:$E$506,$B13,'Flujo de Pagos'!$B$7:$B$506,AJ$7))</f>
        <v>0</v>
      </c>
      <c r="AK13" s="76" t="n">
        <f aca="false">IF($B13="","",SUMIFS('Flujo de Pagos'!$I$7:$I$506,'Flujo de Pagos'!$E$7:$E$506,$B13,'Flujo de Pagos'!$B$7:$B$506,AK$7))</f>
        <v>0</v>
      </c>
      <c r="AL13" s="76" t="n">
        <f aca="false">IF($B13="","",SUMIFS('Flujo de Pagos'!$I$7:$I$506,'Flujo de Pagos'!$E$7:$E$506,$B13,'Flujo de Pagos'!$B$7:$B$506,AL$7))</f>
        <v>0</v>
      </c>
      <c r="AM13" s="76" t="n">
        <f aca="false">SUM(C13:AL13)</f>
        <v>275952.81</v>
      </c>
    </row>
    <row r="14" customFormat="false" ht="15" hidden="false" customHeight="true" outlineLevel="0" collapsed="false">
      <c r="B14" s="64" t="str">
        <f aca="false">IF(Presupuesto!B11="","",Presupuesto!B11)</f>
        <v>Aquaconcepts</v>
      </c>
      <c r="C14" s="76" t="n">
        <f aca="false">IF(B14="","",SUMIFS('Flujo de Pagos'!I$7:I$506,'Flujo de Pagos'!E$7:E$506,B14,'Flujo de Pagos'!B$7:B$506,C7))</f>
        <v>0</v>
      </c>
      <c r="D14" s="76" t="n">
        <f aca="false">IF(B14="","",SUMIFS('Flujo de Pagos'!I$7:I$506,'Flujo de Pagos'!E$7:E$506,B14,'Flujo de Pagos'!B$7:B$506,D7))</f>
        <v>0</v>
      </c>
      <c r="E14" s="76" t="n">
        <f aca="false">IF(B14="","",SUMIFS('Flujo de Pagos'!I$7:I$506,'Flujo de Pagos'!E$7:E$506,B14,'Flujo de Pagos'!B$7:B$506,E7))</f>
        <v>0</v>
      </c>
      <c r="F14" s="76" t="n">
        <f aca="false">IF(B14="","",SUMIFS('Flujo de Pagos'!I$7:I$506,'Flujo de Pagos'!E$7:E$506,B14,'Flujo de Pagos'!B$7:B$506,F7))</f>
        <v>0</v>
      </c>
      <c r="G14" s="76" t="n">
        <f aca="false">IF(B14="","",SUMIFS('Flujo de Pagos'!I$7:I$506,'Flujo de Pagos'!E$7:E$506,B14,'Flujo de Pagos'!B$7:B$506,G7))</f>
        <v>17400</v>
      </c>
      <c r="H14" s="76" t="n">
        <f aca="false">IF(B14="","",SUMIFS('Flujo de Pagos'!I$7:I$506,'Flujo de Pagos'!E$7:E$506,B14,'Flujo de Pagos'!B$7:B$506,H7))</f>
        <v>0</v>
      </c>
      <c r="I14" s="76" t="n">
        <f aca="false">IF(B14="","",SUMIFS('Flujo de Pagos'!I$7:I$506,'Flujo de Pagos'!E$7:E$506,B14,'Flujo de Pagos'!B$7:B$506,I7))</f>
        <v>0</v>
      </c>
      <c r="J14" s="76" t="n">
        <f aca="false">IF(B14="","",SUMIFS('Flujo de Pagos'!I$7:I$506,'Flujo de Pagos'!E$7:E$506,B14,'Flujo de Pagos'!B$7:B$506,J7))</f>
        <v>0</v>
      </c>
      <c r="K14" s="76" t="n">
        <f aca="false">IF(B14="","",SUMIFS('Flujo de Pagos'!I$7:I$506,'Flujo de Pagos'!E$7:E$506,B14,'Flujo de Pagos'!B$7:B$506,K7))</f>
        <v>0</v>
      </c>
      <c r="L14" s="76" t="n">
        <f aca="false">IF(B14="","",SUMIFS('Flujo de Pagos'!I$7:I$506,'Flujo de Pagos'!E$7:E$506,B14,'Flujo de Pagos'!B$7:B$506,L7))</f>
        <v>0</v>
      </c>
      <c r="M14" s="76" t="n">
        <f aca="false">IF(B14="","",SUMIFS('Flujo de Pagos'!I$7:I$506,'Flujo de Pagos'!E$7:E$506,B14,'Flujo de Pagos'!B$7:B$506,M7))</f>
        <v>0</v>
      </c>
      <c r="N14" s="76" t="n">
        <f aca="false">IF(B14="","",SUMIFS('Flujo de Pagos'!I$7:I$506,'Flujo de Pagos'!E$7:E$506,B14,'Flujo de Pagos'!B$7:B$506,N7))</f>
        <v>0</v>
      </c>
      <c r="O14" s="76" t="n">
        <f aca="false">IF(B14="","",SUMIFS('Flujo de Pagos'!I$7:I$506,'Flujo de Pagos'!E$7:E$506,B14,'Flujo de Pagos'!B$7:B$506,O7))</f>
        <v>0</v>
      </c>
      <c r="P14" s="76" t="n">
        <f aca="false">IF(B14="","",SUMIFS('Flujo de Pagos'!I$7:I$506,'Flujo de Pagos'!E$7:E$506,B14,'Flujo de Pagos'!B$7:B$506,P7))</f>
        <v>0</v>
      </c>
      <c r="Q14" s="76" t="n">
        <f aca="false">IF(B14="","",SUMIFS('Flujo de Pagos'!I$7:I$506,'Flujo de Pagos'!E$7:E$506,B14,'Flujo de Pagos'!B$7:B$506,Q7))</f>
        <v>0</v>
      </c>
      <c r="R14" s="76" t="n">
        <f aca="false">IF(B14="","",SUMIFS('Flujo de Pagos'!I$7:I$506,'Flujo de Pagos'!E$7:E$506,B14,'Flujo de Pagos'!B$7:B$506,R7))</f>
        <v>0</v>
      </c>
      <c r="S14" s="76" t="n">
        <f aca="false">IF(B14="","",SUMIFS('Flujo de Pagos'!I$7:I$506,'Flujo de Pagos'!E$7:E$506,B14,'Flujo de Pagos'!B$7:B$506,S7))</f>
        <v>0</v>
      </c>
      <c r="T14" s="76" t="n">
        <f aca="false">IF(B14="","",SUMIFS('Flujo de Pagos'!I$7:I$506,'Flujo de Pagos'!E$7:E$506,B14,'Flujo de Pagos'!B$7:B$506,T7))</f>
        <v>0</v>
      </c>
      <c r="U14" s="76" t="n">
        <f aca="false">IF(B14="","",SUMIFS('Flujo de Pagos'!I$7:I$506,'Flujo de Pagos'!E$7:E$506,B14,'Flujo de Pagos'!B$7:B$506,U7))</f>
        <v>0</v>
      </c>
      <c r="V14" s="76" t="n">
        <f aca="false">IF(B14="","",SUMIFS('Flujo de Pagos'!I$7:I$506,'Flujo de Pagos'!E$7:E$506,B14,'Flujo de Pagos'!B$7:B$506,V7))</f>
        <v>0</v>
      </c>
      <c r="W14" s="76" t="n">
        <f aca="false">IF(B14="","",SUMIFS('Flujo de Pagos'!I$7:I$506,'Flujo de Pagos'!E$7:E$506,B14,'Flujo de Pagos'!B$7:B$506,W7))</f>
        <v>0</v>
      </c>
      <c r="X14" s="76" t="n">
        <f aca="false">IF(B14="","",SUMIFS('Flujo de Pagos'!I$7:I$506,'Flujo de Pagos'!E$7:E$506,B14,'Flujo de Pagos'!B$7:B$506,X7))</f>
        <v>0</v>
      </c>
      <c r="Y14" s="76" t="n">
        <f aca="false">IF(B14="","",SUMIFS('Flujo de Pagos'!I$7:I$506,'Flujo de Pagos'!E$7:E$506,B14,'Flujo de Pagos'!B$7:B$506,Y7))</f>
        <v>0</v>
      </c>
      <c r="Z14" s="76" t="n">
        <f aca="false">IF(B14="","",SUMIFS('Flujo de Pagos'!I$7:I$506,'Flujo de Pagos'!E$7:E$506,B14,'Flujo de Pagos'!B$7:B$506,Z7))</f>
        <v>0</v>
      </c>
      <c r="AA14" s="76" t="n">
        <f aca="false">IF(B14="","",SUMIFS('Flujo de Pagos'!I$7:I$506,'Flujo de Pagos'!E$7:E$506,B14,'Flujo de Pagos'!B$7:B$506,AA7))</f>
        <v>0</v>
      </c>
      <c r="AB14" s="76" t="n">
        <f aca="false">IF(B14="","",SUMIFS('Flujo de Pagos'!I$7:I$506,'Flujo de Pagos'!E$7:E$506,B14,'Flujo de Pagos'!B$7:B$506,AB7))</f>
        <v>0</v>
      </c>
      <c r="AC14" s="76" t="n">
        <f aca="false">IF(B14="","",SUMIFS('Flujo de Pagos'!I$7:I$506,'Flujo de Pagos'!E$7:E$506,B14,'Flujo de Pagos'!B$7:B$506,AC7))</f>
        <v>0</v>
      </c>
      <c r="AD14" s="76" t="n">
        <f aca="false">IF(B14="","",SUMIFS('Flujo de Pagos'!I$7:I$506,'Flujo de Pagos'!E$7:E$506,B14,'Flujo de Pagos'!B$7:B$506,AD7))</f>
        <v>0</v>
      </c>
      <c r="AE14" s="76" t="n">
        <f aca="false">IF(B14="","",SUMIFS('Flujo de Pagos'!I$7:I$506,'Flujo de Pagos'!E$7:E$506,B14,'Flujo de Pagos'!B$7:B$506,AE7))</f>
        <v>0</v>
      </c>
      <c r="AF14" s="76" t="n">
        <f aca="false">IF(B14="","",SUMIFS('Flujo de Pagos'!I$7:I$506,'Flujo de Pagos'!E$7:E$506,B14,'Flujo de Pagos'!B$7:B$506,AF7))</f>
        <v>0</v>
      </c>
      <c r="AG14" s="76" t="n">
        <f aca="false">IF(B14="","",SUMIFS('Flujo de Pagos'!I$7:I$506,'Flujo de Pagos'!E$7:E$506,B14,'Flujo de Pagos'!B$7:B$506,AG7))</f>
        <v>0</v>
      </c>
      <c r="AH14" s="76" t="n">
        <f aca="false">IF(B14="","",SUMIFS('Flujo de Pagos'!I$7:I$506,'Flujo de Pagos'!E$7:E$506,B14,'Flujo de Pagos'!B$7:B$506,AH7))</f>
        <v>0</v>
      </c>
      <c r="AI14" s="76" t="n">
        <f aca="false">IF(B14="","",SUMIFS('Flujo de Pagos'!I$7:I$506,'Flujo de Pagos'!E$7:E$506,B14,'Flujo de Pagos'!B$7:B$506,AI7))</f>
        <v>0</v>
      </c>
      <c r="AJ14" s="76" t="n">
        <f aca="false">IF(B14="","",SUMIFS('Flujo de Pagos'!I$7:I$506,'Flujo de Pagos'!E$7:E$506,B14,'Flujo de Pagos'!B$7:B$506,AJ7))</f>
        <v>0</v>
      </c>
      <c r="AK14" s="76" t="n">
        <f aca="false">IF(B14="","",SUMIFS('Flujo de Pagos'!I$7:I$506,'Flujo de Pagos'!E$7:E$506,B14,'Flujo de Pagos'!B$7:B$506,AK7))</f>
        <v>0</v>
      </c>
      <c r="AL14" s="76" t="n">
        <f aca="false">IF(B14="","",SUMIFS('Flujo de Pagos'!I$7:I$506,'Flujo de Pagos'!E$7:E$506,B14,'Flujo de Pagos'!B$7:B$506,AL7))</f>
        <v>0</v>
      </c>
      <c r="AM14" s="76" t="n">
        <f aca="false">IF(B14="","",SUM(C14:AL14))</f>
        <v>17400</v>
      </c>
    </row>
    <row r="15" customFormat="false" ht="15" hidden="false" customHeight="true" outlineLevel="0" collapsed="false">
      <c r="B15" s="64" t="str">
        <f aca="false">IF(Presupuesto!B12="","",Presupuesto!B12)</f>
        <v/>
      </c>
      <c r="C15" s="76" t="str">
        <f aca="false">IF(B15="","",SUMIFS('Flujo de Pagos'!I$7:I$506,'Flujo de Pagos'!E$7:E$506,B15,'Flujo de Pagos'!B$7:B$506,C7))</f>
        <v/>
      </c>
      <c r="D15" s="76" t="str">
        <f aca="false">IF(B15="","",SUMIFS('Flujo de Pagos'!I$7:I$506,'Flujo de Pagos'!E$7:E$506,B15,'Flujo de Pagos'!B$7:B$506,D7))</f>
        <v/>
      </c>
      <c r="E15" s="76" t="str">
        <f aca="false">IF(B15="","",SUMIFS('Flujo de Pagos'!I$7:I$506,'Flujo de Pagos'!E$7:E$506,B15,'Flujo de Pagos'!B$7:B$506,E7))</f>
        <v/>
      </c>
      <c r="F15" s="76" t="str">
        <f aca="false">IF(B15="","",SUMIFS('Flujo de Pagos'!I$7:I$506,'Flujo de Pagos'!E$7:E$506,B15,'Flujo de Pagos'!B$7:B$506,F7))</f>
        <v/>
      </c>
      <c r="G15" s="76" t="str">
        <f aca="false">IF(B15="","",SUMIFS('Flujo de Pagos'!I$7:I$506,'Flujo de Pagos'!E$7:E$506,B15,'Flujo de Pagos'!B$7:B$506,G7))</f>
        <v/>
      </c>
      <c r="H15" s="76" t="str">
        <f aca="false">IF(B15="","",SUMIFS('Flujo de Pagos'!I$7:I$506,'Flujo de Pagos'!E$7:E$506,B15,'Flujo de Pagos'!B$7:B$506,H7))</f>
        <v/>
      </c>
      <c r="I15" s="76" t="str">
        <f aca="false">IF(B15="","",SUMIFS('Flujo de Pagos'!I$7:I$506,'Flujo de Pagos'!E$7:E$506,B15,'Flujo de Pagos'!B$7:B$506,I7))</f>
        <v/>
      </c>
      <c r="J15" s="76" t="str">
        <f aca="false">IF(B15="","",SUMIFS('Flujo de Pagos'!I$7:I$506,'Flujo de Pagos'!E$7:E$506,B15,'Flujo de Pagos'!B$7:B$506,J7))</f>
        <v/>
      </c>
      <c r="K15" s="76" t="str">
        <f aca="false">IF(B15="","",SUMIFS('Flujo de Pagos'!I$7:I$506,'Flujo de Pagos'!E$7:E$506,B15,'Flujo de Pagos'!B$7:B$506,K7))</f>
        <v/>
      </c>
      <c r="L15" s="76" t="str">
        <f aca="false">IF(B15="","",SUMIFS('Flujo de Pagos'!I$7:I$506,'Flujo de Pagos'!E$7:E$506,B15,'Flujo de Pagos'!B$7:B$506,L7))</f>
        <v/>
      </c>
      <c r="M15" s="76" t="str">
        <f aca="false">IF(B15="","",SUMIFS('Flujo de Pagos'!I$7:I$506,'Flujo de Pagos'!E$7:E$506,B15,'Flujo de Pagos'!B$7:B$506,M7))</f>
        <v/>
      </c>
      <c r="N15" s="76" t="str">
        <f aca="false">IF(B15="","",SUMIFS('Flujo de Pagos'!I$7:I$506,'Flujo de Pagos'!E$7:E$506,B15,'Flujo de Pagos'!B$7:B$506,N7))</f>
        <v/>
      </c>
      <c r="O15" s="76" t="str">
        <f aca="false">IF(B15="","",SUMIFS('Flujo de Pagos'!I$7:I$506,'Flujo de Pagos'!E$7:E$506,B15,'Flujo de Pagos'!B$7:B$506,O7))</f>
        <v/>
      </c>
      <c r="P15" s="76" t="str">
        <f aca="false">IF(B15="","",SUMIFS('Flujo de Pagos'!I$7:I$506,'Flujo de Pagos'!E$7:E$506,B15,'Flujo de Pagos'!B$7:B$506,P7))</f>
        <v/>
      </c>
      <c r="Q15" s="76" t="str">
        <f aca="false">IF(B15="","",SUMIFS('Flujo de Pagos'!I$7:I$506,'Flujo de Pagos'!E$7:E$506,B15,'Flujo de Pagos'!B$7:B$506,Q7))</f>
        <v/>
      </c>
      <c r="R15" s="76" t="str">
        <f aca="false">IF(B15="","",SUMIFS('Flujo de Pagos'!I$7:I$506,'Flujo de Pagos'!E$7:E$506,B15,'Flujo de Pagos'!B$7:B$506,R7))</f>
        <v/>
      </c>
      <c r="S15" s="76" t="str">
        <f aca="false">IF(B15="","",SUMIFS('Flujo de Pagos'!I$7:I$506,'Flujo de Pagos'!E$7:E$506,B15,'Flujo de Pagos'!B$7:B$506,S7))</f>
        <v/>
      </c>
      <c r="T15" s="76" t="str">
        <f aca="false">IF(B15="","",SUMIFS('Flujo de Pagos'!I$7:I$506,'Flujo de Pagos'!E$7:E$506,B15,'Flujo de Pagos'!B$7:B$506,T7))</f>
        <v/>
      </c>
      <c r="U15" s="76" t="str">
        <f aca="false">IF(B15="","",SUMIFS('Flujo de Pagos'!I$7:I$506,'Flujo de Pagos'!E$7:E$506,B15,'Flujo de Pagos'!B$7:B$506,U7))</f>
        <v/>
      </c>
      <c r="V15" s="76" t="str">
        <f aca="false">IF(B15="","",SUMIFS('Flujo de Pagos'!I$7:I$506,'Flujo de Pagos'!E$7:E$506,B15,'Flujo de Pagos'!B$7:B$506,V7))</f>
        <v/>
      </c>
      <c r="W15" s="76" t="str">
        <f aca="false">IF(B15="","",SUMIFS('Flujo de Pagos'!I$7:I$506,'Flujo de Pagos'!E$7:E$506,B15,'Flujo de Pagos'!B$7:B$506,W7))</f>
        <v/>
      </c>
      <c r="X15" s="76" t="str">
        <f aca="false">IF(B15="","",SUMIFS('Flujo de Pagos'!I$7:I$506,'Flujo de Pagos'!E$7:E$506,B15,'Flujo de Pagos'!B$7:B$506,X7))</f>
        <v/>
      </c>
      <c r="Y15" s="76" t="str">
        <f aca="false">IF(B15="","",SUMIFS('Flujo de Pagos'!I$7:I$506,'Flujo de Pagos'!E$7:E$506,B15,'Flujo de Pagos'!B$7:B$506,Y7))</f>
        <v/>
      </c>
      <c r="Z15" s="76" t="str">
        <f aca="false">IF(B15="","",SUMIFS('Flujo de Pagos'!I$7:I$506,'Flujo de Pagos'!E$7:E$506,B15,'Flujo de Pagos'!B$7:B$506,Z7))</f>
        <v/>
      </c>
      <c r="AA15" s="76" t="str">
        <f aca="false">IF(B15="","",SUMIFS('Flujo de Pagos'!I$7:I$506,'Flujo de Pagos'!E$7:E$506,B15,'Flujo de Pagos'!B$7:B$506,AA7))</f>
        <v/>
      </c>
      <c r="AB15" s="76" t="str">
        <f aca="false">IF(B15="","",SUMIFS('Flujo de Pagos'!I$7:I$506,'Flujo de Pagos'!E$7:E$506,B15,'Flujo de Pagos'!B$7:B$506,AB7))</f>
        <v/>
      </c>
      <c r="AC15" s="76" t="str">
        <f aca="false">IF(B15="","",SUMIFS('Flujo de Pagos'!I$7:I$506,'Flujo de Pagos'!E$7:E$506,B15,'Flujo de Pagos'!B$7:B$506,AC7))</f>
        <v/>
      </c>
      <c r="AD15" s="76" t="str">
        <f aca="false">IF(B15="","",SUMIFS('Flujo de Pagos'!I$7:I$506,'Flujo de Pagos'!E$7:E$506,B15,'Flujo de Pagos'!B$7:B$506,AD7))</f>
        <v/>
      </c>
      <c r="AE15" s="76" t="str">
        <f aca="false">IF(B15="","",SUMIFS('Flujo de Pagos'!I$7:I$506,'Flujo de Pagos'!E$7:E$506,B15,'Flujo de Pagos'!B$7:B$506,AE7))</f>
        <v/>
      </c>
      <c r="AF15" s="76" t="str">
        <f aca="false">IF(B15="","",SUMIFS('Flujo de Pagos'!I$7:I$506,'Flujo de Pagos'!E$7:E$506,B15,'Flujo de Pagos'!B$7:B$506,AF7))</f>
        <v/>
      </c>
      <c r="AG15" s="76" t="str">
        <f aca="false">IF(B15="","",SUMIFS('Flujo de Pagos'!I$7:I$506,'Flujo de Pagos'!E$7:E$506,B15,'Flujo de Pagos'!B$7:B$506,AG7))</f>
        <v/>
      </c>
      <c r="AH15" s="76" t="str">
        <f aca="false">IF(B15="","",SUMIFS('Flujo de Pagos'!I$7:I$506,'Flujo de Pagos'!E$7:E$506,B15,'Flujo de Pagos'!B$7:B$506,AH7))</f>
        <v/>
      </c>
      <c r="AI15" s="76" t="str">
        <f aca="false">IF(B15="","",SUMIFS('Flujo de Pagos'!I$7:I$506,'Flujo de Pagos'!E$7:E$506,B15,'Flujo de Pagos'!B$7:B$506,AI7))</f>
        <v/>
      </c>
      <c r="AJ15" s="76" t="str">
        <f aca="false">IF(B15="","",SUMIFS('Flujo de Pagos'!I$7:I$506,'Flujo de Pagos'!E$7:E$506,B15,'Flujo de Pagos'!B$7:B$506,AJ7))</f>
        <v/>
      </c>
      <c r="AK15" s="76" t="str">
        <f aca="false">IF(B15="","",SUMIFS('Flujo de Pagos'!I$7:I$506,'Flujo de Pagos'!E$7:E$506,B15,'Flujo de Pagos'!B$7:B$506,AK7))</f>
        <v/>
      </c>
      <c r="AL15" s="76" t="str">
        <f aca="false">IF(B15="","",SUMIFS('Flujo de Pagos'!I$7:I$506,'Flujo de Pagos'!E$7:E$506,B15,'Flujo de Pagos'!B$7:B$506,AL7))</f>
        <v/>
      </c>
      <c r="AM15" s="76" t="str">
        <f aca="false">IF(B15="","",SUM(C15:AL15))</f>
        <v/>
      </c>
    </row>
    <row r="16" customFormat="false" ht="15" hidden="false" customHeight="true" outlineLevel="0" collapsed="false">
      <c r="B16" s="64" t="str">
        <f aca="false">IF(Presupuesto!B13="","",Presupuesto!B13)</f>
        <v/>
      </c>
      <c r="C16" s="76" t="str">
        <f aca="false">IF(B16="","",SUMIFS('Flujo de Pagos'!I$7:I$506,'Flujo de Pagos'!E$7:E$506,B16,'Flujo de Pagos'!B$7:B$506,C7))</f>
        <v/>
      </c>
      <c r="D16" s="76" t="str">
        <f aca="false">IF(B16="","",SUMIFS('Flujo de Pagos'!I$7:I$506,'Flujo de Pagos'!E$7:E$506,B16,'Flujo de Pagos'!B$7:B$506,D7))</f>
        <v/>
      </c>
      <c r="E16" s="76" t="str">
        <f aca="false">IF(B16="","",SUMIFS('Flujo de Pagos'!I$7:I$506,'Flujo de Pagos'!E$7:E$506,B16,'Flujo de Pagos'!B$7:B$506,E7))</f>
        <v/>
      </c>
      <c r="F16" s="76" t="str">
        <f aca="false">IF(B16="","",SUMIFS('Flujo de Pagos'!I$7:I$506,'Flujo de Pagos'!E$7:E$506,B16,'Flujo de Pagos'!B$7:B$506,F7))</f>
        <v/>
      </c>
      <c r="G16" s="76" t="str">
        <f aca="false">IF(B16="","",SUMIFS('Flujo de Pagos'!I$7:I$506,'Flujo de Pagos'!E$7:E$506,B16,'Flujo de Pagos'!B$7:B$506,G7))</f>
        <v/>
      </c>
      <c r="H16" s="76" t="str">
        <f aca="false">IF(B16="","",SUMIFS('Flujo de Pagos'!I$7:I$506,'Flujo de Pagos'!E$7:E$506,B16,'Flujo de Pagos'!B$7:B$506,H7))</f>
        <v/>
      </c>
      <c r="I16" s="76" t="str">
        <f aca="false">IF(B16="","",SUMIFS('Flujo de Pagos'!I$7:I$506,'Flujo de Pagos'!E$7:E$506,B16,'Flujo de Pagos'!B$7:B$506,I7))</f>
        <v/>
      </c>
      <c r="J16" s="76" t="str">
        <f aca="false">IF(B16="","",SUMIFS('Flujo de Pagos'!I$7:I$506,'Flujo de Pagos'!E$7:E$506,B16,'Flujo de Pagos'!B$7:B$506,J7))</f>
        <v/>
      </c>
      <c r="K16" s="76" t="str">
        <f aca="false">IF(B16="","",SUMIFS('Flujo de Pagos'!I$7:I$506,'Flujo de Pagos'!E$7:E$506,B16,'Flujo de Pagos'!B$7:B$506,K7))</f>
        <v/>
      </c>
      <c r="L16" s="76" t="str">
        <f aca="false">IF(B16="","",SUMIFS('Flujo de Pagos'!I$7:I$506,'Flujo de Pagos'!E$7:E$506,B16,'Flujo de Pagos'!B$7:B$506,L7))</f>
        <v/>
      </c>
      <c r="M16" s="76" t="str">
        <f aca="false">IF(B16="","",SUMIFS('Flujo de Pagos'!I$7:I$506,'Flujo de Pagos'!E$7:E$506,B16,'Flujo de Pagos'!B$7:B$506,M7))</f>
        <v/>
      </c>
      <c r="N16" s="76" t="str">
        <f aca="false">IF(B16="","",SUMIFS('Flujo de Pagos'!I$7:I$506,'Flujo de Pagos'!E$7:E$506,B16,'Flujo de Pagos'!B$7:B$506,N7))</f>
        <v/>
      </c>
      <c r="O16" s="76" t="str">
        <f aca="false">IF(B16="","",SUMIFS('Flujo de Pagos'!I$7:I$506,'Flujo de Pagos'!E$7:E$506,B16,'Flujo de Pagos'!B$7:B$506,O7))</f>
        <v/>
      </c>
      <c r="P16" s="76" t="str">
        <f aca="false">IF(B16="","",SUMIFS('Flujo de Pagos'!I$7:I$506,'Flujo de Pagos'!E$7:E$506,B16,'Flujo de Pagos'!B$7:B$506,P7))</f>
        <v/>
      </c>
      <c r="Q16" s="76" t="str">
        <f aca="false">IF(B16="","",SUMIFS('Flujo de Pagos'!I$7:I$506,'Flujo de Pagos'!E$7:E$506,B16,'Flujo de Pagos'!B$7:B$506,Q7))</f>
        <v/>
      </c>
      <c r="R16" s="76" t="str">
        <f aca="false">IF(B16="","",SUMIFS('Flujo de Pagos'!I$7:I$506,'Flujo de Pagos'!E$7:E$506,B16,'Flujo de Pagos'!B$7:B$506,R7))</f>
        <v/>
      </c>
      <c r="S16" s="76" t="str">
        <f aca="false">IF(B16="","",SUMIFS('Flujo de Pagos'!I$7:I$506,'Flujo de Pagos'!E$7:E$506,B16,'Flujo de Pagos'!B$7:B$506,S7))</f>
        <v/>
      </c>
      <c r="T16" s="76" t="str">
        <f aca="false">IF(B16="","",SUMIFS('Flujo de Pagos'!I$7:I$506,'Flujo de Pagos'!E$7:E$506,B16,'Flujo de Pagos'!B$7:B$506,T7))</f>
        <v/>
      </c>
      <c r="U16" s="76" t="str">
        <f aca="false">IF(B16="","",SUMIFS('Flujo de Pagos'!I$7:I$506,'Flujo de Pagos'!E$7:E$506,B16,'Flujo de Pagos'!B$7:B$506,U7))</f>
        <v/>
      </c>
      <c r="V16" s="76" t="str">
        <f aca="false">IF(B16="","",SUMIFS('Flujo de Pagos'!I$7:I$506,'Flujo de Pagos'!E$7:E$506,B16,'Flujo de Pagos'!B$7:B$506,V7))</f>
        <v/>
      </c>
      <c r="W16" s="76" t="str">
        <f aca="false">IF(B16="","",SUMIFS('Flujo de Pagos'!I$7:I$506,'Flujo de Pagos'!E$7:E$506,B16,'Flujo de Pagos'!B$7:B$506,W7))</f>
        <v/>
      </c>
      <c r="X16" s="76" t="str">
        <f aca="false">IF(B16="","",SUMIFS('Flujo de Pagos'!I$7:I$506,'Flujo de Pagos'!E$7:E$506,B16,'Flujo de Pagos'!B$7:B$506,X7))</f>
        <v/>
      </c>
      <c r="Y16" s="76" t="str">
        <f aca="false">IF(B16="","",SUMIFS('Flujo de Pagos'!I$7:I$506,'Flujo de Pagos'!E$7:E$506,B16,'Flujo de Pagos'!B$7:B$506,Y7))</f>
        <v/>
      </c>
      <c r="Z16" s="76" t="str">
        <f aca="false">IF(B16="","",SUMIFS('Flujo de Pagos'!I$7:I$506,'Flujo de Pagos'!E$7:E$506,B16,'Flujo de Pagos'!B$7:B$506,Z7))</f>
        <v/>
      </c>
      <c r="AA16" s="76" t="str">
        <f aca="false">IF(B16="","",SUMIFS('Flujo de Pagos'!I$7:I$506,'Flujo de Pagos'!E$7:E$506,B16,'Flujo de Pagos'!B$7:B$506,AA7))</f>
        <v/>
      </c>
      <c r="AB16" s="76" t="str">
        <f aca="false">IF(B16="","",SUMIFS('Flujo de Pagos'!I$7:I$506,'Flujo de Pagos'!E$7:E$506,B16,'Flujo de Pagos'!B$7:B$506,AB7))</f>
        <v/>
      </c>
      <c r="AC16" s="76" t="str">
        <f aca="false">IF(B16="","",SUMIFS('Flujo de Pagos'!I$7:I$506,'Flujo de Pagos'!E$7:E$506,B16,'Flujo de Pagos'!B$7:B$506,AC7))</f>
        <v/>
      </c>
      <c r="AD16" s="76" t="str">
        <f aca="false">IF(B16="","",SUMIFS('Flujo de Pagos'!I$7:I$506,'Flujo de Pagos'!E$7:E$506,B16,'Flujo de Pagos'!B$7:B$506,AD7))</f>
        <v/>
      </c>
      <c r="AE16" s="76" t="str">
        <f aca="false">IF(B16="","",SUMIFS('Flujo de Pagos'!I$7:I$506,'Flujo de Pagos'!E$7:E$506,B16,'Flujo de Pagos'!B$7:B$506,AE7))</f>
        <v/>
      </c>
      <c r="AF16" s="76" t="str">
        <f aca="false">IF(B16="","",SUMIFS('Flujo de Pagos'!I$7:I$506,'Flujo de Pagos'!E$7:E$506,B16,'Flujo de Pagos'!B$7:B$506,AF7))</f>
        <v/>
      </c>
      <c r="AG16" s="76" t="str">
        <f aca="false">IF(B16="","",SUMIFS('Flujo de Pagos'!I$7:I$506,'Flujo de Pagos'!E$7:E$506,B16,'Flujo de Pagos'!B$7:B$506,AG7))</f>
        <v/>
      </c>
      <c r="AH16" s="76" t="str">
        <f aca="false">IF(B16="","",SUMIFS('Flujo de Pagos'!I$7:I$506,'Flujo de Pagos'!E$7:E$506,B16,'Flujo de Pagos'!B$7:B$506,AH7))</f>
        <v/>
      </c>
      <c r="AI16" s="76" t="str">
        <f aca="false">IF(B16="","",SUMIFS('Flujo de Pagos'!I$7:I$506,'Flujo de Pagos'!E$7:E$506,B16,'Flujo de Pagos'!B$7:B$506,AI7))</f>
        <v/>
      </c>
      <c r="AJ16" s="76" t="str">
        <f aca="false">IF(B16="","",SUMIFS('Flujo de Pagos'!I$7:I$506,'Flujo de Pagos'!E$7:E$506,B16,'Flujo de Pagos'!B$7:B$506,AJ7))</f>
        <v/>
      </c>
      <c r="AK16" s="76" t="str">
        <f aca="false">IF(B16="","",SUMIFS('Flujo de Pagos'!I$7:I$506,'Flujo de Pagos'!E$7:E$506,B16,'Flujo de Pagos'!B$7:B$506,AK7))</f>
        <v/>
      </c>
      <c r="AL16" s="76" t="str">
        <f aca="false">IF(B16="","",SUMIFS('Flujo de Pagos'!I$7:I$506,'Flujo de Pagos'!E$7:E$506,B16,'Flujo de Pagos'!B$7:B$506,AL7))</f>
        <v/>
      </c>
      <c r="AM16" s="76" t="str">
        <f aca="false">IF(B16="","",SUM(C16:AL16))</f>
        <v/>
      </c>
    </row>
    <row r="17" customFormat="false" ht="15" hidden="false" customHeight="true" outlineLevel="0" collapsed="false">
      <c r="B17" s="64" t="str">
        <f aca="false">IF(Presupuesto!B14="","",Presupuesto!B14)</f>
        <v/>
      </c>
      <c r="C17" s="76" t="str">
        <f aca="false">IF(B17="","",SUMIFS('Flujo de Pagos'!I$7:I$506,'Flujo de Pagos'!E$7:E$506,B17,'Flujo de Pagos'!B$7:B$506,C7))</f>
        <v/>
      </c>
      <c r="D17" s="76" t="str">
        <f aca="false">IF(B17="","",SUMIFS('Flujo de Pagos'!I$7:I$506,'Flujo de Pagos'!E$7:E$506,B17,'Flujo de Pagos'!B$7:B$506,D7))</f>
        <v/>
      </c>
      <c r="E17" s="76" t="str">
        <f aca="false">IF(B17="","",SUMIFS('Flujo de Pagos'!I$7:I$506,'Flujo de Pagos'!E$7:E$506,B17,'Flujo de Pagos'!B$7:B$506,E7))</f>
        <v/>
      </c>
      <c r="F17" s="76" t="str">
        <f aca="false">IF(B17="","",SUMIFS('Flujo de Pagos'!I$7:I$506,'Flujo de Pagos'!E$7:E$506,B17,'Flujo de Pagos'!B$7:B$506,F7))</f>
        <v/>
      </c>
      <c r="G17" s="76" t="str">
        <f aca="false">IF(B17="","",SUMIFS('Flujo de Pagos'!I$7:I$506,'Flujo de Pagos'!E$7:E$506,B17,'Flujo de Pagos'!B$7:B$506,G7))</f>
        <v/>
      </c>
      <c r="H17" s="76" t="str">
        <f aca="false">IF(B17="","",SUMIFS('Flujo de Pagos'!I$7:I$506,'Flujo de Pagos'!E$7:E$506,B17,'Flujo de Pagos'!B$7:B$506,H7))</f>
        <v/>
      </c>
      <c r="I17" s="76" t="str">
        <f aca="false">IF(B17="","",SUMIFS('Flujo de Pagos'!I$7:I$506,'Flujo de Pagos'!E$7:E$506,B17,'Flujo de Pagos'!B$7:B$506,I7))</f>
        <v/>
      </c>
      <c r="J17" s="76" t="str">
        <f aca="false">IF(B17="","",SUMIFS('Flujo de Pagos'!I$7:I$506,'Flujo de Pagos'!E$7:E$506,B17,'Flujo de Pagos'!B$7:B$506,J7))</f>
        <v/>
      </c>
      <c r="K17" s="76" t="str">
        <f aca="false">IF(B17="","",SUMIFS('Flujo de Pagos'!I$7:I$506,'Flujo de Pagos'!E$7:E$506,B17,'Flujo de Pagos'!B$7:B$506,K7))</f>
        <v/>
      </c>
      <c r="L17" s="76" t="str">
        <f aca="false">IF(B17="","",SUMIFS('Flujo de Pagos'!I$7:I$506,'Flujo de Pagos'!E$7:E$506,B17,'Flujo de Pagos'!B$7:B$506,L7))</f>
        <v/>
      </c>
      <c r="M17" s="76" t="str">
        <f aca="false">IF(B17="","",SUMIFS('Flujo de Pagos'!I$7:I$506,'Flujo de Pagos'!E$7:E$506,B17,'Flujo de Pagos'!B$7:B$506,M7))</f>
        <v/>
      </c>
      <c r="N17" s="76" t="str">
        <f aca="false">IF(B17="","",SUMIFS('Flujo de Pagos'!I$7:I$506,'Flujo de Pagos'!E$7:E$506,B17,'Flujo de Pagos'!B$7:B$506,N7))</f>
        <v/>
      </c>
      <c r="O17" s="76" t="str">
        <f aca="false">IF(B17="","",SUMIFS('Flujo de Pagos'!I$7:I$506,'Flujo de Pagos'!E$7:E$506,B17,'Flujo de Pagos'!B$7:B$506,O7))</f>
        <v/>
      </c>
      <c r="P17" s="76" t="str">
        <f aca="false">IF(B17="","",SUMIFS('Flujo de Pagos'!I$7:I$506,'Flujo de Pagos'!E$7:E$506,B17,'Flujo de Pagos'!B$7:B$506,P7))</f>
        <v/>
      </c>
      <c r="Q17" s="76" t="str">
        <f aca="false">IF(B17="","",SUMIFS('Flujo de Pagos'!I$7:I$506,'Flujo de Pagos'!E$7:E$506,B17,'Flujo de Pagos'!B$7:B$506,Q7))</f>
        <v/>
      </c>
      <c r="R17" s="76" t="str">
        <f aca="false">IF(B17="","",SUMIFS('Flujo de Pagos'!I$7:I$506,'Flujo de Pagos'!E$7:E$506,B17,'Flujo de Pagos'!B$7:B$506,R7))</f>
        <v/>
      </c>
      <c r="S17" s="76" t="str">
        <f aca="false">IF(B17="","",SUMIFS('Flujo de Pagos'!I$7:I$506,'Flujo de Pagos'!E$7:E$506,B17,'Flujo de Pagos'!B$7:B$506,S7))</f>
        <v/>
      </c>
      <c r="T17" s="76" t="str">
        <f aca="false">IF(B17="","",SUMIFS('Flujo de Pagos'!I$7:I$506,'Flujo de Pagos'!E$7:E$506,B17,'Flujo de Pagos'!B$7:B$506,T7))</f>
        <v/>
      </c>
      <c r="U17" s="76" t="str">
        <f aca="false">IF(B17="","",SUMIFS('Flujo de Pagos'!I$7:I$506,'Flujo de Pagos'!E$7:E$506,B17,'Flujo de Pagos'!B$7:B$506,U7))</f>
        <v/>
      </c>
      <c r="V17" s="76" t="str">
        <f aca="false">IF(B17="","",SUMIFS('Flujo de Pagos'!I$7:I$506,'Flujo de Pagos'!E$7:E$506,B17,'Flujo de Pagos'!B$7:B$506,V7))</f>
        <v/>
      </c>
      <c r="W17" s="76" t="str">
        <f aca="false">IF(B17="","",SUMIFS('Flujo de Pagos'!I$7:I$506,'Flujo de Pagos'!E$7:E$506,B17,'Flujo de Pagos'!B$7:B$506,W7))</f>
        <v/>
      </c>
      <c r="X17" s="76" t="str">
        <f aca="false">IF(B17="","",SUMIFS('Flujo de Pagos'!I$7:I$506,'Flujo de Pagos'!E$7:E$506,B17,'Flujo de Pagos'!B$7:B$506,X7))</f>
        <v/>
      </c>
      <c r="Y17" s="76" t="str">
        <f aca="false">IF(B17="","",SUMIFS('Flujo de Pagos'!I$7:I$506,'Flujo de Pagos'!E$7:E$506,B17,'Flujo de Pagos'!B$7:B$506,Y7))</f>
        <v/>
      </c>
      <c r="Z17" s="76" t="str">
        <f aca="false">IF(B17="","",SUMIFS('Flujo de Pagos'!I$7:I$506,'Flujo de Pagos'!E$7:E$506,B17,'Flujo de Pagos'!B$7:B$506,Z7))</f>
        <v/>
      </c>
      <c r="AA17" s="76" t="str">
        <f aca="false">IF(B17="","",SUMIFS('Flujo de Pagos'!I$7:I$506,'Flujo de Pagos'!E$7:E$506,B17,'Flujo de Pagos'!B$7:B$506,AA7))</f>
        <v/>
      </c>
      <c r="AB17" s="76" t="str">
        <f aca="false">IF(B17="","",SUMIFS('Flujo de Pagos'!I$7:I$506,'Flujo de Pagos'!E$7:E$506,B17,'Flujo de Pagos'!B$7:B$506,AB7))</f>
        <v/>
      </c>
      <c r="AC17" s="76" t="str">
        <f aca="false">IF(B17="","",SUMIFS('Flujo de Pagos'!I$7:I$506,'Flujo de Pagos'!E$7:E$506,B17,'Flujo de Pagos'!B$7:B$506,AC7))</f>
        <v/>
      </c>
      <c r="AD17" s="76" t="str">
        <f aca="false">IF(B17="","",SUMIFS('Flujo de Pagos'!I$7:I$506,'Flujo de Pagos'!E$7:E$506,B17,'Flujo de Pagos'!B$7:B$506,AD7))</f>
        <v/>
      </c>
      <c r="AE17" s="76" t="str">
        <f aca="false">IF(B17="","",SUMIFS('Flujo de Pagos'!I$7:I$506,'Flujo de Pagos'!E$7:E$506,B17,'Flujo de Pagos'!B$7:B$506,AE7))</f>
        <v/>
      </c>
      <c r="AF17" s="76" t="str">
        <f aca="false">IF(B17="","",SUMIFS('Flujo de Pagos'!I$7:I$506,'Flujo de Pagos'!E$7:E$506,B17,'Flujo de Pagos'!B$7:B$506,AF7))</f>
        <v/>
      </c>
      <c r="AG17" s="76" t="str">
        <f aca="false">IF(B17="","",SUMIFS('Flujo de Pagos'!I$7:I$506,'Flujo de Pagos'!E$7:E$506,B17,'Flujo de Pagos'!B$7:B$506,AG7))</f>
        <v/>
      </c>
      <c r="AH17" s="76" t="str">
        <f aca="false">IF(B17="","",SUMIFS('Flujo de Pagos'!I$7:I$506,'Flujo de Pagos'!E$7:E$506,B17,'Flujo de Pagos'!B$7:B$506,AH7))</f>
        <v/>
      </c>
      <c r="AI17" s="76" t="str">
        <f aca="false">IF(B17="","",SUMIFS('Flujo de Pagos'!I$7:I$506,'Flujo de Pagos'!E$7:E$506,B17,'Flujo de Pagos'!B$7:B$506,AI7))</f>
        <v/>
      </c>
      <c r="AJ17" s="76" t="str">
        <f aca="false">IF(B17="","",SUMIFS('Flujo de Pagos'!I$7:I$506,'Flujo de Pagos'!E$7:E$506,B17,'Flujo de Pagos'!B$7:B$506,AJ7))</f>
        <v/>
      </c>
      <c r="AK17" s="76" t="str">
        <f aca="false">IF(B17="","",SUMIFS('Flujo de Pagos'!I$7:I$506,'Flujo de Pagos'!E$7:E$506,B17,'Flujo de Pagos'!B$7:B$506,AK7))</f>
        <v/>
      </c>
      <c r="AL17" s="76" t="str">
        <f aca="false">IF(B17="","",SUMIFS('Flujo de Pagos'!I$7:I$506,'Flujo de Pagos'!E$7:E$506,B17,'Flujo de Pagos'!B$7:B$506,AL7))</f>
        <v/>
      </c>
      <c r="AM17" s="76" t="str">
        <f aca="false">IF(B17="","",SUM(C17:AL17))</f>
        <v/>
      </c>
    </row>
    <row r="18" customFormat="false" ht="15" hidden="false" customHeight="true" outlineLevel="0" collapsed="false">
      <c r="B18" s="64" t="str">
        <f aca="false">IF(Presupuesto!B15="","",Presupuesto!B15)</f>
        <v/>
      </c>
      <c r="C18" s="76" t="str">
        <f aca="false">IF(B18="","",SUMIFS('Flujo de Pagos'!I$7:I$506,'Flujo de Pagos'!E$7:E$506,B18,'Flujo de Pagos'!B$7:B$506,C7))</f>
        <v/>
      </c>
      <c r="D18" s="76" t="str">
        <f aca="false">IF(B18="","",SUMIFS('Flujo de Pagos'!I$7:I$506,'Flujo de Pagos'!E$7:E$506,B18,'Flujo de Pagos'!B$7:B$506,D7))</f>
        <v/>
      </c>
      <c r="E18" s="76" t="str">
        <f aca="false">IF(B18="","",SUMIFS('Flujo de Pagos'!I$7:I$506,'Flujo de Pagos'!E$7:E$506,B18,'Flujo de Pagos'!B$7:B$506,E7))</f>
        <v/>
      </c>
      <c r="F18" s="76" t="str">
        <f aca="false">IF(B18="","",SUMIFS('Flujo de Pagos'!I$7:I$506,'Flujo de Pagos'!E$7:E$506,B18,'Flujo de Pagos'!B$7:B$506,F7))</f>
        <v/>
      </c>
      <c r="G18" s="76" t="str">
        <f aca="false">IF(B18="","",SUMIFS('Flujo de Pagos'!I$7:I$506,'Flujo de Pagos'!E$7:E$506,B18,'Flujo de Pagos'!B$7:B$506,G7))</f>
        <v/>
      </c>
      <c r="H18" s="76" t="str">
        <f aca="false">IF(B18="","",SUMIFS('Flujo de Pagos'!I$7:I$506,'Flujo de Pagos'!E$7:E$506,B18,'Flujo de Pagos'!B$7:B$506,H7))</f>
        <v/>
      </c>
      <c r="I18" s="76" t="str">
        <f aca="false">IF(B18="","",SUMIFS('Flujo de Pagos'!I$7:I$506,'Flujo de Pagos'!E$7:E$506,B18,'Flujo de Pagos'!B$7:B$506,I7))</f>
        <v/>
      </c>
      <c r="J18" s="76" t="str">
        <f aca="false">IF(B18="","",SUMIFS('Flujo de Pagos'!I$7:I$506,'Flujo de Pagos'!E$7:E$506,B18,'Flujo de Pagos'!B$7:B$506,J7))</f>
        <v/>
      </c>
      <c r="K18" s="76" t="str">
        <f aca="false">IF(B18="","",SUMIFS('Flujo de Pagos'!I$7:I$506,'Flujo de Pagos'!E$7:E$506,B18,'Flujo de Pagos'!B$7:B$506,K7))</f>
        <v/>
      </c>
      <c r="L18" s="76" t="str">
        <f aca="false">IF(B18="","",SUMIFS('Flujo de Pagos'!I$7:I$506,'Flujo de Pagos'!E$7:E$506,B18,'Flujo de Pagos'!B$7:B$506,L7))</f>
        <v/>
      </c>
      <c r="M18" s="76" t="str">
        <f aca="false">IF(B18="","",SUMIFS('Flujo de Pagos'!I$7:I$506,'Flujo de Pagos'!E$7:E$506,B18,'Flujo de Pagos'!B$7:B$506,M7))</f>
        <v/>
      </c>
      <c r="N18" s="76" t="str">
        <f aca="false">IF(B18="","",SUMIFS('Flujo de Pagos'!I$7:I$506,'Flujo de Pagos'!E$7:E$506,B18,'Flujo de Pagos'!B$7:B$506,N7))</f>
        <v/>
      </c>
      <c r="O18" s="76" t="str">
        <f aca="false">IF(B18="","",SUMIFS('Flujo de Pagos'!I$7:I$506,'Flujo de Pagos'!E$7:E$506,B18,'Flujo de Pagos'!B$7:B$506,O7))</f>
        <v/>
      </c>
      <c r="P18" s="76" t="str">
        <f aca="false">IF(B18="","",SUMIFS('Flujo de Pagos'!I$7:I$506,'Flujo de Pagos'!E$7:E$506,B18,'Flujo de Pagos'!B$7:B$506,P7))</f>
        <v/>
      </c>
      <c r="Q18" s="76" t="str">
        <f aca="false">IF(B18="","",SUMIFS('Flujo de Pagos'!I$7:I$506,'Flujo de Pagos'!E$7:E$506,B18,'Flujo de Pagos'!B$7:B$506,Q7))</f>
        <v/>
      </c>
      <c r="R18" s="76" t="str">
        <f aca="false">IF(B18="","",SUMIFS('Flujo de Pagos'!I$7:I$506,'Flujo de Pagos'!E$7:E$506,B18,'Flujo de Pagos'!B$7:B$506,R7))</f>
        <v/>
      </c>
      <c r="S18" s="76" t="str">
        <f aca="false">IF(B18="","",SUMIFS('Flujo de Pagos'!I$7:I$506,'Flujo de Pagos'!E$7:E$506,B18,'Flujo de Pagos'!B$7:B$506,S7))</f>
        <v/>
      </c>
      <c r="T18" s="76" t="str">
        <f aca="false">IF(B18="","",SUMIFS('Flujo de Pagos'!I$7:I$506,'Flujo de Pagos'!E$7:E$506,B18,'Flujo de Pagos'!B$7:B$506,T7))</f>
        <v/>
      </c>
      <c r="U18" s="76" t="str">
        <f aca="false">IF(B18="","",SUMIFS('Flujo de Pagos'!I$7:I$506,'Flujo de Pagos'!E$7:E$506,B18,'Flujo de Pagos'!B$7:B$506,U7))</f>
        <v/>
      </c>
      <c r="V18" s="76" t="str">
        <f aca="false">IF(B18="","",SUMIFS('Flujo de Pagos'!I$7:I$506,'Flujo de Pagos'!E$7:E$506,B18,'Flujo de Pagos'!B$7:B$506,V7))</f>
        <v/>
      </c>
      <c r="W18" s="76" t="str">
        <f aca="false">IF(B18="","",SUMIFS('Flujo de Pagos'!I$7:I$506,'Flujo de Pagos'!E$7:E$506,B18,'Flujo de Pagos'!B$7:B$506,W7))</f>
        <v/>
      </c>
      <c r="X18" s="76" t="str">
        <f aca="false">IF(B18="","",SUMIFS('Flujo de Pagos'!I$7:I$506,'Flujo de Pagos'!E$7:E$506,B18,'Flujo de Pagos'!B$7:B$506,X7))</f>
        <v/>
      </c>
      <c r="Y18" s="76" t="str">
        <f aca="false">IF(B18="","",SUMIFS('Flujo de Pagos'!I$7:I$506,'Flujo de Pagos'!E$7:E$506,B18,'Flujo de Pagos'!B$7:B$506,Y7))</f>
        <v/>
      </c>
      <c r="Z18" s="76" t="str">
        <f aca="false">IF(B18="","",SUMIFS('Flujo de Pagos'!I$7:I$506,'Flujo de Pagos'!E$7:E$506,B18,'Flujo de Pagos'!B$7:B$506,Z7))</f>
        <v/>
      </c>
      <c r="AA18" s="76" t="str">
        <f aca="false">IF(B18="","",SUMIFS('Flujo de Pagos'!I$7:I$506,'Flujo de Pagos'!E$7:E$506,B18,'Flujo de Pagos'!B$7:B$506,AA7))</f>
        <v/>
      </c>
      <c r="AB18" s="76" t="str">
        <f aca="false">IF(B18="","",SUMIFS('Flujo de Pagos'!I$7:I$506,'Flujo de Pagos'!E$7:E$506,B18,'Flujo de Pagos'!B$7:B$506,AB7))</f>
        <v/>
      </c>
      <c r="AC18" s="76" t="str">
        <f aca="false">IF(B18="","",SUMIFS('Flujo de Pagos'!I$7:I$506,'Flujo de Pagos'!E$7:E$506,B18,'Flujo de Pagos'!B$7:B$506,AC7))</f>
        <v/>
      </c>
      <c r="AD18" s="76" t="str">
        <f aca="false">IF(B18="","",SUMIFS('Flujo de Pagos'!I$7:I$506,'Flujo de Pagos'!E$7:E$506,B18,'Flujo de Pagos'!B$7:B$506,AD7))</f>
        <v/>
      </c>
      <c r="AE18" s="76" t="str">
        <f aca="false">IF(B18="","",SUMIFS('Flujo de Pagos'!I$7:I$506,'Flujo de Pagos'!E$7:E$506,B18,'Flujo de Pagos'!B$7:B$506,AE7))</f>
        <v/>
      </c>
      <c r="AF18" s="76" t="str">
        <f aca="false">IF(B18="","",SUMIFS('Flujo de Pagos'!I$7:I$506,'Flujo de Pagos'!E$7:E$506,B18,'Flujo de Pagos'!B$7:B$506,AF7))</f>
        <v/>
      </c>
      <c r="AG18" s="76" t="str">
        <f aca="false">IF(B18="","",SUMIFS('Flujo de Pagos'!I$7:I$506,'Flujo de Pagos'!E$7:E$506,B18,'Flujo de Pagos'!B$7:B$506,AG7))</f>
        <v/>
      </c>
      <c r="AH18" s="76" t="str">
        <f aca="false">IF(B18="","",SUMIFS('Flujo de Pagos'!I$7:I$506,'Flujo de Pagos'!E$7:E$506,B18,'Flujo de Pagos'!B$7:B$506,AH7))</f>
        <v/>
      </c>
      <c r="AI18" s="76" t="str">
        <f aca="false">IF(B18="","",SUMIFS('Flujo de Pagos'!I$7:I$506,'Flujo de Pagos'!E$7:E$506,B18,'Flujo de Pagos'!B$7:B$506,AI7))</f>
        <v/>
      </c>
      <c r="AJ18" s="76" t="str">
        <f aca="false">IF(B18="","",SUMIFS('Flujo de Pagos'!I$7:I$506,'Flujo de Pagos'!E$7:E$506,B18,'Flujo de Pagos'!B$7:B$506,AJ7))</f>
        <v/>
      </c>
      <c r="AK18" s="76" t="str">
        <f aca="false">IF(B18="","",SUMIFS('Flujo de Pagos'!I$7:I$506,'Flujo de Pagos'!E$7:E$506,B18,'Flujo de Pagos'!B$7:B$506,AK7))</f>
        <v/>
      </c>
      <c r="AL18" s="76" t="str">
        <f aca="false">IF(B18="","",SUMIFS('Flujo de Pagos'!I$7:I$506,'Flujo de Pagos'!E$7:E$506,B18,'Flujo de Pagos'!B$7:B$506,AL7))</f>
        <v/>
      </c>
      <c r="AM18" s="76" t="str">
        <f aca="false">IF(B18="","",SUM(C18:AL18))</f>
        <v/>
      </c>
    </row>
    <row r="19" customFormat="false" ht="15" hidden="false" customHeight="true" outlineLevel="0" collapsed="false">
      <c r="B19" s="64" t="str">
        <f aca="false">IF(Presupuesto!B16="","",Presupuesto!B16)</f>
        <v/>
      </c>
      <c r="C19" s="76" t="str">
        <f aca="false">IF(B19="","",SUMIFS('Flujo de Pagos'!I$7:I$506,'Flujo de Pagos'!E$7:E$506,B19,'Flujo de Pagos'!B$7:B$506,C7))</f>
        <v/>
      </c>
      <c r="D19" s="76" t="str">
        <f aca="false">IF(B19="","",SUMIFS('Flujo de Pagos'!I$7:I$506,'Flujo de Pagos'!E$7:E$506,B19,'Flujo de Pagos'!B$7:B$506,D7))</f>
        <v/>
      </c>
      <c r="E19" s="76" t="str">
        <f aca="false">IF(B19="","",SUMIFS('Flujo de Pagos'!I$7:I$506,'Flujo de Pagos'!E$7:E$506,B19,'Flujo de Pagos'!B$7:B$506,E7))</f>
        <v/>
      </c>
      <c r="F19" s="76" t="str">
        <f aca="false">IF(B19="","",SUMIFS('Flujo de Pagos'!I$7:I$506,'Flujo de Pagos'!E$7:E$506,B19,'Flujo de Pagos'!B$7:B$506,F7))</f>
        <v/>
      </c>
      <c r="G19" s="76" t="str">
        <f aca="false">IF(B19="","",SUMIFS('Flujo de Pagos'!I$7:I$506,'Flujo de Pagos'!E$7:E$506,B19,'Flujo de Pagos'!B$7:B$506,G7))</f>
        <v/>
      </c>
      <c r="H19" s="76" t="str">
        <f aca="false">IF(B19="","",SUMIFS('Flujo de Pagos'!I$7:I$506,'Flujo de Pagos'!E$7:E$506,B19,'Flujo de Pagos'!B$7:B$506,H7))</f>
        <v/>
      </c>
      <c r="I19" s="76" t="str">
        <f aca="false">IF(B19="","",SUMIFS('Flujo de Pagos'!I$7:I$506,'Flujo de Pagos'!E$7:E$506,B19,'Flujo de Pagos'!B$7:B$506,I7))</f>
        <v/>
      </c>
      <c r="J19" s="76" t="str">
        <f aca="false">IF(B19="","",SUMIFS('Flujo de Pagos'!I$7:I$506,'Flujo de Pagos'!E$7:E$506,B19,'Flujo de Pagos'!B$7:B$506,J7))</f>
        <v/>
      </c>
      <c r="K19" s="76" t="str">
        <f aca="false">IF(B19="","",SUMIFS('Flujo de Pagos'!I$7:I$506,'Flujo de Pagos'!E$7:E$506,B19,'Flujo de Pagos'!B$7:B$506,K7))</f>
        <v/>
      </c>
      <c r="L19" s="76" t="str">
        <f aca="false">IF(B19="","",SUMIFS('Flujo de Pagos'!I$7:I$506,'Flujo de Pagos'!E$7:E$506,B19,'Flujo de Pagos'!B$7:B$506,L7))</f>
        <v/>
      </c>
      <c r="M19" s="76" t="str">
        <f aca="false">IF(B19="","",SUMIFS('Flujo de Pagos'!I$7:I$506,'Flujo de Pagos'!E$7:E$506,B19,'Flujo de Pagos'!B$7:B$506,M7))</f>
        <v/>
      </c>
      <c r="N19" s="76" t="str">
        <f aca="false">IF(B19="","",SUMIFS('Flujo de Pagos'!I$7:I$506,'Flujo de Pagos'!E$7:E$506,B19,'Flujo de Pagos'!B$7:B$506,N7))</f>
        <v/>
      </c>
      <c r="O19" s="76" t="str">
        <f aca="false">IF(B19="","",SUMIFS('Flujo de Pagos'!I$7:I$506,'Flujo de Pagos'!E$7:E$506,B19,'Flujo de Pagos'!B$7:B$506,O7))</f>
        <v/>
      </c>
      <c r="P19" s="76" t="str">
        <f aca="false">IF(B19="","",SUMIFS('Flujo de Pagos'!I$7:I$506,'Flujo de Pagos'!E$7:E$506,B19,'Flujo de Pagos'!B$7:B$506,P7))</f>
        <v/>
      </c>
      <c r="Q19" s="76" t="str">
        <f aca="false">IF(B19="","",SUMIFS('Flujo de Pagos'!I$7:I$506,'Flujo de Pagos'!E$7:E$506,B19,'Flujo de Pagos'!B$7:B$506,Q7))</f>
        <v/>
      </c>
      <c r="R19" s="76" t="str">
        <f aca="false">IF(B19="","",SUMIFS('Flujo de Pagos'!I$7:I$506,'Flujo de Pagos'!E$7:E$506,B19,'Flujo de Pagos'!B$7:B$506,R7))</f>
        <v/>
      </c>
      <c r="S19" s="76" t="str">
        <f aca="false">IF(B19="","",SUMIFS('Flujo de Pagos'!I$7:I$506,'Flujo de Pagos'!E$7:E$506,B19,'Flujo de Pagos'!B$7:B$506,S7))</f>
        <v/>
      </c>
      <c r="T19" s="76" t="str">
        <f aca="false">IF(B19="","",SUMIFS('Flujo de Pagos'!I$7:I$506,'Flujo de Pagos'!E$7:E$506,B19,'Flujo de Pagos'!B$7:B$506,T7))</f>
        <v/>
      </c>
      <c r="U19" s="76" t="str">
        <f aca="false">IF(B19="","",SUMIFS('Flujo de Pagos'!I$7:I$506,'Flujo de Pagos'!E$7:E$506,B19,'Flujo de Pagos'!B$7:B$506,U7))</f>
        <v/>
      </c>
      <c r="V19" s="76" t="str">
        <f aca="false">IF(B19="","",SUMIFS('Flujo de Pagos'!I$7:I$506,'Flujo de Pagos'!E$7:E$506,B19,'Flujo de Pagos'!B$7:B$506,V7))</f>
        <v/>
      </c>
      <c r="W19" s="76" t="str">
        <f aca="false">IF(B19="","",SUMIFS('Flujo de Pagos'!I$7:I$506,'Flujo de Pagos'!E$7:E$506,B19,'Flujo de Pagos'!B$7:B$506,W7))</f>
        <v/>
      </c>
      <c r="X19" s="76" t="str">
        <f aca="false">IF(B19="","",SUMIFS('Flujo de Pagos'!I$7:I$506,'Flujo de Pagos'!E$7:E$506,B19,'Flujo de Pagos'!B$7:B$506,X7))</f>
        <v/>
      </c>
      <c r="Y19" s="76" t="str">
        <f aca="false">IF(B19="","",SUMIFS('Flujo de Pagos'!I$7:I$506,'Flujo de Pagos'!E$7:E$506,B19,'Flujo de Pagos'!B$7:B$506,Y7))</f>
        <v/>
      </c>
      <c r="Z19" s="76" t="str">
        <f aca="false">IF(B19="","",SUMIFS('Flujo de Pagos'!I$7:I$506,'Flujo de Pagos'!E$7:E$506,B19,'Flujo de Pagos'!B$7:B$506,Z7))</f>
        <v/>
      </c>
      <c r="AA19" s="76" t="str">
        <f aca="false">IF(B19="","",SUMIFS('Flujo de Pagos'!I$7:I$506,'Flujo de Pagos'!E$7:E$506,B19,'Flujo de Pagos'!B$7:B$506,AA7))</f>
        <v/>
      </c>
      <c r="AB19" s="76" t="str">
        <f aca="false">IF(B19="","",SUMIFS('Flujo de Pagos'!I$7:I$506,'Flujo de Pagos'!E$7:E$506,B19,'Flujo de Pagos'!B$7:B$506,AB7))</f>
        <v/>
      </c>
      <c r="AC19" s="76" t="str">
        <f aca="false">IF(B19="","",SUMIFS('Flujo de Pagos'!I$7:I$506,'Flujo de Pagos'!E$7:E$506,B19,'Flujo de Pagos'!B$7:B$506,AC7))</f>
        <v/>
      </c>
      <c r="AD19" s="76" t="str">
        <f aca="false">IF(B19="","",SUMIFS('Flujo de Pagos'!I$7:I$506,'Flujo de Pagos'!E$7:E$506,B19,'Flujo de Pagos'!B$7:B$506,AD7))</f>
        <v/>
      </c>
      <c r="AE19" s="76" t="str">
        <f aca="false">IF(B19="","",SUMIFS('Flujo de Pagos'!I$7:I$506,'Flujo de Pagos'!E$7:E$506,B19,'Flujo de Pagos'!B$7:B$506,AE7))</f>
        <v/>
      </c>
      <c r="AF19" s="76" t="str">
        <f aca="false">IF(B19="","",SUMIFS('Flujo de Pagos'!I$7:I$506,'Flujo de Pagos'!E$7:E$506,B19,'Flujo de Pagos'!B$7:B$506,AF7))</f>
        <v/>
      </c>
      <c r="AG19" s="76" t="str">
        <f aca="false">IF(B19="","",SUMIFS('Flujo de Pagos'!I$7:I$506,'Flujo de Pagos'!E$7:E$506,B19,'Flujo de Pagos'!B$7:B$506,AG7))</f>
        <v/>
      </c>
      <c r="AH19" s="76" t="str">
        <f aca="false">IF(B19="","",SUMIFS('Flujo de Pagos'!I$7:I$506,'Flujo de Pagos'!E$7:E$506,B19,'Flujo de Pagos'!B$7:B$506,AH7))</f>
        <v/>
      </c>
      <c r="AI19" s="76" t="str">
        <f aca="false">IF(B19="","",SUMIFS('Flujo de Pagos'!I$7:I$506,'Flujo de Pagos'!E$7:E$506,B19,'Flujo de Pagos'!B$7:B$506,AI7))</f>
        <v/>
      </c>
      <c r="AJ19" s="76" t="str">
        <f aca="false">IF(B19="","",SUMIFS('Flujo de Pagos'!I$7:I$506,'Flujo de Pagos'!E$7:E$506,B19,'Flujo de Pagos'!B$7:B$506,AJ7))</f>
        <v/>
      </c>
      <c r="AK19" s="76" t="str">
        <f aca="false">IF(B19="","",SUMIFS('Flujo de Pagos'!I$7:I$506,'Flujo de Pagos'!E$7:E$506,B19,'Flujo de Pagos'!B$7:B$506,AK7))</f>
        <v/>
      </c>
      <c r="AL19" s="76" t="str">
        <f aca="false">IF(B19="","",SUMIFS('Flujo de Pagos'!I$7:I$506,'Flujo de Pagos'!E$7:E$506,B19,'Flujo de Pagos'!B$7:B$506,AL7))</f>
        <v/>
      </c>
      <c r="AM19" s="76" t="str">
        <f aca="false">IF(B19="","",SUM(C19:AL19))</f>
        <v/>
      </c>
    </row>
    <row r="20" customFormat="false" ht="15" hidden="false" customHeight="true" outlineLevel="0" collapsed="false">
      <c r="B20" s="64" t="str">
        <f aca="false">IF(Presupuesto!B17="","",Presupuesto!B17)</f>
        <v/>
      </c>
      <c r="C20" s="76" t="str">
        <f aca="false">IF(B20="","",SUMIFS('Flujo de Pagos'!I$7:I$506,'Flujo de Pagos'!E$7:E$506,B20,'Flujo de Pagos'!B$7:B$506,C7))</f>
        <v/>
      </c>
      <c r="D20" s="76" t="str">
        <f aca="false">IF(B20="","",SUMIFS('Flujo de Pagos'!I$7:I$506,'Flujo de Pagos'!E$7:E$506,B20,'Flujo de Pagos'!B$7:B$506,D7))</f>
        <v/>
      </c>
      <c r="E20" s="76" t="str">
        <f aca="false">IF(B20="","",SUMIFS('Flujo de Pagos'!I$7:I$506,'Flujo de Pagos'!E$7:E$506,B20,'Flujo de Pagos'!B$7:B$506,E7))</f>
        <v/>
      </c>
      <c r="F20" s="76" t="str">
        <f aca="false">IF(B20="","",SUMIFS('Flujo de Pagos'!I$7:I$506,'Flujo de Pagos'!E$7:E$506,B20,'Flujo de Pagos'!B$7:B$506,F7))</f>
        <v/>
      </c>
      <c r="G20" s="76" t="str">
        <f aca="false">IF(B20="","",SUMIFS('Flujo de Pagos'!I$7:I$506,'Flujo de Pagos'!E$7:E$506,B20,'Flujo de Pagos'!B$7:B$506,G7))</f>
        <v/>
      </c>
      <c r="H20" s="76" t="str">
        <f aca="false">IF(B20="","",SUMIFS('Flujo de Pagos'!I$7:I$506,'Flujo de Pagos'!E$7:E$506,B20,'Flujo de Pagos'!B$7:B$506,H7))</f>
        <v/>
      </c>
      <c r="I20" s="76" t="str">
        <f aca="false">IF(B20="","",SUMIFS('Flujo de Pagos'!I$7:I$506,'Flujo de Pagos'!E$7:E$506,B20,'Flujo de Pagos'!B$7:B$506,I7))</f>
        <v/>
      </c>
      <c r="J20" s="76" t="str">
        <f aca="false">IF(B20="","",SUMIFS('Flujo de Pagos'!I$7:I$506,'Flujo de Pagos'!E$7:E$506,B20,'Flujo de Pagos'!B$7:B$506,J7))</f>
        <v/>
      </c>
      <c r="K20" s="76" t="str">
        <f aca="false">IF(B20="","",SUMIFS('Flujo de Pagos'!I$7:I$506,'Flujo de Pagos'!E$7:E$506,B20,'Flujo de Pagos'!B$7:B$506,K7))</f>
        <v/>
      </c>
      <c r="L20" s="76" t="str">
        <f aca="false">IF(B20="","",SUMIFS('Flujo de Pagos'!I$7:I$506,'Flujo de Pagos'!E$7:E$506,B20,'Flujo de Pagos'!B$7:B$506,L7))</f>
        <v/>
      </c>
      <c r="M20" s="76" t="str">
        <f aca="false">IF(B20="","",SUMIFS('Flujo de Pagos'!I$7:I$506,'Flujo de Pagos'!E$7:E$506,B20,'Flujo de Pagos'!B$7:B$506,M7))</f>
        <v/>
      </c>
      <c r="N20" s="76" t="str">
        <f aca="false">IF(B20="","",SUMIFS('Flujo de Pagos'!I$7:I$506,'Flujo de Pagos'!E$7:E$506,B20,'Flujo de Pagos'!B$7:B$506,N7))</f>
        <v/>
      </c>
      <c r="O20" s="76" t="str">
        <f aca="false">IF(B20="","",SUMIFS('Flujo de Pagos'!I$7:I$506,'Flujo de Pagos'!E$7:E$506,B20,'Flujo de Pagos'!B$7:B$506,O7))</f>
        <v/>
      </c>
      <c r="P20" s="76" t="str">
        <f aca="false">IF(B20="","",SUMIFS('Flujo de Pagos'!I$7:I$506,'Flujo de Pagos'!E$7:E$506,B20,'Flujo de Pagos'!B$7:B$506,P7))</f>
        <v/>
      </c>
      <c r="Q20" s="76" t="str">
        <f aca="false">IF(B20="","",SUMIFS('Flujo de Pagos'!I$7:I$506,'Flujo de Pagos'!E$7:E$506,B20,'Flujo de Pagos'!B$7:B$506,Q7))</f>
        <v/>
      </c>
      <c r="R20" s="76" t="str">
        <f aca="false">IF(B20="","",SUMIFS('Flujo de Pagos'!I$7:I$506,'Flujo de Pagos'!E$7:E$506,B20,'Flujo de Pagos'!B$7:B$506,R7))</f>
        <v/>
      </c>
      <c r="S20" s="76" t="str">
        <f aca="false">IF(B20="","",SUMIFS('Flujo de Pagos'!I$7:I$506,'Flujo de Pagos'!E$7:E$506,B20,'Flujo de Pagos'!B$7:B$506,S7))</f>
        <v/>
      </c>
      <c r="T20" s="76" t="str">
        <f aca="false">IF(B20="","",SUMIFS('Flujo de Pagos'!I$7:I$506,'Flujo de Pagos'!E$7:E$506,B20,'Flujo de Pagos'!B$7:B$506,T7))</f>
        <v/>
      </c>
      <c r="U20" s="76" t="str">
        <f aca="false">IF(B20="","",SUMIFS('Flujo de Pagos'!I$7:I$506,'Flujo de Pagos'!E$7:E$506,B20,'Flujo de Pagos'!B$7:B$506,U7))</f>
        <v/>
      </c>
      <c r="V20" s="76" t="str">
        <f aca="false">IF(B20="","",SUMIFS('Flujo de Pagos'!I$7:I$506,'Flujo de Pagos'!E$7:E$506,B20,'Flujo de Pagos'!B$7:B$506,V7))</f>
        <v/>
      </c>
      <c r="W20" s="76" t="str">
        <f aca="false">IF(B20="","",SUMIFS('Flujo de Pagos'!I$7:I$506,'Flujo de Pagos'!E$7:E$506,B20,'Flujo de Pagos'!B$7:B$506,W7))</f>
        <v/>
      </c>
      <c r="X20" s="76" t="str">
        <f aca="false">IF(B20="","",SUMIFS('Flujo de Pagos'!I$7:I$506,'Flujo de Pagos'!E$7:E$506,B20,'Flujo de Pagos'!B$7:B$506,X7))</f>
        <v/>
      </c>
      <c r="Y20" s="76" t="str">
        <f aca="false">IF(B20="","",SUMIFS('Flujo de Pagos'!I$7:I$506,'Flujo de Pagos'!E$7:E$506,B20,'Flujo de Pagos'!B$7:B$506,Y7))</f>
        <v/>
      </c>
      <c r="Z20" s="76" t="str">
        <f aca="false">IF(B20="","",SUMIFS('Flujo de Pagos'!I$7:I$506,'Flujo de Pagos'!E$7:E$506,B20,'Flujo de Pagos'!B$7:B$506,Z7))</f>
        <v/>
      </c>
      <c r="AA20" s="76" t="str">
        <f aca="false">IF(B20="","",SUMIFS('Flujo de Pagos'!I$7:I$506,'Flujo de Pagos'!E$7:E$506,B20,'Flujo de Pagos'!B$7:B$506,AA7))</f>
        <v/>
      </c>
      <c r="AB20" s="76" t="str">
        <f aca="false">IF(B20="","",SUMIFS('Flujo de Pagos'!I$7:I$506,'Flujo de Pagos'!E$7:E$506,B20,'Flujo de Pagos'!B$7:B$506,AB7))</f>
        <v/>
      </c>
      <c r="AC20" s="76" t="str">
        <f aca="false">IF(B20="","",SUMIFS('Flujo de Pagos'!I$7:I$506,'Flujo de Pagos'!E$7:E$506,B20,'Flujo de Pagos'!B$7:B$506,AC7))</f>
        <v/>
      </c>
      <c r="AD20" s="76" t="str">
        <f aca="false">IF(B20="","",SUMIFS('Flujo de Pagos'!I$7:I$506,'Flujo de Pagos'!E$7:E$506,B20,'Flujo de Pagos'!B$7:B$506,AD7))</f>
        <v/>
      </c>
      <c r="AE20" s="76" t="str">
        <f aca="false">IF(B20="","",SUMIFS('Flujo de Pagos'!I$7:I$506,'Flujo de Pagos'!E$7:E$506,B20,'Flujo de Pagos'!B$7:B$506,AE7))</f>
        <v/>
      </c>
      <c r="AF20" s="76" t="str">
        <f aca="false">IF(B20="","",SUMIFS('Flujo de Pagos'!I$7:I$506,'Flujo de Pagos'!E$7:E$506,B20,'Flujo de Pagos'!B$7:B$506,AF7))</f>
        <v/>
      </c>
      <c r="AG20" s="76" t="str">
        <f aca="false">IF(B20="","",SUMIFS('Flujo de Pagos'!I$7:I$506,'Flujo de Pagos'!E$7:E$506,B20,'Flujo de Pagos'!B$7:B$506,AG7))</f>
        <v/>
      </c>
      <c r="AH20" s="76" t="str">
        <f aca="false">IF(B20="","",SUMIFS('Flujo de Pagos'!I$7:I$506,'Flujo de Pagos'!E$7:E$506,B20,'Flujo de Pagos'!B$7:B$506,AH7))</f>
        <v/>
      </c>
      <c r="AI20" s="76" t="str">
        <f aca="false">IF(B20="","",SUMIFS('Flujo de Pagos'!I$7:I$506,'Flujo de Pagos'!E$7:E$506,B20,'Flujo de Pagos'!B$7:B$506,AI7))</f>
        <v/>
      </c>
      <c r="AJ20" s="76" t="str">
        <f aca="false">IF(B20="","",SUMIFS('Flujo de Pagos'!I$7:I$506,'Flujo de Pagos'!E$7:E$506,B20,'Flujo de Pagos'!B$7:B$506,AJ7))</f>
        <v/>
      </c>
      <c r="AK20" s="76" t="str">
        <f aca="false">IF(B20="","",SUMIFS('Flujo de Pagos'!I$7:I$506,'Flujo de Pagos'!E$7:E$506,B20,'Flujo de Pagos'!B$7:B$506,AK7))</f>
        <v/>
      </c>
      <c r="AL20" s="76" t="str">
        <f aca="false">IF(B20="","",SUMIFS('Flujo de Pagos'!I$7:I$506,'Flujo de Pagos'!E$7:E$506,B20,'Flujo de Pagos'!B$7:B$506,AL7))</f>
        <v/>
      </c>
      <c r="AM20" s="76" t="str">
        <f aca="false">IF(B20="","",SUM(C20:AL20))</f>
        <v/>
      </c>
    </row>
    <row r="21" customFormat="false" ht="15.75" hidden="false" customHeight="true" outlineLevel="0" collapsed="false">
      <c r="B21" s="64" t="str">
        <f aca="false">IF(Presupuesto!B18="","",Presupuesto!B18)</f>
        <v/>
      </c>
      <c r="C21" s="76" t="str">
        <f aca="false">IF(B21="","",SUMIFS('Flujo de Pagos'!I$7:I$506,'Flujo de Pagos'!E$7:E$506,B21,'Flujo de Pagos'!B$7:B$506,C7))</f>
        <v/>
      </c>
      <c r="D21" s="76" t="str">
        <f aca="false">IF(B21="","",SUMIFS('Flujo de Pagos'!I$7:I$506,'Flujo de Pagos'!E$7:E$506,B21,'Flujo de Pagos'!B$7:B$506,D7))</f>
        <v/>
      </c>
      <c r="E21" s="76" t="str">
        <f aca="false">IF(B21="","",SUMIFS('Flujo de Pagos'!I$7:I$506,'Flujo de Pagos'!E$7:E$506,B21,'Flujo de Pagos'!B$7:B$506,E7))</f>
        <v/>
      </c>
      <c r="F21" s="76" t="str">
        <f aca="false">IF(B21="","",SUMIFS('Flujo de Pagos'!I$7:I$506,'Flujo de Pagos'!E$7:E$506,B21,'Flujo de Pagos'!B$7:B$506,F7))</f>
        <v/>
      </c>
      <c r="G21" s="76" t="str">
        <f aca="false">IF(B21="","",SUMIFS('Flujo de Pagos'!I$7:I$506,'Flujo de Pagos'!E$7:E$506,B21,'Flujo de Pagos'!B$7:B$506,G7))</f>
        <v/>
      </c>
      <c r="H21" s="76" t="str">
        <f aca="false">IF(B21="","",SUMIFS('Flujo de Pagos'!I$7:I$506,'Flujo de Pagos'!E$7:E$506,B21,'Flujo de Pagos'!B$7:B$506,H7))</f>
        <v/>
      </c>
      <c r="I21" s="76" t="str">
        <f aca="false">IF(B21="","",SUMIFS('Flujo de Pagos'!I$7:I$506,'Flujo de Pagos'!E$7:E$506,B21,'Flujo de Pagos'!B$7:B$506,I7))</f>
        <v/>
      </c>
      <c r="J21" s="76" t="str">
        <f aca="false">IF(B21="","",SUMIFS('Flujo de Pagos'!I$7:I$506,'Flujo de Pagos'!E$7:E$506,B21,'Flujo de Pagos'!B$7:B$506,J7))</f>
        <v/>
      </c>
      <c r="K21" s="76" t="str">
        <f aca="false">IF(B21="","",SUMIFS('Flujo de Pagos'!I$7:I$506,'Flujo de Pagos'!E$7:E$506,B21,'Flujo de Pagos'!B$7:B$506,K7))</f>
        <v/>
      </c>
      <c r="L21" s="76" t="str">
        <f aca="false">IF(B21="","",SUMIFS('Flujo de Pagos'!I$7:I$506,'Flujo de Pagos'!E$7:E$506,B21,'Flujo de Pagos'!B$7:B$506,L7))</f>
        <v/>
      </c>
      <c r="M21" s="76" t="str">
        <f aca="false">IF(B21="","",SUMIFS('Flujo de Pagos'!I$7:I$506,'Flujo de Pagos'!E$7:E$506,B21,'Flujo de Pagos'!B$7:B$506,M7))</f>
        <v/>
      </c>
      <c r="N21" s="76" t="str">
        <f aca="false">IF(B21="","",SUMIFS('Flujo de Pagos'!I$7:I$506,'Flujo de Pagos'!E$7:E$506,B21,'Flujo de Pagos'!B$7:B$506,N7))</f>
        <v/>
      </c>
      <c r="O21" s="76" t="str">
        <f aca="false">IF(B21="","",SUMIFS('Flujo de Pagos'!I$7:I$506,'Flujo de Pagos'!E$7:E$506,B21,'Flujo de Pagos'!B$7:B$506,O7))</f>
        <v/>
      </c>
      <c r="P21" s="76" t="str">
        <f aca="false">IF(B21="","",SUMIFS('Flujo de Pagos'!I$7:I$506,'Flujo de Pagos'!E$7:E$506,B21,'Flujo de Pagos'!B$7:B$506,P7))</f>
        <v/>
      </c>
      <c r="Q21" s="76" t="str">
        <f aca="false">IF(B21="","",SUMIFS('Flujo de Pagos'!I$7:I$506,'Flujo de Pagos'!E$7:E$506,B21,'Flujo de Pagos'!B$7:B$506,Q7))</f>
        <v/>
      </c>
      <c r="R21" s="76" t="str">
        <f aca="false">IF(B21="","",SUMIFS('Flujo de Pagos'!I$7:I$506,'Flujo de Pagos'!E$7:E$506,B21,'Flujo de Pagos'!B$7:B$506,R7))</f>
        <v/>
      </c>
      <c r="S21" s="76" t="str">
        <f aca="false">IF(B21="","",SUMIFS('Flujo de Pagos'!I$7:I$506,'Flujo de Pagos'!E$7:E$506,B21,'Flujo de Pagos'!B$7:B$506,S7))</f>
        <v/>
      </c>
      <c r="T21" s="76" t="str">
        <f aca="false">IF(B21="","",SUMIFS('Flujo de Pagos'!I$7:I$506,'Flujo de Pagos'!E$7:E$506,B21,'Flujo de Pagos'!B$7:B$506,T7))</f>
        <v/>
      </c>
      <c r="U21" s="76" t="str">
        <f aca="false">IF(B21="","",SUMIFS('Flujo de Pagos'!I$7:I$506,'Flujo de Pagos'!E$7:E$506,B21,'Flujo de Pagos'!B$7:B$506,U7))</f>
        <v/>
      </c>
      <c r="V21" s="76" t="str">
        <f aca="false">IF(B21="","",SUMIFS('Flujo de Pagos'!I$7:I$506,'Flujo de Pagos'!E$7:E$506,B21,'Flujo de Pagos'!B$7:B$506,V7))</f>
        <v/>
      </c>
      <c r="W21" s="76" t="str">
        <f aca="false">IF(B21="","",SUMIFS('Flujo de Pagos'!I$7:I$506,'Flujo de Pagos'!E$7:E$506,B21,'Flujo de Pagos'!B$7:B$506,W7))</f>
        <v/>
      </c>
      <c r="X21" s="76" t="str">
        <f aca="false">IF(B21="","",SUMIFS('Flujo de Pagos'!I$7:I$506,'Flujo de Pagos'!E$7:E$506,B21,'Flujo de Pagos'!B$7:B$506,X7))</f>
        <v/>
      </c>
      <c r="Y21" s="76" t="str">
        <f aca="false">IF(B21="","",SUMIFS('Flujo de Pagos'!I$7:I$506,'Flujo de Pagos'!E$7:E$506,B21,'Flujo de Pagos'!B$7:B$506,Y7))</f>
        <v/>
      </c>
      <c r="Z21" s="76" t="str">
        <f aca="false">IF(B21="","",SUMIFS('Flujo de Pagos'!I$7:I$506,'Flujo de Pagos'!E$7:E$506,B21,'Flujo de Pagos'!B$7:B$506,Z7))</f>
        <v/>
      </c>
      <c r="AA21" s="76" t="str">
        <f aca="false">IF(B21="","",SUMIFS('Flujo de Pagos'!I$7:I$506,'Flujo de Pagos'!E$7:E$506,B21,'Flujo de Pagos'!B$7:B$506,AA7))</f>
        <v/>
      </c>
      <c r="AB21" s="76" t="str">
        <f aca="false">IF(B21="","",SUMIFS('Flujo de Pagos'!I$7:I$506,'Flujo de Pagos'!E$7:E$506,B21,'Flujo de Pagos'!B$7:B$506,AB7))</f>
        <v/>
      </c>
      <c r="AC21" s="76" t="str">
        <f aca="false">IF(B21="","",SUMIFS('Flujo de Pagos'!I$7:I$506,'Flujo de Pagos'!E$7:E$506,B21,'Flujo de Pagos'!B$7:B$506,AC7))</f>
        <v/>
      </c>
      <c r="AD21" s="76" t="str">
        <f aca="false">IF(B21="","",SUMIFS('Flujo de Pagos'!I$7:I$506,'Flujo de Pagos'!E$7:E$506,B21,'Flujo de Pagos'!B$7:B$506,AD7))</f>
        <v/>
      </c>
      <c r="AE21" s="76" t="str">
        <f aca="false">IF(B21="","",SUMIFS('Flujo de Pagos'!I$7:I$506,'Flujo de Pagos'!E$7:E$506,B21,'Flujo de Pagos'!B$7:B$506,AE7))</f>
        <v/>
      </c>
      <c r="AF21" s="76" t="str">
        <f aca="false">IF(B21="","",SUMIFS('Flujo de Pagos'!I$7:I$506,'Flujo de Pagos'!E$7:E$506,B21,'Flujo de Pagos'!B$7:B$506,AF7))</f>
        <v/>
      </c>
      <c r="AG21" s="76" t="str">
        <f aca="false">IF(B21="","",SUMIFS('Flujo de Pagos'!I$7:I$506,'Flujo de Pagos'!E$7:E$506,B21,'Flujo de Pagos'!B$7:B$506,AG7))</f>
        <v/>
      </c>
      <c r="AH21" s="76" t="str">
        <f aca="false">IF(B21="","",SUMIFS('Flujo de Pagos'!I$7:I$506,'Flujo de Pagos'!E$7:E$506,B21,'Flujo de Pagos'!B$7:B$506,AH7))</f>
        <v/>
      </c>
      <c r="AI21" s="76" t="str">
        <f aca="false">IF(B21="","",SUMIFS('Flujo de Pagos'!I$7:I$506,'Flujo de Pagos'!E$7:E$506,B21,'Flujo de Pagos'!B$7:B$506,AI7))</f>
        <v/>
      </c>
      <c r="AJ21" s="76" t="str">
        <f aca="false">IF(B21="","",SUMIFS('Flujo de Pagos'!I$7:I$506,'Flujo de Pagos'!E$7:E$506,B21,'Flujo de Pagos'!B$7:B$506,AJ7))</f>
        <v/>
      </c>
      <c r="AK21" s="76" t="str">
        <f aca="false">IF(B21="","",SUMIFS('Flujo de Pagos'!I$7:I$506,'Flujo de Pagos'!E$7:E$506,B21,'Flujo de Pagos'!B$7:B$506,AK7))</f>
        <v/>
      </c>
      <c r="AL21" s="76" t="str">
        <f aca="false">IF(B21="","",SUMIFS('Flujo de Pagos'!I$7:I$506,'Flujo de Pagos'!E$7:E$506,B21,'Flujo de Pagos'!B$7:B$506,AL7))</f>
        <v/>
      </c>
      <c r="AM21" s="76" t="str">
        <f aca="false">IF(B21="","",SUM(C21:AL21))</f>
        <v/>
      </c>
    </row>
    <row r="22" customFormat="false" ht="15.75" hidden="false" customHeight="true" outlineLevel="0" collapsed="false">
      <c r="B22" s="64" t="str">
        <f aca="false">IF(Presupuesto!B19="","",Presupuesto!B19)</f>
        <v/>
      </c>
      <c r="C22" s="76" t="str">
        <f aca="false">IF(B22="","",SUMIFS('Flujo de Pagos'!I$7:I$506,'Flujo de Pagos'!E$7:E$506,B22,'Flujo de Pagos'!B$7:B$506,C7))</f>
        <v/>
      </c>
      <c r="D22" s="76" t="str">
        <f aca="false">IF(B22="","",SUMIFS('Flujo de Pagos'!I$7:I$506,'Flujo de Pagos'!E$7:E$506,B22,'Flujo de Pagos'!B$7:B$506,D7))</f>
        <v/>
      </c>
      <c r="E22" s="76" t="str">
        <f aca="false">IF(B22="","",SUMIFS('Flujo de Pagos'!I$7:I$506,'Flujo de Pagos'!E$7:E$506,B22,'Flujo de Pagos'!B$7:B$506,E7))</f>
        <v/>
      </c>
      <c r="F22" s="76" t="str">
        <f aca="false">IF(B22="","",SUMIFS('Flujo de Pagos'!I$7:I$506,'Flujo de Pagos'!E$7:E$506,B22,'Flujo de Pagos'!B$7:B$506,F7))</f>
        <v/>
      </c>
      <c r="G22" s="76" t="str">
        <f aca="false">IF(B22="","",SUMIFS('Flujo de Pagos'!I$7:I$506,'Flujo de Pagos'!E$7:E$506,B22,'Flujo de Pagos'!B$7:B$506,G7))</f>
        <v/>
      </c>
      <c r="H22" s="76" t="str">
        <f aca="false">IF(B22="","",SUMIFS('Flujo de Pagos'!I$7:I$506,'Flujo de Pagos'!E$7:E$506,B22,'Flujo de Pagos'!B$7:B$506,H7))</f>
        <v/>
      </c>
      <c r="I22" s="76" t="str">
        <f aca="false">IF(B22="","",SUMIFS('Flujo de Pagos'!I$7:I$506,'Flujo de Pagos'!E$7:E$506,B22,'Flujo de Pagos'!B$7:B$506,I7))</f>
        <v/>
      </c>
      <c r="J22" s="76" t="str">
        <f aca="false">IF(B22="","",SUMIFS('Flujo de Pagos'!I$7:I$506,'Flujo de Pagos'!E$7:E$506,B22,'Flujo de Pagos'!B$7:B$506,J7))</f>
        <v/>
      </c>
      <c r="K22" s="76" t="str">
        <f aca="false">IF(B22="","",SUMIFS('Flujo de Pagos'!I$7:I$506,'Flujo de Pagos'!E$7:E$506,B22,'Flujo de Pagos'!B$7:B$506,K7))</f>
        <v/>
      </c>
      <c r="L22" s="76" t="str">
        <f aca="false">IF(B22="","",SUMIFS('Flujo de Pagos'!I$7:I$506,'Flujo de Pagos'!E$7:E$506,B22,'Flujo de Pagos'!B$7:B$506,L7))</f>
        <v/>
      </c>
      <c r="M22" s="76" t="str">
        <f aca="false">IF(B22="","",SUMIFS('Flujo de Pagos'!I$7:I$506,'Flujo de Pagos'!E$7:E$506,B22,'Flujo de Pagos'!B$7:B$506,M7))</f>
        <v/>
      </c>
      <c r="N22" s="76" t="str">
        <f aca="false">IF(B22="","",SUMIFS('Flujo de Pagos'!I$7:I$506,'Flujo de Pagos'!E$7:E$506,B22,'Flujo de Pagos'!B$7:B$506,N7))</f>
        <v/>
      </c>
      <c r="O22" s="76" t="str">
        <f aca="false">IF(B22="","",SUMIFS('Flujo de Pagos'!I$7:I$506,'Flujo de Pagos'!E$7:E$506,B22,'Flujo de Pagos'!B$7:B$506,O7))</f>
        <v/>
      </c>
      <c r="P22" s="76" t="str">
        <f aca="false">IF(B22="","",SUMIFS('Flujo de Pagos'!I$7:I$506,'Flujo de Pagos'!E$7:E$506,B22,'Flujo de Pagos'!B$7:B$506,P7))</f>
        <v/>
      </c>
      <c r="Q22" s="76" t="str">
        <f aca="false">IF(B22="","",SUMIFS('Flujo de Pagos'!I$7:I$506,'Flujo de Pagos'!E$7:E$506,B22,'Flujo de Pagos'!B$7:B$506,Q7))</f>
        <v/>
      </c>
      <c r="R22" s="76" t="str">
        <f aca="false">IF(B22="","",SUMIFS('Flujo de Pagos'!I$7:I$506,'Flujo de Pagos'!E$7:E$506,B22,'Flujo de Pagos'!B$7:B$506,R7))</f>
        <v/>
      </c>
      <c r="S22" s="76" t="str">
        <f aca="false">IF(B22="","",SUMIFS('Flujo de Pagos'!I$7:I$506,'Flujo de Pagos'!E$7:E$506,B22,'Flujo de Pagos'!B$7:B$506,S7))</f>
        <v/>
      </c>
      <c r="T22" s="76" t="str">
        <f aca="false">IF(B22="","",SUMIFS('Flujo de Pagos'!I$7:I$506,'Flujo de Pagos'!E$7:E$506,B22,'Flujo de Pagos'!B$7:B$506,T7))</f>
        <v/>
      </c>
      <c r="U22" s="76" t="str">
        <f aca="false">IF(B22="","",SUMIFS('Flujo de Pagos'!I$7:I$506,'Flujo de Pagos'!E$7:E$506,B22,'Flujo de Pagos'!B$7:B$506,U7))</f>
        <v/>
      </c>
      <c r="V22" s="76" t="str">
        <f aca="false">IF(B22="","",SUMIFS('Flujo de Pagos'!I$7:I$506,'Flujo de Pagos'!E$7:E$506,B22,'Flujo de Pagos'!B$7:B$506,V7))</f>
        <v/>
      </c>
      <c r="W22" s="76" t="str">
        <f aca="false">IF(B22="","",SUMIFS('Flujo de Pagos'!I$7:I$506,'Flujo de Pagos'!E$7:E$506,B22,'Flujo de Pagos'!B$7:B$506,W7))</f>
        <v/>
      </c>
      <c r="X22" s="76" t="str">
        <f aca="false">IF(B22="","",SUMIFS('Flujo de Pagos'!I$7:I$506,'Flujo de Pagos'!E$7:E$506,B22,'Flujo de Pagos'!B$7:B$506,X7))</f>
        <v/>
      </c>
      <c r="Y22" s="76" t="str">
        <f aca="false">IF(B22="","",SUMIFS('Flujo de Pagos'!I$7:I$506,'Flujo de Pagos'!E$7:E$506,B22,'Flujo de Pagos'!B$7:B$506,Y7))</f>
        <v/>
      </c>
      <c r="Z22" s="76" t="str">
        <f aca="false">IF(B22="","",SUMIFS('Flujo de Pagos'!I$7:I$506,'Flujo de Pagos'!E$7:E$506,B22,'Flujo de Pagos'!B$7:B$506,Z7))</f>
        <v/>
      </c>
      <c r="AA22" s="76" t="str">
        <f aca="false">IF(B22="","",SUMIFS('Flujo de Pagos'!I$7:I$506,'Flujo de Pagos'!E$7:E$506,B22,'Flujo de Pagos'!B$7:B$506,AA7))</f>
        <v/>
      </c>
      <c r="AB22" s="76" t="str">
        <f aca="false">IF(B22="","",SUMIFS('Flujo de Pagos'!I$7:I$506,'Flujo de Pagos'!E$7:E$506,B22,'Flujo de Pagos'!B$7:B$506,AB7))</f>
        <v/>
      </c>
      <c r="AC22" s="76" t="str">
        <f aca="false">IF(B22="","",SUMIFS('Flujo de Pagos'!I$7:I$506,'Flujo de Pagos'!E$7:E$506,B22,'Flujo de Pagos'!B$7:B$506,AC7))</f>
        <v/>
      </c>
      <c r="AD22" s="76" t="str">
        <f aca="false">IF(B22="","",SUMIFS('Flujo de Pagos'!I$7:I$506,'Flujo de Pagos'!E$7:E$506,B22,'Flujo de Pagos'!B$7:B$506,AD7))</f>
        <v/>
      </c>
      <c r="AE22" s="76" t="str">
        <f aca="false">IF(B22="","",SUMIFS('Flujo de Pagos'!I$7:I$506,'Flujo de Pagos'!E$7:E$506,B22,'Flujo de Pagos'!B$7:B$506,AE7))</f>
        <v/>
      </c>
      <c r="AF22" s="76" t="str">
        <f aca="false">IF(B22="","",SUMIFS('Flujo de Pagos'!I$7:I$506,'Flujo de Pagos'!E$7:E$506,B22,'Flujo de Pagos'!B$7:B$506,AF7))</f>
        <v/>
      </c>
      <c r="AG22" s="76" t="str">
        <f aca="false">IF(B22="","",SUMIFS('Flujo de Pagos'!I$7:I$506,'Flujo de Pagos'!E$7:E$506,B22,'Flujo de Pagos'!B$7:B$506,AG7))</f>
        <v/>
      </c>
      <c r="AH22" s="76" t="str">
        <f aca="false">IF(B22="","",SUMIFS('Flujo de Pagos'!I$7:I$506,'Flujo de Pagos'!E$7:E$506,B22,'Flujo de Pagos'!B$7:B$506,AH7))</f>
        <v/>
      </c>
      <c r="AI22" s="76" t="str">
        <f aca="false">IF(B22="","",SUMIFS('Flujo de Pagos'!I$7:I$506,'Flujo de Pagos'!E$7:E$506,B22,'Flujo de Pagos'!B$7:B$506,AI7))</f>
        <v/>
      </c>
      <c r="AJ22" s="76" t="str">
        <f aca="false">IF(B22="","",SUMIFS('Flujo de Pagos'!I$7:I$506,'Flujo de Pagos'!E$7:E$506,B22,'Flujo de Pagos'!B$7:B$506,AJ7))</f>
        <v/>
      </c>
      <c r="AK22" s="76" t="str">
        <f aca="false">IF(B22="","",SUMIFS('Flujo de Pagos'!I$7:I$506,'Flujo de Pagos'!E$7:E$506,B22,'Flujo de Pagos'!B$7:B$506,AK7))</f>
        <v/>
      </c>
      <c r="AL22" s="76" t="str">
        <f aca="false">IF(B22="","",SUMIFS('Flujo de Pagos'!I$7:I$506,'Flujo de Pagos'!E$7:E$506,B22,'Flujo de Pagos'!B$7:B$506,AL7))</f>
        <v/>
      </c>
      <c r="AM22" s="76" t="str">
        <f aca="false">IF(B22="","",SUM(C22:AL22))</f>
        <v/>
      </c>
    </row>
    <row r="23" customFormat="false" ht="15.75" hidden="false" customHeight="true" outlineLevel="0" collapsed="false">
      <c r="B23" s="64" t="str">
        <f aca="false">IF(Presupuesto!B20="","",Presupuesto!B20)</f>
        <v/>
      </c>
      <c r="C23" s="76" t="str">
        <f aca="false">IF(B23="","",SUMIFS('Flujo de Pagos'!I$7:I$506,'Flujo de Pagos'!E$7:E$506,B23,'Flujo de Pagos'!B$7:B$506,C7))</f>
        <v/>
      </c>
      <c r="D23" s="76" t="str">
        <f aca="false">IF(B23="","",SUMIFS('Flujo de Pagos'!I$7:I$506,'Flujo de Pagos'!E$7:E$506,B23,'Flujo de Pagos'!B$7:B$506,D7))</f>
        <v/>
      </c>
      <c r="E23" s="76" t="str">
        <f aca="false">IF(B23="","",SUMIFS('Flujo de Pagos'!I$7:I$506,'Flujo de Pagos'!E$7:E$506,B23,'Flujo de Pagos'!B$7:B$506,E7))</f>
        <v/>
      </c>
      <c r="F23" s="76" t="str">
        <f aca="false">IF(B23="","",SUMIFS('Flujo de Pagos'!I$7:I$506,'Flujo de Pagos'!E$7:E$506,B23,'Flujo de Pagos'!B$7:B$506,F7))</f>
        <v/>
      </c>
      <c r="G23" s="76" t="str">
        <f aca="false">IF(B23="","",SUMIFS('Flujo de Pagos'!I$7:I$506,'Flujo de Pagos'!E$7:E$506,B23,'Flujo de Pagos'!B$7:B$506,G7))</f>
        <v/>
      </c>
      <c r="H23" s="76" t="str">
        <f aca="false">IF(B23="","",SUMIFS('Flujo de Pagos'!I$7:I$506,'Flujo de Pagos'!E$7:E$506,B23,'Flujo de Pagos'!B$7:B$506,H7))</f>
        <v/>
      </c>
      <c r="I23" s="76" t="str">
        <f aca="false">IF(B23="","",SUMIFS('Flujo de Pagos'!I$7:I$506,'Flujo de Pagos'!E$7:E$506,B23,'Flujo de Pagos'!B$7:B$506,I7))</f>
        <v/>
      </c>
      <c r="J23" s="76" t="str">
        <f aca="false">IF(B23="","",SUMIFS('Flujo de Pagos'!I$7:I$506,'Flujo de Pagos'!E$7:E$506,B23,'Flujo de Pagos'!B$7:B$506,J7))</f>
        <v/>
      </c>
      <c r="K23" s="76" t="str">
        <f aca="false">IF(B23="","",SUMIFS('Flujo de Pagos'!I$7:I$506,'Flujo de Pagos'!E$7:E$506,B23,'Flujo de Pagos'!B$7:B$506,K7))</f>
        <v/>
      </c>
      <c r="L23" s="76" t="str">
        <f aca="false">IF(B23="","",SUMIFS('Flujo de Pagos'!I$7:I$506,'Flujo de Pagos'!E$7:E$506,B23,'Flujo de Pagos'!B$7:B$506,L7))</f>
        <v/>
      </c>
      <c r="M23" s="76" t="str">
        <f aca="false">IF(B23="","",SUMIFS('Flujo de Pagos'!I$7:I$506,'Flujo de Pagos'!E$7:E$506,B23,'Flujo de Pagos'!B$7:B$506,M7))</f>
        <v/>
      </c>
      <c r="N23" s="76" t="str">
        <f aca="false">IF(B23="","",SUMIFS('Flujo de Pagos'!I$7:I$506,'Flujo de Pagos'!E$7:E$506,B23,'Flujo de Pagos'!B$7:B$506,N7))</f>
        <v/>
      </c>
      <c r="O23" s="76" t="str">
        <f aca="false">IF(B23="","",SUMIFS('Flujo de Pagos'!I$7:I$506,'Flujo de Pagos'!E$7:E$506,B23,'Flujo de Pagos'!B$7:B$506,O7))</f>
        <v/>
      </c>
      <c r="P23" s="76" t="str">
        <f aca="false">IF(B23="","",SUMIFS('Flujo de Pagos'!I$7:I$506,'Flujo de Pagos'!E$7:E$506,B23,'Flujo de Pagos'!B$7:B$506,P7))</f>
        <v/>
      </c>
      <c r="Q23" s="76" t="str">
        <f aca="false">IF(B23="","",SUMIFS('Flujo de Pagos'!I$7:I$506,'Flujo de Pagos'!E$7:E$506,B23,'Flujo de Pagos'!B$7:B$506,Q7))</f>
        <v/>
      </c>
      <c r="R23" s="76" t="str">
        <f aca="false">IF(B23="","",SUMIFS('Flujo de Pagos'!I$7:I$506,'Flujo de Pagos'!E$7:E$506,B23,'Flujo de Pagos'!B$7:B$506,R7))</f>
        <v/>
      </c>
      <c r="S23" s="76" t="str">
        <f aca="false">IF(B23="","",SUMIFS('Flujo de Pagos'!I$7:I$506,'Flujo de Pagos'!E$7:E$506,B23,'Flujo de Pagos'!B$7:B$506,S7))</f>
        <v/>
      </c>
      <c r="T23" s="76" t="str">
        <f aca="false">IF(B23="","",SUMIFS('Flujo de Pagos'!I$7:I$506,'Flujo de Pagos'!E$7:E$506,B23,'Flujo de Pagos'!B$7:B$506,T7))</f>
        <v/>
      </c>
      <c r="U23" s="76" t="str">
        <f aca="false">IF(B23="","",SUMIFS('Flujo de Pagos'!I$7:I$506,'Flujo de Pagos'!E$7:E$506,B23,'Flujo de Pagos'!B$7:B$506,U7))</f>
        <v/>
      </c>
      <c r="V23" s="76" t="str">
        <f aca="false">IF(B23="","",SUMIFS('Flujo de Pagos'!I$7:I$506,'Flujo de Pagos'!E$7:E$506,B23,'Flujo de Pagos'!B$7:B$506,V7))</f>
        <v/>
      </c>
      <c r="W23" s="76" t="str">
        <f aca="false">IF(B23="","",SUMIFS('Flujo de Pagos'!I$7:I$506,'Flujo de Pagos'!E$7:E$506,B23,'Flujo de Pagos'!B$7:B$506,W7))</f>
        <v/>
      </c>
      <c r="X23" s="76" t="str">
        <f aca="false">IF(B23="","",SUMIFS('Flujo de Pagos'!I$7:I$506,'Flujo de Pagos'!E$7:E$506,B23,'Flujo de Pagos'!B$7:B$506,X7))</f>
        <v/>
      </c>
      <c r="Y23" s="76" t="str">
        <f aca="false">IF(B23="","",SUMIFS('Flujo de Pagos'!I$7:I$506,'Flujo de Pagos'!E$7:E$506,B23,'Flujo de Pagos'!B$7:B$506,Y7))</f>
        <v/>
      </c>
      <c r="Z23" s="76" t="str">
        <f aca="false">IF(B23="","",SUMIFS('Flujo de Pagos'!I$7:I$506,'Flujo de Pagos'!E$7:E$506,B23,'Flujo de Pagos'!B$7:B$506,Z7))</f>
        <v/>
      </c>
      <c r="AA23" s="76" t="str">
        <f aca="false">IF(B23="","",SUMIFS('Flujo de Pagos'!I$7:I$506,'Flujo de Pagos'!E$7:E$506,B23,'Flujo de Pagos'!B$7:B$506,AA7))</f>
        <v/>
      </c>
      <c r="AB23" s="76" t="str">
        <f aca="false">IF(B23="","",SUMIFS('Flujo de Pagos'!I$7:I$506,'Flujo de Pagos'!E$7:E$506,B23,'Flujo de Pagos'!B$7:B$506,AB7))</f>
        <v/>
      </c>
      <c r="AC23" s="76" t="str">
        <f aca="false">IF(B23="","",SUMIFS('Flujo de Pagos'!I$7:I$506,'Flujo de Pagos'!E$7:E$506,B23,'Flujo de Pagos'!B$7:B$506,AC7))</f>
        <v/>
      </c>
      <c r="AD23" s="76" t="str">
        <f aca="false">IF(B23="","",SUMIFS('Flujo de Pagos'!I$7:I$506,'Flujo de Pagos'!E$7:E$506,B23,'Flujo de Pagos'!B$7:B$506,AD7))</f>
        <v/>
      </c>
      <c r="AE23" s="76" t="str">
        <f aca="false">IF(B23="","",SUMIFS('Flujo de Pagos'!I$7:I$506,'Flujo de Pagos'!E$7:E$506,B23,'Flujo de Pagos'!B$7:B$506,AE7))</f>
        <v/>
      </c>
      <c r="AF23" s="76" t="str">
        <f aca="false">IF(B23="","",SUMIFS('Flujo de Pagos'!I$7:I$506,'Flujo de Pagos'!E$7:E$506,B23,'Flujo de Pagos'!B$7:B$506,AF7))</f>
        <v/>
      </c>
      <c r="AG23" s="76" t="str">
        <f aca="false">IF(B23="","",SUMIFS('Flujo de Pagos'!I$7:I$506,'Flujo de Pagos'!E$7:E$506,B23,'Flujo de Pagos'!B$7:B$506,AG7))</f>
        <v/>
      </c>
      <c r="AH23" s="76" t="str">
        <f aca="false">IF(B23="","",SUMIFS('Flujo de Pagos'!I$7:I$506,'Flujo de Pagos'!E$7:E$506,B23,'Flujo de Pagos'!B$7:B$506,AH7))</f>
        <v/>
      </c>
      <c r="AI23" s="76" t="str">
        <f aca="false">IF(B23="","",SUMIFS('Flujo de Pagos'!I$7:I$506,'Flujo de Pagos'!E$7:E$506,B23,'Flujo de Pagos'!B$7:B$506,AI7))</f>
        <v/>
      </c>
      <c r="AJ23" s="76" t="str">
        <f aca="false">IF(B23="","",SUMIFS('Flujo de Pagos'!I$7:I$506,'Flujo de Pagos'!E$7:E$506,B23,'Flujo de Pagos'!B$7:B$506,AJ7))</f>
        <v/>
      </c>
      <c r="AK23" s="76" t="str">
        <f aca="false">IF(B23="","",SUMIFS('Flujo de Pagos'!I$7:I$506,'Flujo de Pagos'!E$7:E$506,B23,'Flujo de Pagos'!B$7:B$506,AK7))</f>
        <v/>
      </c>
      <c r="AL23" s="76" t="str">
        <f aca="false">IF(B23="","",SUMIFS('Flujo de Pagos'!I$7:I$506,'Flujo de Pagos'!E$7:E$506,B23,'Flujo de Pagos'!B$7:B$506,AL7))</f>
        <v/>
      </c>
      <c r="AM23" s="76" t="str">
        <f aca="false">IF(B23="","",SUM(C23:AL23))</f>
        <v/>
      </c>
    </row>
    <row r="24" customFormat="false" ht="15.75" hidden="false" customHeight="true" outlineLevel="0" collapsed="false">
      <c r="B24" s="64" t="str">
        <f aca="false">IF(Presupuesto!B21="","",Presupuesto!B21)</f>
        <v/>
      </c>
      <c r="C24" s="76" t="str">
        <f aca="false">IF(B24="","",SUMIFS('Flujo de Pagos'!I$7:I$506,'Flujo de Pagos'!E$7:E$506,B24,'Flujo de Pagos'!B$7:B$506,C7))</f>
        <v/>
      </c>
      <c r="D24" s="76" t="str">
        <f aca="false">IF(B24="","",SUMIFS('Flujo de Pagos'!I$7:I$506,'Flujo de Pagos'!E$7:E$506,B24,'Flujo de Pagos'!B$7:B$506,D7))</f>
        <v/>
      </c>
      <c r="E24" s="76" t="str">
        <f aca="false">IF(B24="","",SUMIFS('Flujo de Pagos'!I$7:I$506,'Flujo de Pagos'!E$7:E$506,B24,'Flujo de Pagos'!B$7:B$506,E7))</f>
        <v/>
      </c>
      <c r="F24" s="76" t="str">
        <f aca="false">IF(B24="","",SUMIFS('Flujo de Pagos'!I$7:I$506,'Flujo de Pagos'!E$7:E$506,B24,'Flujo de Pagos'!B$7:B$506,F7))</f>
        <v/>
      </c>
      <c r="G24" s="76" t="str">
        <f aca="false">IF(B24="","",SUMIFS('Flujo de Pagos'!I$7:I$506,'Flujo de Pagos'!E$7:E$506,B24,'Flujo de Pagos'!B$7:B$506,G7))</f>
        <v/>
      </c>
      <c r="H24" s="76" t="str">
        <f aca="false">IF(B24="","",SUMIFS('Flujo de Pagos'!I$7:I$506,'Flujo de Pagos'!E$7:E$506,B24,'Flujo de Pagos'!B$7:B$506,H7))</f>
        <v/>
      </c>
      <c r="I24" s="76" t="str">
        <f aca="false">IF(B24="","",SUMIFS('Flujo de Pagos'!I$7:I$506,'Flujo de Pagos'!E$7:E$506,B24,'Flujo de Pagos'!B$7:B$506,I7))</f>
        <v/>
      </c>
      <c r="J24" s="76" t="str">
        <f aca="false">IF(B24="","",SUMIFS('Flujo de Pagos'!I$7:I$506,'Flujo de Pagos'!E$7:E$506,B24,'Flujo de Pagos'!B$7:B$506,J7))</f>
        <v/>
      </c>
      <c r="K24" s="76" t="str">
        <f aca="false">IF(B24="","",SUMIFS('Flujo de Pagos'!I$7:I$506,'Flujo de Pagos'!E$7:E$506,B24,'Flujo de Pagos'!B$7:B$506,K7))</f>
        <v/>
      </c>
      <c r="L24" s="76" t="str">
        <f aca="false">IF(B24="","",SUMIFS('Flujo de Pagos'!I$7:I$506,'Flujo de Pagos'!E$7:E$506,B24,'Flujo de Pagos'!B$7:B$506,L7))</f>
        <v/>
      </c>
      <c r="M24" s="76" t="str">
        <f aca="false">IF(B24="","",SUMIFS('Flujo de Pagos'!I$7:I$506,'Flujo de Pagos'!E$7:E$506,B24,'Flujo de Pagos'!B$7:B$506,M7))</f>
        <v/>
      </c>
      <c r="N24" s="76" t="str">
        <f aca="false">IF(B24="","",SUMIFS('Flujo de Pagos'!I$7:I$506,'Flujo de Pagos'!E$7:E$506,B24,'Flujo de Pagos'!B$7:B$506,N7))</f>
        <v/>
      </c>
      <c r="O24" s="76" t="str">
        <f aca="false">IF(B24="","",SUMIFS('Flujo de Pagos'!I$7:I$506,'Flujo de Pagos'!E$7:E$506,B24,'Flujo de Pagos'!B$7:B$506,O7))</f>
        <v/>
      </c>
      <c r="P24" s="76" t="str">
        <f aca="false">IF(B24="","",SUMIFS('Flujo de Pagos'!I$7:I$506,'Flujo de Pagos'!E$7:E$506,B24,'Flujo de Pagos'!B$7:B$506,P7))</f>
        <v/>
      </c>
      <c r="Q24" s="76" t="str">
        <f aca="false">IF(B24="","",SUMIFS('Flujo de Pagos'!I$7:I$506,'Flujo de Pagos'!E$7:E$506,B24,'Flujo de Pagos'!B$7:B$506,Q7))</f>
        <v/>
      </c>
      <c r="R24" s="76" t="str">
        <f aca="false">IF(B24="","",SUMIFS('Flujo de Pagos'!I$7:I$506,'Flujo de Pagos'!E$7:E$506,B24,'Flujo de Pagos'!B$7:B$506,R7))</f>
        <v/>
      </c>
      <c r="S24" s="76" t="str">
        <f aca="false">IF(B24="","",SUMIFS('Flujo de Pagos'!I$7:I$506,'Flujo de Pagos'!E$7:E$506,B24,'Flujo de Pagos'!B$7:B$506,S7))</f>
        <v/>
      </c>
      <c r="T24" s="76" t="str">
        <f aca="false">IF(B24="","",SUMIFS('Flujo de Pagos'!I$7:I$506,'Flujo de Pagos'!E$7:E$506,B24,'Flujo de Pagos'!B$7:B$506,T7))</f>
        <v/>
      </c>
      <c r="U24" s="76" t="str">
        <f aca="false">IF(B24="","",SUMIFS('Flujo de Pagos'!I$7:I$506,'Flujo de Pagos'!E$7:E$506,B24,'Flujo de Pagos'!B$7:B$506,U7))</f>
        <v/>
      </c>
      <c r="V24" s="76" t="str">
        <f aca="false">IF(B24="","",SUMIFS('Flujo de Pagos'!I$7:I$506,'Flujo de Pagos'!E$7:E$506,B24,'Flujo de Pagos'!B$7:B$506,V7))</f>
        <v/>
      </c>
      <c r="W24" s="76" t="str">
        <f aca="false">IF(B24="","",SUMIFS('Flujo de Pagos'!I$7:I$506,'Flujo de Pagos'!E$7:E$506,B24,'Flujo de Pagos'!B$7:B$506,W7))</f>
        <v/>
      </c>
      <c r="X24" s="76" t="str">
        <f aca="false">IF(B24="","",SUMIFS('Flujo de Pagos'!I$7:I$506,'Flujo de Pagos'!E$7:E$506,B24,'Flujo de Pagos'!B$7:B$506,X7))</f>
        <v/>
      </c>
      <c r="Y24" s="76" t="str">
        <f aca="false">IF(B24="","",SUMIFS('Flujo de Pagos'!I$7:I$506,'Flujo de Pagos'!E$7:E$506,B24,'Flujo de Pagos'!B$7:B$506,Y7))</f>
        <v/>
      </c>
      <c r="Z24" s="76" t="str">
        <f aca="false">IF(B24="","",SUMIFS('Flujo de Pagos'!I$7:I$506,'Flujo de Pagos'!E$7:E$506,B24,'Flujo de Pagos'!B$7:B$506,Z7))</f>
        <v/>
      </c>
      <c r="AA24" s="76" t="str">
        <f aca="false">IF(B24="","",SUMIFS('Flujo de Pagos'!I$7:I$506,'Flujo de Pagos'!E$7:E$506,B24,'Flujo de Pagos'!B$7:B$506,AA7))</f>
        <v/>
      </c>
      <c r="AB24" s="76" t="str">
        <f aca="false">IF(B24="","",SUMIFS('Flujo de Pagos'!I$7:I$506,'Flujo de Pagos'!E$7:E$506,B24,'Flujo de Pagos'!B$7:B$506,AB7))</f>
        <v/>
      </c>
      <c r="AC24" s="76" t="str">
        <f aca="false">IF(B24="","",SUMIFS('Flujo de Pagos'!I$7:I$506,'Flujo de Pagos'!E$7:E$506,B24,'Flujo de Pagos'!B$7:B$506,AC7))</f>
        <v/>
      </c>
      <c r="AD24" s="76" t="str">
        <f aca="false">IF(B24="","",SUMIFS('Flujo de Pagos'!I$7:I$506,'Flujo de Pagos'!E$7:E$506,B24,'Flujo de Pagos'!B$7:B$506,AD7))</f>
        <v/>
      </c>
      <c r="AE24" s="76" t="str">
        <f aca="false">IF(B24="","",SUMIFS('Flujo de Pagos'!I$7:I$506,'Flujo de Pagos'!E$7:E$506,B24,'Flujo de Pagos'!B$7:B$506,AE7))</f>
        <v/>
      </c>
      <c r="AF24" s="76" t="str">
        <f aca="false">IF(B24="","",SUMIFS('Flujo de Pagos'!I$7:I$506,'Flujo de Pagos'!E$7:E$506,B24,'Flujo de Pagos'!B$7:B$506,AF7))</f>
        <v/>
      </c>
      <c r="AG24" s="76" t="str">
        <f aca="false">IF(B24="","",SUMIFS('Flujo de Pagos'!I$7:I$506,'Flujo de Pagos'!E$7:E$506,B24,'Flujo de Pagos'!B$7:B$506,AG7))</f>
        <v/>
      </c>
      <c r="AH24" s="76" t="str">
        <f aca="false">IF(B24="","",SUMIFS('Flujo de Pagos'!I$7:I$506,'Flujo de Pagos'!E$7:E$506,B24,'Flujo de Pagos'!B$7:B$506,AH7))</f>
        <v/>
      </c>
      <c r="AI24" s="76" t="str">
        <f aca="false">IF(B24="","",SUMIFS('Flujo de Pagos'!I$7:I$506,'Flujo de Pagos'!E$7:E$506,B24,'Flujo de Pagos'!B$7:B$506,AI7))</f>
        <v/>
      </c>
      <c r="AJ24" s="76" t="str">
        <f aca="false">IF(B24="","",SUMIFS('Flujo de Pagos'!I$7:I$506,'Flujo de Pagos'!E$7:E$506,B24,'Flujo de Pagos'!B$7:B$506,AJ7))</f>
        <v/>
      </c>
      <c r="AK24" s="76" t="str">
        <f aca="false">IF(B24="","",SUMIFS('Flujo de Pagos'!I$7:I$506,'Flujo de Pagos'!E$7:E$506,B24,'Flujo de Pagos'!B$7:B$506,AK7))</f>
        <v/>
      </c>
      <c r="AL24" s="76" t="str">
        <f aca="false">IF(B24="","",SUMIFS('Flujo de Pagos'!I$7:I$506,'Flujo de Pagos'!E$7:E$506,B24,'Flujo de Pagos'!B$7:B$506,AL7))</f>
        <v/>
      </c>
      <c r="AM24" s="76" t="str">
        <f aca="false">IF(B24="","",SUM(C24:AL24))</f>
        <v/>
      </c>
    </row>
    <row r="25" customFormat="false" ht="15.75" hidden="false" customHeight="true" outlineLevel="0" collapsed="false">
      <c r="B25" s="64" t="str">
        <f aca="false">IF(Presupuesto!B22="","",Presupuesto!B22)</f>
        <v/>
      </c>
      <c r="C25" s="76" t="str">
        <f aca="false">IF(B25="","",SUMIFS('Flujo de Pagos'!I$7:I$506,'Flujo de Pagos'!E$7:E$506,B25,'Flujo de Pagos'!B$7:B$506,C7))</f>
        <v/>
      </c>
      <c r="D25" s="76" t="str">
        <f aca="false">IF(B25="","",SUMIFS('Flujo de Pagos'!I$7:I$506,'Flujo de Pagos'!E$7:E$506,B25,'Flujo de Pagos'!B$7:B$506,D7))</f>
        <v/>
      </c>
      <c r="E25" s="76" t="str">
        <f aca="false">IF(B25="","",SUMIFS('Flujo de Pagos'!I$7:I$506,'Flujo de Pagos'!E$7:E$506,B25,'Flujo de Pagos'!B$7:B$506,E7))</f>
        <v/>
      </c>
      <c r="F25" s="76" t="str">
        <f aca="false">IF(B25="","",SUMIFS('Flujo de Pagos'!I$7:I$506,'Flujo de Pagos'!E$7:E$506,B25,'Flujo de Pagos'!B$7:B$506,F7))</f>
        <v/>
      </c>
      <c r="G25" s="76" t="str">
        <f aca="false">IF(B25="","",SUMIFS('Flujo de Pagos'!I$7:I$506,'Flujo de Pagos'!E$7:E$506,B25,'Flujo de Pagos'!B$7:B$506,G7))</f>
        <v/>
      </c>
      <c r="H25" s="76" t="str">
        <f aca="false">IF(B25="","",SUMIFS('Flujo de Pagos'!I$7:I$506,'Flujo de Pagos'!E$7:E$506,B25,'Flujo de Pagos'!B$7:B$506,H7))</f>
        <v/>
      </c>
      <c r="I25" s="76" t="str">
        <f aca="false">IF(B25="","",SUMIFS('Flujo de Pagos'!I$7:I$506,'Flujo de Pagos'!E$7:E$506,B25,'Flujo de Pagos'!B$7:B$506,I7))</f>
        <v/>
      </c>
      <c r="J25" s="76" t="str">
        <f aca="false">IF(B25="","",SUMIFS('Flujo de Pagos'!I$7:I$506,'Flujo de Pagos'!E$7:E$506,B25,'Flujo de Pagos'!B$7:B$506,J7))</f>
        <v/>
      </c>
      <c r="K25" s="76" t="str">
        <f aca="false">IF(B25="","",SUMIFS('Flujo de Pagos'!I$7:I$506,'Flujo de Pagos'!E$7:E$506,B25,'Flujo de Pagos'!B$7:B$506,K7))</f>
        <v/>
      </c>
      <c r="L25" s="76" t="str">
        <f aca="false">IF(B25="","",SUMIFS('Flujo de Pagos'!I$7:I$506,'Flujo de Pagos'!E$7:E$506,B25,'Flujo de Pagos'!B$7:B$506,L7))</f>
        <v/>
      </c>
      <c r="M25" s="76" t="str">
        <f aca="false">IF(B25="","",SUMIFS('Flujo de Pagos'!I$7:I$506,'Flujo de Pagos'!E$7:E$506,B25,'Flujo de Pagos'!B$7:B$506,M7))</f>
        <v/>
      </c>
      <c r="N25" s="76" t="str">
        <f aca="false">IF(B25="","",SUMIFS('Flujo de Pagos'!I$7:I$506,'Flujo de Pagos'!E$7:E$506,B25,'Flujo de Pagos'!B$7:B$506,N7))</f>
        <v/>
      </c>
      <c r="O25" s="76" t="str">
        <f aca="false">IF(B25="","",SUMIFS('Flujo de Pagos'!I$7:I$506,'Flujo de Pagos'!E$7:E$506,B25,'Flujo de Pagos'!B$7:B$506,O7))</f>
        <v/>
      </c>
      <c r="P25" s="76" t="str">
        <f aca="false">IF(B25="","",SUMIFS('Flujo de Pagos'!I$7:I$506,'Flujo de Pagos'!E$7:E$506,B25,'Flujo de Pagos'!B$7:B$506,P7))</f>
        <v/>
      </c>
      <c r="Q25" s="76" t="str">
        <f aca="false">IF(B25="","",SUMIFS('Flujo de Pagos'!I$7:I$506,'Flujo de Pagos'!E$7:E$506,B25,'Flujo de Pagos'!B$7:B$506,Q7))</f>
        <v/>
      </c>
      <c r="R25" s="76" t="str">
        <f aca="false">IF(B25="","",SUMIFS('Flujo de Pagos'!I$7:I$506,'Flujo de Pagos'!E$7:E$506,B25,'Flujo de Pagos'!B$7:B$506,R7))</f>
        <v/>
      </c>
      <c r="S25" s="76" t="str">
        <f aca="false">IF(B25="","",SUMIFS('Flujo de Pagos'!I$7:I$506,'Flujo de Pagos'!E$7:E$506,B25,'Flujo de Pagos'!B$7:B$506,S7))</f>
        <v/>
      </c>
      <c r="T25" s="76" t="str">
        <f aca="false">IF(B25="","",SUMIFS('Flujo de Pagos'!I$7:I$506,'Flujo de Pagos'!E$7:E$506,B25,'Flujo de Pagos'!B$7:B$506,T7))</f>
        <v/>
      </c>
      <c r="U25" s="76" t="str">
        <f aca="false">IF(B25="","",SUMIFS('Flujo de Pagos'!I$7:I$506,'Flujo de Pagos'!E$7:E$506,B25,'Flujo de Pagos'!B$7:B$506,U7))</f>
        <v/>
      </c>
      <c r="V25" s="76" t="str">
        <f aca="false">IF(B25="","",SUMIFS('Flujo de Pagos'!I$7:I$506,'Flujo de Pagos'!E$7:E$506,B25,'Flujo de Pagos'!B$7:B$506,V7))</f>
        <v/>
      </c>
      <c r="W25" s="76" t="str">
        <f aca="false">IF(B25="","",SUMIFS('Flujo de Pagos'!I$7:I$506,'Flujo de Pagos'!E$7:E$506,B25,'Flujo de Pagos'!B$7:B$506,W7))</f>
        <v/>
      </c>
      <c r="X25" s="76" t="str">
        <f aca="false">IF(B25="","",SUMIFS('Flujo de Pagos'!I$7:I$506,'Flujo de Pagos'!E$7:E$506,B25,'Flujo de Pagos'!B$7:B$506,X7))</f>
        <v/>
      </c>
      <c r="Y25" s="76" t="str">
        <f aca="false">IF(B25="","",SUMIFS('Flujo de Pagos'!I$7:I$506,'Flujo de Pagos'!E$7:E$506,B25,'Flujo de Pagos'!B$7:B$506,Y7))</f>
        <v/>
      </c>
      <c r="Z25" s="76" t="str">
        <f aca="false">IF(B25="","",SUMIFS('Flujo de Pagos'!I$7:I$506,'Flujo de Pagos'!E$7:E$506,B25,'Flujo de Pagos'!B$7:B$506,Z7))</f>
        <v/>
      </c>
      <c r="AA25" s="76" t="str">
        <f aca="false">IF(B25="","",SUMIFS('Flujo de Pagos'!I$7:I$506,'Flujo de Pagos'!E$7:E$506,B25,'Flujo de Pagos'!B$7:B$506,AA7))</f>
        <v/>
      </c>
      <c r="AB25" s="76" t="str">
        <f aca="false">IF(B25="","",SUMIFS('Flujo de Pagos'!I$7:I$506,'Flujo de Pagos'!E$7:E$506,B25,'Flujo de Pagos'!B$7:B$506,AB7))</f>
        <v/>
      </c>
      <c r="AC25" s="76" t="str">
        <f aca="false">IF(B25="","",SUMIFS('Flujo de Pagos'!I$7:I$506,'Flujo de Pagos'!E$7:E$506,B25,'Flujo de Pagos'!B$7:B$506,AC7))</f>
        <v/>
      </c>
      <c r="AD25" s="76" t="str">
        <f aca="false">IF(B25="","",SUMIFS('Flujo de Pagos'!I$7:I$506,'Flujo de Pagos'!E$7:E$506,B25,'Flujo de Pagos'!B$7:B$506,AD7))</f>
        <v/>
      </c>
      <c r="AE25" s="76" t="str">
        <f aca="false">IF(B25="","",SUMIFS('Flujo de Pagos'!I$7:I$506,'Flujo de Pagos'!E$7:E$506,B25,'Flujo de Pagos'!B$7:B$506,AE7))</f>
        <v/>
      </c>
      <c r="AF25" s="76" t="str">
        <f aca="false">IF(B25="","",SUMIFS('Flujo de Pagos'!I$7:I$506,'Flujo de Pagos'!E$7:E$506,B25,'Flujo de Pagos'!B$7:B$506,AF7))</f>
        <v/>
      </c>
      <c r="AG25" s="76" t="str">
        <f aca="false">IF(B25="","",SUMIFS('Flujo de Pagos'!I$7:I$506,'Flujo de Pagos'!E$7:E$506,B25,'Flujo de Pagos'!B$7:B$506,AG7))</f>
        <v/>
      </c>
      <c r="AH25" s="76" t="str">
        <f aca="false">IF(B25="","",SUMIFS('Flujo de Pagos'!I$7:I$506,'Flujo de Pagos'!E$7:E$506,B25,'Flujo de Pagos'!B$7:B$506,AH7))</f>
        <v/>
      </c>
      <c r="AI25" s="76" t="str">
        <f aca="false">IF(B25="","",SUMIFS('Flujo de Pagos'!I$7:I$506,'Flujo de Pagos'!E$7:E$506,B25,'Flujo de Pagos'!B$7:B$506,AI7))</f>
        <v/>
      </c>
      <c r="AJ25" s="76" t="str">
        <f aca="false">IF(B25="","",SUMIFS('Flujo de Pagos'!I$7:I$506,'Flujo de Pagos'!E$7:E$506,B25,'Flujo de Pagos'!B$7:B$506,AJ7))</f>
        <v/>
      </c>
      <c r="AK25" s="76" t="str">
        <f aca="false">IF(B25="","",SUMIFS('Flujo de Pagos'!I$7:I$506,'Flujo de Pagos'!E$7:E$506,B25,'Flujo de Pagos'!B$7:B$506,AK7))</f>
        <v/>
      </c>
      <c r="AL25" s="76" t="str">
        <f aca="false">IF(B25="","",SUMIFS('Flujo de Pagos'!I$7:I$506,'Flujo de Pagos'!E$7:E$506,B25,'Flujo de Pagos'!B$7:B$506,AL7))</f>
        <v/>
      </c>
      <c r="AM25" s="76" t="str">
        <f aca="false">IF(B25="","",SUM(C25:AL25))</f>
        <v/>
      </c>
    </row>
    <row r="26" customFormat="false" ht="15.75" hidden="false" customHeight="true" outlineLevel="0" collapsed="false">
      <c r="B26" s="64" t="str">
        <f aca="false">IF(Presupuesto!B23="","",Presupuesto!B23)</f>
        <v/>
      </c>
      <c r="C26" s="76" t="str">
        <f aca="false">IF(B26="","",SUMIFS('Flujo de Pagos'!I$7:I$506,'Flujo de Pagos'!E$7:E$506,B26,'Flujo de Pagos'!B$7:B$506,C7))</f>
        <v/>
      </c>
      <c r="D26" s="76" t="str">
        <f aca="false">IF(B26="","",SUMIFS('Flujo de Pagos'!I$7:I$506,'Flujo de Pagos'!E$7:E$506,B26,'Flujo de Pagos'!B$7:B$506,D7))</f>
        <v/>
      </c>
      <c r="E26" s="76" t="str">
        <f aca="false">IF(B26="","",SUMIFS('Flujo de Pagos'!I$7:I$506,'Flujo de Pagos'!E$7:E$506,B26,'Flujo de Pagos'!B$7:B$506,E7))</f>
        <v/>
      </c>
      <c r="F26" s="76" t="str">
        <f aca="false">IF(B26="","",SUMIFS('Flujo de Pagos'!I$7:I$506,'Flujo de Pagos'!E$7:E$506,B26,'Flujo de Pagos'!B$7:B$506,F7))</f>
        <v/>
      </c>
      <c r="G26" s="76" t="str">
        <f aca="false">IF(B26="","",SUMIFS('Flujo de Pagos'!I$7:I$506,'Flujo de Pagos'!E$7:E$506,B26,'Flujo de Pagos'!B$7:B$506,G7))</f>
        <v/>
      </c>
      <c r="H26" s="76" t="str">
        <f aca="false">IF(B26="","",SUMIFS('Flujo de Pagos'!I$7:I$506,'Flujo de Pagos'!E$7:E$506,B26,'Flujo de Pagos'!B$7:B$506,H7))</f>
        <v/>
      </c>
      <c r="I26" s="76" t="str">
        <f aca="false">IF(B26="","",SUMIFS('Flujo de Pagos'!I$7:I$506,'Flujo de Pagos'!E$7:E$506,B26,'Flujo de Pagos'!B$7:B$506,I7))</f>
        <v/>
      </c>
      <c r="J26" s="76" t="str">
        <f aca="false">IF(B26="","",SUMIFS('Flujo de Pagos'!I$7:I$506,'Flujo de Pagos'!E$7:E$506,B26,'Flujo de Pagos'!B$7:B$506,J7))</f>
        <v/>
      </c>
      <c r="K26" s="76" t="str">
        <f aca="false">IF(B26="","",SUMIFS('Flujo de Pagos'!I$7:I$506,'Flujo de Pagos'!E$7:E$506,B26,'Flujo de Pagos'!B$7:B$506,K7))</f>
        <v/>
      </c>
      <c r="L26" s="76" t="str">
        <f aca="false">IF(B26="","",SUMIFS('Flujo de Pagos'!I$7:I$506,'Flujo de Pagos'!E$7:E$506,B26,'Flujo de Pagos'!B$7:B$506,L7))</f>
        <v/>
      </c>
      <c r="M26" s="76" t="str">
        <f aca="false">IF(B26="","",SUMIFS('Flujo de Pagos'!I$7:I$506,'Flujo de Pagos'!E$7:E$506,B26,'Flujo de Pagos'!B$7:B$506,M7))</f>
        <v/>
      </c>
      <c r="N26" s="76" t="str">
        <f aca="false">IF(B26="","",SUMIFS('Flujo de Pagos'!I$7:I$506,'Flujo de Pagos'!E$7:E$506,B26,'Flujo de Pagos'!B$7:B$506,N7))</f>
        <v/>
      </c>
      <c r="O26" s="76" t="str">
        <f aca="false">IF(B26="","",SUMIFS('Flujo de Pagos'!I$7:I$506,'Flujo de Pagos'!E$7:E$506,B26,'Flujo de Pagos'!B$7:B$506,O7))</f>
        <v/>
      </c>
      <c r="P26" s="76" t="str">
        <f aca="false">IF(B26="","",SUMIFS('Flujo de Pagos'!I$7:I$506,'Flujo de Pagos'!E$7:E$506,B26,'Flujo de Pagos'!B$7:B$506,P7))</f>
        <v/>
      </c>
      <c r="Q26" s="76" t="str">
        <f aca="false">IF(B26="","",SUMIFS('Flujo de Pagos'!I$7:I$506,'Flujo de Pagos'!E$7:E$506,B26,'Flujo de Pagos'!B$7:B$506,Q7))</f>
        <v/>
      </c>
      <c r="R26" s="76" t="str">
        <f aca="false">IF(B26="","",SUMIFS('Flujo de Pagos'!I$7:I$506,'Flujo de Pagos'!E$7:E$506,B26,'Flujo de Pagos'!B$7:B$506,R7))</f>
        <v/>
      </c>
      <c r="S26" s="76" t="str">
        <f aca="false">IF(B26="","",SUMIFS('Flujo de Pagos'!I$7:I$506,'Flujo de Pagos'!E$7:E$506,B26,'Flujo de Pagos'!B$7:B$506,S7))</f>
        <v/>
      </c>
      <c r="T26" s="76" t="str">
        <f aca="false">IF(B26="","",SUMIFS('Flujo de Pagos'!I$7:I$506,'Flujo de Pagos'!E$7:E$506,B26,'Flujo de Pagos'!B$7:B$506,T7))</f>
        <v/>
      </c>
      <c r="U26" s="76" t="str">
        <f aca="false">IF(B26="","",SUMIFS('Flujo de Pagos'!I$7:I$506,'Flujo de Pagos'!E$7:E$506,B26,'Flujo de Pagos'!B$7:B$506,U7))</f>
        <v/>
      </c>
      <c r="V26" s="76" t="str">
        <f aca="false">IF(B26="","",SUMIFS('Flujo de Pagos'!I$7:I$506,'Flujo de Pagos'!E$7:E$506,B26,'Flujo de Pagos'!B$7:B$506,V7))</f>
        <v/>
      </c>
      <c r="W26" s="76" t="str">
        <f aca="false">IF(B26="","",SUMIFS('Flujo de Pagos'!I$7:I$506,'Flujo de Pagos'!E$7:E$506,B26,'Flujo de Pagos'!B$7:B$506,W7))</f>
        <v/>
      </c>
      <c r="X26" s="76" t="str">
        <f aca="false">IF(B26="","",SUMIFS('Flujo de Pagos'!I$7:I$506,'Flujo de Pagos'!E$7:E$506,B26,'Flujo de Pagos'!B$7:B$506,X7))</f>
        <v/>
      </c>
      <c r="Y26" s="76" t="str">
        <f aca="false">IF(B26="","",SUMIFS('Flujo de Pagos'!I$7:I$506,'Flujo de Pagos'!E$7:E$506,B26,'Flujo de Pagos'!B$7:B$506,Y7))</f>
        <v/>
      </c>
      <c r="Z26" s="76" t="str">
        <f aca="false">IF(B26="","",SUMIFS('Flujo de Pagos'!I$7:I$506,'Flujo de Pagos'!E$7:E$506,B26,'Flujo de Pagos'!B$7:B$506,Z7))</f>
        <v/>
      </c>
      <c r="AA26" s="76" t="str">
        <f aca="false">IF(B26="","",SUMIFS('Flujo de Pagos'!I$7:I$506,'Flujo de Pagos'!E$7:E$506,B26,'Flujo de Pagos'!B$7:B$506,AA7))</f>
        <v/>
      </c>
      <c r="AB26" s="76" t="str">
        <f aca="false">IF(B26="","",SUMIFS('Flujo de Pagos'!I$7:I$506,'Flujo de Pagos'!E$7:E$506,B26,'Flujo de Pagos'!B$7:B$506,AB7))</f>
        <v/>
      </c>
      <c r="AC26" s="76" t="str">
        <f aca="false">IF(B26="","",SUMIFS('Flujo de Pagos'!I$7:I$506,'Flujo de Pagos'!E$7:E$506,B26,'Flujo de Pagos'!B$7:B$506,AC7))</f>
        <v/>
      </c>
      <c r="AD26" s="76" t="str">
        <f aca="false">IF(B26="","",SUMIFS('Flujo de Pagos'!I$7:I$506,'Flujo de Pagos'!E$7:E$506,B26,'Flujo de Pagos'!B$7:B$506,AD7))</f>
        <v/>
      </c>
      <c r="AE26" s="76" t="str">
        <f aca="false">IF(B26="","",SUMIFS('Flujo de Pagos'!I$7:I$506,'Flujo de Pagos'!E$7:E$506,B26,'Flujo de Pagos'!B$7:B$506,AE7))</f>
        <v/>
      </c>
      <c r="AF26" s="76" t="str">
        <f aca="false">IF(B26="","",SUMIFS('Flujo de Pagos'!I$7:I$506,'Flujo de Pagos'!E$7:E$506,B26,'Flujo de Pagos'!B$7:B$506,AF7))</f>
        <v/>
      </c>
      <c r="AG26" s="76" t="str">
        <f aca="false">IF(B26="","",SUMIFS('Flujo de Pagos'!I$7:I$506,'Flujo de Pagos'!E$7:E$506,B26,'Flujo de Pagos'!B$7:B$506,AG7))</f>
        <v/>
      </c>
      <c r="AH26" s="76" t="str">
        <f aca="false">IF(B26="","",SUMIFS('Flujo de Pagos'!I$7:I$506,'Flujo de Pagos'!E$7:E$506,B26,'Flujo de Pagos'!B$7:B$506,AH7))</f>
        <v/>
      </c>
      <c r="AI26" s="76" t="str">
        <f aca="false">IF(B26="","",SUMIFS('Flujo de Pagos'!I$7:I$506,'Flujo de Pagos'!E$7:E$506,B26,'Flujo de Pagos'!B$7:B$506,AI7))</f>
        <v/>
      </c>
      <c r="AJ26" s="76" t="str">
        <f aca="false">IF(B26="","",SUMIFS('Flujo de Pagos'!I$7:I$506,'Flujo de Pagos'!E$7:E$506,B26,'Flujo de Pagos'!B$7:B$506,AJ7))</f>
        <v/>
      </c>
      <c r="AK26" s="76" t="str">
        <f aca="false">IF(B26="","",SUMIFS('Flujo de Pagos'!I$7:I$506,'Flujo de Pagos'!E$7:E$506,B26,'Flujo de Pagos'!B$7:B$506,AK7))</f>
        <v/>
      </c>
      <c r="AL26" s="76" t="str">
        <f aca="false">IF(B26="","",SUMIFS('Flujo de Pagos'!I$7:I$506,'Flujo de Pagos'!E$7:E$506,B26,'Flujo de Pagos'!B$7:B$506,AL7))</f>
        <v/>
      </c>
      <c r="AM26" s="76" t="str">
        <f aca="false">IF(B26="","",SUM(C26:AL26))</f>
        <v/>
      </c>
    </row>
    <row r="27" customFormat="false" ht="15.75" hidden="false" customHeight="true" outlineLevel="0" collapsed="false">
      <c r="B27" s="64" t="str">
        <f aca="false">IF(Presupuesto!B24="","",Presupuesto!B24)</f>
        <v/>
      </c>
      <c r="C27" s="76" t="str">
        <f aca="false">IF(B27="","",SUMIFS('Flujo de Pagos'!I$7:I$506,'Flujo de Pagos'!E$7:E$506,B27,'Flujo de Pagos'!B$7:B$506,C7))</f>
        <v/>
      </c>
      <c r="D27" s="76" t="str">
        <f aca="false">IF(B27="","",SUMIFS('Flujo de Pagos'!I$7:I$506,'Flujo de Pagos'!E$7:E$506,B27,'Flujo de Pagos'!B$7:B$506,D7))</f>
        <v/>
      </c>
      <c r="E27" s="76" t="str">
        <f aca="false">IF(B27="","",SUMIFS('Flujo de Pagos'!I$7:I$506,'Flujo de Pagos'!E$7:E$506,B27,'Flujo de Pagos'!B$7:B$506,E7))</f>
        <v/>
      </c>
      <c r="F27" s="76" t="str">
        <f aca="false">IF(B27="","",SUMIFS('Flujo de Pagos'!I$7:I$506,'Flujo de Pagos'!E$7:E$506,B27,'Flujo de Pagos'!B$7:B$506,F7))</f>
        <v/>
      </c>
      <c r="G27" s="76" t="str">
        <f aca="false">IF(B27="","",SUMIFS('Flujo de Pagos'!I$7:I$506,'Flujo de Pagos'!E$7:E$506,B27,'Flujo de Pagos'!B$7:B$506,G7))</f>
        <v/>
      </c>
      <c r="H27" s="76" t="str">
        <f aca="false">IF(B27="","",SUMIFS('Flujo de Pagos'!I$7:I$506,'Flujo de Pagos'!E$7:E$506,B27,'Flujo de Pagos'!B$7:B$506,H7))</f>
        <v/>
      </c>
      <c r="I27" s="76" t="str">
        <f aca="false">IF(B27="","",SUMIFS('Flujo de Pagos'!I$7:I$506,'Flujo de Pagos'!E$7:E$506,B27,'Flujo de Pagos'!B$7:B$506,I7))</f>
        <v/>
      </c>
      <c r="J27" s="76" t="str">
        <f aca="false">IF(B27="","",SUMIFS('Flujo de Pagos'!I$7:I$506,'Flujo de Pagos'!E$7:E$506,B27,'Flujo de Pagos'!B$7:B$506,J7))</f>
        <v/>
      </c>
      <c r="K27" s="76" t="str">
        <f aca="false">IF(B27="","",SUMIFS('Flujo de Pagos'!I$7:I$506,'Flujo de Pagos'!E$7:E$506,B27,'Flujo de Pagos'!B$7:B$506,K7))</f>
        <v/>
      </c>
      <c r="L27" s="76" t="str">
        <f aca="false">IF(B27="","",SUMIFS('Flujo de Pagos'!I$7:I$506,'Flujo de Pagos'!E$7:E$506,B27,'Flujo de Pagos'!B$7:B$506,L7))</f>
        <v/>
      </c>
      <c r="M27" s="76" t="str">
        <f aca="false">IF(B27="","",SUMIFS('Flujo de Pagos'!I$7:I$506,'Flujo de Pagos'!E$7:E$506,B27,'Flujo de Pagos'!B$7:B$506,M7))</f>
        <v/>
      </c>
      <c r="N27" s="76" t="str">
        <f aca="false">IF(B27="","",SUMIFS('Flujo de Pagos'!I$7:I$506,'Flujo de Pagos'!E$7:E$506,B27,'Flujo de Pagos'!B$7:B$506,N7))</f>
        <v/>
      </c>
      <c r="O27" s="76" t="str">
        <f aca="false">IF(B27="","",SUMIFS('Flujo de Pagos'!I$7:I$506,'Flujo de Pagos'!E$7:E$506,B27,'Flujo de Pagos'!B$7:B$506,O7))</f>
        <v/>
      </c>
      <c r="P27" s="76" t="str">
        <f aca="false">IF(B27="","",SUMIFS('Flujo de Pagos'!I$7:I$506,'Flujo de Pagos'!E$7:E$506,B27,'Flujo de Pagos'!B$7:B$506,P7))</f>
        <v/>
      </c>
      <c r="Q27" s="76" t="str">
        <f aca="false">IF(B27="","",SUMIFS('Flujo de Pagos'!I$7:I$506,'Flujo de Pagos'!E$7:E$506,B27,'Flujo de Pagos'!B$7:B$506,Q7))</f>
        <v/>
      </c>
      <c r="R27" s="76" t="str">
        <f aca="false">IF(B27="","",SUMIFS('Flujo de Pagos'!I$7:I$506,'Flujo de Pagos'!E$7:E$506,B27,'Flujo de Pagos'!B$7:B$506,R7))</f>
        <v/>
      </c>
      <c r="S27" s="76" t="str">
        <f aca="false">IF(B27="","",SUMIFS('Flujo de Pagos'!I$7:I$506,'Flujo de Pagos'!E$7:E$506,B27,'Flujo de Pagos'!B$7:B$506,S7))</f>
        <v/>
      </c>
      <c r="T27" s="76" t="str">
        <f aca="false">IF(B27="","",SUMIFS('Flujo de Pagos'!I$7:I$506,'Flujo de Pagos'!E$7:E$506,B27,'Flujo de Pagos'!B$7:B$506,T7))</f>
        <v/>
      </c>
      <c r="U27" s="76" t="str">
        <f aca="false">IF(B27="","",SUMIFS('Flujo de Pagos'!I$7:I$506,'Flujo de Pagos'!E$7:E$506,B27,'Flujo de Pagos'!B$7:B$506,U7))</f>
        <v/>
      </c>
      <c r="V27" s="76" t="str">
        <f aca="false">IF(B27="","",SUMIFS('Flujo de Pagos'!I$7:I$506,'Flujo de Pagos'!E$7:E$506,B27,'Flujo de Pagos'!B$7:B$506,V7))</f>
        <v/>
      </c>
      <c r="W27" s="76" t="str">
        <f aca="false">IF(B27="","",SUMIFS('Flujo de Pagos'!I$7:I$506,'Flujo de Pagos'!E$7:E$506,B27,'Flujo de Pagos'!B$7:B$506,W7))</f>
        <v/>
      </c>
      <c r="X27" s="76" t="str">
        <f aca="false">IF(B27="","",SUMIFS('Flujo de Pagos'!I$7:I$506,'Flujo de Pagos'!E$7:E$506,B27,'Flujo de Pagos'!B$7:B$506,X7))</f>
        <v/>
      </c>
      <c r="Y27" s="76" t="str">
        <f aca="false">IF(B27="","",SUMIFS('Flujo de Pagos'!I$7:I$506,'Flujo de Pagos'!E$7:E$506,B27,'Flujo de Pagos'!B$7:B$506,Y7))</f>
        <v/>
      </c>
      <c r="Z27" s="76" t="str">
        <f aca="false">IF(B27="","",SUMIFS('Flujo de Pagos'!I$7:I$506,'Flujo de Pagos'!E$7:E$506,B27,'Flujo de Pagos'!B$7:B$506,Z7))</f>
        <v/>
      </c>
      <c r="AA27" s="76" t="str">
        <f aca="false">IF(B27="","",SUMIFS('Flujo de Pagos'!I$7:I$506,'Flujo de Pagos'!E$7:E$506,B27,'Flujo de Pagos'!B$7:B$506,AA7))</f>
        <v/>
      </c>
      <c r="AB27" s="76" t="str">
        <f aca="false">IF(B27="","",SUMIFS('Flujo de Pagos'!I$7:I$506,'Flujo de Pagos'!E$7:E$506,B27,'Flujo de Pagos'!B$7:B$506,AB7))</f>
        <v/>
      </c>
      <c r="AC27" s="76" t="str">
        <f aca="false">IF(B27="","",SUMIFS('Flujo de Pagos'!I$7:I$506,'Flujo de Pagos'!E$7:E$506,B27,'Flujo de Pagos'!B$7:B$506,AC7))</f>
        <v/>
      </c>
      <c r="AD27" s="76" t="str">
        <f aca="false">IF(B27="","",SUMIFS('Flujo de Pagos'!I$7:I$506,'Flujo de Pagos'!E$7:E$506,B27,'Flujo de Pagos'!B$7:B$506,AD7))</f>
        <v/>
      </c>
      <c r="AE27" s="76" t="str">
        <f aca="false">IF(B27="","",SUMIFS('Flujo de Pagos'!I$7:I$506,'Flujo de Pagos'!E$7:E$506,B27,'Flujo de Pagos'!B$7:B$506,AE7))</f>
        <v/>
      </c>
      <c r="AF27" s="76" t="str">
        <f aca="false">IF(B27="","",SUMIFS('Flujo de Pagos'!I$7:I$506,'Flujo de Pagos'!E$7:E$506,B27,'Flujo de Pagos'!B$7:B$506,AF7))</f>
        <v/>
      </c>
      <c r="AG27" s="76" t="str">
        <f aca="false">IF(B27="","",SUMIFS('Flujo de Pagos'!I$7:I$506,'Flujo de Pagos'!E$7:E$506,B27,'Flujo de Pagos'!B$7:B$506,AG7))</f>
        <v/>
      </c>
      <c r="AH27" s="76" t="str">
        <f aca="false">IF(B27="","",SUMIFS('Flujo de Pagos'!I$7:I$506,'Flujo de Pagos'!E$7:E$506,B27,'Flujo de Pagos'!B$7:B$506,AH7))</f>
        <v/>
      </c>
      <c r="AI27" s="76" t="str">
        <f aca="false">IF(B27="","",SUMIFS('Flujo de Pagos'!I$7:I$506,'Flujo de Pagos'!E$7:E$506,B27,'Flujo de Pagos'!B$7:B$506,AI7))</f>
        <v/>
      </c>
      <c r="AJ27" s="76" t="str">
        <f aca="false">IF(B27="","",SUMIFS('Flujo de Pagos'!I$7:I$506,'Flujo de Pagos'!E$7:E$506,B27,'Flujo de Pagos'!B$7:B$506,AJ7))</f>
        <v/>
      </c>
      <c r="AK27" s="76" t="str">
        <f aca="false">IF(B27="","",SUMIFS('Flujo de Pagos'!I$7:I$506,'Flujo de Pagos'!E$7:E$506,B27,'Flujo de Pagos'!B$7:B$506,AK7))</f>
        <v/>
      </c>
      <c r="AL27" s="76" t="str">
        <f aca="false">IF(B27="","",SUMIFS('Flujo de Pagos'!I$7:I$506,'Flujo de Pagos'!E$7:E$506,B27,'Flujo de Pagos'!B$7:B$506,AL7))</f>
        <v/>
      </c>
      <c r="AM27" s="76" t="str">
        <f aca="false">IF(B27="","",SUM(C27:AL27))</f>
        <v/>
      </c>
    </row>
    <row r="28" customFormat="false" ht="15.75" hidden="false" customHeight="true" outlineLevel="0" collapsed="false">
      <c r="B28" s="64" t="str">
        <f aca="false">IF(Presupuesto!B25="","",Presupuesto!B25)</f>
        <v/>
      </c>
      <c r="C28" s="76" t="str">
        <f aca="false">IF(B28="","",SUMIFS('Flujo de Pagos'!I$7:I$506,'Flujo de Pagos'!E$7:E$506,B28,'Flujo de Pagos'!B$7:B$506,C7))</f>
        <v/>
      </c>
      <c r="D28" s="76" t="str">
        <f aca="false">IF(B28="","",SUMIFS('Flujo de Pagos'!I$7:I$506,'Flujo de Pagos'!E$7:E$506,B28,'Flujo de Pagos'!B$7:B$506,D7))</f>
        <v/>
      </c>
      <c r="E28" s="76" t="str">
        <f aca="false">IF(B28="","",SUMIFS('Flujo de Pagos'!I$7:I$506,'Flujo de Pagos'!E$7:E$506,B28,'Flujo de Pagos'!B$7:B$506,E7))</f>
        <v/>
      </c>
      <c r="F28" s="76" t="str">
        <f aca="false">IF(B28="","",SUMIFS('Flujo de Pagos'!I$7:I$506,'Flujo de Pagos'!E$7:E$506,B28,'Flujo de Pagos'!B$7:B$506,F7))</f>
        <v/>
      </c>
      <c r="G28" s="76" t="str">
        <f aca="false">IF(B28="","",SUMIFS('Flujo de Pagos'!I$7:I$506,'Flujo de Pagos'!E$7:E$506,B28,'Flujo de Pagos'!B$7:B$506,G7))</f>
        <v/>
      </c>
      <c r="H28" s="76" t="str">
        <f aca="false">IF(B28="","",SUMIFS('Flujo de Pagos'!I$7:I$506,'Flujo de Pagos'!E$7:E$506,B28,'Flujo de Pagos'!B$7:B$506,H7))</f>
        <v/>
      </c>
      <c r="I28" s="76" t="str">
        <f aca="false">IF(B28="","",SUMIFS('Flujo de Pagos'!I$7:I$506,'Flujo de Pagos'!E$7:E$506,B28,'Flujo de Pagos'!B$7:B$506,I7))</f>
        <v/>
      </c>
      <c r="J28" s="76" t="str">
        <f aca="false">IF(B28="","",SUMIFS('Flujo de Pagos'!I$7:I$506,'Flujo de Pagos'!E$7:E$506,B28,'Flujo de Pagos'!B$7:B$506,J7))</f>
        <v/>
      </c>
      <c r="K28" s="76" t="str">
        <f aca="false">IF(B28="","",SUMIFS('Flujo de Pagos'!I$7:I$506,'Flujo de Pagos'!E$7:E$506,B28,'Flujo de Pagos'!B$7:B$506,K7))</f>
        <v/>
      </c>
      <c r="L28" s="76" t="str">
        <f aca="false">IF(B28="","",SUMIFS('Flujo de Pagos'!I$7:I$506,'Flujo de Pagos'!E$7:E$506,B28,'Flujo de Pagos'!B$7:B$506,L7))</f>
        <v/>
      </c>
      <c r="M28" s="76" t="str">
        <f aca="false">IF(B28="","",SUMIFS('Flujo de Pagos'!I$7:I$506,'Flujo de Pagos'!E$7:E$506,B28,'Flujo de Pagos'!B$7:B$506,M7))</f>
        <v/>
      </c>
      <c r="N28" s="76" t="str">
        <f aca="false">IF(B28="","",SUMIFS('Flujo de Pagos'!I$7:I$506,'Flujo de Pagos'!E$7:E$506,B28,'Flujo de Pagos'!B$7:B$506,N7))</f>
        <v/>
      </c>
      <c r="O28" s="76" t="str">
        <f aca="false">IF(B28="","",SUMIFS('Flujo de Pagos'!I$7:I$506,'Flujo de Pagos'!E$7:E$506,B28,'Flujo de Pagos'!B$7:B$506,O7))</f>
        <v/>
      </c>
      <c r="P28" s="76" t="str">
        <f aca="false">IF(B28="","",SUMIFS('Flujo de Pagos'!I$7:I$506,'Flujo de Pagos'!E$7:E$506,B28,'Flujo de Pagos'!B$7:B$506,P7))</f>
        <v/>
      </c>
      <c r="Q28" s="76" t="str">
        <f aca="false">IF(B28="","",SUMIFS('Flujo de Pagos'!I$7:I$506,'Flujo de Pagos'!E$7:E$506,B28,'Flujo de Pagos'!B$7:B$506,Q7))</f>
        <v/>
      </c>
      <c r="R28" s="76" t="str">
        <f aca="false">IF(B28="","",SUMIFS('Flujo de Pagos'!I$7:I$506,'Flujo de Pagos'!E$7:E$506,B28,'Flujo de Pagos'!B$7:B$506,R7))</f>
        <v/>
      </c>
      <c r="S28" s="76" t="str">
        <f aca="false">IF(B28="","",SUMIFS('Flujo de Pagos'!I$7:I$506,'Flujo de Pagos'!E$7:E$506,B28,'Flujo de Pagos'!B$7:B$506,S7))</f>
        <v/>
      </c>
      <c r="T28" s="76" t="str">
        <f aca="false">IF(B28="","",SUMIFS('Flujo de Pagos'!I$7:I$506,'Flujo de Pagos'!E$7:E$506,B28,'Flujo de Pagos'!B$7:B$506,T7))</f>
        <v/>
      </c>
      <c r="U28" s="76" t="str">
        <f aca="false">IF(B28="","",SUMIFS('Flujo de Pagos'!I$7:I$506,'Flujo de Pagos'!E$7:E$506,B28,'Flujo de Pagos'!B$7:B$506,U7))</f>
        <v/>
      </c>
      <c r="V28" s="76" t="str">
        <f aca="false">IF(B28="","",SUMIFS('Flujo de Pagos'!I$7:I$506,'Flujo de Pagos'!E$7:E$506,B28,'Flujo de Pagos'!B$7:B$506,V7))</f>
        <v/>
      </c>
      <c r="W28" s="76" t="str">
        <f aca="false">IF(B28="","",SUMIFS('Flujo de Pagos'!I$7:I$506,'Flujo de Pagos'!E$7:E$506,B28,'Flujo de Pagos'!B$7:B$506,W7))</f>
        <v/>
      </c>
      <c r="X28" s="76" t="str">
        <f aca="false">IF(B28="","",SUMIFS('Flujo de Pagos'!I$7:I$506,'Flujo de Pagos'!E$7:E$506,B28,'Flujo de Pagos'!B$7:B$506,X7))</f>
        <v/>
      </c>
      <c r="Y28" s="76" t="str">
        <f aca="false">IF(B28="","",SUMIFS('Flujo de Pagos'!I$7:I$506,'Flujo de Pagos'!E$7:E$506,B28,'Flujo de Pagos'!B$7:B$506,Y7))</f>
        <v/>
      </c>
      <c r="Z28" s="76" t="str">
        <f aca="false">IF(B28="","",SUMIFS('Flujo de Pagos'!I$7:I$506,'Flujo de Pagos'!E$7:E$506,B28,'Flujo de Pagos'!B$7:B$506,Z7))</f>
        <v/>
      </c>
      <c r="AA28" s="76" t="str">
        <f aca="false">IF(B28="","",SUMIFS('Flujo de Pagos'!I$7:I$506,'Flujo de Pagos'!E$7:E$506,B28,'Flujo de Pagos'!B$7:B$506,AA7))</f>
        <v/>
      </c>
      <c r="AB28" s="76" t="str">
        <f aca="false">IF(B28="","",SUMIFS('Flujo de Pagos'!I$7:I$506,'Flujo de Pagos'!E$7:E$506,B28,'Flujo de Pagos'!B$7:B$506,AB7))</f>
        <v/>
      </c>
      <c r="AC28" s="76" t="str">
        <f aca="false">IF(B28="","",SUMIFS('Flujo de Pagos'!I$7:I$506,'Flujo de Pagos'!E$7:E$506,B28,'Flujo de Pagos'!B$7:B$506,AC7))</f>
        <v/>
      </c>
      <c r="AD28" s="76" t="str">
        <f aca="false">IF(B28="","",SUMIFS('Flujo de Pagos'!I$7:I$506,'Flujo de Pagos'!E$7:E$506,B28,'Flujo de Pagos'!B$7:B$506,AD7))</f>
        <v/>
      </c>
      <c r="AE28" s="76" t="str">
        <f aca="false">IF(B28="","",SUMIFS('Flujo de Pagos'!I$7:I$506,'Flujo de Pagos'!E$7:E$506,B28,'Flujo de Pagos'!B$7:B$506,AE7))</f>
        <v/>
      </c>
      <c r="AF28" s="76" t="str">
        <f aca="false">IF(B28="","",SUMIFS('Flujo de Pagos'!I$7:I$506,'Flujo de Pagos'!E$7:E$506,B28,'Flujo de Pagos'!B$7:B$506,AF7))</f>
        <v/>
      </c>
      <c r="AG28" s="76" t="str">
        <f aca="false">IF(B28="","",SUMIFS('Flujo de Pagos'!I$7:I$506,'Flujo de Pagos'!E$7:E$506,B28,'Flujo de Pagos'!B$7:B$506,AG7))</f>
        <v/>
      </c>
      <c r="AH28" s="76" t="str">
        <f aca="false">IF(B28="","",SUMIFS('Flujo de Pagos'!I$7:I$506,'Flujo de Pagos'!E$7:E$506,B28,'Flujo de Pagos'!B$7:B$506,AH7))</f>
        <v/>
      </c>
      <c r="AI28" s="76" t="str">
        <f aca="false">IF(B28="","",SUMIFS('Flujo de Pagos'!I$7:I$506,'Flujo de Pagos'!E$7:E$506,B28,'Flujo de Pagos'!B$7:B$506,AI7))</f>
        <v/>
      </c>
      <c r="AJ28" s="76" t="str">
        <f aca="false">IF(B28="","",SUMIFS('Flujo de Pagos'!I$7:I$506,'Flujo de Pagos'!E$7:E$506,B28,'Flujo de Pagos'!B$7:B$506,AJ7))</f>
        <v/>
      </c>
      <c r="AK28" s="76" t="str">
        <f aca="false">IF(B28="","",SUMIFS('Flujo de Pagos'!I$7:I$506,'Flujo de Pagos'!E$7:E$506,B28,'Flujo de Pagos'!B$7:B$506,AK7))</f>
        <v/>
      </c>
      <c r="AL28" s="76" t="str">
        <f aca="false">IF(B28="","",SUMIFS('Flujo de Pagos'!I$7:I$506,'Flujo de Pagos'!E$7:E$506,B28,'Flujo de Pagos'!B$7:B$506,AL7))</f>
        <v/>
      </c>
      <c r="AM28" s="76" t="str">
        <f aca="false">IF(B28="","",SUM(C28:AL28))</f>
        <v/>
      </c>
    </row>
    <row r="29" customFormat="false" ht="15.75" hidden="false" customHeight="true" outlineLevel="0" collapsed="false">
      <c r="B29" s="64" t="str">
        <f aca="false">IF(Presupuesto!B26="","",Presupuesto!B26)</f>
        <v/>
      </c>
      <c r="C29" s="76" t="str">
        <f aca="false">IF(B29="","",SUMIFS('Flujo de Pagos'!I$7:I$506,'Flujo de Pagos'!E$7:E$506,B29,'Flujo de Pagos'!B$7:B$506,C7))</f>
        <v/>
      </c>
      <c r="D29" s="76" t="str">
        <f aca="false">IF(B29="","",SUMIFS('Flujo de Pagos'!I$7:I$506,'Flujo de Pagos'!E$7:E$506,B29,'Flujo de Pagos'!B$7:B$506,D7))</f>
        <v/>
      </c>
      <c r="E29" s="76" t="str">
        <f aca="false">IF(B29="","",SUMIFS('Flujo de Pagos'!I$7:I$506,'Flujo de Pagos'!E$7:E$506,B29,'Flujo de Pagos'!B$7:B$506,E7))</f>
        <v/>
      </c>
      <c r="F29" s="76" t="str">
        <f aca="false">IF(B29="","",SUMIFS('Flujo de Pagos'!I$7:I$506,'Flujo de Pagos'!E$7:E$506,B29,'Flujo de Pagos'!B$7:B$506,F7))</f>
        <v/>
      </c>
      <c r="G29" s="76" t="str">
        <f aca="false">IF(B29="","",SUMIFS('Flujo de Pagos'!I$7:I$506,'Flujo de Pagos'!E$7:E$506,B29,'Flujo de Pagos'!B$7:B$506,G7))</f>
        <v/>
      </c>
      <c r="H29" s="76" t="str">
        <f aca="false">IF(B29="","",SUMIFS('Flujo de Pagos'!I$7:I$506,'Flujo de Pagos'!E$7:E$506,B29,'Flujo de Pagos'!B$7:B$506,H7))</f>
        <v/>
      </c>
      <c r="I29" s="76" t="str">
        <f aca="false">IF(B29="","",SUMIFS('Flujo de Pagos'!I$7:I$506,'Flujo de Pagos'!E$7:E$506,B29,'Flujo de Pagos'!B$7:B$506,I7))</f>
        <v/>
      </c>
      <c r="J29" s="76" t="str">
        <f aca="false">IF(B29="","",SUMIFS('Flujo de Pagos'!I$7:I$506,'Flujo de Pagos'!E$7:E$506,B29,'Flujo de Pagos'!B$7:B$506,J7))</f>
        <v/>
      </c>
      <c r="K29" s="76" t="str">
        <f aca="false">IF(B29="","",SUMIFS('Flujo de Pagos'!I$7:I$506,'Flujo de Pagos'!E$7:E$506,B29,'Flujo de Pagos'!B$7:B$506,K7))</f>
        <v/>
      </c>
      <c r="L29" s="76" t="str">
        <f aca="false">IF(B29="","",SUMIFS('Flujo de Pagos'!I$7:I$506,'Flujo de Pagos'!E$7:E$506,B29,'Flujo de Pagos'!B$7:B$506,L7))</f>
        <v/>
      </c>
      <c r="M29" s="76" t="str">
        <f aca="false">IF(B29="","",SUMIFS('Flujo de Pagos'!I$7:I$506,'Flujo de Pagos'!E$7:E$506,B29,'Flujo de Pagos'!B$7:B$506,M7))</f>
        <v/>
      </c>
      <c r="N29" s="76" t="str">
        <f aca="false">IF(B29="","",SUMIFS('Flujo de Pagos'!I$7:I$506,'Flujo de Pagos'!E$7:E$506,B29,'Flujo de Pagos'!B$7:B$506,N7))</f>
        <v/>
      </c>
      <c r="O29" s="76" t="str">
        <f aca="false">IF(B29="","",SUMIFS('Flujo de Pagos'!I$7:I$506,'Flujo de Pagos'!E$7:E$506,B29,'Flujo de Pagos'!B$7:B$506,O7))</f>
        <v/>
      </c>
      <c r="P29" s="76" t="str">
        <f aca="false">IF(B29="","",SUMIFS('Flujo de Pagos'!I$7:I$506,'Flujo de Pagos'!E$7:E$506,B29,'Flujo de Pagos'!B$7:B$506,P7))</f>
        <v/>
      </c>
      <c r="Q29" s="76" t="str">
        <f aca="false">IF(B29="","",SUMIFS('Flujo de Pagos'!I$7:I$506,'Flujo de Pagos'!E$7:E$506,B29,'Flujo de Pagos'!B$7:B$506,Q7))</f>
        <v/>
      </c>
      <c r="R29" s="76" t="str">
        <f aca="false">IF(B29="","",SUMIFS('Flujo de Pagos'!I$7:I$506,'Flujo de Pagos'!E$7:E$506,B29,'Flujo de Pagos'!B$7:B$506,R7))</f>
        <v/>
      </c>
      <c r="S29" s="76" t="str">
        <f aca="false">IF(B29="","",SUMIFS('Flujo de Pagos'!I$7:I$506,'Flujo de Pagos'!E$7:E$506,B29,'Flujo de Pagos'!B$7:B$506,S7))</f>
        <v/>
      </c>
      <c r="T29" s="76" t="str">
        <f aca="false">IF(B29="","",SUMIFS('Flujo de Pagos'!I$7:I$506,'Flujo de Pagos'!E$7:E$506,B29,'Flujo de Pagos'!B$7:B$506,T7))</f>
        <v/>
      </c>
      <c r="U29" s="76" t="str">
        <f aca="false">IF(B29="","",SUMIFS('Flujo de Pagos'!I$7:I$506,'Flujo de Pagos'!E$7:E$506,B29,'Flujo de Pagos'!B$7:B$506,U7))</f>
        <v/>
      </c>
      <c r="V29" s="76" t="str">
        <f aca="false">IF(B29="","",SUMIFS('Flujo de Pagos'!I$7:I$506,'Flujo de Pagos'!E$7:E$506,B29,'Flujo de Pagos'!B$7:B$506,V7))</f>
        <v/>
      </c>
      <c r="W29" s="76" t="str">
        <f aca="false">IF(B29="","",SUMIFS('Flujo de Pagos'!I$7:I$506,'Flujo de Pagos'!E$7:E$506,B29,'Flujo de Pagos'!B$7:B$506,W7))</f>
        <v/>
      </c>
      <c r="X29" s="76" t="str">
        <f aca="false">IF(B29="","",SUMIFS('Flujo de Pagos'!I$7:I$506,'Flujo de Pagos'!E$7:E$506,B29,'Flujo de Pagos'!B$7:B$506,X7))</f>
        <v/>
      </c>
      <c r="Y29" s="76" t="str">
        <f aca="false">IF(B29="","",SUMIFS('Flujo de Pagos'!I$7:I$506,'Flujo de Pagos'!E$7:E$506,B29,'Flujo de Pagos'!B$7:B$506,Y7))</f>
        <v/>
      </c>
      <c r="Z29" s="76" t="str">
        <f aca="false">IF(B29="","",SUMIFS('Flujo de Pagos'!I$7:I$506,'Flujo de Pagos'!E$7:E$506,B29,'Flujo de Pagos'!B$7:B$506,Z7))</f>
        <v/>
      </c>
      <c r="AA29" s="76" t="str">
        <f aca="false">IF(B29="","",SUMIFS('Flujo de Pagos'!I$7:I$506,'Flujo de Pagos'!E$7:E$506,B29,'Flujo de Pagos'!B$7:B$506,AA7))</f>
        <v/>
      </c>
      <c r="AB29" s="76" t="str">
        <f aca="false">IF(B29="","",SUMIFS('Flujo de Pagos'!I$7:I$506,'Flujo de Pagos'!E$7:E$506,B29,'Flujo de Pagos'!B$7:B$506,AB7))</f>
        <v/>
      </c>
      <c r="AC29" s="76" t="str">
        <f aca="false">IF(B29="","",SUMIFS('Flujo de Pagos'!I$7:I$506,'Flujo de Pagos'!E$7:E$506,B29,'Flujo de Pagos'!B$7:B$506,AC7))</f>
        <v/>
      </c>
      <c r="AD29" s="76" t="str">
        <f aca="false">IF(B29="","",SUMIFS('Flujo de Pagos'!I$7:I$506,'Flujo de Pagos'!E$7:E$506,B29,'Flujo de Pagos'!B$7:B$506,AD7))</f>
        <v/>
      </c>
      <c r="AE29" s="76" t="str">
        <f aca="false">IF(B29="","",SUMIFS('Flujo de Pagos'!I$7:I$506,'Flujo de Pagos'!E$7:E$506,B29,'Flujo de Pagos'!B$7:B$506,AE7))</f>
        <v/>
      </c>
      <c r="AF29" s="76" t="str">
        <f aca="false">IF(B29="","",SUMIFS('Flujo de Pagos'!I$7:I$506,'Flujo de Pagos'!E$7:E$506,B29,'Flujo de Pagos'!B$7:B$506,AF7))</f>
        <v/>
      </c>
      <c r="AG29" s="76" t="str">
        <f aca="false">IF(B29="","",SUMIFS('Flujo de Pagos'!I$7:I$506,'Flujo de Pagos'!E$7:E$506,B29,'Flujo de Pagos'!B$7:B$506,AG7))</f>
        <v/>
      </c>
      <c r="AH29" s="76" t="str">
        <f aca="false">IF(B29="","",SUMIFS('Flujo de Pagos'!I$7:I$506,'Flujo de Pagos'!E$7:E$506,B29,'Flujo de Pagos'!B$7:B$506,AH7))</f>
        <v/>
      </c>
      <c r="AI29" s="76" t="str">
        <f aca="false">IF(B29="","",SUMIFS('Flujo de Pagos'!I$7:I$506,'Flujo de Pagos'!E$7:E$506,B29,'Flujo de Pagos'!B$7:B$506,AI7))</f>
        <v/>
      </c>
      <c r="AJ29" s="76" t="str">
        <f aca="false">IF(B29="","",SUMIFS('Flujo de Pagos'!I$7:I$506,'Flujo de Pagos'!E$7:E$506,B29,'Flujo de Pagos'!B$7:B$506,AJ7))</f>
        <v/>
      </c>
      <c r="AK29" s="76" t="str">
        <f aca="false">IF(B29="","",SUMIFS('Flujo de Pagos'!I$7:I$506,'Flujo de Pagos'!E$7:E$506,B29,'Flujo de Pagos'!B$7:B$506,AK7))</f>
        <v/>
      </c>
      <c r="AL29" s="76" t="str">
        <f aca="false">IF(B29="","",SUMIFS('Flujo de Pagos'!I$7:I$506,'Flujo de Pagos'!E$7:E$506,B29,'Flujo de Pagos'!B$7:B$506,AL7))</f>
        <v/>
      </c>
      <c r="AM29" s="76" t="str">
        <f aca="false">IF(B29="","",SUM(C29:AL29))</f>
        <v/>
      </c>
    </row>
    <row r="30" customFormat="false" ht="15.75" hidden="false" customHeight="true" outlineLevel="0" collapsed="false">
      <c r="B30" s="64" t="str">
        <f aca="false">IF(Presupuesto!B27="","",Presupuesto!B27)</f>
        <v/>
      </c>
      <c r="C30" s="76" t="str">
        <f aca="false">IF(B30="","",SUMIFS('Flujo de Pagos'!I$7:I$506,'Flujo de Pagos'!E$7:E$506,B30,'Flujo de Pagos'!B$7:B$506,C7))</f>
        <v/>
      </c>
      <c r="D30" s="76" t="str">
        <f aca="false">IF(B30="","",SUMIFS('Flujo de Pagos'!I$7:I$506,'Flujo de Pagos'!E$7:E$506,B30,'Flujo de Pagos'!B$7:B$506,D7))</f>
        <v/>
      </c>
      <c r="E30" s="76" t="str">
        <f aca="false">IF(B30="","",SUMIFS('Flujo de Pagos'!I$7:I$506,'Flujo de Pagos'!E$7:E$506,B30,'Flujo de Pagos'!B$7:B$506,E7))</f>
        <v/>
      </c>
      <c r="F30" s="76" t="str">
        <f aca="false">IF(B30="","",SUMIFS('Flujo de Pagos'!I$7:I$506,'Flujo de Pagos'!E$7:E$506,B30,'Flujo de Pagos'!B$7:B$506,F7))</f>
        <v/>
      </c>
      <c r="G30" s="76" t="str">
        <f aca="false">IF(B30="","",SUMIFS('Flujo de Pagos'!I$7:I$506,'Flujo de Pagos'!E$7:E$506,B30,'Flujo de Pagos'!B$7:B$506,G7))</f>
        <v/>
      </c>
      <c r="H30" s="76" t="str">
        <f aca="false">IF(B30="","",SUMIFS('Flujo de Pagos'!I$7:I$506,'Flujo de Pagos'!E$7:E$506,B30,'Flujo de Pagos'!B$7:B$506,H7))</f>
        <v/>
      </c>
      <c r="I30" s="76" t="str">
        <f aca="false">IF(B30="","",SUMIFS('Flujo de Pagos'!I$7:I$506,'Flujo de Pagos'!E$7:E$506,B30,'Flujo de Pagos'!B$7:B$506,I7))</f>
        <v/>
      </c>
      <c r="J30" s="76" t="str">
        <f aca="false">IF(B30="","",SUMIFS('Flujo de Pagos'!I$7:I$506,'Flujo de Pagos'!E$7:E$506,B30,'Flujo de Pagos'!B$7:B$506,J7))</f>
        <v/>
      </c>
      <c r="K30" s="76" t="str">
        <f aca="false">IF(B30="","",SUMIFS('Flujo de Pagos'!I$7:I$506,'Flujo de Pagos'!E$7:E$506,B30,'Flujo de Pagos'!B$7:B$506,K7))</f>
        <v/>
      </c>
      <c r="L30" s="76" t="str">
        <f aca="false">IF(B30="","",SUMIFS('Flujo de Pagos'!I$7:I$506,'Flujo de Pagos'!E$7:E$506,B30,'Flujo de Pagos'!B$7:B$506,L7))</f>
        <v/>
      </c>
      <c r="M30" s="76" t="str">
        <f aca="false">IF(B30="","",SUMIFS('Flujo de Pagos'!I$7:I$506,'Flujo de Pagos'!E$7:E$506,B30,'Flujo de Pagos'!B$7:B$506,M7))</f>
        <v/>
      </c>
      <c r="N30" s="76" t="str">
        <f aca="false">IF(B30="","",SUMIFS('Flujo de Pagos'!I$7:I$506,'Flujo de Pagos'!E$7:E$506,B30,'Flujo de Pagos'!B$7:B$506,N7))</f>
        <v/>
      </c>
      <c r="O30" s="76" t="str">
        <f aca="false">IF(B30="","",SUMIFS('Flujo de Pagos'!I$7:I$506,'Flujo de Pagos'!E$7:E$506,B30,'Flujo de Pagos'!B$7:B$506,O7))</f>
        <v/>
      </c>
      <c r="P30" s="76" t="str">
        <f aca="false">IF(B30="","",SUMIFS('Flujo de Pagos'!I$7:I$506,'Flujo de Pagos'!E$7:E$506,B30,'Flujo de Pagos'!B$7:B$506,P7))</f>
        <v/>
      </c>
      <c r="Q30" s="76" t="str">
        <f aca="false">IF(B30="","",SUMIFS('Flujo de Pagos'!I$7:I$506,'Flujo de Pagos'!E$7:E$506,B30,'Flujo de Pagos'!B$7:B$506,Q7))</f>
        <v/>
      </c>
      <c r="R30" s="76" t="str">
        <f aca="false">IF(B30="","",SUMIFS('Flujo de Pagos'!I$7:I$506,'Flujo de Pagos'!E$7:E$506,B30,'Flujo de Pagos'!B$7:B$506,R7))</f>
        <v/>
      </c>
      <c r="S30" s="76" t="str">
        <f aca="false">IF(B30="","",SUMIFS('Flujo de Pagos'!I$7:I$506,'Flujo de Pagos'!E$7:E$506,B30,'Flujo de Pagos'!B$7:B$506,S7))</f>
        <v/>
      </c>
      <c r="T30" s="76" t="str">
        <f aca="false">IF(B30="","",SUMIFS('Flujo de Pagos'!I$7:I$506,'Flujo de Pagos'!E$7:E$506,B30,'Flujo de Pagos'!B$7:B$506,T7))</f>
        <v/>
      </c>
      <c r="U30" s="76" t="str">
        <f aca="false">IF(B30="","",SUMIFS('Flujo de Pagos'!I$7:I$506,'Flujo de Pagos'!E$7:E$506,B30,'Flujo de Pagos'!B$7:B$506,U7))</f>
        <v/>
      </c>
      <c r="V30" s="76" t="str">
        <f aca="false">IF(B30="","",SUMIFS('Flujo de Pagos'!I$7:I$506,'Flujo de Pagos'!E$7:E$506,B30,'Flujo de Pagos'!B$7:B$506,V7))</f>
        <v/>
      </c>
      <c r="W30" s="76" t="str">
        <f aca="false">IF(B30="","",SUMIFS('Flujo de Pagos'!I$7:I$506,'Flujo de Pagos'!E$7:E$506,B30,'Flujo de Pagos'!B$7:B$506,W7))</f>
        <v/>
      </c>
      <c r="X30" s="76" t="str">
        <f aca="false">IF(B30="","",SUMIFS('Flujo de Pagos'!I$7:I$506,'Flujo de Pagos'!E$7:E$506,B30,'Flujo de Pagos'!B$7:B$506,X7))</f>
        <v/>
      </c>
      <c r="Y30" s="76" t="str">
        <f aca="false">IF(B30="","",SUMIFS('Flujo de Pagos'!I$7:I$506,'Flujo de Pagos'!E$7:E$506,B30,'Flujo de Pagos'!B$7:B$506,Y7))</f>
        <v/>
      </c>
      <c r="Z30" s="76" t="str">
        <f aca="false">IF(B30="","",SUMIFS('Flujo de Pagos'!I$7:I$506,'Flujo de Pagos'!E$7:E$506,B30,'Flujo de Pagos'!B$7:B$506,Z7))</f>
        <v/>
      </c>
      <c r="AA30" s="76" t="str">
        <f aca="false">IF(B30="","",SUMIFS('Flujo de Pagos'!I$7:I$506,'Flujo de Pagos'!E$7:E$506,B30,'Flujo de Pagos'!B$7:B$506,AA7))</f>
        <v/>
      </c>
      <c r="AB30" s="76" t="str">
        <f aca="false">IF(B30="","",SUMIFS('Flujo de Pagos'!I$7:I$506,'Flujo de Pagos'!E$7:E$506,B30,'Flujo de Pagos'!B$7:B$506,AB7))</f>
        <v/>
      </c>
      <c r="AC30" s="76" t="str">
        <f aca="false">IF(B30="","",SUMIFS('Flujo de Pagos'!I$7:I$506,'Flujo de Pagos'!E$7:E$506,B30,'Flujo de Pagos'!B$7:B$506,AC7))</f>
        <v/>
      </c>
      <c r="AD30" s="76" t="str">
        <f aca="false">IF(B30="","",SUMIFS('Flujo de Pagos'!I$7:I$506,'Flujo de Pagos'!E$7:E$506,B30,'Flujo de Pagos'!B$7:B$506,AD7))</f>
        <v/>
      </c>
      <c r="AE30" s="76" t="str">
        <f aca="false">IF(B30="","",SUMIFS('Flujo de Pagos'!I$7:I$506,'Flujo de Pagos'!E$7:E$506,B30,'Flujo de Pagos'!B$7:B$506,AE7))</f>
        <v/>
      </c>
      <c r="AF30" s="76" t="str">
        <f aca="false">IF(B30="","",SUMIFS('Flujo de Pagos'!I$7:I$506,'Flujo de Pagos'!E$7:E$506,B30,'Flujo de Pagos'!B$7:B$506,AF7))</f>
        <v/>
      </c>
      <c r="AG30" s="76" t="str">
        <f aca="false">IF(B30="","",SUMIFS('Flujo de Pagos'!I$7:I$506,'Flujo de Pagos'!E$7:E$506,B30,'Flujo de Pagos'!B$7:B$506,AG7))</f>
        <v/>
      </c>
      <c r="AH30" s="76" t="str">
        <f aca="false">IF(B30="","",SUMIFS('Flujo de Pagos'!I$7:I$506,'Flujo de Pagos'!E$7:E$506,B30,'Flujo de Pagos'!B$7:B$506,AH7))</f>
        <v/>
      </c>
      <c r="AI30" s="76" t="str">
        <f aca="false">IF(B30="","",SUMIFS('Flujo de Pagos'!I$7:I$506,'Flujo de Pagos'!E$7:E$506,B30,'Flujo de Pagos'!B$7:B$506,AI7))</f>
        <v/>
      </c>
      <c r="AJ30" s="76" t="str">
        <f aca="false">IF(B30="","",SUMIFS('Flujo de Pagos'!I$7:I$506,'Flujo de Pagos'!E$7:E$506,B30,'Flujo de Pagos'!B$7:B$506,AJ7))</f>
        <v/>
      </c>
      <c r="AK30" s="76" t="str">
        <f aca="false">IF(B30="","",SUMIFS('Flujo de Pagos'!I$7:I$506,'Flujo de Pagos'!E$7:E$506,B30,'Flujo de Pagos'!B$7:B$506,AK7))</f>
        <v/>
      </c>
      <c r="AL30" s="76" t="str">
        <f aca="false">IF(B30="","",SUMIFS('Flujo de Pagos'!I$7:I$506,'Flujo de Pagos'!E$7:E$506,B30,'Flujo de Pagos'!B$7:B$506,AL7))</f>
        <v/>
      </c>
      <c r="AM30" s="76" t="str">
        <f aca="false">IF(B30="","",SUM(C30:AL30))</f>
        <v/>
      </c>
    </row>
    <row r="31" customFormat="false" ht="15.75" hidden="false" customHeight="true" outlineLevel="0" collapsed="false">
      <c r="B31" s="64" t="str">
        <f aca="false">IF(Presupuesto!B28="","",Presupuesto!B28)</f>
        <v/>
      </c>
      <c r="C31" s="76" t="str">
        <f aca="false">IF(B31="","",SUMIFS('Flujo de Pagos'!I$7:I$506,'Flujo de Pagos'!E$7:E$506,B31,'Flujo de Pagos'!B$7:B$506,C7))</f>
        <v/>
      </c>
      <c r="D31" s="76" t="str">
        <f aca="false">IF(B31="","",SUMIFS('Flujo de Pagos'!I$7:I$506,'Flujo de Pagos'!E$7:E$506,B31,'Flujo de Pagos'!B$7:B$506,D7))</f>
        <v/>
      </c>
      <c r="E31" s="76" t="str">
        <f aca="false">IF(B31="","",SUMIFS('Flujo de Pagos'!I$7:I$506,'Flujo de Pagos'!E$7:E$506,B31,'Flujo de Pagos'!B$7:B$506,E7))</f>
        <v/>
      </c>
      <c r="F31" s="76" t="str">
        <f aca="false">IF(B31="","",SUMIFS('Flujo de Pagos'!I$7:I$506,'Flujo de Pagos'!E$7:E$506,B31,'Flujo de Pagos'!B$7:B$506,F7))</f>
        <v/>
      </c>
      <c r="G31" s="76" t="str">
        <f aca="false">IF(B31="","",SUMIFS('Flujo de Pagos'!I$7:I$506,'Flujo de Pagos'!E$7:E$506,B31,'Flujo de Pagos'!B$7:B$506,G7))</f>
        <v/>
      </c>
      <c r="H31" s="76" t="str">
        <f aca="false">IF(B31="","",SUMIFS('Flujo de Pagos'!I$7:I$506,'Flujo de Pagos'!E$7:E$506,B31,'Flujo de Pagos'!B$7:B$506,H7))</f>
        <v/>
      </c>
      <c r="I31" s="76" t="str">
        <f aca="false">IF(B31="","",SUMIFS('Flujo de Pagos'!I$7:I$506,'Flujo de Pagos'!E$7:E$506,B31,'Flujo de Pagos'!B$7:B$506,I7))</f>
        <v/>
      </c>
      <c r="J31" s="76" t="str">
        <f aca="false">IF(B31="","",SUMIFS('Flujo de Pagos'!I$7:I$506,'Flujo de Pagos'!E$7:E$506,B31,'Flujo de Pagos'!B$7:B$506,J7))</f>
        <v/>
      </c>
      <c r="K31" s="76" t="str">
        <f aca="false">IF(B31="","",SUMIFS('Flujo de Pagos'!I$7:I$506,'Flujo de Pagos'!E$7:E$506,B31,'Flujo de Pagos'!B$7:B$506,K7))</f>
        <v/>
      </c>
      <c r="L31" s="76" t="str">
        <f aca="false">IF(B31="","",SUMIFS('Flujo de Pagos'!I$7:I$506,'Flujo de Pagos'!E$7:E$506,B31,'Flujo de Pagos'!B$7:B$506,L7))</f>
        <v/>
      </c>
      <c r="M31" s="76" t="str">
        <f aca="false">IF(B31="","",SUMIFS('Flujo de Pagos'!I$7:I$506,'Flujo de Pagos'!E$7:E$506,B31,'Flujo de Pagos'!B$7:B$506,M7))</f>
        <v/>
      </c>
      <c r="N31" s="76" t="str">
        <f aca="false">IF(B31="","",SUMIFS('Flujo de Pagos'!I$7:I$506,'Flujo de Pagos'!E$7:E$506,B31,'Flujo de Pagos'!B$7:B$506,N7))</f>
        <v/>
      </c>
      <c r="O31" s="76" t="str">
        <f aca="false">IF(B31="","",SUMIFS('Flujo de Pagos'!I$7:I$506,'Flujo de Pagos'!E$7:E$506,B31,'Flujo de Pagos'!B$7:B$506,O7))</f>
        <v/>
      </c>
      <c r="P31" s="76" t="str">
        <f aca="false">IF(B31="","",SUMIFS('Flujo de Pagos'!I$7:I$506,'Flujo de Pagos'!E$7:E$506,B31,'Flujo de Pagos'!B$7:B$506,P7))</f>
        <v/>
      </c>
      <c r="Q31" s="76" t="str">
        <f aca="false">IF(B31="","",SUMIFS('Flujo de Pagos'!I$7:I$506,'Flujo de Pagos'!E$7:E$506,B31,'Flujo de Pagos'!B$7:B$506,Q7))</f>
        <v/>
      </c>
      <c r="R31" s="76" t="str">
        <f aca="false">IF(B31="","",SUMIFS('Flujo de Pagos'!I$7:I$506,'Flujo de Pagos'!E$7:E$506,B31,'Flujo de Pagos'!B$7:B$506,R7))</f>
        <v/>
      </c>
      <c r="S31" s="76" t="str">
        <f aca="false">IF(B31="","",SUMIFS('Flujo de Pagos'!I$7:I$506,'Flujo de Pagos'!E$7:E$506,B31,'Flujo de Pagos'!B$7:B$506,S7))</f>
        <v/>
      </c>
      <c r="T31" s="76" t="str">
        <f aca="false">IF(B31="","",SUMIFS('Flujo de Pagos'!I$7:I$506,'Flujo de Pagos'!E$7:E$506,B31,'Flujo de Pagos'!B$7:B$506,T7))</f>
        <v/>
      </c>
      <c r="U31" s="76" t="str">
        <f aca="false">IF(B31="","",SUMIFS('Flujo de Pagos'!I$7:I$506,'Flujo de Pagos'!E$7:E$506,B31,'Flujo de Pagos'!B$7:B$506,U7))</f>
        <v/>
      </c>
      <c r="V31" s="76" t="str">
        <f aca="false">IF(B31="","",SUMIFS('Flujo de Pagos'!I$7:I$506,'Flujo de Pagos'!E$7:E$506,B31,'Flujo de Pagos'!B$7:B$506,V7))</f>
        <v/>
      </c>
      <c r="W31" s="76" t="str">
        <f aca="false">IF(B31="","",SUMIFS('Flujo de Pagos'!I$7:I$506,'Flujo de Pagos'!E$7:E$506,B31,'Flujo de Pagos'!B$7:B$506,W7))</f>
        <v/>
      </c>
      <c r="X31" s="76" t="str">
        <f aca="false">IF(B31="","",SUMIFS('Flujo de Pagos'!I$7:I$506,'Flujo de Pagos'!E$7:E$506,B31,'Flujo de Pagos'!B$7:B$506,X7))</f>
        <v/>
      </c>
      <c r="Y31" s="76" t="str">
        <f aca="false">IF(B31="","",SUMIFS('Flujo de Pagos'!I$7:I$506,'Flujo de Pagos'!E$7:E$506,B31,'Flujo de Pagos'!B$7:B$506,Y7))</f>
        <v/>
      </c>
      <c r="Z31" s="76" t="str">
        <f aca="false">IF(B31="","",SUMIFS('Flujo de Pagos'!I$7:I$506,'Flujo de Pagos'!E$7:E$506,B31,'Flujo de Pagos'!B$7:B$506,Z7))</f>
        <v/>
      </c>
      <c r="AA31" s="76" t="str">
        <f aca="false">IF(B31="","",SUMIFS('Flujo de Pagos'!I$7:I$506,'Flujo de Pagos'!E$7:E$506,B31,'Flujo de Pagos'!B$7:B$506,AA7))</f>
        <v/>
      </c>
      <c r="AB31" s="76" t="str">
        <f aca="false">IF(B31="","",SUMIFS('Flujo de Pagos'!I$7:I$506,'Flujo de Pagos'!E$7:E$506,B31,'Flujo de Pagos'!B$7:B$506,AB7))</f>
        <v/>
      </c>
      <c r="AC31" s="76" t="str">
        <f aca="false">IF(B31="","",SUMIFS('Flujo de Pagos'!I$7:I$506,'Flujo de Pagos'!E$7:E$506,B31,'Flujo de Pagos'!B$7:B$506,AC7))</f>
        <v/>
      </c>
      <c r="AD31" s="76" t="str">
        <f aca="false">IF(B31="","",SUMIFS('Flujo de Pagos'!I$7:I$506,'Flujo de Pagos'!E$7:E$506,B31,'Flujo de Pagos'!B$7:B$506,AD7))</f>
        <v/>
      </c>
      <c r="AE31" s="76" t="str">
        <f aca="false">IF(B31="","",SUMIFS('Flujo de Pagos'!I$7:I$506,'Flujo de Pagos'!E$7:E$506,B31,'Flujo de Pagos'!B$7:B$506,AE7))</f>
        <v/>
      </c>
      <c r="AF31" s="76" t="str">
        <f aca="false">IF(B31="","",SUMIFS('Flujo de Pagos'!I$7:I$506,'Flujo de Pagos'!E$7:E$506,B31,'Flujo de Pagos'!B$7:B$506,AF7))</f>
        <v/>
      </c>
      <c r="AG31" s="76" t="str">
        <f aca="false">IF(B31="","",SUMIFS('Flujo de Pagos'!I$7:I$506,'Flujo de Pagos'!E$7:E$506,B31,'Flujo de Pagos'!B$7:B$506,AG7))</f>
        <v/>
      </c>
      <c r="AH31" s="76" t="str">
        <f aca="false">IF(B31="","",SUMIFS('Flujo de Pagos'!I$7:I$506,'Flujo de Pagos'!E$7:E$506,B31,'Flujo de Pagos'!B$7:B$506,AH7))</f>
        <v/>
      </c>
      <c r="AI31" s="76" t="str">
        <f aca="false">IF(B31="","",SUMIFS('Flujo de Pagos'!I$7:I$506,'Flujo de Pagos'!E$7:E$506,B31,'Flujo de Pagos'!B$7:B$506,AI7))</f>
        <v/>
      </c>
      <c r="AJ31" s="76" t="str">
        <f aca="false">IF(B31="","",SUMIFS('Flujo de Pagos'!I$7:I$506,'Flujo de Pagos'!E$7:E$506,B31,'Flujo de Pagos'!B$7:B$506,AJ7))</f>
        <v/>
      </c>
      <c r="AK31" s="76" t="str">
        <f aca="false">IF(B31="","",SUMIFS('Flujo de Pagos'!I$7:I$506,'Flujo de Pagos'!E$7:E$506,B31,'Flujo de Pagos'!B$7:B$506,AK7))</f>
        <v/>
      </c>
      <c r="AL31" s="76" t="str">
        <f aca="false">IF(B31="","",SUMIFS('Flujo de Pagos'!I$7:I$506,'Flujo de Pagos'!E$7:E$506,B31,'Flujo de Pagos'!B$7:B$506,AL7))</f>
        <v/>
      </c>
      <c r="AM31" s="76" t="str">
        <f aca="false">IF(B31="","",SUM(C31:AL31))</f>
        <v/>
      </c>
    </row>
    <row r="32" customFormat="false" ht="15.75" hidden="false" customHeight="true" outlineLevel="0" collapsed="false">
      <c r="B32" s="64" t="str">
        <f aca="false">IF(Presupuesto!B29="","",Presupuesto!B29)</f>
        <v/>
      </c>
      <c r="C32" s="76" t="str">
        <f aca="false">IF(B32="","",SUMIFS('Flujo de Pagos'!I$7:I$506,'Flujo de Pagos'!E$7:E$506,B32,'Flujo de Pagos'!B$7:B$506,C7))</f>
        <v/>
      </c>
      <c r="D32" s="76" t="str">
        <f aca="false">IF(B32="","",SUMIFS('Flujo de Pagos'!I$7:I$506,'Flujo de Pagos'!E$7:E$506,B32,'Flujo de Pagos'!B$7:B$506,D7))</f>
        <v/>
      </c>
      <c r="E32" s="76" t="str">
        <f aca="false">IF(B32="","",SUMIFS('Flujo de Pagos'!I$7:I$506,'Flujo de Pagos'!E$7:E$506,B32,'Flujo de Pagos'!B$7:B$506,E7))</f>
        <v/>
      </c>
      <c r="F32" s="76" t="str">
        <f aca="false">IF(B32="","",SUMIFS('Flujo de Pagos'!I$7:I$506,'Flujo de Pagos'!E$7:E$506,B32,'Flujo de Pagos'!B$7:B$506,F7))</f>
        <v/>
      </c>
      <c r="G32" s="76" t="str">
        <f aca="false">IF(B32="","",SUMIFS('Flujo de Pagos'!I$7:I$506,'Flujo de Pagos'!E$7:E$506,B32,'Flujo de Pagos'!B$7:B$506,G7))</f>
        <v/>
      </c>
      <c r="H32" s="76" t="str">
        <f aca="false">IF(B32="","",SUMIFS('Flujo de Pagos'!I$7:I$506,'Flujo de Pagos'!E$7:E$506,B32,'Flujo de Pagos'!B$7:B$506,H7))</f>
        <v/>
      </c>
      <c r="I32" s="76" t="str">
        <f aca="false">IF(B32="","",SUMIFS('Flujo de Pagos'!I$7:I$506,'Flujo de Pagos'!E$7:E$506,B32,'Flujo de Pagos'!B$7:B$506,I7))</f>
        <v/>
      </c>
      <c r="J32" s="76" t="str">
        <f aca="false">IF(B32="","",SUMIFS('Flujo de Pagos'!I$7:I$506,'Flujo de Pagos'!E$7:E$506,B32,'Flujo de Pagos'!B$7:B$506,J7))</f>
        <v/>
      </c>
      <c r="K32" s="76" t="str">
        <f aca="false">IF(B32="","",SUMIFS('Flujo de Pagos'!I$7:I$506,'Flujo de Pagos'!E$7:E$506,B32,'Flujo de Pagos'!B$7:B$506,K7))</f>
        <v/>
      </c>
      <c r="L32" s="76" t="str">
        <f aca="false">IF(B32="","",SUMIFS('Flujo de Pagos'!I$7:I$506,'Flujo de Pagos'!E$7:E$506,B32,'Flujo de Pagos'!B$7:B$506,L7))</f>
        <v/>
      </c>
      <c r="M32" s="76" t="str">
        <f aca="false">IF(B32="","",SUMIFS('Flujo de Pagos'!I$7:I$506,'Flujo de Pagos'!E$7:E$506,B32,'Flujo de Pagos'!B$7:B$506,M7))</f>
        <v/>
      </c>
      <c r="N32" s="76" t="str">
        <f aca="false">IF(B32="","",SUMIFS('Flujo de Pagos'!I$7:I$506,'Flujo de Pagos'!E$7:E$506,B32,'Flujo de Pagos'!B$7:B$506,N7))</f>
        <v/>
      </c>
      <c r="O32" s="76" t="str">
        <f aca="false">IF(B32="","",SUMIFS('Flujo de Pagos'!I$7:I$506,'Flujo de Pagos'!E$7:E$506,B32,'Flujo de Pagos'!B$7:B$506,O7))</f>
        <v/>
      </c>
      <c r="P32" s="76" t="str">
        <f aca="false">IF(B32="","",SUMIFS('Flujo de Pagos'!I$7:I$506,'Flujo de Pagos'!E$7:E$506,B32,'Flujo de Pagos'!B$7:B$506,P7))</f>
        <v/>
      </c>
      <c r="Q32" s="76" t="str">
        <f aca="false">IF(B32="","",SUMIFS('Flujo de Pagos'!I$7:I$506,'Flujo de Pagos'!E$7:E$506,B32,'Flujo de Pagos'!B$7:B$506,Q7))</f>
        <v/>
      </c>
      <c r="R32" s="76" t="str">
        <f aca="false">IF(B32="","",SUMIFS('Flujo de Pagos'!I$7:I$506,'Flujo de Pagos'!E$7:E$506,B32,'Flujo de Pagos'!B$7:B$506,R7))</f>
        <v/>
      </c>
      <c r="S32" s="76" t="str">
        <f aca="false">IF(B32="","",SUMIFS('Flujo de Pagos'!I$7:I$506,'Flujo de Pagos'!E$7:E$506,B32,'Flujo de Pagos'!B$7:B$506,S7))</f>
        <v/>
      </c>
      <c r="T32" s="76" t="str">
        <f aca="false">IF(B32="","",SUMIFS('Flujo de Pagos'!I$7:I$506,'Flujo de Pagos'!E$7:E$506,B32,'Flujo de Pagos'!B$7:B$506,T7))</f>
        <v/>
      </c>
      <c r="U32" s="76" t="str">
        <f aca="false">IF(B32="","",SUMIFS('Flujo de Pagos'!I$7:I$506,'Flujo de Pagos'!E$7:E$506,B32,'Flujo de Pagos'!B$7:B$506,U7))</f>
        <v/>
      </c>
      <c r="V32" s="76" t="str">
        <f aca="false">IF(B32="","",SUMIFS('Flujo de Pagos'!I$7:I$506,'Flujo de Pagos'!E$7:E$506,B32,'Flujo de Pagos'!B$7:B$506,V7))</f>
        <v/>
      </c>
      <c r="W32" s="76" t="str">
        <f aca="false">IF(B32="","",SUMIFS('Flujo de Pagos'!I$7:I$506,'Flujo de Pagos'!E$7:E$506,B32,'Flujo de Pagos'!B$7:B$506,W7))</f>
        <v/>
      </c>
      <c r="X32" s="76" t="str">
        <f aca="false">IF(B32="","",SUMIFS('Flujo de Pagos'!I$7:I$506,'Flujo de Pagos'!E$7:E$506,B32,'Flujo de Pagos'!B$7:B$506,X7))</f>
        <v/>
      </c>
      <c r="Y32" s="76" t="str">
        <f aca="false">IF(B32="","",SUMIFS('Flujo de Pagos'!I$7:I$506,'Flujo de Pagos'!E$7:E$506,B32,'Flujo de Pagos'!B$7:B$506,Y7))</f>
        <v/>
      </c>
      <c r="Z32" s="76" t="str">
        <f aca="false">IF(B32="","",SUMIFS('Flujo de Pagos'!I$7:I$506,'Flujo de Pagos'!E$7:E$506,B32,'Flujo de Pagos'!B$7:B$506,Z7))</f>
        <v/>
      </c>
      <c r="AA32" s="76" t="str">
        <f aca="false">IF(B32="","",SUMIFS('Flujo de Pagos'!I$7:I$506,'Flujo de Pagos'!E$7:E$506,B32,'Flujo de Pagos'!B$7:B$506,AA7))</f>
        <v/>
      </c>
      <c r="AB32" s="76" t="str">
        <f aca="false">IF(B32="","",SUMIFS('Flujo de Pagos'!I$7:I$506,'Flujo de Pagos'!E$7:E$506,B32,'Flujo de Pagos'!B$7:B$506,AB7))</f>
        <v/>
      </c>
      <c r="AC32" s="76" t="str">
        <f aca="false">IF(B32="","",SUMIFS('Flujo de Pagos'!I$7:I$506,'Flujo de Pagos'!E$7:E$506,B32,'Flujo de Pagos'!B$7:B$506,AC7))</f>
        <v/>
      </c>
      <c r="AD32" s="76" t="str">
        <f aca="false">IF(B32="","",SUMIFS('Flujo de Pagos'!I$7:I$506,'Flujo de Pagos'!E$7:E$506,B32,'Flujo de Pagos'!B$7:B$506,AD7))</f>
        <v/>
      </c>
      <c r="AE32" s="76" t="str">
        <f aca="false">IF(B32="","",SUMIFS('Flujo de Pagos'!I$7:I$506,'Flujo de Pagos'!E$7:E$506,B32,'Flujo de Pagos'!B$7:B$506,AE7))</f>
        <v/>
      </c>
      <c r="AF32" s="76" t="str">
        <f aca="false">IF(B32="","",SUMIFS('Flujo de Pagos'!I$7:I$506,'Flujo de Pagos'!E$7:E$506,B32,'Flujo de Pagos'!B$7:B$506,AF7))</f>
        <v/>
      </c>
      <c r="AG32" s="76" t="str">
        <f aca="false">IF(B32="","",SUMIFS('Flujo de Pagos'!I$7:I$506,'Flujo de Pagos'!E$7:E$506,B32,'Flujo de Pagos'!B$7:B$506,AG7))</f>
        <v/>
      </c>
      <c r="AH32" s="76" t="str">
        <f aca="false">IF(B32="","",SUMIFS('Flujo de Pagos'!I$7:I$506,'Flujo de Pagos'!E$7:E$506,B32,'Flujo de Pagos'!B$7:B$506,AH7))</f>
        <v/>
      </c>
      <c r="AI32" s="76" t="str">
        <f aca="false">IF(B32="","",SUMIFS('Flujo de Pagos'!I$7:I$506,'Flujo de Pagos'!E$7:E$506,B32,'Flujo de Pagos'!B$7:B$506,AI7))</f>
        <v/>
      </c>
      <c r="AJ32" s="76" t="str">
        <f aca="false">IF(B32="","",SUMIFS('Flujo de Pagos'!I$7:I$506,'Flujo de Pagos'!E$7:E$506,B32,'Flujo de Pagos'!B$7:B$506,AJ7))</f>
        <v/>
      </c>
      <c r="AK32" s="76" t="str">
        <f aca="false">IF(B32="","",SUMIFS('Flujo de Pagos'!I$7:I$506,'Flujo de Pagos'!E$7:E$506,B32,'Flujo de Pagos'!B$7:B$506,AK7))</f>
        <v/>
      </c>
      <c r="AL32" s="76" t="str">
        <f aca="false">IF(B32="","",SUMIFS('Flujo de Pagos'!I$7:I$506,'Flujo de Pagos'!E$7:E$506,B32,'Flujo de Pagos'!B$7:B$506,AL7))</f>
        <v/>
      </c>
      <c r="AM32" s="76" t="str">
        <f aca="false">IF(B32="","",SUM(C32:AL32))</f>
        <v/>
      </c>
    </row>
    <row r="33" customFormat="false" ht="15.75" hidden="false" customHeight="true" outlineLevel="0" collapsed="false">
      <c r="B33" s="64" t="str">
        <f aca="false">IF(Presupuesto!B30="","",Presupuesto!B30)</f>
        <v/>
      </c>
      <c r="C33" s="76" t="str">
        <f aca="false">IF(B33="","",SUMIFS('Flujo de Pagos'!I$7:I$506,'Flujo de Pagos'!E$7:E$506,B33,'Flujo de Pagos'!B$7:B$506,C7))</f>
        <v/>
      </c>
      <c r="D33" s="76" t="str">
        <f aca="false">IF(B33="","",SUMIFS('Flujo de Pagos'!I$7:I$506,'Flujo de Pagos'!E$7:E$506,B33,'Flujo de Pagos'!B$7:B$506,D7))</f>
        <v/>
      </c>
      <c r="E33" s="76" t="str">
        <f aca="false">IF(B33="","",SUMIFS('Flujo de Pagos'!I$7:I$506,'Flujo de Pagos'!E$7:E$506,B33,'Flujo de Pagos'!B$7:B$506,E7))</f>
        <v/>
      </c>
      <c r="F33" s="76" t="str">
        <f aca="false">IF(B33="","",SUMIFS('Flujo de Pagos'!I$7:I$506,'Flujo de Pagos'!E$7:E$506,B33,'Flujo de Pagos'!B$7:B$506,F7))</f>
        <v/>
      </c>
      <c r="G33" s="76" t="str">
        <f aca="false">IF(B33="","",SUMIFS('Flujo de Pagos'!I$7:I$506,'Flujo de Pagos'!E$7:E$506,B33,'Flujo de Pagos'!B$7:B$506,G7))</f>
        <v/>
      </c>
      <c r="H33" s="76" t="str">
        <f aca="false">IF(B33="","",SUMIFS('Flujo de Pagos'!I$7:I$506,'Flujo de Pagos'!E$7:E$506,B33,'Flujo de Pagos'!B$7:B$506,H7))</f>
        <v/>
      </c>
      <c r="I33" s="76" t="str">
        <f aca="false">IF(B33="","",SUMIFS('Flujo de Pagos'!I$7:I$506,'Flujo de Pagos'!E$7:E$506,B33,'Flujo de Pagos'!B$7:B$506,I7))</f>
        <v/>
      </c>
      <c r="J33" s="76" t="str">
        <f aca="false">IF(B33="","",SUMIFS('Flujo de Pagos'!I$7:I$506,'Flujo de Pagos'!E$7:E$506,B33,'Flujo de Pagos'!B$7:B$506,J7))</f>
        <v/>
      </c>
      <c r="K33" s="76" t="str">
        <f aca="false">IF(B33="","",SUMIFS('Flujo de Pagos'!I$7:I$506,'Flujo de Pagos'!E$7:E$506,B33,'Flujo de Pagos'!B$7:B$506,K7))</f>
        <v/>
      </c>
      <c r="L33" s="76" t="str">
        <f aca="false">IF(B33="","",SUMIFS('Flujo de Pagos'!I$7:I$506,'Flujo de Pagos'!E$7:E$506,B33,'Flujo de Pagos'!B$7:B$506,L7))</f>
        <v/>
      </c>
      <c r="M33" s="76" t="str">
        <f aca="false">IF(B33="","",SUMIFS('Flujo de Pagos'!I$7:I$506,'Flujo de Pagos'!E$7:E$506,B33,'Flujo de Pagos'!B$7:B$506,M7))</f>
        <v/>
      </c>
      <c r="N33" s="76" t="str">
        <f aca="false">IF(B33="","",SUMIFS('Flujo de Pagos'!I$7:I$506,'Flujo de Pagos'!E$7:E$506,B33,'Flujo de Pagos'!B$7:B$506,N7))</f>
        <v/>
      </c>
      <c r="O33" s="76" t="str">
        <f aca="false">IF(B33="","",SUMIFS('Flujo de Pagos'!I$7:I$506,'Flujo de Pagos'!E$7:E$506,B33,'Flujo de Pagos'!B$7:B$506,O7))</f>
        <v/>
      </c>
      <c r="P33" s="76" t="str">
        <f aca="false">IF(B33="","",SUMIFS('Flujo de Pagos'!I$7:I$506,'Flujo de Pagos'!E$7:E$506,B33,'Flujo de Pagos'!B$7:B$506,P7))</f>
        <v/>
      </c>
      <c r="Q33" s="76" t="str">
        <f aca="false">IF(B33="","",SUMIFS('Flujo de Pagos'!I$7:I$506,'Flujo de Pagos'!E$7:E$506,B33,'Flujo de Pagos'!B$7:B$506,Q7))</f>
        <v/>
      </c>
      <c r="R33" s="76" t="str">
        <f aca="false">IF(B33="","",SUMIFS('Flujo de Pagos'!I$7:I$506,'Flujo de Pagos'!E$7:E$506,B33,'Flujo de Pagos'!B$7:B$506,R7))</f>
        <v/>
      </c>
      <c r="S33" s="76" t="str">
        <f aca="false">IF(B33="","",SUMIFS('Flujo de Pagos'!I$7:I$506,'Flujo de Pagos'!E$7:E$506,B33,'Flujo de Pagos'!B$7:B$506,S7))</f>
        <v/>
      </c>
      <c r="T33" s="76" t="str">
        <f aca="false">IF(B33="","",SUMIFS('Flujo de Pagos'!I$7:I$506,'Flujo de Pagos'!E$7:E$506,B33,'Flujo de Pagos'!B$7:B$506,T7))</f>
        <v/>
      </c>
      <c r="U33" s="76" t="str">
        <f aca="false">IF(B33="","",SUMIFS('Flujo de Pagos'!I$7:I$506,'Flujo de Pagos'!E$7:E$506,B33,'Flujo de Pagos'!B$7:B$506,U7))</f>
        <v/>
      </c>
      <c r="V33" s="76" t="str">
        <f aca="false">IF(B33="","",SUMIFS('Flujo de Pagos'!I$7:I$506,'Flujo de Pagos'!E$7:E$506,B33,'Flujo de Pagos'!B$7:B$506,V7))</f>
        <v/>
      </c>
      <c r="W33" s="76" t="str">
        <f aca="false">IF(B33="","",SUMIFS('Flujo de Pagos'!I$7:I$506,'Flujo de Pagos'!E$7:E$506,B33,'Flujo de Pagos'!B$7:B$506,W7))</f>
        <v/>
      </c>
      <c r="X33" s="76" t="str">
        <f aca="false">IF(B33="","",SUMIFS('Flujo de Pagos'!I$7:I$506,'Flujo de Pagos'!E$7:E$506,B33,'Flujo de Pagos'!B$7:B$506,X7))</f>
        <v/>
      </c>
      <c r="Y33" s="76" t="str">
        <f aca="false">IF(B33="","",SUMIFS('Flujo de Pagos'!I$7:I$506,'Flujo de Pagos'!E$7:E$506,B33,'Flujo de Pagos'!B$7:B$506,Y7))</f>
        <v/>
      </c>
      <c r="Z33" s="76" t="str">
        <f aca="false">IF(B33="","",SUMIFS('Flujo de Pagos'!I$7:I$506,'Flujo de Pagos'!E$7:E$506,B33,'Flujo de Pagos'!B$7:B$506,Z7))</f>
        <v/>
      </c>
      <c r="AA33" s="76" t="str">
        <f aca="false">IF(B33="","",SUMIFS('Flujo de Pagos'!I$7:I$506,'Flujo de Pagos'!E$7:E$506,B33,'Flujo de Pagos'!B$7:B$506,AA7))</f>
        <v/>
      </c>
      <c r="AB33" s="76" t="str">
        <f aca="false">IF(B33="","",SUMIFS('Flujo de Pagos'!I$7:I$506,'Flujo de Pagos'!E$7:E$506,B33,'Flujo de Pagos'!B$7:B$506,AB7))</f>
        <v/>
      </c>
      <c r="AC33" s="76" t="str">
        <f aca="false">IF(B33="","",SUMIFS('Flujo de Pagos'!I$7:I$506,'Flujo de Pagos'!E$7:E$506,B33,'Flujo de Pagos'!B$7:B$506,AC7))</f>
        <v/>
      </c>
      <c r="AD33" s="76" t="str">
        <f aca="false">IF(B33="","",SUMIFS('Flujo de Pagos'!I$7:I$506,'Flujo de Pagos'!E$7:E$506,B33,'Flujo de Pagos'!B$7:B$506,AD7))</f>
        <v/>
      </c>
      <c r="AE33" s="76" t="str">
        <f aca="false">IF(B33="","",SUMIFS('Flujo de Pagos'!I$7:I$506,'Flujo de Pagos'!E$7:E$506,B33,'Flujo de Pagos'!B$7:B$506,AE7))</f>
        <v/>
      </c>
      <c r="AF33" s="76" t="str">
        <f aca="false">IF(B33="","",SUMIFS('Flujo de Pagos'!I$7:I$506,'Flujo de Pagos'!E$7:E$506,B33,'Flujo de Pagos'!B$7:B$506,AF7))</f>
        <v/>
      </c>
      <c r="AG33" s="76" t="str">
        <f aca="false">IF(B33="","",SUMIFS('Flujo de Pagos'!I$7:I$506,'Flujo de Pagos'!E$7:E$506,B33,'Flujo de Pagos'!B$7:B$506,AG7))</f>
        <v/>
      </c>
      <c r="AH33" s="76" t="str">
        <f aca="false">IF(B33="","",SUMIFS('Flujo de Pagos'!I$7:I$506,'Flujo de Pagos'!E$7:E$506,B33,'Flujo de Pagos'!B$7:B$506,AH7))</f>
        <v/>
      </c>
      <c r="AI33" s="76" t="str">
        <f aca="false">IF(B33="","",SUMIFS('Flujo de Pagos'!I$7:I$506,'Flujo de Pagos'!E$7:E$506,B33,'Flujo de Pagos'!B$7:B$506,AI7))</f>
        <v/>
      </c>
      <c r="AJ33" s="76" t="str">
        <f aca="false">IF(B33="","",SUMIFS('Flujo de Pagos'!I$7:I$506,'Flujo de Pagos'!E$7:E$506,B33,'Flujo de Pagos'!B$7:B$506,AJ7))</f>
        <v/>
      </c>
      <c r="AK33" s="76" t="str">
        <f aca="false">IF(B33="","",SUMIFS('Flujo de Pagos'!I$7:I$506,'Flujo de Pagos'!E$7:E$506,B33,'Flujo de Pagos'!B$7:B$506,AK7))</f>
        <v/>
      </c>
      <c r="AL33" s="76" t="str">
        <f aca="false">IF(B33="","",SUMIFS('Flujo de Pagos'!I$7:I$506,'Flujo de Pagos'!E$7:E$506,B33,'Flujo de Pagos'!B$7:B$506,AL7))</f>
        <v/>
      </c>
      <c r="AM33" s="76" t="str">
        <f aca="false">IF(B33="","",SUM(C33:AL33))</f>
        <v/>
      </c>
    </row>
    <row r="34" customFormat="false" ht="15.75" hidden="false" customHeight="true" outlineLevel="0" collapsed="false">
      <c r="B34" s="64" t="str">
        <f aca="false">IF(Presupuesto!B31="","",Presupuesto!B31)</f>
        <v/>
      </c>
      <c r="C34" s="76" t="str">
        <f aca="false">IF(B34="","",SUMIFS('Flujo de Pagos'!I$7:I$506,'Flujo de Pagos'!E$7:E$506,B34,'Flujo de Pagos'!B$7:B$506,C7))</f>
        <v/>
      </c>
      <c r="D34" s="76" t="str">
        <f aca="false">IF(B34="","",SUMIFS('Flujo de Pagos'!I$7:I$506,'Flujo de Pagos'!E$7:E$506,B34,'Flujo de Pagos'!B$7:B$506,D7))</f>
        <v/>
      </c>
      <c r="E34" s="76" t="str">
        <f aca="false">IF(B34="","",SUMIFS('Flujo de Pagos'!I$7:I$506,'Flujo de Pagos'!E$7:E$506,B34,'Flujo de Pagos'!B$7:B$506,E7))</f>
        <v/>
      </c>
      <c r="F34" s="76" t="str">
        <f aca="false">IF(B34="","",SUMIFS('Flujo de Pagos'!I$7:I$506,'Flujo de Pagos'!E$7:E$506,B34,'Flujo de Pagos'!B$7:B$506,F7))</f>
        <v/>
      </c>
      <c r="G34" s="76" t="str">
        <f aca="false">IF(B34="","",SUMIFS('Flujo de Pagos'!I$7:I$506,'Flujo de Pagos'!E$7:E$506,B34,'Flujo de Pagos'!B$7:B$506,G7))</f>
        <v/>
      </c>
      <c r="H34" s="76" t="str">
        <f aca="false">IF(B34="","",SUMIFS('Flujo de Pagos'!I$7:I$506,'Flujo de Pagos'!E$7:E$506,B34,'Flujo de Pagos'!B$7:B$506,H7))</f>
        <v/>
      </c>
      <c r="I34" s="76" t="str">
        <f aca="false">IF(B34="","",SUMIFS('Flujo de Pagos'!I$7:I$506,'Flujo de Pagos'!E$7:E$506,B34,'Flujo de Pagos'!B$7:B$506,I7))</f>
        <v/>
      </c>
      <c r="J34" s="76" t="str">
        <f aca="false">IF(B34="","",SUMIFS('Flujo de Pagos'!I$7:I$506,'Flujo de Pagos'!E$7:E$506,B34,'Flujo de Pagos'!B$7:B$506,J7))</f>
        <v/>
      </c>
      <c r="K34" s="76" t="str">
        <f aca="false">IF(B34="","",SUMIFS('Flujo de Pagos'!I$7:I$506,'Flujo de Pagos'!E$7:E$506,B34,'Flujo de Pagos'!B$7:B$506,K7))</f>
        <v/>
      </c>
      <c r="L34" s="76" t="str">
        <f aca="false">IF(B34="","",SUMIFS('Flujo de Pagos'!I$7:I$506,'Flujo de Pagos'!E$7:E$506,B34,'Flujo de Pagos'!B$7:B$506,L7))</f>
        <v/>
      </c>
      <c r="M34" s="76" t="str">
        <f aca="false">IF(B34="","",SUMIFS('Flujo de Pagos'!I$7:I$506,'Flujo de Pagos'!E$7:E$506,B34,'Flujo de Pagos'!B$7:B$506,M7))</f>
        <v/>
      </c>
      <c r="N34" s="76" t="str">
        <f aca="false">IF(B34="","",SUMIFS('Flujo de Pagos'!I$7:I$506,'Flujo de Pagos'!E$7:E$506,B34,'Flujo de Pagos'!B$7:B$506,N7))</f>
        <v/>
      </c>
      <c r="O34" s="76" t="str">
        <f aca="false">IF(B34="","",SUMIFS('Flujo de Pagos'!I$7:I$506,'Flujo de Pagos'!E$7:E$506,B34,'Flujo de Pagos'!B$7:B$506,O7))</f>
        <v/>
      </c>
      <c r="P34" s="76" t="str">
        <f aca="false">IF(B34="","",SUMIFS('Flujo de Pagos'!I$7:I$506,'Flujo de Pagos'!E$7:E$506,B34,'Flujo de Pagos'!B$7:B$506,P7))</f>
        <v/>
      </c>
      <c r="Q34" s="76" t="str">
        <f aca="false">IF(B34="","",SUMIFS('Flujo de Pagos'!I$7:I$506,'Flujo de Pagos'!E$7:E$506,B34,'Flujo de Pagos'!B$7:B$506,Q7))</f>
        <v/>
      </c>
      <c r="R34" s="76" t="str">
        <f aca="false">IF(B34="","",SUMIFS('Flujo de Pagos'!I$7:I$506,'Flujo de Pagos'!E$7:E$506,B34,'Flujo de Pagos'!B$7:B$506,R7))</f>
        <v/>
      </c>
      <c r="S34" s="76" t="str">
        <f aca="false">IF(B34="","",SUMIFS('Flujo de Pagos'!I$7:I$506,'Flujo de Pagos'!E$7:E$506,B34,'Flujo de Pagos'!B$7:B$506,S7))</f>
        <v/>
      </c>
      <c r="T34" s="76" t="str">
        <f aca="false">IF(B34="","",SUMIFS('Flujo de Pagos'!I$7:I$506,'Flujo de Pagos'!E$7:E$506,B34,'Flujo de Pagos'!B$7:B$506,T7))</f>
        <v/>
      </c>
      <c r="U34" s="76" t="str">
        <f aca="false">IF(B34="","",SUMIFS('Flujo de Pagos'!I$7:I$506,'Flujo de Pagos'!E$7:E$506,B34,'Flujo de Pagos'!B$7:B$506,U7))</f>
        <v/>
      </c>
      <c r="V34" s="76" t="str">
        <f aca="false">IF(B34="","",SUMIFS('Flujo de Pagos'!I$7:I$506,'Flujo de Pagos'!E$7:E$506,B34,'Flujo de Pagos'!B$7:B$506,V7))</f>
        <v/>
      </c>
      <c r="W34" s="76" t="str">
        <f aca="false">IF(B34="","",SUMIFS('Flujo de Pagos'!I$7:I$506,'Flujo de Pagos'!E$7:E$506,B34,'Flujo de Pagos'!B$7:B$506,W7))</f>
        <v/>
      </c>
      <c r="X34" s="76" t="str">
        <f aca="false">IF(B34="","",SUMIFS('Flujo de Pagos'!I$7:I$506,'Flujo de Pagos'!E$7:E$506,B34,'Flujo de Pagos'!B$7:B$506,X7))</f>
        <v/>
      </c>
      <c r="Y34" s="76" t="str">
        <f aca="false">IF(B34="","",SUMIFS('Flujo de Pagos'!I$7:I$506,'Flujo de Pagos'!E$7:E$506,B34,'Flujo de Pagos'!B$7:B$506,Y7))</f>
        <v/>
      </c>
      <c r="Z34" s="76" t="str">
        <f aca="false">IF(B34="","",SUMIFS('Flujo de Pagos'!I$7:I$506,'Flujo de Pagos'!E$7:E$506,B34,'Flujo de Pagos'!B$7:B$506,Z7))</f>
        <v/>
      </c>
      <c r="AA34" s="76" t="str">
        <f aca="false">IF(B34="","",SUMIFS('Flujo de Pagos'!I$7:I$506,'Flujo de Pagos'!E$7:E$506,B34,'Flujo de Pagos'!B$7:B$506,AA7))</f>
        <v/>
      </c>
      <c r="AB34" s="76" t="str">
        <f aca="false">IF(B34="","",SUMIFS('Flujo de Pagos'!I$7:I$506,'Flujo de Pagos'!E$7:E$506,B34,'Flujo de Pagos'!B$7:B$506,AB7))</f>
        <v/>
      </c>
      <c r="AC34" s="76" t="str">
        <f aca="false">IF(B34="","",SUMIFS('Flujo de Pagos'!I$7:I$506,'Flujo de Pagos'!E$7:E$506,B34,'Flujo de Pagos'!B$7:B$506,AC7))</f>
        <v/>
      </c>
      <c r="AD34" s="76" t="str">
        <f aca="false">IF(B34="","",SUMIFS('Flujo de Pagos'!I$7:I$506,'Flujo de Pagos'!E$7:E$506,B34,'Flujo de Pagos'!B$7:B$506,AD7))</f>
        <v/>
      </c>
      <c r="AE34" s="76" t="str">
        <f aca="false">IF(B34="","",SUMIFS('Flujo de Pagos'!I$7:I$506,'Flujo de Pagos'!E$7:E$506,B34,'Flujo de Pagos'!B$7:B$506,AE7))</f>
        <v/>
      </c>
      <c r="AF34" s="76" t="str">
        <f aca="false">IF(B34="","",SUMIFS('Flujo de Pagos'!I$7:I$506,'Flujo de Pagos'!E$7:E$506,B34,'Flujo de Pagos'!B$7:B$506,AF7))</f>
        <v/>
      </c>
      <c r="AG34" s="76" t="str">
        <f aca="false">IF(B34="","",SUMIFS('Flujo de Pagos'!I$7:I$506,'Flujo de Pagos'!E$7:E$506,B34,'Flujo de Pagos'!B$7:B$506,AG7))</f>
        <v/>
      </c>
      <c r="AH34" s="76" t="str">
        <f aca="false">IF(B34="","",SUMIFS('Flujo de Pagos'!I$7:I$506,'Flujo de Pagos'!E$7:E$506,B34,'Flujo de Pagos'!B$7:B$506,AH7))</f>
        <v/>
      </c>
      <c r="AI34" s="76" t="str">
        <f aca="false">IF(B34="","",SUMIFS('Flujo de Pagos'!I$7:I$506,'Flujo de Pagos'!E$7:E$506,B34,'Flujo de Pagos'!B$7:B$506,AI7))</f>
        <v/>
      </c>
      <c r="AJ34" s="76" t="str">
        <f aca="false">IF(B34="","",SUMIFS('Flujo de Pagos'!I$7:I$506,'Flujo de Pagos'!E$7:E$506,B34,'Flujo de Pagos'!B$7:B$506,AJ7))</f>
        <v/>
      </c>
      <c r="AK34" s="76" t="str">
        <f aca="false">IF(B34="","",SUMIFS('Flujo de Pagos'!I$7:I$506,'Flujo de Pagos'!E$7:E$506,B34,'Flujo de Pagos'!B$7:B$506,AK7))</f>
        <v/>
      </c>
      <c r="AL34" s="76" t="str">
        <f aca="false">IF(B34="","",SUMIFS('Flujo de Pagos'!I$7:I$506,'Flujo de Pagos'!E$7:E$506,B34,'Flujo de Pagos'!B$7:B$506,AL7))</f>
        <v/>
      </c>
      <c r="AM34" s="76" t="str">
        <f aca="false">IF(B34="","",SUM(C34:AL34))</f>
        <v/>
      </c>
    </row>
    <row r="35" customFormat="false" ht="15.75" hidden="false" customHeight="true" outlineLevel="0" collapsed="false">
      <c r="B35" s="64" t="str">
        <f aca="false">IF(Presupuesto!B32="","",Presupuesto!B32)</f>
        <v/>
      </c>
      <c r="C35" s="76" t="str">
        <f aca="false">IF(B35="","",SUMIFS('Flujo de Pagos'!I$7:I$506,'Flujo de Pagos'!E$7:E$506,B35,'Flujo de Pagos'!B$7:B$506,C7))</f>
        <v/>
      </c>
      <c r="D35" s="76" t="str">
        <f aca="false">IF(B35="","",SUMIFS('Flujo de Pagos'!I$7:I$506,'Flujo de Pagos'!E$7:E$506,B35,'Flujo de Pagos'!B$7:B$506,D7))</f>
        <v/>
      </c>
      <c r="E35" s="76" t="str">
        <f aca="false">IF(B35="","",SUMIFS('Flujo de Pagos'!I$7:I$506,'Flujo de Pagos'!E$7:E$506,B35,'Flujo de Pagos'!B$7:B$506,E7))</f>
        <v/>
      </c>
      <c r="F35" s="76" t="str">
        <f aca="false">IF(B35="","",SUMIFS('Flujo de Pagos'!I$7:I$506,'Flujo de Pagos'!E$7:E$506,B35,'Flujo de Pagos'!B$7:B$506,F7))</f>
        <v/>
      </c>
      <c r="G35" s="76" t="str">
        <f aca="false">IF(B35="","",SUMIFS('Flujo de Pagos'!I$7:I$506,'Flujo de Pagos'!E$7:E$506,B35,'Flujo de Pagos'!B$7:B$506,G7))</f>
        <v/>
      </c>
      <c r="H35" s="76" t="str">
        <f aca="false">IF(B35="","",SUMIFS('Flujo de Pagos'!I$7:I$506,'Flujo de Pagos'!E$7:E$506,B35,'Flujo de Pagos'!B$7:B$506,H7))</f>
        <v/>
      </c>
      <c r="I35" s="76" t="str">
        <f aca="false">IF(B35="","",SUMIFS('Flujo de Pagos'!I$7:I$506,'Flujo de Pagos'!E$7:E$506,B35,'Flujo de Pagos'!B$7:B$506,I7))</f>
        <v/>
      </c>
      <c r="J35" s="76" t="str">
        <f aca="false">IF(B35="","",SUMIFS('Flujo de Pagos'!I$7:I$506,'Flujo de Pagos'!E$7:E$506,B35,'Flujo de Pagos'!B$7:B$506,J7))</f>
        <v/>
      </c>
      <c r="K35" s="76" t="str">
        <f aca="false">IF(B35="","",SUMIFS('Flujo de Pagos'!I$7:I$506,'Flujo de Pagos'!E$7:E$506,B35,'Flujo de Pagos'!B$7:B$506,K7))</f>
        <v/>
      </c>
      <c r="L35" s="76" t="str">
        <f aca="false">IF(B35="","",SUMIFS('Flujo de Pagos'!I$7:I$506,'Flujo de Pagos'!E$7:E$506,B35,'Flujo de Pagos'!B$7:B$506,L7))</f>
        <v/>
      </c>
      <c r="M35" s="76" t="str">
        <f aca="false">IF(B35="","",SUMIFS('Flujo de Pagos'!I$7:I$506,'Flujo de Pagos'!E$7:E$506,B35,'Flujo de Pagos'!B$7:B$506,M7))</f>
        <v/>
      </c>
      <c r="N35" s="76" t="str">
        <f aca="false">IF(B35="","",SUMIFS('Flujo de Pagos'!I$7:I$506,'Flujo de Pagos'!E$7:E$506,B35,'Flujo de Pagos'!B$7:B$506,N7))</f>
        <v/>
      </c>
      <c r="O35" s="76" t="str">
        <f aca="false">IF(B35="","",SUMIFS('Flujo de Pagos'!I$7:I$506,'Flujo de Pagos'!E$7:E$506,B35,'Flujo de Pagos'!B$7:B$506,O7))</f>
        <v/>
      </c>
      <c r="P35" s="76" t="str">
        <f aca="false">IF(B35="","",SUMIFS('Flujo de Pagos'!I$7:I$506,'Flujo de Pagos'!E$7:E$506,B35,'Flujo de Pagos'!B$7:B$506,P7))</f>
        <v/>
      </c>
      <c r="Q35" s="76" t="str">
        <f aca="false">IF(B35="","",SUMIFS('Flujo de Pagos'!I$7:I$506,'Flujo de Pagos'!E$7:E$506,B35,'Flujo de Pagos'!B$7:B$506,Q7))</f>
        <v/>
      </c>
      <c r="R35" s="76" t="str">
        <f aca="false">IF(B35="","",SUMIFS('Flujo de Pagos'!I$7:I$506,'Flujo de Pagos'!E$7:E$506,B35,'Flujo de Pagos'!B$7:B$506,R7))</f>
        <v/>
      </c>
      <c r="S35" s="76" t="str">
        <f aca="false">IF(B35="","",SUMIFS('Flujo de Pagos'!I$7:I$506,'Flujo de Pagos'!E$7:E$506,B35,'Flujo de Pagos'!B$7:B$506,S7))</f>
        <v/>
      </c>
      <c r="T35" s="76" t="str">
        <f aca="false">IF(B35="","",SUMIFS('Flujo de Pagos'!I$7:I$506,'Flujo de Pagos'!E$7:E$506,B35,'Flujo de Pagos'!B$7:B$506,T7))</f>
        <v/>
      </c>
      <c r="U35" s="76" t="str">
        <f aca="false">IF(B35="","",SUMIFS('Flujo de Pagos'!I$7:I$506,'Flujo de Pagos'!E$7:E$506,B35,'Flujo de Pagos'!B$7:B$506,U7))</f>
        <v/>
      </c>
      <c r="V35" s="76" t="str">
        <f aca="false">IF(B35="","",SUMIFS('Flujo de Pagos'!I$7:I$506,'Flujo de Pagos'!E$7:E$506,B35,'Flujo de Pagos'!B$7:B$506,V7))</f>
        <v/>
      </c>
      <c r="W35" s="76" t="str">
        <f aca="false">IF(B35="","",SUMIFS('Flujo de Pagos'!I$7:I$506,'Flujo de Pagos'!E$7:E$506,B35,'Flujo de Pagos'!B$7:B$506,W7))</f>
        <v/>
      </c>
      <c r="X35" s="76" t="str">
        <f aca="false">IF(B35="","",SUMIFS('Flujo de Pagos'!I$7:I$506,'Flujo de Pagos'!E$7:E$506,B35,'Flujo de Pagos'!B$7:B$506,X7))</f>
        <v/>
      </c>
      <c r="Y35" s="76" t="str">
        <f aca="false">IF(B35="","",SUMIFS('Flujo de Pagos'!I$7:I$506,'Flujo de Pagos'!E$7:E$506,B35,'Flujo de Pagos'!B$7:B$506,Y7))</f>
        <v/>
      </c>
      <c r="Z35" s="76" t="str">
        <f aca="false">IF(B35="","",SUMIFS('Flujo de Pagos'!I$7:I$506,'Flujo de Pagos'!E$7:E$506,B35,'Flujo de Pagos'!B$7:B$506,Z7))</f>
        <v/>
      </c>
      <c r="AA35" s="76" t="str">
        <f aca="false">IF(B35="","",SUMIFS('Flujo de Pagos'!I$7:I$506,'Flujo de Pagos'!E$7:E$506,B35,'Flujo de Pagos'!B$7:B$506,AA7))</f>
        <v/>
      </c>
      <c r="AB35" s="76" t="str">
        <f aca="false">IF(B35="","",SUMIFS('Flujo de Pagos'!I$7:I$506,'Flujo de Pagos'!E$7:E$506,B35,'Flujo de Pagos'!B$7:B$506,AB7))</f>
        <v/>
      </c>
      <c r="AC35" s="76" t="str">
        <f aca="false">IF(B35="","",SUMIFS('Flujo de Pagos'!I$7:I$506,'Flujo de Pagos'!E$7:E$506,B35,'Flujo de Pagos'!B$7:B$506,AC7))</f>
        <v/>
      </c>
      <c r="AD35" s="76" t="str">
        <f aca="false">IF(B35="","",SUMIFS('Flujo de Pagos'!I$7:I$506,'Flujo de Pagos'!E$7:E$506,B35,'Flujo de Pagos'!B$7:B$506,AD7))</f>
        <v/>
      </c>
      <c r="AE35" s="76" t="str">
        <f aca="false">IF(B35="","",SUMIFS('Flujo de Pagos'!I$7:I$506,'Flujo de Pagos'!E$7:E$506,B35,'Flujo de Pagos'!B$7:B$506,AE7))</f>
        <v/>
      </c>
      <c r="AF35" s="76" t="str">
        <f aca="false">IF(B35="","",SUMIFS('Flujo de Pagos'!I$7:I$506,'Flujo de Pagos'!E$7:E$506,B35,'Flujo de Pagos'!B$7:B$506,AF7))</f>
        <v/>
      </c>
      <c r="AG35" s="76" t="str">
        <f aca="false">IF(B35="","",SUMIFS('Flujo de Pagos'!I$7:I$506,'Flujo de Pagos'!E$7:E$506,B35,'Flujo de Pagos'!B$7:B$506,AG7))</f>
        <v/>
      </c>
      <c r="AH35" s="76" t="str">
        <f aca="false">IF(B35="","",SUMIFS('Flujo de Pagos'!I$7:I$506,'Flujo de Pagos'!E$7:E$506,B35,'Flujo de Pagos'!B$7:B$506,AH7))</f>
        <v/>
      </c>
      <c r="AI35" s="76" t="str">
        <f aca="false">IF(B35="","",SUMIFS('Flujo de Pagos'!I$7:I$506,'Flujo de Pagos'!E$7:E$506,B35,'Flujo de Pagos'!B$7:B$506,AI7))</f>
        <v/>
      </c>
      <c r="AJ35" s="76" t="str">
        <f aca="false">IF(B35="","",SUMIFS('Flujo de Pagos'!I$7:I$506,'Flujo de Pagos'!E$7:E$506,B35,'Flujo de Pagos'!B$7:B$506,AJ7))</f>
        <v/>
      </c>
      <c r="AK35" s="76" t="str">
        <f aca="false">IF(B35="","",SUMIFS('Flujo de Pagos'!I$7:I$506,'Flujo de Pagos'!E$7:E$506,B35,'Flujo de Pagos'!B$7:B$506,AK7))</f>
        <v/>
      </c>
      <c r="AL35" s="76" t="str">
        <f aca="false">IF(B35="","",SUMIFS('Flujo de Pagos'!I$7:I$506,'Flujo de Pagos'!E$7:E$506,B35,'Flujo de Pagos'!B$7:B$506,AL7))</f>
        <v/>
      </c>
      <c r="AM35" s="76" t="str">
        <f aca="false">IF(B35="","",SUM(C35:AL35))</f>
        <v/>
      </c>
    </row>
    <row r="36" customFormat="false" ht="15.75" hidden="false" customHeight="true" outlineLevel="0" collapsed="false">
      <c r="B36" s="64" t="str">
        <f aca="false">IF(Presupuesto!B33="","",Presupuesto!B33)</f>
        <v/>
      </c>
      <c r="C36" s="76" t="str">
        <f aca="false">IF(B36="","",SUMIFS('Flujo de Pagos'!I$7:I$506,'Flujo de Pagos'!E$7:E$506,B36,'Flujo de Pagos'!B$7:B$506,C7))</f>
        <v/>
      </c>
      <c r="D36" s="76" t="str">
        <f aca="false">IF(B36="","",SUMIFS('Flujo de Pagos'!I$7:I$506,'Flujo de Pagos'!E$7:E$506,B36,'Flujo de Pagos'!B$7:B$506,D7))</f>
        <v/>
      </c>
      <c r="E36" s="76" t="str">
        <f aca="false">IF(B36="","",SUMIFS('Flujo de Pagos'!I$7:I$506,'Flujo de Pagos'!E$7:E$506,B36,'Flujo de Pagos'!B$7:B$506,E7))</f>
        <v/>
      </c>
      <c r="F36" s="76" t="str">
        <f aca="false">IF(B36="","",SUMIFS('Flujo de Pagos'!I$7:I$506,'Flujo de Pagos'!E$7:E$506,B36,'Flujo de Pagos'!B$7:B$506,F7))</f>
        <v/>
      </c>
      <c r="G36" s="76" t="str">
        <f aca="false">IF(B36="","",SUMIFS('Flujo de Pagos'!I$7:I$506,'Flujo de Pagos'!E$7:E$506,B36,'Flujo de Pagos'!B$7:B$506,G7))</f>
        <v/>
      </c>
      <c r="H36" s="76" t="str">
        <f aca="false">IF(B36="","",SUMIFS('Flujo de Pagos'!I$7:I$506,'Flujo de Pagos'!E$7:E$506,B36,'Flujo de Pagos'!B$7:B$506,H7))</f>
        <v/>
      </c>
      <c r="I36" s="76" t="str">
        <f aca="false">IF(B36="","",SUMIFS('Flujo de Pagos'!I$7:I$506,'Flujo de Pagos'!E$7:E$506,B36,'Flujo de Pagos'!B$7:B$506,I7))</f>
        <v/>
      </c>
      <c r="J36" s="76" t="str">
        <f aca="false">IF(B36="","",SUMIFS('Flujo de Pagos'!I$7:I$506,'Flujo de Pagos'!E$7:E$506,B36,'Flujo de Pagos'!B$7:B$506,J7))</f>
        <v/>
      </c>
      <c r="K36" s="76" t="str">
        <f aca="false">IF(B36="","",SUMIFS('Flujo de Pagos'!I$7:I$506,'Flujo de Pagos'!E$7:E$506,B36,'Flujo de Pagos'!B$7:B$506,K7))</f>
        <v/>
      </c>
      <c r="L36" s="76" t="str">
        <f aca="false">IF(B36="","",SUMIFS('Flujo de Pagos'!I$7:I$506,'Flujo de Pagos'!E$7:E$506,B36,'Flujo de Pagos'!B$7:B$506,L7))</f>
        <v/>
      </c>
      <c r="M36" s="76" t="str">
        <f aca="false">IF(B36="","",SUMIFS('Flujo de Pagos'!I$7:I$506,'Flujo de Pagos'!E$7:E$506,B36,'Flujo de Pagos'!B$7:B$506,M7))</f>
        <v/>
      </c>
      <c r="N36" s="76" t="str">
        <f aca="false">IF(B36="","",SUMIFS('Flujo de Pagos'!I$7:I$506,'Flujo de Pagos'!E$7:E$506,B36,'Flujo de Pagos'!B$7:B$506,N7))</f>
        <v/>
      </c>
      <c r="O36" s="76" t="str">
        <f aca="false">IF(B36="","",SUMIFS('Flujo de Pagos'!I$7:I$506,'Flujo de Pagos'!E$7:E$506,B36,'Flujo de Pagos'!B$7:B$506,O7))</f>
        <v/>
      </c>
      <c r="P36" s="76" t="str">
        <f aca="false">IF(B36="","",SUMIFS('Flujo de Pagos'!I$7:I$506,'Flujo de Pagos'!E$7:E$506,B36,'Flujo de Pagos'!B$7:B$506,P7))</f>
        <v/>
      </c>
      <c r="Q36" s="76" t="str">
        <f aca="false">IF(B36="","",SUMIFS('Flujo de Pagos'!I$7:I$506,'Flujo de Pagos'!E$7:E$506,B36,'Flujo de Pagos'!B$7:B$506,Q7))</f>
        <v/>
      </c>
      <c r="R36" s="76" t="str">
        <f aca="false">IF(B36="","",SUMIFS('Flujo de Pagos'!I$7:I$506,'Flujo de Pagos'!E$7:E$506,B36,'Flujo de Pagos'!B$7:B$506,R7))</f>
        <v/>
      </c>
      <c r="S36" s="76" t="str">
        <f aca="false">IF(B36="","",SUMIFS('Flujo de Pagos'!I$7:I$506,'Flujo de Pagos'!E$7:E$506,B36,'Flujo de Pagos'!B$7:B$506,S7))</f>
        <v/>
      </c>
      <c r="T36" s="76" t="str">
        <f aca="false">IF(B36="","",SUMIFS('Flujo de Pagos'!I$7:I$506,'Flujo de Pagos'!E$7:E$506,B36,'Flujo de Pagos'!B$7:B$506,T7))</f>
        <v/>
      </c>
      <c r="U36" s="76" t="str">
        <f aca="false">IF(B36="","",SUMIFS('Flujo de Pagos'!I$7:I$506,'Flujo de Pagos'!E$7:E$506,B36,'Flujo de Pagos'!B$7:B$506,U7))</f>
        <v/>
      </c>
      <c r="V36" s="76" t="str">
        <f aca="false">IF(B36="","",SUMIFS('Flujo de Pagos'!I$7:I$506,'Flujo de Pagos'!E$7:E$506,B36,'Flujo de Pagos'!B$7:B$506,V7))</f>
        <v/>
      </c>
      <c r="W36" s="76" t="str">
        <f aca="false">IF(B36="","",SUMIFS('Flujo de Pagos'!I$7:I$506,'Flujo de Pagos'!E$7:E$506,B36,'Flujo de Pagos'!B$7:B$506,W7))</f>
        <v/>
      </c>
      <c r="X36" s="76" t="str">
        <f aca="false">IF(B36="","",SUMIFS('Flujo de Pagos'!I$7:I$506,'Flujo de Pagos'!E$7:E$506,B36,'Flujo de Pagos'!B$7:B$506,X7))</f>
        <v/>
      </c>
      <c r="Y36" s="76" t="str">
        <f aca="false">IF(B36="","",SUMIFS('Flujo de Pagos'!I$7:I$506,'Flujo de Pagos'!E$7:E$506,B36,'Flujo de Pagos'!B$7:B$506,Y7))</f>
        <v/>
      </c>
      <c r="Z36" s="76" t="str">
        <f aca="false">IF(B36="","",SUMIFS('Flujo de Pagos'!I$7:I$506,'Flujo de Pagos'!E$7:E$506,B36,'Flujo de Pagos'!B$7:B$506,Z7))</f>
        <v/>
      </c>
      <c r="AA36" s="76" t="str">
        <f aca="false">IF(B36="","",SUMIFS('Flujo de Pagos'!I$7:I$506,'Flujo de Pagos'!E$7:E$506,B36,'Flujo de Pagos'!B$7:B$506,AA7))</f>
        <v/>
      </c>
      <c r="AB36" s="76" t="str">
        <f aca="false">IF(B36="","",SUMIFS('Flujo de Pagos'!I$7:I$506,'Flujo de Pagos'!E$7:E$506,B36,'Flujo de Pagos'!B$7:B$506,AB7))</f>
        <v/>
      </c>
      <c r="AC36" s="76" t="str">
        <f aca="false">IF(B36="","",SUMIFS('Flujo de Pagos'!I$7:I$506,'Flujo de Pagos'!E$7:E$506,B36,'Flujo de Pagos'!B$7:B$506,AC7))</f>
        <v/>
      </c>
      <c r="AD36" s="76" t="str">
        <f aca="false">IF(B36="","",SUMIFS('Flujo de Pagos'!I$7:I$506,'Flujo de Pagos'!E$7:E$506,B36,'Flujo de Pagos'!B$7:B$506,AD7))</f>
        <v/>
      </c>
      <c r="AE36" s="76" t="str">
        <f aca="false">IF(B36="","",SUMIFS('Flujo de Pagos'!I$7:I$506,'Flujo de Pagos'!E$7:E$506,B36,'Flujo de Pagos'!B$7:B$506,AE7))</f>
        <v/>
      </c>
      <c r="AF36" s="76" t="str">
        <f aca="false">IF(B36="","",SUMIFS('Flujo de Pagos'!I$7:I$506,'Flujo de Pagos'!E$7:E$506,B36,'Flujo de Pagos'!B$7:B$506,AF7))</f>
        <v/>
      </c>
      <c r="AG36" s="76" t="str">
        <f aca="false">IF(B36="","",SUMIFS('Flujo de Pagos'!I$7:I$506,'Flujo de Pagos'!E$7:E$506,B36,'Flujo de Pagos'!B$7:B$506,AG7))</f>
        <v/>
      </c>
      <c r="AH36" s="76" t="str">
        <f aca="false">IF(B36="","",SUMIFS('Flujo de Pagos'!I$7:I$506,'Flujo de Pagos'!E$7:E$506,B36,'Flujo de Pagos'!B$7:B$506,AH7))</f>
        <v/>
      </c>
      <c r="AI36" s="76" t="str">
        <f aca="false">IF(B36="","",SUMIFS('Flujo de Pagos'!I$7:I$506,'Flujo de Pagos'!E$7:E$506,B36,'Flujo de Pagos'!B$7:B$506,AI7))</f>
        <v/>
      </c>
      <c r="AJ36" s="76" t="str">
        <f aca="false">IF(B36="","",SUMIFS('Flujo de Pagos'!I$7:I$506,'Flujo de Pagos'!E$7:E$506,B36,'Flujo de Pagos'!B$7:B$506,AJ7))</f>
        <v/>
      </c>
      <c r="AK36" s="76" t="str">
        <f aca="false">IF(B36="","",SUMIFS('Flujo de Pagos'!I$7:I$506,'Flujo de Pagos'!E$7:E$506,B36,'Flujo de Pagos'!B$7:B$506,AK7))</f>
        <v/>
      </c>
      <c r="AL36" s="76" t="str">
        <f aca="false">IF(B36="","",SUMIFS('Flujo de Pagos'!I$7:I$506,'Flujo de Pagos'!E$7:E$506,B36,'Flujo de Pagos'!B$7:B$506,AL7))</f>
        <v/>
      </c>
      <c r="AM36" s="76" t="str">
        <f aca="false">IF(B36="","",SUM(C36:AL36))</f>
        <v/>
      </c>
    </row>
    <row r="37" customFormat="false" ht="15.75" hidden="false" customHeight="true" outlineLevel="0" collapsed="false">
      <c r="B37" s="64" t="str">
        <f aca="false">IF(Presupuesto!B34="","",Presupuesto!B34)</f>
        <v/>
      </c>
      <c r="C37" s="76" t="str">
        <f aca="false">IF(B37="","",SUMIFS('Flujo de Pagos'!I$7:I$506,'Flujo de Pagos'!E$7:E$506,B37,'Flujo de Pagos'!B$7:B$506,C7))</f>
        <v/>
      </c>
      <c r="D37" s="76" t="str">
        <f aca="false">IF(B37="","",SUMIFS('Flujo de Pagos'!I$7:I$506,'Flujo de Pagos'!E$7:E$506,B37,'Flujo de Pagos'!B$7:B$506,D7))</f>
        <v/>
      </c>
      <c r="E37" s="76" t="str">
        <f aca="false">IF(B37="","",SUMIFS('Flujo de Pagos'!I$7:I$506,'Flujo de Pagos'!E$7:E$506,B37,'Flujo de Pagos'!B$7:B$506,E7))</f>
        <v/>
      </c>
      <c r="F37" s="76" t="str">
        <f aca="false">IF(B37="","",SUMIFS('Flujo de Pagos'!I$7:I$506,'Flujo de Pagos'!E$7:E$506,B37,'Flujo de Pagos'!B$7:B$506,F7))</f>
        <v/>
      </c>
      <c r="G37" s="76" t="str">
        <f aca="false">IF(B37="","",SUMIFS('Flujo de Pagos'!I$7:I$506,'Flujo de Pagos'!E$7:E$506,B37,'Flujo de Pagos'!B$7:B$506,G7))</f>
        <v/>
      </c>
      <c r="H37" s="76" t="str">
        <f aca="false">IF(B37="","",SUMIFS('Flujo de Pagos'!I$7:I$506,'Flujo de Pagos'!E$7:E$506,B37,'Flujo de Pagos'!B$7:B$506,H7))</f>
        <v/>
      </c>
      <c r="I37" s="76" t="str">
        <f aca="false">IF(B37="","",SUMIFS('Flujo de Pagos'!I$7:I$506,'Flujo de Pagos'!E$7:E$506,B37,'Flujo de Pagos'!B$7:B$506,I7))</f>
        <v/>
      </c>
      <c r="J37" s="76" t="str">
        <f aca="false">IF(B37="","",SUMIFS('Flujo de Pagos'!I$7:I$506,'Flujo de Pagos'!E$7:E$506,B37,'Flujo de Pagos'!B$7:B$506,J7))</f>
        <v/>
      </c>
      <c r="K37" s="76" t="str">
        <f aca="false">IF(B37="","",SUMIFS('Flujo de Pagos'!I$7:I$506,'Flujo de Pagos'!E$7:E$506,B37,'Flujo de Pagos'!B$7:B$506,K7))</f>
        <v/>
      </c>
      <c r="L37" s="76" t="str">
        <f aca="false">IF(B37="","",SUMIFS('Flujo de Pagos'!I$7:I$506,'Flujo de Pagos'!E$7:E$506,B37,'Flujo de Pagos'!B$7:B$506,L7))</f>
        <v/>
      </c>
      <c r="M37" s="76" t="str">
        <f aca="false">IF(B37="","",SUMIFS('Flujo de Pagos'!I$7:I$506,'Flujo de Pagos'!E$7:E$506,B37,'Flujo de Pagos'!B$7:B$506,M7))</f>
        <v/>
      </c>
      <c r="N37" s="76" t="str">
        <f aca="false">IF(B37="","",SUMIFS('Flujo de Pagos'!I$7:I$506,'Flujo de Pagos'!E$7:E$506,B37,'Flujo de Pagos'!B$7:B$506,N7))</f>
        <v/>
      </c>
      <c r="O37" s="76" t="str">
        <f aca="false">IF(B37="","",SUMIFS('Flujo de Pagos'!I$7:I$506,'Flujo de Pagos'!E$7:E$506,B37,'Flujo de Pagos'!B$7:B$506,O7))</f>
        <v/>
      </c>
      <c r="P37" s="76" t="str">
        <f aca="false">IF(B37="","",SUMIFS('Flujo de Pagos'!I$7:I$506,'Flujo de Pagos'!E$7:E$506,B37,'Flujo de Pagos'!B$7:B$506,P7))</f>
        <v/>
      </c>
      <c r="Q37" s="76" t="str">
        <f aca="false">IF(B37="","",SUMIFS('Flujo de Pagos'!I$7:I$506,'Flujo de Pagos'!E$7:E$506,B37,'Flujo de Pagos'!B$7:B$506,Q7))</f>
        <v/>
      </c>
      <c r="R37" s="76" t="str">
        <f aca="false">IF(B37="","",SUMIFS('Flujo de Pagos'!I$7:I$506,'Flujo de Pagos'!E$7:E$506,B37,'Flujo de Pagos'!B$7:B$506,R7))</f>
        <v/>
      </c>
      <c r="S37" s="76" t="str">
        <f aca="false">IF(B37="","",SUMIFS('Flujo de Pagos'!I$7:I$506,'Flujo de Pagos'!E$7:E$506,B37,'Flujo de Pagos'!B$7:B$506,S7))</f>
        <v/>
      </c>
      <c r="T37" s="76" t="str">
        <f aca="false">IF(B37="","",SUMIFS('Flujo de Pagos'!I$7:I$506,'Flujo de Pagos'!E$7:E$506,B37,'Flujo de Pagos'!B$7:B$506,T7))</f>
        <v/>
      </c>
      <c r="U37" s="76" t="str">
        <f aca="false">IF(B37="","",SUMIFS('Flujo de Pagos'!I$7:I$506,'Flujo de Pagos'!E$7:E$506,B37,'Flujo de Pagos'!B$7:B$506,U7))</f>
        <v/>
      </c>
      <c r="V37" s="76" t="str">
        <f aca="false">IF(B37="","",SUMIFS('Flujo de Pagos'!I$7:I$506,'Flujo de Pagos'!E$7:E$506,B37,'Flujo de Pagos'!B$7:B$506,V7))</f>
        <v/>
      </c>
      <c r="W37" s="76" t="str">
        <f aca="false">IF(B37="","",SUMIFS('Flujo de Pagos'!I$7:I$506,'Flujo de Pagos'!E$7:E$506,B37,'Flujo de Pagos'!B$7:B$506,W7))</f>
        <v/>
      </c>
      <c r="X37" s="76" t="str">
        <f aca="false">IF(B37="","",SUMIFS('Flujo de Pagos'!I$7:I$506,'Flujo de Pagos'!E$7:E$506,B37,'Flujo de Pagos'!B$7:B$506,X7))</f>
        <v/>
      </c>
      <c r="Y37" s="76" t="str">
        <f aca="false">IF(B37="","",SUMIFS('Flujo de Pagos'!I$7:I$506,'Flujo de Pagos'!E$7:E$506,B37,'Flujo de Pagos'!B$7:B$506,Y7))</f>
        <v/>
      </c>
      <c r="Z37" s="76" t="str">
        <f aca="false">IF(B37="","",SUMIFS('Flujo de Pagos'!I$7:I$506,'Flujo de Pagos'!E$7:E$506,B37,'Flujo de Pagos'!B$7:B$506,Z7))</f>
        <v/>
      </c>
      <c r="AA37" s="76" t="str">
        <f aca="false">IF(B37="","",SUMIFS('Flujo de Pagos'!I$7:I$506,'Flujo de Pagos'!E$7:E$506,B37,'Flujo de Pagos'!B$7:B$506,AA7))</f>
        <v/>
      </c>
      <c r="AB37" s="76" t="str">
        <f aca="false">IF(B37="","",SUMIFS('Flujo de Pagos'!I$7:I$506,'Flujo de Pagos'!E$7:E$506,B37,'Flujo de Pagos'!B$7:B$506,AB7))</f>
        <v/>
      </c>
      <c r="AC37" s="76" t="str">
        <f aca="false">IF(B37="","",SUMIFS('Flujo de Pagos'!I$7:I$506,'Flujo de Pagos'!E$7:E$506,B37,'Flujo de Pagos'!B$7:B$506,AC7))</f>
        <v/>
      </c>
      <c r="AD37" s="76" t="str">
        <f aca="false">IF(B37="","",SUMIFS('Flujo de Pagos'!I$7:I$506,'Flujo de Pagos'!E$7:E$506,B37,'Flujo de Pagos'!B$7:B$506,AD7))</f>
        <v/>
      </c>
      <c r="AE37" s="76" t="str">
        <f aca="false">IF(B37="","",SUMIFS('Flujo de Pagos'!I$7:I$506,'Flujo de Pagos'!E$7:E$506,B37,'Flujo de Pagos'!B$7:B$506,AE7))</f>
        <v/>
      </c>
      <c r="AF37" s="76" t="str">
        <f aca="false">IF(B37="","",SUMIFS('Flujo de Pagos'!I$7:I$506,'Flujo de Pagos'!E$7:E$506,B37,'Flujo de Pagos'!B$7:B$506,AF7))</f>
        <v/>
      </c>
      <c r="AG37" s="76" t="str">
        <f aca="false">IF(B37="","",SUMIFS('Flujo de Pagos'!I$7:I$506,'Flujo de Pagos'!E$7:E$506,B37,'Flujo de Pagos'!B$7:B$506,AG7))</f>
        <v/>
      </c>
      <c r="AH37" s="76" t="str">
        <f aca="false">IF(B37="","",SUMIFS('Flujo de Pagos'!I$7:I$506,'Flujo de Pagos'!E$7:E$506,B37,'Flujo de Pagos'!B$7:B$506,AH7))</f>
        <v/>
      </c>
      <c r="AI37" s="76" t="str">
        <f aca="false">IF(B37="","",SUMIFS('Flujo de Pagos'!I$7:I$506,'Flujo de Pagos'!E$7:E$506,B37,'Flujo de Pagos'!B$7:B$506,AI7))</f>
        <v/>
      </c>
      <c r="AJ37" s="76" t="str">
        <f aca="false">IF(B37="","",SUMIFS('Flujo de Pagos'!I$7:I$506,'Flujo de Pagos'!E$7:E$506,B37,'Flujo de Pagos'!B$7:B$506,AJ7))</f>
        <v/>
      </c>
      <c r="AK37" s="76" t="str">
        <f aca="false">IF(B37="","",SUMIFS('Flujo de Pagos'!I$7:I$506,'Flujo de Pagos'!E$7:E$506,B37,'Flujo de Pagos'!B$7:B$506,AK7))</f>
        <v/>
      </c>
      <c r="AL37" s="76" t="str">
        <f aca="false">IF(B37="","",SUMIFS('Flujo de Pagos'!I$7:I$506,'Flujo de Pagos'!E$7:E$506,B37,'Flujo de Pagos'!B$7:B$506,AL7))</f>
        <v/>
      </c>
      <c r="AM37" s="76" t="str">
        <f aca="false">IF(B37="","",SUM(C37:AL37))</f>
        <v/>
      </c>
    </row>
    <row r="38" customFormat="false" ht="15.75" hidden="false" customHeight="true" outlineLevel="0" collapsed="false">
      <c r="B38" s="64" t="str">
        <f aca="false">IF(Presupuesto!B35="","",Presupuesto!B35)</f>
        <v/>
      </c>
      <c r="C38" s="76" t="str">
        <f aca="false">IF(B38="","",SUMIFS('Flujo de Pagos'!I$7:I$506,'Flujo de Pagos'!E$7:E$506,B38,'Flujo de Pagos'!B$7:B$506,C7))</f>
        <v/>
      </c>
      <c r="D38" s="76" t="str">
        <f aca="false">IF(B38="","",SUMIFS('Flujo de Pagos'!I$7:I$506,'Flujo de Pagos'!E$7:E$506,B38,'Flujo de Pagos'!B$7:B$506,D7))</f>
        <v/>
      </c>
      <c r="E38" s="76" t="str">
        <f aca="false">IF(B38="","",SUMIFS('Flujo de Pagos'!I$7:I$506,'Flujo de Pagos'!E$7:E$506,B38,'Flujo de Pagos'!B$7:B$506,E7))</f>
        <v/>
      </c>
      <c r="F38" s="76" t="str">
        <f aca="false">IF(B38="","",SUMIFS('Flujo de Pagos'!I$7:I$506,'Flujo de Pagos'!E$7:E$506,B38,'Flujo de Pagos'!B$7:B$506,F7))</f>
        <v/>
      </c>
      <c r="G38" s="76" t="str">
        <f aca="false">IF(B38="","",SUMIFS('Flujo de Pagos'!I$7:I$506,'Flujo de Pagos'!E$7:E$506,B38,'Flujo de Pagos'!B$7:B$506,G7))</f>
        <v/>
      </c>
      <c r="H38" s="76" t="str">
        <f aca="false">IF(B38="","",SUMIFS('Flujo de Pagos'!I$7:I$506,'Flujo de Pagos'!E$7:E$506,B38,'Flujo de Pagos'!B$7:B$506,H7))</f>
        <v/>
      </c>
      <c r="I38" s="76" t="str">
        <f aca="false">IF(B38="","",SUMIFS('Flujo de Pagos'!I$7:I$506,'Flujo de Pagos'!E$7:E$506,B38,'Flujo de Pagos'!B$7:B$506,I7))</f>
        <v/>
      </c>
      <c r="J38" s="76" t="str">
        <f aca="false">IF(B38="","",SUMIFS('Flujo de Pagos'!I$7:I$506,'Flujo de Pagos'!E$7:E$506,B38,'Flujo de Pagos'!B$7:B$506,J7))</f>
        <v/>
      </c>
      <c r="K38" s="76" t="str">
        <f aca="false">IF(B38="","",SUMIFS('Flujo de Pagos'!I$7:I$506,'Flujo de Pagos'!E$7:E$506,B38,'Flujo de Pagos'!B$7:B$506,K7))</f>
        <v/>
      </c>
      <c r="L38" s="76" t="str">
        <f aca="false">IF(B38="","",SUMIFS('Flujo de Pagos'!I$7:I$506,'Flujo de Pagos'!E$7:E$506,B38,'Flujo de Pagos'!B$7:B$506,L7))</f>
        <v/>
      </c>
      <c r="M38" s="76" t="str">
        <f aca="false">IF(B38="","",SUMIFS('Flujo de Pagos'!I$7:I$506,'Flujo de Pagos'!E$7:E$506,B38,'Flujo de Pagos'!B$7:B$506,M7))</f>
        <v/>
      </c>
      <c r="N38" s="76" t="str">
        <f aca="false">IF(B38="","",SUMIFS('Flujo de Pagos'!I$7:I$506,'Flujo de Pagos'!E$7:E$506,B38,'Flujo de Pagos'!B$7:B$506,N7))</f>
        <v/>
      </c>
      <c r="O38" s="76" t="str">
        <f aca="false">IF(B38="","",SUMIFS('Flujo de Pagos'!I$7:I$506,'Flujo de Pagos'!E$7:E$506,B38,'Flujo de Pagos'!B$7:B$506,O7))</f>
        <v/>
      </c>
      <c r="P38" s="76" t="str">
        <f aca="false">IF(B38="","",SUMIFS('Flujo de Pagos'!I$7:I$506,'Flujo de Pagos'!E$7:E$506,B38,'Flujo de Pagos'!B$7:B$506,P7))</f>
        <v/>
      </c>
      <c r="Q38" s="76" t="str">
        <f aca="false">IF(B38="","",SUMIFS('Flujo de Pagos'!I$7:I$506,'Flujo de Pagos'!E$7:E$506,B38,'Flujo de Pagos'!B$7:B$506,Q7))</f>
        <v/>
      </c>
      <c r="R38" s="76" t="str">
        <f aca="false">IF(B38="","",SUMIFS('Flujo de Pagos'!I$7:I$506,'Flujo de Pagos'!E$7:E$506,B38,'Flujo de Pagos'!B$7:B$506,R7))</f>
        <v/>
      </c>
      <c r="S38" s="76" t="str">
        <f aca="false">IF(B38="","",SUMIFS('Flujo de Pagos'!I$7:I$506,'Flujo de Pagos'!E$7:E$506,B38,'Flujo de Pagos'!B$7:B$506,S7))</f>
        <v/>
      </c>
      <c r="T38" s="76" t="str">
        <f aca="false">IF(B38="","",SUMIFS('Flujo de Pagos'!I$7:I$506,'Flujo de Pagos'!E$7:E$506,B38,'Flujo de Pagos'!B$7:B$506,T7))</f>
        <v/>
      </c>
      <c r="U38" s="76" t="str">
        <f aca="false">IF(B38="","",SUMIFS('Flujo de Pagos'!I$7:I$506,'Flujo de Pagos'!E$7:E$506,B38,'Flujo de Pagos'!B$7:B$506,U7))</f>
        <v/>
      </c>
      <c r="V38" s="76" t="str">
        <f aca="false">IF(B38="","",SUMIFS('Flujo de Pagos'!I$7:I$506,'Flujo de Pagos'!E$7:E$506,B38,'Flujo de Pagos'!B$7:B$506,V7))</f>
        <v/>
      </c>
      <c r="W38" s="76" t="str">
        <f aca="false">IF(B38="","",SUMIFS('Flujo de Pagos'!I$7:I$506,'Flujo de Pagos'!E$7:E$506,B38,'Flujo de Pagos'!B$7:B$506,W7))</f>
        <v/>
      </c>
      <c r="X38" s="76" t="str">
        <f aca="false">IF(B38="","",SUMIFS('Flujo de Pagos'!I$7:I$506,'Flujo de Pagos'!E$7:E$506,B38,'Flujo de Pagos'!B$7:B$506,X7))</f>
        <v/>
      </c>
      <c r="Y38" s="76" t="str">
        <f aca="false">IF(B38="","",SUMIFS('Flujo de Pagos'!I$7:I$506,'Flujo de Pagos'!E$7:E$506,B38,'Flujo de Pagos'!B$7:B$506,Y7))</f>
        <v/>
      </c>
      <c r="Z38" s="76" t="str">
        <f aca="false">IF(B38="","",SUMIFS('Flujo de Pagos'!I$7:I$506,'Flujo de Pagos'!E$7:E$506,B38,'Flujo de Pagos'!B$7:B$506,Z7))</f>
        <v/>
      </c>
      <c r="AA38" s="76" t="str">
        <f aca="false">IF(B38="","",SUMIFS('Flujo de Pagos'!I$7:I$506,'Flujo de Pagos'!E$7:E$506,B38,'Flujo de Pagos'!B$7:B$506,AA7))</f>
        <v/>
      </c>
      <c r="AB38" s="76" t="str">
        <f aca="false">IF(B38="","",SUMIFS('Flujo de Pagos'!I$7:I$506,'Flujo de Pagos'!E$7:E$506,B38,'Flujo de Pagos'!B$7:B$506,AB7))</f>
        <v/>
      </c>
      <c r="AC38" s="76" t="str">
        <f aca="false">IF(B38="","",SUMIFS('Flujo de Pagos'!I$7:I$506,'Flujo de Pagos'!E$7:E$506,B38,'Flujo de Pagos'!B$7:B$506,AC7))</f>
        <v/>
      </c>
      <c r="AD38" s="76" t="str">
        <f aca="false">IF(B38="","",SUMIFS('Flujo de Pagos'!I$7:I$506,'Flujo de Pagos'!E$7:E$506,B38,'Flujo de Pagos'!B$7:B$506,AD7))</f>
        <v/>
      </c>
      <c r="AE38" s="76" t="str">
        <f aca="false">IF(B38="","",SUMIFS('Flujo de Pagos'!I$7:I$506,'Flujo de Pagos'!E$7:E$506,B38,'Flujo de Pagos'!B$7:B$506,AE7))</f>
        <v/>
      </c>
      <c r="AF38" s="76" t="str">
        <f aca="false">IF(B38="","",SUMIFS('Flujo de Pagos'!I$7:I$506,'Flujo de Pagos'!E$7:E$506,B38,'Flujo de Pagos'!B$7:B$506,AF7))</f>
        <v/>
      </c>
      <c r="AG38" s="76" t="str">
        <f aca="false">IF(B38="","",SUMIFS('Flujo de Pagos'!I$7:I$506,'Flujo de Pagos'!E$7:E$506,B38,'Flujo de Pagos'!B$7:B$506,AG7))</f>
        <v/>
      </c>
      <c r="AH38" s="76" t="str">
        <f aca="false">IF(B38="","",SUMIFS('Flujo de Pagos'!I$7:I$506,'Flujo de Pagos'!E$7:E$506,B38,'Flujo de Pagos'!B$7:B$506,AH7))</f>
        <v/>
      </c>
      <c r="AI38" s="76" t="str">
        <f aca="false">IF(B38="","",SUMIFS('Flujo de Pagos'!I$7:I$506,'Flujo de Pagos'!E$7:E$506,B38,'Flujo de Pagos'!B$7:B$506,AI7))</f>
        <v/>
      </c>
      <c r="AJ38" s="76" t="str">
        <f aca="false">IF(B38="","",SUMIFS('Flujo de Pagos'!I$7:I$506,'Flujo de Pagos'!E$7:E$506,B38,'Flujo de Pagos'!B$7:B$506,AJ7))</f>
        <v/>
      </c>
      <c r="AK38" s="76" t="str">
        <f aca="false">IF(B38="","",SUMIFS('Flujo de Pagos'!I$7:I$506,'Flujo de Pagos'!E$7:E$506,B38,'Flujo de Pagos'!B$7:B$506,AK7))</f>
        <v/>
      </c>
      <c r="AL38" s="76" t="str">
        <f aca="false">IF(B38="","",SUMIFS('Flujo de Pagos'!I$7:I$506,'Flujo de Pagos'!E$7:E$506,B38,'Flujo de Pagos'!B$7:B$506,AL7))</f>
        <v/>
      </c>
      <c r="AM38" s="76" t="str">
        <f aca="false">IF(B38="","",SUM(C38:AL38))</f>
        <v/>
      </c>
    </row>
    <row r="39" customFormat="false" ht="15.75" hidden="false" customHeight="true" outlineLevel="0" collapsed="false">
      <c r="B39" s="64" t="str">
        <f aca="false">IF(Presupuesto!B36="","",Presupuesto!B36)</f>
        <v/>
      </c>
      <c r="C39" s="76" t="str">
        <f aca="false">IF(B39="","",SUMIFS('Flujo de Pagos'!I$7:I$506,'Flujo de Pagos'!E$7:E$506,B39,'Flujo de Pagos'!B$7:B$506,C7))</f>
        <v/>
      </c>
      <c r="D39" s="76" t="str">
        <f aca="false">IF(B39="","",SUMIFS('Flujo de Pagos'!I$7:I$506,'Flujo de Pagos'!E$7:E$506,B39,'Flujo de Pagos'!B$7:B$506,D7))</f>
        <v/>
      </c>
      <c r="E39" s="76" t="str">
        <f aca="false">IF(B39="","",SUMIFS('Flujo de Pagos'!I$7:I$506,'Flujo de Pagos'!E$7:E$506,B39,'Flujo de Pagos'!B$7:B$506,E7))</f>
        <v/>
      </c>
      <c r="F39" s="76" t="str">
        <f aca="false">IF(B39="","",SUMIFS('Flujo de Pagos'!I$7:I$506,'Flujo de Pagos'!E$7:E$506,B39,'Flujo de Pagos'!B$7:B$506,F7))</f>
        <v/>
      </c>
      <c r="G39" s="76" t="str">
        <f aca="false">IF(B39="","",SUMIFS('Flujo de Pagos'!I$7:I$506,'Flujo de Pagos'!E$7:E$506,B39,'Flujo de Pagos'!B$7:B$506,G7))</f>
        <v/>
      </c>
      <c r="H39" s="76" t="str">
        <f aca="false">IF(B39="","",SUMIFS('Flujo de Pagos'!I$7:I$506,'Flujo de Pagos'!E$7:E$506,B39,'Flujo de Pagos'!B$7:B$506,H7))</f>
        <v/>
      </c>
      <c r="I39" s="76" t="str">
        <f aca="false">IF(B39="","",SUMIFS('Flujo de Pagos'!I$7:I$506,'Flujo de Pagos'!E$7:E$506,B39,'Flujo de Pagos'!B$7:B$506,I7))</f>
        <v/>
      </c>
      <c r="J39" s="76" t="str">
        <f aca="false">IF(B39="","",SUMIFS('Flujo de Pagos'!I$7:I$506,'Flujo de Pagos'!E$7:E$506,B39,'Flujo de Pagos'!B$7:B$506,J7))</f>
        <v/>
      </c>
      <c r="K39" s="76" t="str">
        <f aca="false">IF(B39="","",SUMIFS('Flujo de Pagos'!I$7:I$506,'Flujo de Pagos'!E$7:E$506,B39,'Flujo de Pagos'!B$7:B$506,K7))</f>
        <v/>
      </c>
      <c r="L39" s="76" t="str">
        <f aca="false">IF(B39="","",SUMIFS('Flujo de Pagos'!I$7:I$506,'Flujo de Pagos'!E$7:E$506,B39,'Flujo de Pagos'!B$7:B$506,L7))</f>
        <v/>
      </c>
      <c r="M39" s="76" t="str">
        <f aca="false">IF(B39="","",SUMIFS('Flujo de Pagos'!I$7:I$506,'Flujo de Pagos'!E$7:E$506,B39,'Flujo de Pagos'!B$7:B$506,M7))</f>
        <v/>
      </c>
      <c r="N39" s="76" t="str">
        <f aca="false">IF(B39="","",SUMIFS('Flujo de Pagos'!I$7:I$506,'Flujo de Pagos'!E$7:E$506,B39,'Flujo de Pagos'!B$7:B$506,N7))</f>
        <v/>
      </c>
      <c r="O39" s="76" t="str">
        <f aca="false">IF(B39="","",SUMIFS('Flujo de Pagos'!I$7:I$506,'Flujo de Pagos'!E$7:E$506,B39,'Flujo de Pagos'!B$7:B$506,O7))</f>
        <v/>
      </c>
      <c r="P39" s="76" t="str">
        <f aca="false">IF(B39="","",SUMIFS('Flujo de Pagos'!I$7:I$506,'Flujo de Pagos'!E$7:E$506,B39,'Flujo de Pagos'!B$7:B$506,P7))</f>
        <v/>
      </c>
      <c r="Q39" s="76" t="str">
        <f aca="false">IF(B39="","",SUMIFS('Flujo de Pagos'!I$7:I$506,'Flujo de Pagos'!E$7:E$506,B39,'Flujo de Pagos'!B$7:B$506,Q7))</f>
        <v/>
      </c>
      <c r="R39" s="76" t="str">
        <f aca="false">IF(B39="","",SUMIFS('Flujo de Pagos'!I$7:I$506,'Flujo de Pagos'!E$7:E$506,B39,'Flujo de Pagos'!B$7:B$506,R7))</f>
        <v/>
      </c>
      <c r="S39" s="76" t="str">
        <f aca="false">IF(B39="","",SUMIFS('Flujo de Pagos'!I$7:I$506,'Flujo de Pagos'!E$7:E$506,B39,'Flujo de Pagos'!B$7:B$506,S7))</f>
        <v/>
      </c>
      <c r="T39" s="76" t="str">
        <f aca="false">IF(B39="","",SUMIFS('Flujo de Pagos'!I$7:I$506,'Flujo de Pagos'!E$7:E$506,B39,'Flujo de Pagos'!B$7:B$506,T7))</f>
        <v/>
      </c>
      <c r="U39" s="76" t="str">
        <f aca="false">IF(B39="","",SUMIFS('Flujo de Pagos'!I$7:I$506,'Flujo de Pagos'!E$7:E$506,B39,'Flujo de Pagos'!B$7:B$506,U7))</f>
        <v/>
      </c>
      <c r="V39" s="76" t="str">
        <f aca="false">IF(B39="","",SUMIFS('Flujo de Pagos'!I$7:I$506,'Flujo de Pagos'!E$7:E$506,B39,'Flujo de Pagos'!B$7:B$506,V7))</f>
        <v/>
      </c>
      <c r="W39" s="76" t="str">
        <f aca="false">IF(B39="","",SUMIFS('Flujo de Pagos'!I$7:I$506,'Flujo de Pagos'!E$7:E$506,B39,'Flujo de Pagos'!B$7:B$506,W7))</f>
        <v/>
      </c>
      <c r="X39" s="76" t="str">
        <f aca="false">IF(B39="","",SUMIFS('Flujo de Pagos'!I$7:I$506,'Flujo de Pagos'!E$7:E$506,B39,'Flujo de Pagos'!B$7:B$506,X7))</f>
        <v/>
      </c>
      <c r="Y39" s="76" t="str">
        <f aca="false">IF(B39="","",SUMIFS('Flujo de Pagos'!I$7:I$506,'Flujo de Pagos'!E$7:E$506,B39,'Flujo de Pagos'!B$7:B$506,Y7))</f>
        <v/>
      </c>
      <c r="Z39" s="76" t="str">
        <f aca="false">IF(B39="","",SUMIFS('Flujo de Pagos'!I$7:I$506,'Flujo de Pagos'!E$7:E$506,B39,'Flujo de Pagos'!B$7:B$506,Z7))</f>
        <v/>
      </c>
      <c r="AA39" s="76" t="str">
        <f aca="false">IF(B39="","",SUMIFS('Flujo de Pagos'!I$7:I$506,'Flujo de Pagos'!E$7:E$506,B39,'Flujo de Pagos'!B$7:B$506,AA7))</f>
        <v/>
      </c>
      <c r="AB39" s="76" t="str">
        <f aca="false">IF(B39="","",SUMIFS('Flujo de Pagos'!I$7:I$506,'Flujo de Pagos'!E$7:E$506,B39,'Flujo de Pagos'!B$7:B$506,AB7))</f>
        <v/>
      </c>
      <c r="AC39" s="76" t="str">
        <f aca="false">IF(B39="","",SUMIFS('Flujo de Pagos'!I$7:I$506,'Flujo de Pagos'!E$7:E$506,B39,'Flujo de Pagos'!B$7:B$506,AC7))</f>
        <v/>
      </c>
      <c r="AD39" s="76" t="str">
        <f aca="false">IF(B39="","",SUMIFS('Flujo de Pagos'!I$7:I$506,'Flujo de Pagos'!E$7:E$506,B39,'Flujo de Pagos'!B$7:B$506,AD7))</f>
        <v/>
      </c>
      <c r="AE39" s="76" t="str">
        <f aca="false">IF(B39="","",SUMIFS('Flujo de Pagos'!I$7:I$506,'Flujo de Pagos'!E$7:E$506,B39,'Flujo de Pagos'!B$7:B$506,AE7))</f>
        <v/>
      </c>
      <c r="AF39" s="76" t="str">
        <f aca="false">IF(B39="","",SUMIFS('Flujo de Pagos'!I$7:I$506,'Flujo de Pagos'!E$7:E$506,B39,'Flujo de Pagos'!B$7:B$506,AF7))</f>
        <v/>
      </c>
      <c r="AG39" s="76" t="str">
        <f aca="false">IF(B39="","",SUMIFS('Flujo de Pagos'!I$7:I$506,'Flujo de Pagos'!E$7:E$506,B39,'Flujo de Pagos'!B$7:B$506,AG7))</f>
        <v/>
      </c>
      <c r="AH39" s="76" t="str">
        <f aca="false">IF(B39="","",SUMIFS('Flujo de Pagos'!I$7:I$506,'Flujo de Pagos'!E$7:E$506,B39,'Flujo de Pagos'!B$7:B$506,AH7))</f>
        <v/>
      </c>
      <c r="AI39" s="76" t="str">
        <f aca="false">IF(B39="","",SUMIFS('Flujo de Pagos'!I$7:I$506,'Flujo de Pagos'!E$7:E$506,B39,'Flujo de Pagos'!B$7:B$506,AI7))</f>
        <v/>
      </c>
      <c r="AJ39" s="76" t="str">
        <f aca="false">IF(B39="","",SUMIFS('Flujo de Pagos'!I$7:I$506,'Flujo de Pagos'!E$7:E$506,B39,'Flujo de Pagos'!B$7:B$506,AJ7))</f>
        <v/>
      </c>
      <c r="AK39" s="76" t="str">
        <f aca="false">IF(B39="","",SUMIFS('Flujo de Pagos'!I$7:I$506,'Flujo de Pagos'!E$7:E$506,B39,'Flujo de Pagos'!B$7:B$506,AK7))</f>
        <v/>
      </c>
      <c r="AL39" s="76" t="str">
        <f aca="false">IF(B39="","",SUMIFS('Flujo de Pagos'!I$7:I$506,'Flujo de Pagos'!E$7:E$506,B39,'Flujo de Pagos'!B$7:B$506,AL7))</f>
        <v/>
      </c>
      <c r="AM39" s="76" t="str">
        <f aca="false">IF(B39="","",SUM(C39:AL39))</f>
        <v/>
      </c>
    </row>
    <row r="40" customFormat="false" ht="15.75" hidden="false" customHeight="true" outlineLevel="0" collapsed="false">
      <c r="B40" s="64" t="str">
        <f aca="false">IF(Presupuesto!B37="","",Presupuesto!B37)</f>
        <v/>
      </c>
      <c r="C40" s="76" t="str">
        <f aca="false">IF(B40="","",SUMIFS('Flujo de Pagos'!I$7:I$506,'Flujo de Pagos'!E$7:E$506,B40,'Flujo de Pagos'!B$7:B$506,C7))</f>
        <v/>
      </c>
      <c r="D40" s="76" t="str">
        <f aca="false">IF(B40="","",SUMIFS('Flujo de Pagos'!I$7:I$506,'Flujo de Pagos'!E$7:E$506,B40,'Flujo de Pagos'!B$7:B$506,D7))</f>
        <v/>
      </c>
      <c r="E40" s="76" t="str">
        <f aca="false">IF(B40="","",SUMIFS('Flujo de Pagos'!I$7:I$506,'Flujo de Pagos'!E$7:E$506,B40,'Flujo de Pagos'!B$7:B$506,E7))</f>
        <v/>
      </c>
      <c r="F40" s="76" t="str">
        <f aca="false">IF(B40="","",SUMIFS('Flujo de Pagos'!I$7:I$506,'Flujo de Pagos'!E$7:E$506,B40,'Flujo de Pagos'!B$7:B$506,F7))</f>
        <v/>
      </c>
      <c r="G40" s="76" t="str">
        <f aca="false">IF(B40="","",SUMIFS('Flujo de Pagos'!I$7:I$506,'Flujo de Pagos'!E$7:E$506,B40,'Flujo de Pagos'!B$7:B$506,G7))</f>
        <v/>
      </c>
      <c r="H40" s="76" t="str">
        <f aca="false">IF(B40="","",SUMIFS('Flujo de Pagos'!I$7:I$506,'Flujo de Pagos'!E$7:E$506,B40,'Flujo de Pagos'!B$7:B$506,H7))</f>
        <v/>
      </c>
      <c r="I40" s="76" t="str">
        <f aca="false">IF(B40="","",SUMIFS('Flujo de Pagos'!I$7:I$506,'Flujo de Pagos'!E$7:E$506,B40,'Flujo de Pagos'!B$7:B$506,I7))</f>
        <v/>
      </c>
      <c r="J40" s="76" t="str">
        <f aca="false">IF(B40="","",SUMIFS('Flujo de Pagos'!I$7:I$506,'Flujo de Pagos'!E$7:E$506,B40,'Flujo de Pagos'!B$7:B$506,J7))</f>
        <v/>
      </c>
      <c r="K40" s="76" t="str">
        <f aca="false">IF(B40="","",SUMIFS('Flujo de Pagos'!I$7:I$506,'Flujo de Pagos'!E$7:E$506,B40,'Flujo de Pagos'!B$7:B$506,K7))</f>
        <v/>
      </c>
      <c r="L40" s="76" t="str">
        <f aca="false">IF(B40="","",SUMIFS('Flujo de Pagos'!I$7:I$506,'Flujo de Pagos'!E$7:E$506,B40,'Flujo de Pagos'!B$7:B$506,L7))</f>
        <v/>
      </c>
      <c r="M40" s="76" t="str">
        <f aca="false">IF(B40="","",SUMIFS('Flujo de Pagos'!I$7:I$506,'Flujo de Pagos'!E$7:E$506,B40,'Flujo de Pagos'!B$7:B$506,M7))</f>
        <v/>
      </c>
      <c r="N40" s="76" t="str">
        <f aca="false">IF(B40="","",SUMIFS('Flujo de Pagos'!I$7:I$506,'Flujo de Pagos'!E$7:E$506,B40,'Flujo de Pagos'!B$7:B$506,N7))</f>
        <v/>
      </c>
      <c r="O40" s="76" t="str">
        <f aca="false">IF(B40="","",SUMIFS('Flujo de Pagos'!I$7:I$506,'Flujo de Pagos'!E$7:E$506,B40,'Flujo de Pagos'!B$7:B$506,O7))</f>
        <v/>
      </c>
      <c r="P40" s="76" t="str">
        <f aca="false">IF(B40="","",SUMIFS('Flujo de Pagos'!I$7:I$506,'Flujo de Pagos'!E$7:E$506,B40,'Flujo de Pagos'!B$7:B$506,P7))</f>
        <v/>
      </c>
      <c r="Q40" s="76" t="str">
        <f aca="false">IF(B40="","",SUMIFS('Flujo de Pagos'!I$7:I$506,'Flujo de Pagos'!E$7:E$506,B40,'Flujo de Pagos'!B$7:B$506,Q7))</f>
        <v/>
      </c>
      <c r="R40" s="76" t="str">
        <f aca="false">IF(B40="","",SUMIFS('Flujo de Pagos'!I$7:I$506,'Flujo de Pagos'!E$7:E$506,B40,'Flujo de Pagos'!B$7:B$506,R7))</f>
        <v/>
      </c>
      <c r="S40" s="76" t="str">
        <f aca="false">IF(B40="","",SUMIFS('Flujo de Pagos'!I$7:I$506,'Flujo de Pagos'!E$7:E$506,B40,'Flujo de Pagos'!B$7:B$506,S7))</f>
        <v/>
      </c>
      <c r="T40" s="76" t="str">
        <f aca="false">IF(B40="","",SUMIFS('Flujo de Pagos'!I$7:I$506,'Flujo de Pagos'!E$7:E$506,B40,'Flujo de Pagos'!B$7:B$506,T7))</f>
        <v/>
      </c>
      <c r="U40" s="76" t="str">
        <f aca="false">IF(B40="","",SUMIFS('Flujo de Pagos'!I$7:I$506,'Flujo de Pagos'!E$7:E$506,B40,'Flujo de Pagos'!B$7:B$506,U7))</f>
        <v/>
      </c>
      <c r="V40" s="76" t="str">
        <f aca="false">IF(B40="","",SUMIFS('Flujo de Pagos'!I$7:I$506,'Flujo de Pagos'!E$7:E$506,B40,'Flujo de Pagos'!B$7:B$506,V7))</f>
        <v/>
      </c>
      <c r="W40" s="76" t="str">
        <f aca="false">IF(B40="","",SUMIFS('Flujo de Pagos'!I$7:I$506,'Flujo de Pagos'!E$7:E$506,B40,'Flujo de Pagos'!B$7:B$506,W7))</f>
        <v/>
      </c>
      <c r="X40" s="76" t="str">
        <f aca="false">IF(B40="","",SUMIFS('Flujo de Pagos'!I$7:I$506,'Flujo de Pagos'!E$7:E$506,B40,'Flujo de Pagos'!B$7:B$506,X7))</f>
        <v/>
      </c>
      <c r="Y40" s="76" t="str">
        <f aca="false">IF(B40="","",SUMIFS('Flujo de Pagos'!I$7:I$506,'Flujo de Pagos'!E$7:E$506,B40,'Flujo de Pagos'!B$7:B$506,Y7))</f>
        <v/>
      </c>
      <c r="Z40" s="76" t="str">
        <f aca="false">IF(B40="","",SUMIFS('Flujo de Pagos'!I$7:I$506,'Flujo de Pagos'!E$7:E$506,B40,'Flujo de Pagos'!B$7:B$506,Z7))</f>
        <v/>
      </c>
      <c r="AA40" s="76" t="str">
        <f aca="false">IF(B40="","",SUMIFS('Flujo de Pagos'!I$7:I$506,'Flujo de Pagos'!E$7:E$506,B40,'Flujo de Pagos'!B$7:B$506,AA7))</f>
        <v/>
      </c>
      <c r="AB40" s="76" t="str">
        <f aca="false">IF(B40="","",SUMIFS('Flujo de Pagos'!I$7:I$506,'Flujo de Pagos'!E$7:E$506,B40,'Flujo de Pagos'!B$7:B$506,AB7))</f>
        <v/>
      </c>
      <c r="AC40" s="76" t="str">
        <f aca="false">IF(B40="","",SUMIFS('Flujo de Pagos'!I$7:I$506,'Flujo de Pagos'!E$7:E$506,B40,'Flujo de Pagos'!B$7:B$506,AC7))</f>
        <v/>
      </c>
      <c r="AD40" s="76" t="str">
        <f aca="false">IF(B40="","",SUMIFS('Flujo de Pagos'!I$7:I$506,'Flujo de Pagos'!E$7:E$506,B40,'Flujo de Pagos'!B$7:B$506,AD7))</f>
        <v/>
      </c>
      <c r="AE40" s="76" t="str">
        <f aca="false">IF(B40="","",SUMIFS('Flujo de Pagos'!I$7:I$506,'Flujo de Pagos'!E$7:E$506,B40,'Flujo de Pagos'!B$7:B$506,AE7))</f>
        <v/>
      </c>
      <c r="AF40" s="76" t="str">
        <f aca="false">IF(B40="","",SUMIFS('Flujo de Pagos'!I$7:I$506,'Flujo de Pagos'!E$7:E$506,B40,'Flujo de Pagos'!B$7:B$506,AF7))</f>
        <v/>
      </c>
      <c r="AG40" s="76" t="str">
        <f aca="false">IF(B40="","",SUMIFS('Flujo de Pagos'!I$7:I$506,'Flujo de Pagos'!E$7:E$506,B40,'Flujo de Pagos'!B$7:B$506,AG7))</f>
        <v/>
      </c>
      <c r="AH40" s="76" t="str">
        <f aca="false">IF(B40="","",SUMIFS('Flujo de Pagos'!I$7:I$506,'Flujo de Pagos'!E$7:E$506,B40,'Flujo de Pagos'!B$7:B$506,AH7))</f>
        <v/>
      </c>
      <c r="AI40" s="76" t="str">
        <f aca="false">IF(B40="","",SUMIFS('Flujo de Pagos'!I$7:I$506,'Flujo de Pagos'!E$7:E$506,B40,'Flujo de Pagos'!B$7:B$506,AI7))</f>
        <v/>
      </c>
      <c r="AJ40" s="76" t="str">
        <f aca="false">IF(B40="","",SUMIFS('Flujo de Pagos'!I$7:I$506,'Flujo de Pagos'!E$7:E$506,B40,'Flujo de Pagos'!B$7:B$506,AJ7))</f>
        <v/>
      </c>
      <c r="AK40" s="76" t="str">
        <f aca="false">IF(B40="","",SUMIFS('Flujo de Pagos'!I$7:I$506,'Flujo de Pagos'!E$7:E$506,B40,'Flujo de Pagos'!B$7:B$506,AK7))</f>
        <v/>
      </c>
      <c r="AL40" s="76" t="str">
        <f aca="false">IF(B40="","",SUMIFS('Flujo de Pagos'!I$7:I$506,'Flujo de Pagos'!E$7:E$506,B40,'Flujo de Pagos'!B$7:B$506,AL7))</f>
        <v/>
      </c>
      <c r="AM40" s="76" t="str">
        <f aca="false">IF(B40="","",SUM(C40:AL40))</f>
        <v/>
      </c>
    </row>
    <row r="41" customFormat="false" ht="15.75" hidden="false" customHeight="true" outlineLevel="0" collapsed="false">
      <c r="B41" s="64" t="str">
        <f aca="false">IF(Presupuesto!B38="","",Presupuesto!B38)</f>
        <v/>
      </c>
      <c r="C41" s="76" t="str">
        <f aca="false">IF(B41="","",SUMIFS('Flujo de Pagos'!I$7:I$506,'Flujo de Pagos'!E$7:E$506,B41,'Flujo de Pagos'!B$7:B$506,C7))</f>
        <v/>
      </c>
      <c r="D41" s="76" t="str">
        <f aca="false">IF(B41="","",SUMIFS('Flujo de Pagos'!I$7:I$506,'Flujo de Pagos'!E$7:E$506,B41,'Flujo de Pagos'!B$7:B$506,D7))</f>
        <v/>
      </c>
      <c r="E41" s="76" t="str">
        <f aca="false">IF(B41="","",SUMIFS('Flujo de Pagos'!I$7:I$506,'Flujo de Pagos'!E$7:E$506,B41,'Flujo de Pagos'!B$7:B$506,E7))</f>
        <v/>
      </c>
      <c r="F41" s="76" t="str">
        <f aca="false">IF(B41="","",SUMIFS('Flujo de Pagos'!I$7:I$506,'Flujo de Pagos'!E$7:E$506,B41,'Flujo de Pagos'!B$7:B$506,F7))</f>
        <v/>
      </c>
      <c r="G41" s="76" t="str">
        <f aca="false">IF(B41="","",SUMIFS('Flujo de Pagos'!I$7:I$506,'Flujo de Pagos'!E$7:E$506,B41,'Flujo de Pagos'!B$7:B$506,G7))</f>
        <v/>
      </c>
      <c r="H41" s="76" t="str">
        <f aca="false">IF(B41="","",SUMIFS('Flujo de Pagos'!I$7:I$506,'Flujo de Pagos'!E$7:E$506,B41,'Flujo de Pagos'!B$7:B$506,H7))</f>
        <v/>
      </c>
      <c r="I41" s="76" t="str">
        <f aca="false">IF(B41="","",SUMIFS('Flujo de Pagos'!I$7:I$506,'Flujo de Pagos'!E$7:E$506,B41,'Flujo de Pagos'!B$7:B$506,I7))</f>
        <v/>
      </c>
      <c r="J41" s="76" t="str">
        <f aca="false">IF(B41="","",SUMIFS('Flujo de Pagos'!I$7:I$506,'Flujo de Pagos'!E$7:E$506,B41,'Flujo de Pagos'!B$7:B$506,J7))</f>
        <v/>
      </c>
      <c r="K41" s="76" t="str">
        <f aca="false">IF(B41="","",SUMIFS('Flujo de Pagos'!I$7:I$506,'Flujo de Pagos'!E$7:E$506,B41,'Flujo de Pagos'!B$7:B$506,K7))</f>
        <v/>
      </c>
      <c r="L41" s="76" t="str">
        <f aca="false">IF(B41="","",SUMIFS('Flujo de Pagos'!I$7:I$506,'Flujo de Pagos'!E$7:E$506,B41,'Flujo de Pagos'!B$7:B$506,L7))</f>
        <v/>
      </c>
      <c r="M41" s="76" t="str">
        <f aca="false">IF(B41="","",SUMIFS('Flujo de Pagos'!I$7:I$506,'Flujo de Pagos'!E$7:E$506,B41,'Flujo de Pagos'!B$7:B$506,M7))</f>
        <v/>
      </c>
      <c r="N41" s="76" t="str">
        <f aca="false">IF(B41="","",SUMIFS('Flujo de Pagos'!I$7:I$506,'Flujo de Pagos'!E$7:E$506,B41,'Flujo de Pagos'!B$7:B$506,N7))</f>
        <v/>
      </c>
      <c r="O41" s="76" t="str">
        <f aca="false">IF(B41="","",SUMIFS('Flujo de Pagos'!I$7:I$506,'Flujo de Pagos'!E$7:E$506,B41,'Flujo de Pagos'!B$7:B$506,O7))</f>
        <v/>
      </c>
      <c r="P41" s="76" t="str">
        <f aca="false">IF(B41="","",SUMIFS('Flujo de Pagos'!I$7:I$506,'Flujo de Pagos'!E$7:E$506,B41,'Flujo de Pagos'!B$7:B$506,P7))</f>
        <v/>
      </c>
      <c r="Q41" s="76" t="str">
        <f aca="false">IF(B41="","",SUMIFS('Flujo de Pagos'!I$7:I$506,'Flujo de Pagos'!E$7:E$506,B41,'Flujo de Pagos'!B$7:B$506,Q7))</f>
        <v/>
      </c>
      <c r="R41" s="76" t="str">
        <f aca="false">IF(B41="","",SUMIFS('Flujo de Pagos'!I$7:I$506,'Flujo de Pagos'!E$7:E$506,B41,'Flujo de Pagos'!B$7:B$506,R7))</f>
        <v/>
      </c>
      <c r="S41" s="76" t="str">
        <f aca="false">IF(B41="","",SUMIFS('Flujo de Pagos'!I$7:I$506,'Flujo de Pagos'!E$7:E$506,B41,'Flujo de Pagos'!B$7:B$506,S7))</f>
        <v/>
      </c>
      <c r="T41" s="76" t="str">
        <f aca="false">IF(B41="","",SUMIFS('Flujo de Pagos'!I$7:I$506,'Flujo de Pagos'!E$7:E$506,B41,'Flujo de Pagos'!B$7:B$506,T7))</f>
        <v/>
      </c>
      <c r="U41" s="76" t="str">
        <f aca="false">IF(B41="","",SUMIFS('Flujo de Pagos'!I$7:I$506,'Flujo de Pagos'!E$7:E$506,B41,'Flujo de Pagos'!B$7:B$506,U7))</f>
        <v/>
      </c>
      <c r="V41" s="76" t="str">
        <f aca="false">IF(B41="","",SUMIFS('Flujo de Pagos'!I$7:I$506,'Flujo de Pagos'!E$7:E$506,B41,'Flujo de Pagos'!B$7:B$506,V7))</f>
        <v/>
      </c>
      <c r="W41" s="76" t="str">
        <f aca="false">IF(B41="","",SUMIFS('Flujo de Pagos'!I$7:I$506,'Flujo de Pagos'!E$7:E$506,B41,'Flujo de Pagos'!B$7:B$506,W7))</f>
        <v/>
      </c>
      <c r="X41" s="76" t="str">
        <f aca="false">IF(B41="","",SUMIFS('Flujo de Pagos'!I$7:I$506,'Flujo de Pagos'!E$7:E$506,B41,'Flujo de Pagos'!B$7:B$506,X7))</f>
        <v/>
      </c>
      <c r="Y41" s="76" t="str">
        <f aca="false">IF(B41="","",SUMIFS('Flujo de Pagos'!I$7:I$506,'Flujo de Pagos'!E$7:E$506,B41,'Flujo de Pagos'!B$7:B$506,Y7))</f>
        <v/>
      </c>
      <c r="Z41" s="76" t="str">
        <f aca="false">IF(B41="","",SUMIFS('Flujo de Pagos'!I$7:I$506,'Flujo de Pagos'!E$7:E$506,B41,'Flujo de Pagos'!B$7:B$506,Z7))</f>
        <v/>
      </c>
      <c r="AA41" s="76" t="str">
        <f aca="false">IF(B41="","",SUMIFS('Flujo de Pagos'!I$7:I$506,'Flujo de Pagos'!E$7:E$506,B41,'Flujo de Pagos'!B$7:B$506,AA7))</f>
        <v/>
      </c>
      <c r="AB41" s="76" t="str">
        <f aca="false">IF(B41="","",SUMIFS('Flujo de Pagos'!I$7:I$506,'Flujo de Pagos'!E$7:E$506,B41,'Flujo de Pagos'!B$7:B$506,AB7))</f>
        <v/>
      </c>
      <c r="AC41" s="76" t="str">
        <f aca="false">IF(B41="","",SUMIFS('Flujo de Pagos'!I$7:I$506,'Flujo de Pagos'!E$7:E$506,B41,'Flujo de Pagos'!B$7:B$506,AC7))</f>
        <v/>
      </c>
      <c r="AD41" s="76" t="str">
        <f aca="false">IF(B41="","",SUMIFS('Flujo de Pagos'!I$7:I$506,'Flujo de Pagos'!E$7:E$506,B41,'Flujo de Pagos'!B$7:B$506,AD7))</f>
        <v/>
      </c>
      <c r="AE41" s="76" t="str">
        <f aca="false">IF(B41="","",SUMIFS('Flujo de Pagos'!I$7:I$506,'Flujo de Pagos'!E$7:E$506,B41,'Flujo de Pagos'!B$7:B$506,AE7))</f>
        <v/>
      </c>
      <c r="AF41" s="76" t="str">
        <f aca="false">IF(B41="","",SUMIFS('Flujo de Pagos'!I$7:I$506,'Flujo de Pagos'!E$7:E$506,B41,'Flujo de Pagos'!B$7:B$506,AF7))</f>
        <v/>
      </c>
      <c r="AG41" s="76" t="str">
        <f aca="false">IF(B41="","",SUMIFS('Flujo de Pagos'!I$7:I$506,'Flujo de Pagos'!E$7:E$506,B41,'Flujo de Pagos'!B$7:B$506,AG7))</f>
        <v/>
      </c>
      <c r="AH41" s="76" t="str">
        <f aca="false">IF(B41="","",SUMIFS('Flujo de Pagos'!I$7:I$506,'Flujo de Pagos'!E$7:E$506,B41,'Flujo de Pagos'!B$7:B$506,AH7))</f>
        <v/>
      </c>
      <c r="AI41" s="76" t="str">
        <f aca="false">IF(B41="","",SUMIFS('Flujo de Pagos'!I$7:I$506,'Flujo de Pagos'!E$7:E$506,B41,'Flujo de Pagos'!B$7:B$506,AI7))</f>
        <v/>
      </c>
      <c r="AJ41" s="76" t="str">
        <f aca="false">IF(B41="","",SUMIFS('Flujo de Pagos'!I$7:I$506,'Flujo de Pagos'!E$7:E$506,B41,'Flujo de Pagos'!B$7:B$506,AJ7))</f>
        <v/>
      </c>
      <c r="AK41" s="76" t="str">
        <f aca="false">IF(B41="","",SUMIFS('Flujo de Pagos'!I$7:I$506,'Flujo de Pagos'!E$7:E$506,B41,'Flujo de Pagos'!B$7:B$506,AK7))</f>
        <v/>
      </c>
      <c r="AL41" s="76" t="str">
        <f aca="false">IF(B41="","",SUMIFS('Flujo de Pagos'!I$7:I$506,'Flujo de Pagos'!E$7:E$506,B41,'Flujo de Pagos'!B$7:B$506,AL7))</f>
        <v/>
      </c>
      <c r="AM41" s="76" t="str">
        <f aca="false">IF(B41="","",SUM(C41:AL41))</f>
        <v/>
      </c>
    </row>
    <row r="42" customFormat="false" ht="15.75" hidden="false" customHeight="true" outlineLevel="0" collapsed="false">
      <c r="B42" s="64" t="str">
        <f aca="false">IF(Presupuesto!B39="","",Presupuesto!B39)</f>
        <v/>
      </c>
      <c r="C42" s="76" t="str">
        <f aca="false">IF(B42="","",SUMIFS('Flujo de Pagos'!I$7:I$506,'Flujo de Pagos'!E$7:E$506,B42,'Flujo de Pagos'!B$7:B$506,C7))</f>
        <v/>
      </c>
      <c r="D42" s="76" t="str">
        <f aca="false">IF(B42="","",SUMIFS('Flujo de Pagos'!I$7:I$506,'Flujo de Pagos'!E$7:E$506,B42,'Flujo de Pagos'!B$7:B$506,D7))</f>
        <v/>
      </c>
      <c r="E42" s="76" t="str">
        <f aca="false">IF(B42="","",SUMIFS('Flujo de Pagos'!I$7:I$506,'Flujo de Pagos'!E$7:E$506,B42,'Flujo de Pagos'!B$7:B$506,E7))</f>
        <v/>
      </c>
      <c r="F42" s="76" t="str">
        <f aca="false">IF(B42="","",SUMIFS('Flujo de Pagos'!I$7:I$506,'Flujo de Pagos'!E$7:E$506,B42,'Flujo de Pagos'!B$7:B$506,F7))</f>
        <v/>
      </c>
      <c r="G42" s="76" t="str">
        <f aca="false">IF(B42="","",SUMIFS('Flujo de Pagos'!I$7:I$506,'Flujo de Pagos'!E$7:E$506,B42,'Flujo de Pagos'!B$7:B$506,G7))</f>
        <v/>
      </c>
      <c r="H42" s="76" t="str">
        <f aca="false">IF(B42="","",SUMIFS('Flujo de Pagos'!I$7:I$506,'Flujo de Pagos'!E$7:E$506,B42,'Flujo de Pagos'!B$7:B$506,H7))</f>
        <v/>
      </c>
      <c r="I42" s="76" t="str">
        <f aca="false">IF(B42="","",SUMIFS('Flujo de Pagos'!I$7:I$506,'Flujo de Pagos'!E$7:E$506,B42,'Flujo de Pagos'!B$7:B$506,I7))</f>
        <v/>
      </c>
      <c r="J42" s="76" t="str">
        <f aca="false">IF(B42="","",SUMIFS('Flujo de Pagos'!I$7:I$506,'Flujo de Pagos'!E$7:E$506,B42,'Flujo de Pagos'!B$7:B$506,J7))</f>
        <v/>
      </c>
      <c r="K42" s="76" t="str">
        <f aca="false">IF(B42="","",SUMIFS('Flujo de Pagos'!I$7:I$506,'Flujo de Pagos'!E$7:E$506,B42,'Flujo de Pagos'!B$7:B$506,K7))</f>
        <v/>
      </c>
      <c r="L42" s="76" t="str">
        <f aca="false">IF(B42="","",SUMIFS('Flujo de Pagos'!I$7:I$506,'Flujo de Pagos'!E$7:E$506,B42,'Flujo de Pagos'!B$7:B$506,L7))</f>
        <v/>
      </c>
      <c r="M42" s="76" t="str">
        <f aca="false">IF(B42="","",SUMIFS('Flujo de Pagos'!I$7:I$506,'Flujo de Pagos'!E$7:E$506,B42,'Flujo de Pagos'!B$7:B$506,M7))</f>
        <v/>
      </c>
      <c r="N42" s="76" t="str">
        <f aca="false">IF(B42="","",SUMIFS('Flujo de Pagos'!I$7:I$506,'Flujo de Pagos'!E$7:E$506,B42,'Flujo de Pagos'!B$7:B$506,N7))</f>
        <v/>
      </c>
      <c r="O42" s="76" t="str">
        <f aca="false">IF(B42="","",SUMIFS('Flujo de Pagos'!I$7:I$506,'Flujo de Pagos'!E$7:E$506,B42,'Flujo de Pagos'!B$7:B$506,O7))</f>
        <v/>
      </c>
      <c r="P42" s="76" t="str">
        <f aca="false">IF(B42="","",SUMIFS('Flujo de Pagos'!I$7:I$506,'Flujo de Pagos'!E$7:E$506,B42,'Flujo de Pagos'!B$7:B$506,P7))</f>
        <v/>
      </c>
      <c r="Q42" s="76" t="str">
        <f aca="false">IF(B42="","",SUMIFS('Flujo de Pagos'!I$7:I$506,'Flujo de Pagos'!E$7:E$506,B42,'Flujo de Pagos'!B$7:B$506,Q7))</f>
        <v/>
      </c>
      <c r="R42" s="76" t="str">
        <f aca="false">IF(B42="","",SUMIFS('Flujo de Pagos'!I$7:I$506,'Flujo de Pagos'!E$7:E$506,B42,'Flujo de Pagos'!B$7:B$506,R7))</f>
        <v/>
      </c>
      <c r="S42" s="76" t="str">
        <f aca="false">IF(B42="","",SUMIFS('Flujo de Pagos'!I$7:I$506,'Flujo de Pagos'!E$7:E$506,B42,'Flujo de Pagos'!B$7:B$506,S7))</f>
        <v/>
      </c>
      <c r="T42" s="76" t="str">
        <f aca="false">IF(B42="","",SUMIFS('Flujo de Pagos'!I$7:I$506,'Flujo de Pagos'!E$7:E$506,B42,'Flujo de Pagos'!B$7:B$506,T7))</f>
        <v/>
      </c>
      <c r="U42" s="76" t="str">
        <f aca="false">IF(B42="","",SUMIFS('Flujo de Pagos'!I$7:I$506,'Flujo de Pagos'!E$7:E$506,B42,'Flujo de Pagos'!B$7:B$506,U7))</f>
        <v/>
      </c>
      <c r="V42" s="76" t="str">
        <f aca="false">IF(B42="","",SUMIFS('Flujo de Pagos'!I$7:I$506,'Flujo de Pagos'!E$7:E$506,B42,'Flujo de Pagos'!B$7:B$506,V7))</f>
        <v/>
      </c>
      <c r="W42" s="76" t="str">
        <f aca="false">IF(B42="","",SUMIFS('Flujo de Pagos'!I$7:I$506,'Flujo de Pagos'!E$7:E$506,B42,'Flujo de Pagos'!B$7:B$506,W7))</f>
        <v/>
      </c>
      <c r="X42" s="76" t="str">
        <f aca="false">IF(B42="","",SUMIFS('Flujo de Pagos'!I$7:I$506,'Flujo de Pagos'!E$7:E$506,B42,'Flujo de Pagos'!B$7:B$506,X7))</f>
        <v/>
      </c>
      <c r="Y42" s="76" t="str">
        <f aca="false">IF(B42="","",SUMIFS('Flujo de Pagos'!I$7:I$506,'Flujo de Pagos'!E$7:E$506,B42,'Flujo de Pagos'!B$7:B$506,Y7))</f>
        <v/>
      </c>
      <c r="Z42" s="76" t="str">
        <f aca="false">IF(B42="","",SUMIFS('Flujo de Pagos'!I$7:I$506,'Flujo de Pagos'!E$7:E$506,B42,'Flujo de Pagos'!B$7:B$506,Z7))</f>
        <v/>
      </c>
      <c r="AA42" s="76" t="str">
        <f aca="false">IF(B42="","",SUMIFS('Flujo de Pagos'!I$7:I$506,'Flujo de Pagos'!E$7:E$506,B42,'Flujo de Pagos'!B$7:B$506,AA7))</f>
        <v/>
      </c>
      <c r="AB42" s="76" t="str">
        <f aca="false">IF(B42="","",SUMIFS('Flujo de Pagos'!I$7:I$506,'Flujo de Pagos'!E$7:E$506,B42,'Flujo de Pagos'!B$7:B$506,AB7))</f>
        <v/>
      </c>
      <c r="AC42" s="76" t="str">
        <f aca="false">IF(B42="","",SUMIFS('Flujo de Pagos'!I$7:I$506,'Flujo de Pagos'!E$7:E$506,B42,'Flujo de Pagos'!B$7:B$506,AC7))</f>
        <v/>
      </c>
      <c r="AD42" s="76" t="str">
        <f aca="false">IF(B42="","",SUMIFS('Flujo de Pagos'!I$7:I$506,'Flujo de Pagos'!E$7:E$506,B42,'Flujo de Pagos'!B$7:B$506,AD7))</f>
        <v/>
      </c>
      <c r="AE42" s="76" t="str">
        <f aca="false">IF(B42="","",SUMIFS('Flujo de Pagos'!I$7:I$506,'Flujo de Pagos'!E$7:E$506,B42,'Flujo de Pagos'!B$7:B$506,AE7))</f>
        <v/>
      </c>
      <c r="AF42" s="76" t="str">
        <f aca="false">IF(B42="","",SUMIFS('Flujo de Pagos'!I$7:I$506,'Flujo de Pagos'!E$7:E$506,B42,'Flujo de Pagos'!B$7:B$506,AF7))</f>
        <v/>
      </c>
      <c r="AG42" s="76" t="str">
        <f aca="false">IF(B42="","",SUMIFS('Flujo de Pagos'!I$7:I$506,'Flujo de Pagos'!E$7:E$506,B42,'Flujo de Pagos'!B$7:B$506,AG7))</f>
        <v/>
      </c>
      <c r="AH42" s="76" t="str">
        <f aca="false">IF(B42="","",SUMIFS('Flujo de Pagos'!I$7:I$506,'Flujo de Pagos'!E$7:E$506,B42,'Flujo de Pagos'!B$7:B$506,AH7))</f>
        <v/>
      </c>
      <c r="AI42" s="76" t="str">
        <f aca="false">IF(B42="","",SUMIFS('Flujo de Pagos'!I$7:I$506,'Flujo de Pagos'!E$7:E$506,B42,'Flujo de Pagos'!B$7:B$506,AI7))</f>
        <v/>
      </c>
      <c r="AJ42" s="76" t="str">
        <f aca="false">IF(B42="","",SUMIFS('Flujo de Pagos'!I$7:I$506,'Flujo de Pagos'!E$7:E$506,B42,'Flujo de Pagos'!B$7:B$506,AJ7))</f>
        <v/>
      </c>
      <c r="AK42" s="76" t="str">
        <f aca="false">IF(B42="","",SUMIFS('Flujo de Pagos'!I$7:I$506,'Flujo de Pagos'!E$7:E$506,B42,'Flujo de Pagos'!B$7:B$506,AK7))</f>
        <v/>
      </c>
      <c r="AL42" s="76" t="str">
        <f aca="false">IF(B42="","",SUMIFS('Flujo de Pagos'!I$7:I$506,'Flujo de Pagos'!E$7:E$506,B42,'Flujo de Pagos'!B$7:B$506,AL7))</f>
        <v/>
      </c>
      <c r="AM42" s="76" t="str">
        <f aca="false">IF(B42="","",SUM(C42:AL42))</f>
        <v/>
      </c>
    </row>
    <row r="43" customFormat="false" ht="15.75" hidden="false" customHeight="true" outlineLevel="0" collapsed="false">
      <c r="B43" s="64" t="str">
        <f aca="false">IF(Presupuesto!B40="","",Presupuesto!B40)</f>
        <v/>
      </c>
      <c r="C43" s="76" t="str">
        <f aca="false">IF(B43="","",SUMIFS('Flujo de Pagos'!I$7:I$506,'Flujo de Pagos'!E$7:E$506,B43,'Flujo de Pagos'!B$7:B$506,C7))</f>
        <v/>
      </c>
      <c r="D43" s="76" t="str">
        <f aca="false">IF(B43="","",SUMIFS('Flujo de Pagos'!I$7:I$506,'Flujo de Pagos'!E$7:E$506,B43,'Flujo de Pagos'!B$7:B$506,D7))</f>
        <v/>
      </c>
      <c r="E43" s="76" t="str">
        <f aca="false">IF(B43="","",SUMIFS('Flujo de Pagos'!I$7:I$506,'Flujo de Pagos'!E$7:E$506,B43,'Flujo de Pagos'!B$7:B$506,E7))</f>
        <v/>
      </c>
      <c r="F43" s="76" t="str">
        <f aca="false">IF(B43="","",SUMIFS('Flujo de Pagos'!I$7:I$506,'Flujo de Pagos'!E$7:E$506,B43,'Flujo de Pagos'!B$7:B$506,F7))</f>
        <v/>
      </c>
      <c r="G43" s="76" t="str">
        <f aca="false">IF(B43="","",SUMIFS('Flujo de Pagos'!I$7:I$506,'Flujo de Pagos'!E$7:E$506,B43,'Flujo de Pagos'!B$7:B$506,G7))</f>
        <v/>
      </c>
      <c r="H43" s="76" t="str">
        <f aca="false">IF(B43="","",SUMIFS('Flujo de Pagos'!I$7:I$506,'Flujo de Pagos'!E$7:E$506,B43,'Flujo de Pagos'!B$7:B$506,H7))</f>
        <v/>
      </c>
      <c r="I43" s="76" t="str">
        <f aca="false">IF(B43="","",SUMIFS('Flujo de Pagos'!I$7:I$506,'Flujo de Pagos'!E$7:E$506,B43,'Flujo de Pagos'!B$7:B$506,I7))</f>
        <v/>
      </c>
      <c r="J43" s="76" t="str">
        <f aca="false">IF(B43="","",SUMIFS('Flujo de Pagos'!I$7:I$506,'Flujo de Pagos'!E$7:E$506,B43,'Flujo de Pagos'!B$7:B$506,J7))</f>
        <v/>
      </c>
      <c r="K43" s="76" t="str">
        <f aca="false">IF(B43="","",SUMIFS('Flujo de Pagos'!I$7:I$506,'Flujo de Pagos'!E$7:E$506,B43,'Flujo de Pagos'!B$7:B$506,K7))</f>
        <v/>
      </c>
      <c r="L43" s="76" t="str">
        <f aca="false">IF(B43="","",SUMIFS('Flujo de Pagos'!I$7:I$506,'Flujo de Pagos'!E$7:E$506,B43,'Flujo de Pagos'!B$7:B$506,L7))</f>
        <v/>
      </c>
      <c r="M43" s="76" t="str">
        <f aca="false">IF(B43="","",SUMIFS('Flujo de Pagos'!I$7:I$506,'Flujo de Pagos'!E$7:E$506,B43,'Flujo de Pagos'!B$7:B$506,M7))</f>
        <v/>
      </c>
      <c r="N43" s="76" t="str">
        <f aca="false">IF(B43="","",SUMIFS('Flujo de Pagos'!I$7:I$506,'Flujo de Pagos'!E$7:E$506,B43,'Flujo de Pagos'!B$7:B$506,N7))</f>
        <v/>
      </c>
      <c r="O43" s="76" t="str">
        <f aca="false">IF(B43="","",SUMIFS('Flujo de Pagos'!I$7:I$506,'Flujo de Pagos'!E$7:E$506,B43,'Flujo de Pagos'!B$7:B$506,O7))</f>
        <v/>
      </c>
      <c r="P43" s="76" t="str">
        <f aca="false">IF(B43="","",SUMIFS('Flujo de Pagos'!I$7:I$506,'Flujo de Pagos'!E$7:E$506,B43,'Flujo de Pagos'!B$7:B$506,P7))</f>
        <v/>
      </c>
      <c r="Q43" s="76" t="str">
        <f aca="false">IF(B43="","",SUMIFS('Flujo de Pagos'!I$7:I$506,'Flujo de Pagos'!E$7:E$506,B43,'Flujo de Pagos'!B$7:B$506,Q7))</f>
        <v/>
      </c>
      <c r="R43" s="76" t="str">
        <f aca="false">IF(B43="","",SUMIFS('Flujo de Pagos'!I$7:I$506,'Flujo de Pagos'!E$7:E$506,B43,'Flujo de Pagos'!B$7:B$506,R7))</f>
        <v/>
      </c>
      <c r="S43" s="76" t="str">
        <f aca="false">IF(B43="","",SUMIFS('Flujo de Pagos'!I$7:I$506,'Flujo de Pagos'!E$7:E$506,B43,'Flujo de Pagos'!B$7:B$506,S7))</f>
        <v/>
      </c>
      <c r="T43" s="76" t="str">
        <f aca="false">IF(B43="","",SUMIFS('Flujo de Pagos'!I$7:I$506,'Flujo de Pagos'!E$7:E$506,B43,'Flujo de Pagos'!B$7:B$506,T7))</f>
        <v/>
      </c>
      <c r="U43" s="76" t="str">
        <f aca="false">IF(B43="","",SUMIFS('Flujo de Pagos'!I$7:I$506,'Flujo de Pagos'!E$7:E$506,B43,'Flujo de Pagos'!B$7:B$506,U7))</f>
        <v/>
      </c>
      <c r="V43" s="76" t="str">
        <f aca="false">IF(B43="","",SUMIFS('Flujo de Pagos'!I$7:I$506,'Flujo de Pagos'!E$7:E$506,B43,'Flujo de Pagos'!B$7:B$506,V7))</f>
        <v/>
      </c>
      <c r="W43" s="76" t="str">
        <f aca="false">IF(B43="","",SUMIFS('Flujo de Pagos'!I$7:I$506,'Flujo de Pagos'!E$7:E$506,B43,'Flujo de Pagos'!B$7:B$506,W7))</f>
        <v/>
      </c>
      <c r="X43" s="76" t="str">
        <f aca="false">IF(B43="","",SUMIFS('Flujo de Pagos'!I$7:I$506,'Flujo de Pagos'!E$7:E$506,B43,'Flujo de Pagos'!B$7:B$506,X7))</f>
        <v/>
      </c>
      <c r="Y43" s="76" t="str">
        <f aca="false">IF(B43="","",SUMIFS('Flujo de Pagos'!I$7:I$506,'Flujo de Pagos'!E$7:E$506,B43,'Flujo de Pagos'!B$7:B$506,Y7))</f>
        <v/>
      </c>
      <c r="Z43" s="76" t="str">
        <f aca="false">IF(B43="","",SUMIFS('Flujo de Pagos'!I$7:I$506,'Flujo de Pagos'!E$7:E$506,B43,'Flujo de Pagos'!B$7:B$506,Z7))</f>
        <v/>
      </c>
      <c r="AA43" s="76" t="str">
        <f aca="false">IF(B43="","",SUMIFS('Flujo de Pagos'!I$7:I$506,'Flujo de Pagos'!E$7:E$506,B43,'Flujo de Pagos'!B$7:B$506,AA7))</f>
        <v/>
      </c>
      <c r="AB43" s="76" t="str">
        <f aca="false">IF(B43="","",SUMIFS('Flujo de Pagos'!I$7:I$506,'Flujo de Pagos'!E$7:E$506,B43,'Flujo de Pagos'!B$7:B$506,AB7))</f>
        <v/>
      </c>
      <c r="AC43" s="76" t="str">
        <f aca="false">IF(B43="","",SUMIFS('Flujo de Pagos'!I$7:I$506,'Flujo de Pagos'!E$7:E$506,B43,'Flujo de Pagos'!B$7:B$506,AC7))</f>
        <v/>
      </c>
      <c r="AD43" s="76" t="str">
        <f aca="false">IF(B43="","",SUMIFS('Flujo de Pagos'!I$7:I$506,'Flujo de Pagos'!E$7:E$506,B43,'Flujo de Pagos'!B$7:B$506,AD7))</f>
        <v/>
      </c>
      <c r="AE43" s="76" t="str">
        <f aca="false">IF(B43="","",SUMIFS('Flujo de Pagos'!I$7:I$506,'Flujo de Pagos'!E$7:E$506,B43,'Flujo de Pagos'!B$7:B$506,AE7))</f>
        <v/>
      </c>
      <c r="AF43" s="76" t="str">
        <f aca="false">IF(B43="","",SUMIFS('Flujo de Pagos'!I$7:I$506,'Flujo de Pagos'!E$7:E$506,B43,'Flujo de Pagos'!B$7:B$506,AF7))</f>
        <v/>
      </c>
      <c r="AG43" s="76" t="str">
        <f aca="false">IF(B43="","",SUMIFS('Flujo de Pagos'!I$7:I$506,'Flujo de Pagos'!E$7:E$506,B43,'Flujo de Pagos'!B$7:B$506,AG7))</f>
        <v/>
      </c>
      <c r="AH43" s="76" t="str">
        <f aca="false">IF(B43="","",SUMIFS('Flujo de Pagos'!I$7:I$506,'Flujo de Pagos'!E$7:E$506,B43,'Flujo de Pagos'!B$7:B$506,AH7))</f>
        <v/>
      </c>
      <c r="AI43" s="76" t="str">
        <f aca="false">IF(B43="","",SUMIFS('Flujo de Pagos'!I$7:I$506,'Flujo de Pagos'!E$7:E$506,B43,'Flujo de Pagos'!B$7:B$506,AI7))</f>
        <v/>
      </c>
      <c r="AJ43" s="76" t="str">
        <f aca="false">IF(B43="","",SUMIFS('Flujo de Pagos'!I$7:I$506,'Flujo de Pagos'!E$7:E$506,B43,'Flujo de Pagos'!B$7:B$506,AJ7))</f>
        <v/>
      </c>
      <c r="AK43" s="76" t="str">
        <f aca="false">IF(B43="","",SUMIFS('Flujo de Pagos'!I$7:I$506,'Flujo de Pagos'!E$7:E$506,B43,'Flujo de Pagos'!B$7:B$506,AK7))</f>
        <v/>
      </c>
      <c r="AL43" s="76" t="str">
        <f aca="false">IF(B43="","",SUMIFS('Flujo de Pagos'!I$7:I$506,'Flujo de Pagos'!E$7:E$506,B43,'Flujo de Pagos'!B$7:B$506,AL7))</f>
        <v/>
      </c>
      <c r="AM43" s="76" t="str">
        <f aca="false">IF(B43="","",SUM(C43:AL43))</f>
        <v/>
      </c>
    </row>
    <row r="44" customFormat="false" ht="15.75" hidden="false" customHeight="true" outlineLevel="0" collapsed="false">
      <c r="B44" s="64" t="str">
        <f aca="false">IF(Presupuesto!B41="","",Presupuesto!B41)</f>
        <v/>
      </c>
      <c r="C44" s="76" t="str">
        <f aca="false">IF(B44="","",SUMIFS('Flujo de Pagos'!I$7:I$506,'Flujo de Pagos'!E$7:E$506,B44,'Flujo de Pagos'!B$7:B$506,C7))</f>
        <v/>
      </c>
      <c r="D44" s="76" t="str">
        <f aca="false">IF(B44="","",SUMIFS('Flujo de Pagos'!I$7:I$506,'Flujo de Pagos'!E$7:E$506,B44,'Flujo de Pagos'!B$7:B$506,D7))</f>
        <v/>
      </c>
      <c r="E44" s="76" t="str">
        <f aca="false">IF(B44="","",SUMIFS('Flujo de Pagos'!I$7:I$506,'Flujo de Pagos'!E$7:E$506,B44,'Flujo de Pagos'!B$7:B$506,E7))</f>
        <v/>
      </c>
      <c r="F44" s="76" t="str">
        <f aca="false">IF(B44="","",SUMIFS('Flujo de Pagos'!I$7:I$506,'Flujo de Pagos'!E$7:E$506,B44,'Flujo de Pagos'!B$7:B$506,F7))</f>
        <v/>
      </c>
      <c r="G44" s="76" t="str">
        <f aca="false">IF(B44="","",SUMIFS('Flujo de Pagos'!I$7:I$506,'Flujo de Pagos'!E$7:E$506,B44,'Flujo de Pagos'!B$7:B$506,G7))</f>
        <v/>
      </c>
      <c r="H44" s="76" t="str">
        <f aca="false">IF(B44="","",SUMIFS('Flujo de Pagos'!I$7:I$506,'Flujo de Pagos'!E$7:E$506,B44,'Flujo de Pagos'!B$7:B$506,H7))</f>
        <v/>
      </c>
      <c r="I44" s="76" t="str">
        <f aca="false">IF(B44="","",SUMIFS('Flujo de Pagos'!I$7:I$506,'Flujo de Pagos'!E$7:E$506,B44,'Flujo de Pagos'!B$7:B$506,I7))</f>
        <v/>
      </c>
      <c r="J44" s="76" t="str">
        <f aca="false">IF(B44="","",SUMIFS('Flujo de Pagos'!I$7:I$506,'Flujo de Pagos'!E$7:E$506,B44,'Flujo de Pagos'!B$7:B$506,J7))</f>
        <v/>
      </c>
      <c r="K44" s="76" t="str">
        <f aca="false">IF(B44="","",SUMIFS('Flujo de Pagos'!I$7:I$506,'Flujo de Pagos'!E$7:E$506,B44,'Flujo de Pagos'!B$7:B$506,K7))</f>
        <v/>
      </c>
      <c r="L44" s="76" t="str">
        <f aca="false">IF(B44="","",SUMIFS('Flujo de Pagos'!I$7:I$506,'Flujo de Pagos'!E$7:E$506,B44,'Flujo de Pagos'!B$7:B$506,L7))</f>
        <v/>
      </c>
      <c r="M44" s="76" t="str">
        <f aca="false">IF(B44="","",SUMIFS('Flujo de Pagos'!I$7:I$506,'Flujo de Pagos'!E$7:E$506,B44,'Flujo de Pagos'!B$7:B$506,M7))</f>
        <v/>
      </c>
      <c r="N44" s="76" t="str">
        <f aca="false">IF(B44="","",SUMIFS('Flujo de Pagos'!I$7:I$506,'Flujo de Pagos'!E$7:E$506,B44,'Flujo de Pagos'!B$7:B$506,N7))</f>
        <v/>
      </c>
      <c r="O44" s="76" t="str">
        <f aca="false">IF(B44="","",SUMIFS('Flujo de Pagos'!I$7:I$506,'Flujo de Pagos'!E$7:E$506,B44,'Flujo de Pagos'!B$7:B$506,O7))</f>
        <v/>
      </c>
      <c r="P44" s="76" t="str">
        <f aca="false">IF(B44="","",SUMIFS('Flujo de Pagos'!I$7:I$506,'Flujo de Pagos'!E$7:E$506,B44,'Flujo de Pagos'!B$7:B$506,P7))</f>
        <v/>
      </c>
      <c r="Q44" s="76" t="str">
        <f aca="false">IF(B44="","",SUMIFS('Flujo de Pagos'!I$7:I$506,'Flujo de Pagos'!E$7:E$506,B44,'Flujo de Pagos'!B$7:B$506,Q7))</f>
        <v/>
      </c>
      <c r="R44" s="76" t="str">
        <f aca="false">IF(B44="","",SUMIFS('Flujo de Pagos'!I$7:I$506,'Flujo de Pagos'!E$7:E$506,B44,'Flujo de Pagos'!B$7:B$506,R7))</f>
        <v/>
      </c>
      <c r="S44" s="76" t="str">
        <f aca="false">IF(B44="","",SUMIFS('Flujo de Pagos'!I$7:I$506,'Flujo de Pagos'!E$7:E$506,B44,'Flujo de Pagos'!B$7:B$506,S7))</f>
        <v/>
      </c>
      <c r="T44" s="76" t="str">
        <f aca="false">IF(B44="","",SUMIFS('Flujo de Pagos'!I$7:I$506,'Flujo de Pagos'!E$7:E$506,B44,'Flujo de Pagos'!B$7:B$506,T7))</f>
        <v/>
      </c>
      <c r="U44" s="76" t="str">
        <f aca="false">IF(B44="","",SUMIFS('Flujo de Pagos'!I$7:I$506,'Flujo de Pagos'!E$7:E$506,B44,'Flujo de Pagos'!B$7:B$506,U7))</f>
        <v/>
      </c>
      <c r="V44" s="76" t="str">
        <f aca="false">IF(B44="","",SUMIFS('Flujo de Pagos'!I$7:I$506,'Flujo de Pagos'!E$7:E$506,B44,'Flujo de Pagos'!B$7:B$506,V7))</f>
        <v/>
      </c>
      <c r="W44" s="76" t="str">
        <f aca="false">IF(B44="","",SUMIFS('Flujo de Pagos'!I$7:I$506,'Flujo de Pagos'!E$7:E$506,B44,'Flujo de Pagos'!B$7:B$506,W7))</f>
        <v/>
      </c>
      <c r="X44" s="76" t="str">
        <f aca="false">IF(B44="","",SUMIFS('Flujo de Pagos'!I$7:I$506,'Flujo de Pagos'!E$7:E$506,B44,'Flujo de Pagos'!B$7:B$506,X7))</f>
        <v/>
      </c>
      <c r="Y44" s="76" t="str">
        <f aca="false">IF(B44="","",SUMIFS('Flujo de Pagos'!I$7:I$506,'Flujo de Pagos'!E$7:E$506,B44,'Flujo de Pagos'!B$7:B$506,Y7))</f>
        <v/>
      </c>
      <c r="Z44" s="76" t="str">
        <f aca="false">IF(B44="","",SUMIFS('Flujo de Pagos'!I$7:I$506,'Flujo de Pagos'!E$7:E$506,B44,'Flujo de Pagos'!B$7:B$506,Z7))</f>
        <v/>
      </c>
      <c r="AA44" s="76" t="str">
        <f aca="false">IF(B44="","",SUMIFS('Flujo de Pagos'!I$7:I$506,'Flujo de Pagos'!E$7:E$506,B44,'Flujo de Pagos'!B$7:B$506,AA7))</f>
        <v/>
      </c>
      <c r="AB44" s="76" t="str">
        <f aca="false">IF(B44="","",SUMIFS('Flujo de Pagos'!I$7:I$506,'Flujo de Pagos'!E$7:E$506,B44,'Flujo de Pagos'!B$7:B$506,AB7))</f>
        <v/>
      </c>
      <c r="AC44" s="76" t="str">
        <f aca="false">IF(B44="","",SUMIFS('Flujo de Pagos'!I$7:I$506,'Flujo de Pagos'!E$7:E$506,B44,'Flujo de Pagos'!B$7:B$506,AC7))</f>
        <v/>
      </c>
      <c r="AD44" s="76" t="str">
        <f aca="false">IF(B44="","",SUMIFS('Flujo de Pagos'!I$7:I$506,'Flujo de Pagos'!E$7:E$506,B44,'Flujo de Pagos'!B$7:B$506,AD7))</f>
        <v/>
      </c>
      <c r="AE44" s="76" t="str">
        <f aca="false">IF(B44="","",SUMIFS('Flujo de Pagos'!I$7:I$506,'Flujo de Pagos'!E$7:E$506,B44,'Flujo de Pagos'!B$7:B$506,AE7))</f>
        <v/>
      </c>
      <c r="AF44" s="76" t="str">
        <f aca="false">IF(B44="","",SUMIFS('Flujo de Pagos'!I$7:I$506,'Flujo de Pagos'!E$7:E$506,B44,'Flujo de Pagos'!B$7:B$506,AF7))</f>
        <v/>
      </c>
      <c r="AG44" s="76" t="str">
        <f aca="false">IF(B44="","",SUMIFS('Flujo de Pagos'!I$7:I$506,'Flujo de Pagos'!E$7:E$506,B44,'Flujo de Pagos'!B$7:B$506,AG7))</f>
        <v/>
      </c>
      <c r="AH44" s="76" t="str">
        <f aca="false">IF(B44="","",SUMIFS('Flujo de Pagos'!I$7:I$506,'Flujo de Pagos'!E$7:E$506,B44,'Flujo de Pagos'!B$7:B$506,AH7))</f>
        <v/>
      </c>
      <c r="AI44" s="76" t="str">
        <f aca="false">IF(B44="","",SUMIFS('Flujo de Pagos'!I$7:I$506,'Flujo de Pagos'!E$7:E$506,B44,'Flujo de Pagos'!B$7:B$506,AI7))</f>
        <v/>
      </c>
      <c r="AJ44" s="76" t="str">
        <f aca="false">IF(B44="","",SUMIFS('Flujo de Pagos'!I$7:I$506,'Flujo de Pagos'!E$7:E$506,B44,'Flujo de Pagos'!B$7:B$506,AJ7))</f>
        <v/>
      </c>
      <c r="AK44" s="76" t="str">
        <f aca="false">IF(B44="","",SUMIFS('Flujo de Pagos'!I$7:I$506,'Flujo de Pagos'!E$7:E$506,B44,'Flujo de Pagos'!B$7:B$506,AK7))</f>
        <v/>
      </c>
      <c r="AL44" s="76" t="str">
        <f aca="false">IF(B44="","",SUMIFS('Flujo de Pagos'!I$7:I$506,'Flujo de Pagos'!E$7:E$506,B44,'Flujo de Pagos'!B$7:B$506,AL7))</f>
        <v/>
      </c>
      <c r="AM44" s="76" t="str">
        <f aca="false">IF(B44="","",SUM(C44:AL44))</f>
        <v/>
      </c>
    </row>
    <row r="45" customFormat="false" ht="15.75" hidden="false" customHeight="true" outlineLevel="0" collapsed="false">
      <c r="B45" s="64" t="str">
        <f aca="false">IF(Presupuesto!B42="","",Presupuesto!B42)</f>
        <v/>
      </c>
      <c r="C45" s="76" t="str">
        <f aca="false">IF(B45="","",SUMIFS('Flujo de Pagos'!I$7:I$506,'Flujo de Pagos'!E$7:E$506,B45,'Flujo de Pagos'!B$7:B$506,C7))</f>
        <v/>
      </c>
      <c r="D45" s="76" t="str">
        <f aca="false">IF(B45="","",SUMIFS('Flujo de Pagos'!I$7:I$506,'Flujo de Pagos'!E$7:E$506,B45,'Flujo de Pagos'!B$7:B$506,D7))</f>
        <v/>
      </c>
      <c r="E45" s="76" t="str">
        <f aca="false">IF(B45="","",SUMIFS('Flujo de Pagos'!I$7:I$506,'Flujo de Pagos'!E$7:E$506,B45,'Flujo de Pagos'!B$7:B$506,E7))</f>
        <v/>
      </c>
      <c r="F45" s="76" t="str">
        <f aca="false">IF(B45="","",SUMIFS('Flujo de Pagos'!I$7:I$506,'Flujo de Pagos'!E$7:E$506,B45,'Flujo de Pagos'!B$7:B$506,F7))</f>
        <v/>
      </c>
      <c r="G45" s="76" t="str">
        <f aca="false">IF(B45="","",SUMIFS('Flujo de Pagos'!I$7:I$506,'Flujo de Pagos'!E$7:E$506,B45,'Flujo de Pagos'!B$7:B$506,G7))</f>
        <v/>
      </c>
      <c r="H45" s="76" t="str">
        <f aca="false">IF(B45="","",SUMIFS('Flujo de Pagos'!I$7:I$506,'Flujo de Pagos'!E$7:E$506,B45,'Flujo de Pagos'!B$7:B$506,H7))</f>
        <v/>
      </c>
      <c r="I45" s="76" t="str">
        <f aca="false">IF(B45="","",SUMIFS('Flujo de Pagos'!I$7:I$506,'Flujo de Pagos'!E$7:E$506,B45,'Flujo de Pagos'!B$7:B$506,I7))</f>
        <v/>
      </c>
      <c r="J45" s="76" t="str">
        <f aca="false">IF(B45="","",SUMIFS('Flujo de Pagos'!I$7:I$506,'Flujo de Pagos'!E$7:E$506,B45,'Flujo de Pagos'!B$7:B$506,J7))</f>
        <v/>
      </c>
      <c r="K45" s="76" t="str">
        <f aca="false">IF(B45="","",SUMIFS('Flujo de Pagos'!I$7:I$506,'Flujo de Pagos'!E$7:E$506,B45,'Flujo de Pagos'!B$7:B$506,K7))</f>
        <v/>
      </c>
      <c r="L45" s="76" t="str">
        <f aca="false">IF(B45="","",SUMIFS('Flujo de Pagos'!I$7:I$506,'Flujo de Pagos'!E$7:E$506,B45,'Flujo de Pagos'!B$7:B$506,L7))</f>
        <v/>
      </c>
      <c r="M45" s="76" t="str">
        <f aca="false">IF(B45="","",SUMIFS('Flujo de Pagos'!I$7:I$506,'Flujo de Pagos'!E$7:E$506,B45,'Flujo de Pagos'!B$7:B$506,M7))</f>
        <v/>
      </c>
      <c r="N45" s="76" t="str">
        <f aca="false">IF(B45="","",SUMIFS('Flujo de Pagos'!I$7:I$506,'Flujo de Pagos'!E$7:E$506,B45,'Flujo de Pagos'!B$7:B$506,N7))</f>
        <v/>
      </c>
      <c r="O45" s="76" t="str">
        <f aca="false">IF(B45="","",SUMIFS('Flujo de Pagos'!I$7:I$506,'Flujo de Pagos'!E$7:E$506,B45,'Flujo de Pagos'!B$7:B$506,O7))</f>
        <v/>
      </c>
      <c r="P45" s="76" t="str">
        <f aca="false">IF(B45="","",SUMIFS('Flujo de Pagos'!I$7:I$506,'Flujo de Pagos'!E$7:E$506,B45,'Flujo de Pagos'!B$7:B$506,P7))</f>
        <v/>
      </c>
      <c r="Q45" s="76" t="str">
        <f aca="false">IF(B45="","",SUMIFS('Flujo de Pagos'!I$7:I$506,'Flujo de Pagos'!E$7:E$506,B45,'Flujo de Pagos'!B$7:B$506,Q7))</f>
        <v/>
      </c>
      <c r="R45" s="76" t="str">
        <f aca="false">IF(B45="","",SUMIFS('Flujo de Pagos'!I$7:I$506,'Flujo de Pagos'!E$7:E$506,B45,'Flujo de Pagos'!B$7:B$506,R7))</f>
        <v/>
      </c>
      <c r="S45" s="76" t="str">
        <f aca="false">IF(B45="","",SUMIFS('Flujo de Pagos'!I$7:I$506,'Flujo de Pagos'!E$7:E$506,B45,'Flujo de Pagos'!B$7:B$506,S7))</f>
        <v/>
      </c>
      <c r="T45" s="76" t="str">
        <f aca="false">IF(B45="","",SUMIFS('Flujo de Pagos'!I$7:I$506,'Flujo de Pagos'!E$7:E$506,B45,'Flujo de Pagos'!B$7:B$506,T7))</f>
        <v/>
      </c>
      <c r="U45" s="76" t="str">
        <f aca="false">IF(B45="","",SUMIFS('Flujo de Pagos'!I$7:I$506,'Flujo de Pagos'!E$7:E$506,B45,'Flujo de Pagos'!B$7:B$506,U7))</f>
        <v/>
      </c>
      <c r="V45" s="76" t="str">
        <f aca="false">IF(B45="","",SUMIFS('Flujo de Pagos'!I$7:I$506,'Flujo de Pagos'!E$7:E$506,B45,'Flujo de Pagos'!B$7:B$506,V7))</f>
        <v/>
      </c>
      <c r="W45" s="76" t="str">
        <f aca="false">IF(B45="","",SUMIFS('Flujo de Pagos'!I$7:I$506,'Flujo de Pagos'!E$7:E$506,B45,'Flujo de Pagos'!B$7:B$506,W7))</f>
        <v/>
      </c>
      <c r="X45" s="76" t="str">
        <f aca="false">IF(B45="","",SUMIFS('Flujo de Pagos'!I$7:I$506,'Flujo de Pagos'!E$7:E$506,B45,'Flujo de Pagos'!B$7:B$506,X7))</f>
        <v/>
      </c>
      <c r="Y45" s="76" t="str">
        <f aca="false">IF(B45="","",SUMIFS('Flujo de Pagos'!I$7:I$506,'Flujo de Pagos'!E$7:E$506,B45,'Flujo de Pagos'!B$7:B$506,Y7))</f>
        <v/>
      </c>
      <c r="Z45" s="76" t="str">
        <f aca="false">IF(B45="","",SUMIFS('Flujo de Pagos'!I$7:I$506,'Flujo de Pagos'!E$7:E$506,B45,'Flujo de Pagos'!B$7:B$506,Z7))</f>
        <v/>
      </c>
      <c r="AA45" s="76" t="str">
        <f aca="false">IF(B45="","",SUMIFS('Flujo de Pagos'!I$7:I$506,'Flujo de Pagos'!E$7:E$506,B45,'Flujo de Pagos'!B$7:B$506,AA7))</f>
        <v/>
      </c>
      <c r="AB45" s="76" t="str">
        <f aca="false">IF(B45="","",SUMIFS('Flujo de Pagos'!I$7:I$506,'Flujo de Pagos'!E$7:E$506,B45,'Flujo de Pagos'!B$7:B$506,AB7))</f>
        <v/>
      </c>
      <c r="AC45" s="76" t="str">
        <f aca="false">IF(B45="","",SUMIFS('Flujo de Pagos'!I$7:I$506,'Flujo de Pagos'!E$7:E$506,B45,'Flujo de Pagos'!B$7:B$506,AC7))</f>
        <v/>
      </c>
      <c r="AD45" s="76" t="str">
        <f aca="false">IF(B45="","",SUMIFS('Flujo de Pagos'!I$7:I$506,'Flujo de Pagos'!E$7:E$506,B45,'Flujo de Pagos'!B$7:B$506,AD7))</f>
        <v/>
      </c>
      <c r="AE45" s="76" t="str">
        <f aca="false">IF(B45="","",SUMIFS('Flujo de Pagos'!I$7:I$506,'Flujo de Pagos'!E$7:E$506,B45,'Flujo de Pagos'!B$7:B$506,AE7))</f>
        <v/>
      </c>
      <c r="AF45" s="76" t="str">
        <f aca="false">IF(B45="","",SUMIFS('Flujo de Pagos'!I$7:I$506,'Flujo de Pagos'!E$7:E$506,B45,'Flujo de Pagos'!B$7:B$506,AF7))</f>
        <v/>
      </c>
      <c r="AG45" s="76" t="str">
        <f aca="false">IF(B45="","",SUMIFS('Flujo de Pagos'!I$7:I$506,'Flujo de Pagos'!E$7:E$506,B45,'Flujo de Pagos'!B$7:B$506,AG7))</f>
        <v/>
      </c>
      <c r="AH45" s="76" t="str">
        <f aca="false">IF(B45="","",SUMIFS('Flujo de Pagos'!I$7:I$506,'Flujo de Pagos'!E$7:E$506,B45,'Flujo de Pagos'!B$7:B$506,AH7))</f>
        <v/>
      </c>
      <c r="AI45" s="76" t="str">
        <f aca="false">IF(B45="","",SUMIFS('Flujo de Pagos'!I$7:I$506,'Flujo de Pagos'!E$7:E$506,B45,'Flujo de Pagos'!B$7:B$506,AI7))</f>
        <v/>
      </c>
      <c r="AJ45" s="76" t="str">
        <f aca="false">IF(B45="","",SUMIFS('Flujo de Pagos'!I$7:I$506,'Flujo de Pagos'!E$7:E$506,B45,'Flujo de Pagos'!B$7:B$506,AJ7))</f>
        <v/>
      </c>
      <c r="AK45" s="76" t="str">
        <f aca="false">IF(B45="","",SUMIFS('Flujo de Pagos'!I$7:I$506,'Flujo de Pagos'!E$7:E$506,B45,'Flujo de Pagos'!B$7:B$506,AK7))</f>
        <v/>
      </c>
      <c r="AL45" s="76" t="str">
        <f aca="false">IF(B45="","",SUMIFS('Flujo de Pagos'!I$7:I$506,'Flujo de Pagos'!E$7:E$506,B45,'Flujo de Pagos'!B$7:B$506,AL7))</f>
        <v/>
      </c>
      <c r="AM45" s="76" t="str">
        <f aca="false">IF(B45="","",SUM(C45:AL45))</f>
        <v/>
      </c>
    </row>
    <row r="46" customFormat="false" ht="15.75" hidden="false" customHeight="true" outlineLevel="0" collapsed="false">
      <c r="B46" s="64" t="str">
        <f aca="false">IF(Presupuesto!B43="","",Presupuesto!B43)</f>
        <v/>
      </c>
      <c r="C46" s="76" t="str">
        <f aca="false">IF(B46="","",SUMIFS('Flujo de Pagos'!I$7:I$506,'Flujo de Pagos'!E$7:E$506,B46,'Flujo de Pagos'!B$7:B$506,C7))</f>
        <v/>
      </c>
      <c r="D46" s="76" t="str">
        <f aca="false">IF(B46="","",SUMIFS('Flujo de Pagos'!I$7:I$506,'Flujo de Pagos'!E$7:E$506,B46,'Flujo de Pagos'!B$7:B$506,D7))</f>
        <v/>
      </c>
      <c r="E46" s="76" t="str">
        <f aca="false">IF(B46="","",SUMIFS('Flujo de Pagos'!I$7:I$506,'Flujo de Pagos'!E$7:E$506,B46,'Flujo de Pagos'!B$7:B$506,E7))</f>
        <v/>
      </c>
      <c r="F46" s="76" t="str">
        <f aca="false">IF(B46="","",SUMIFS('Flujo de Pagos'!I$7:I$506,'Flujo de Pagos'!E$7:E$506,B46,'Flujo de Pagos'!B$7:B$506,F7))</f>
        <v/>
      </c>
      <c r="G46" s="76" t="str">
        <f aca="false">IF(B46="","",SUMIFS('Flujo de Pagos'!I$7:I$506,'Flujo de Pagos'!E$7:E$506,B46,'Flujo de Pagos'!B$7:B$506,G7))</f>
        <v/>
      </c>
      <c r="H46" s="76" t="str">
        <f aca="false">IF(B46="","",SUMIFS('Flujo de Pagos'!I$7:I$506,'Flujo de Pagos'!E$7:E$506,B46,'Flujo de Pagos'!B$7:B$506,H7))</f>
        <v/>
      </c>
      <c r="I46" s="76" t="str">
        <f aca="false">IF(B46="","",SUMIFS('Flujo de Pagos'!I$7:I$506,'Flujo de Pagos'!E$7:E$506,B46,'Flujo de Pagos'!B$7:B$506,I7))</f>
        <v/>
      </c>
      <c r="J46" s="76" t="str">
        <f aca="false">IF(B46="","",SUMIFS('Flujo de Pagos'!I$7:I$506,'Flujo de Pagos'!E$7:E$506,B46,'Flujo de Pagos'!B$7:B$506,J7))</f>
        <v/>
      </c>
      <c r="K46" s="76" t="str">
        <f aca="false">IF(B46="","",SUMIFS('Flujo de Pagos'!I$7:I$506,'Flujo de Pagos'!E$7:E$506,B46,'Flujo de Pagos'!B$7:B$506,K7))</f>
        <v/>
      </c>
      <c r="L46" s="76" t="str">
        <f aca="false">IF(B46="","",SUMIFS('Flujo de Pagos'!I$7:I$506,'Flujo de Pagos'!E$7:E$506,B46,'Flujo de Pagos'!B$7:B$506,L7))</f>
        <v/>
      </c>
      <c r="M46" s="76" t="str">
        <f aca="false">IF(B46="","",SUMIFS('Flujo de Pagos'!I$7:I$506,'Flujo de Pagos'!E$7:E$506,B46,'Flujo de Pagos'!B$7:B$506,M7))</f>
        <v/>
      </c>
      <c r="N46" s="76" t="str">
        <f aca="false">IF(B46="","",SUMIFS('Flujo de Pagos'!I$7:I$506,'Flujo de Pagos'!E$7:E$506,B46,'Flujo de Pagos'!B$7:B$506,N7))</f>
        <v/>
      </c>
      <c r="O46" s="76" t="str">
        <f aca="false">IF(B46="","",SUMIFS('Flujo de Pagos'!I$7:I$506,'Flujo de Pagos'!E$7:E$506,B46,'Flujo de Pagos'!B$7:B$506,O7))</f>
        <v/>
      </c>
      <c r="P46" s="76" t="str">
        <f aca="false">IF(B46="","",SUMIFS('Flujo de Pagos'!I$7:I$506,'Flujo de Pagos'!E$7:E$506,B46,'Flujo de Pagos'!B$7:B$506,P7))</f>
        <v/>
      </c>
      <c r="Q46" s="76" t="str">
        <f aca="false">IF(B46="","",SUMIFS('Flujo de Pagos'!I$7:I$506,'Flujo de Pagos'!E$7:E$506,B46,'Flujo de Pagos'!B$7:B$506,Q7))</f>
        <v/>
      </c>
      <c r="R46" s="76" t="str">
        <f aca="false">IF(B46="","",SUMIFS('Flujo de Pagos'!I$7:I$506,'Flujo de Pagos'!E$7:E$506,B46,'Flujo de Pagos'!B$7:B$506,R7))</f>
        <v/>
      </c>
      <c r="S46" s="76" t="str">
        <f aca="false">IF(B46="","",SUMIFS('Flujo de Pagos'!I$7:I$506,'Flujo de Pagos'!E$7:E$506,B46,'Flujo de Pagos'!B$7:B$506,S7))</f>
        <v/>
      </c>
      <c r="T46" s="76" t="str">
        <f aca="false">IF(B46="","",SUMIFS('Flujo de Pagos'!I$7:I$506,'Flujo de Pagos'!E$7:E$506,B46,'Flujo de Pagos'!B$7:B$506,T7))</f>
        <v/>
      </c>
      <c r="U46" s="76" t="str">
        <f aca="false">IF(B46="","",SUMIFS('Flujo de Pagos'!I$7:I$506,'Flujo de Pagos'!E$7:E$506,B46,'Flujo de Pagos'!B$7:B$506,U7))</f>
        <v/>
      </c>
      <c r="V46" s="76" t="str">
        <f aca="false">IF(B46="","",SUMIFS('Flujo de Pagos'!I$7:I$506,'Flujo de Pagos'!E$7:E$506,B46,'Flujo de Pagos'!B$7:B$506,V7))</f>
        <v/>
      </c>
      <c r="W46" s="76" t="str">
        <f aca="false">IF(B46="","",SUMIFS('Flujo de Pagos'!I$7:I$506,'Flujo de Pagos'!E$7:E$506,B46,'Flujo de Pagos'!B$7:B$506,W7))</f>
        <v/>
      </c>
      <c r="X46" s="76" t="str">
        <f aca="false">IF(B46="","",SUMIFS('Flujo de Pagos'!I$7:I$506,'Flujo de Pagos'!E$7:E$506,B46,'Flujo de Pagos'!B$7:B$506,X7))</f>
        <v/>
      </c>
      <c r="Y46" s="76" t="str">
        <f aca="false">IF(B46="","",SUMIFS('Flujo de Pagos'!I$7:I$506,'Flujo de Pagos'!E$7:E$506,B46,'Flujo de Pagos'!B$7:B$506,Y7))</f>
        <v/>
      </c>
      <c r="Z46" s="76" t="str">
        <f aca="false">IF(B46="","",SUMIFS('Flujo de Pagos'!I$7:I$506,'Flujo de Pagos'!E$7:E$506,B46,'Flujo de Pagos'!B$7:B$506,Z7))</f>
        <v/>
      </c>
      <c r="AA46" s="76" t="str">
        <f aca="false">IF(B46="","",SUMIFS('Flujo de Pagos'!I$7:I$506,'Flujo de Pagos'!E$7:E$506,B46,'Flujo de Pagos'!B$7:B$506,AA7))</f>
        <v/>
      </c>
      <c r="AB46" s="76" t="str">
        <f aca="false">IF(B46="","",SUMIFS('Flujo de Pagos'!I$7:I$506,'Flujo de Pagos'!E$7:E$506,B46,'Flujo de Pagos'!B$7:B$506,AB7))</f>
        <v/>
      </c>
      <c r="AC46" s="76" t="str">
        <f aca="false">IF(B46="","",SUMIFS('Flujo de Pagos'!I$7:I$506,'Flujo de Pagos'!E$7:E$506,B46,'Flujo de Pagos'!B$7:B$506,AC7))</f>
        <v/>
      </c>
      <c r="AD46" s="76" t="str">
        <f aca="false">IF(B46="","",SUMIFS('Flujo de Pagos'!I$7:I$506,'Flujo de Pagos'!E$7:E$506,B46,'Flujo de Pagos'!B$7:B$506,AD7))</f>
        <v/>
      </c>
      <c r="AE46" s="76" t="str">
        <f aca="false">IF(B46="","",SUMIFS('Flujo de Pagos'!I$7:I$506,'Flujo de Pagos'!E$7:E$506,B46,'Flujo de Pagos'!B$7:B$506,AE7))</f>
        <v/>
      </c>
      <c r="AF46" s="76" t="str">
        <f aca="false">IF(B46="","",SUMIFS('Flujo de Pagos'!I$7:I$506,'Flujo de Pagos'!E$7:E$506,B46,'Flujo de Pagos'!B$7:B$506,AF7))</f>
        <v/>
      </c>
      <c r="AG46" s="76" t="str">
        <f aca="false">IF(B46="","",SUMIFS('Flujo de Pagos'!I$7:I$506,'Flujo de Pagos'!E$7:E$506,B46,'Flujo de Pagos'!B$7:B$506,AG7))</f>
        <v/>
      </c>
      <c r="AH46" s="76" t="str">
        <f aca="false">IF(B46="","",SUMIFS('Flujo de Pagos'!I$7:I$506,'Flujo de Pagos'!E$7:E$506,B46,'Flujo de Pagos'!B$7:B$506,AH7))</f>
        <v/>
      </c>
      <c r="AI46" s="76" t="str">
        <f aca="false">IF(B46="","",SUMIFS('Flujo de Pagos'!I$7:I$506,'Flujo de Pagos'!E$7:E$506,B46,'Flujo de Pagos'!B$7:B$506,AI7))</f>
        <v/>
      </c>
      <c r="AJ46" s="76" t="str">
        <f aca="false">IF(B46="","",SUMIFS('Flujo de Pagos'!I$7:I$506,'Flujo de Pagos'!E$7:E$506,B46,'Flujo de Pagos'!B$7:B$506,AJ7))</f>
        <v/>
      </c>
      <c r="AK46" s="76" t="str">
        <f aca="false">IF(B46="","",SUMIFS('Flujo de Pagos'!I$7:I$506,'Flujo de Pagos'!E$7:E$506,B46,'Flujo de Pagos'!B$7:B$506,AK7))</f>
        <v/>
      </c>
      <c r="AL46" s="76" t="str">
        <f aca="false">IF(B46="","",SUMIFS('Flujo de Pagos'!I$7:I$506,'Flujo de Pagos'!E$7:E$506,B46,'Flujo de Pagos'!B$7:B$506,AL7))</f>
        <v/>
      </c>
      <c r="AM46" s="76" t="str">
        <f aca="false">IF(B46="","",SUM(C46:AL46))</f>
        <v/>
      </c>
    </row>
    <row r="47" customFormat="false" ht="15.75" hidden="false" customHeight="true" outlineLevel="0" collapsed="false">
      <c r="B47" s="64" t="str">
        <f aca="false">IF(Presupuesto!B44="","",Presupuesto!B44)</f>
        <v/>
      </c>
      <c r="C47" s="76" t="str">
        <f aca="false">IF(B47="","",SUMIFS('Flujo de Pagos'!I$7:I$506,'Flujo de Pagos'!E$7:E$506,B47,'Flujo de Pagos'!B$7:B$506,C7))</f>
        <v/>
      </c>
      <c r="D47" s="76" t="str">
        <f aca="false">IF(B47="","",SUMIFS('Flujo de Pagos'!I$7:I$506,'Flujo de Pagos'!E$7:E$506,B47,'Flujo de Pagos'!B$7:B$506,D7))</f>
        <v/>
      </c>
      <c r="E47" s="76" t="str">
        <f aca="false">IF(B47="","",SUMIFS('Flujo de Pagos'!I$7:I$506,'Flujo de Pagos'!E$7:E$506,B47,'Flujo de Pagos'!B$7:B$506,E7))</f>
        <v/>
      </c>
      <c r="F47" s="76" t="str">
        <f aca="false">IF(B47="","",SUMIFS('Flujo de Pagos'!I$7:I$506,'Flujo de Pagos'!E$7:E$506,B47,'Flujo de Pagos'!B$7:B$506,F7))</f>
        <v/>
      </c>
      <c r="G47" s="76" t="str">
        <f aca="false">IF(B47="","",SUMIFS('Flujo de Pagos'!I$7:I$506,'Flujo de Pagos'!E$7:E$506,B47,'Flujo de Pagos'!B$7:B$506,G7))</f>
        <v/>
      </c>
      <c r="H47" s="76" t="str">
        <f aca="false">IF(B47="","",SUMIFS('Flujo de Pagos'!I$7:I$506,'Flujo de Pagos'!E$7:E$506,B47,'Flujo de Pagos'!B$7:B$506,H7))</f>
        <v/>
      </c>
      <c r="I47" s="76" t="str">
        <f aca="false">IF(B47="","",SUMIFS('Flujo de Pagos'!I$7:I$506,'Flujo de Pagos'!E$7:E$506,B47,'Flujo de Pagos'!B$7:B$506,I7))</f>
        <v/>
      </c>
      <c r="J47" s="76" t="str">
        <f aca="false">IF(B47="","",SUMIFS('Flujo de Pagos'!I$7:I$506,'Flujo de Pagos'!E$7:E$506,B47,'Flujo de Pagos'!B$7:B$506,J7))</f>
        <v/>
      </c>
      <c r="K47" s="76" t="str">
        <f aca="false">IF(B47="","",SUMIFS('Flujo de Pagos'!I$7:I$506,'Flujo de Pagos'!E$7:E$506,B47,'Flujo de Pagos'!B$7:B$506,K7))</f>
        <v/>
      </c>
      <c r="L47" s="76" t="str">
        <f aca="false">IF(B47="","",SUMIFS('Flujo de Pagos'!I$7:I$506,'Flujo de Pagos'!E$7:E$506,B47,'Flujo de Pagos'!B$7:B$506,L7))</f>
        <v/>
      </c>
      <c r="M47" s="76" t="str">
        <f aca="false">IF(B47="","",SUMIFS('Flujo de Pagos'!I$7:I$506,'Flujo de Pagos'!E$7:E$506,B47,'Flujo de Pagos'!B$7:B$506,M7))</f>
        <v/>
      </c>
      <c r="N47" s="76" t="str">
        <f aca="false">IF(B47="","",SUMIFS('Flujo de Pagos'!I$7:I$506,'Flujo de Pagos'!E$7:E$506,B47,'Flujo de Pagos'!B$7:B$506,N7))</f>
        <v/>
      </c>
      <c r="O47" s="76" t="str">
        <f aca="false">IF(B47="","",SUMIFS('Flujo de Pagos'!I$7:I$506,'Flujo de Pagos'!E$7:E$506,B47,'Flujo de Pagos'!B$7:B$506,O7))</f>
        <v/>
      </c>
      <c r="P47" s="76" t="str">
        <f aca="false">IF(B47="","",SUMIFS('Flujo de Pagos'!I$7:I$506,'Flujo de Pagos'!E$7:E$506,B47,'Flujo de Pagos'!B$7:B$506,P7))</f>
        <v/>
      </c>
      <c r="Q47" s="76" t="str">
        <f aca="false">IF(B47="","",SUMIFS('Flujo de Pagos'!I$7:I$506,'Flujo de Pagos'!E$7:E$506,B47,'Flujo de Pagos'!B$7:B$506,Q7))</f>
        <v/>
      </c>
      <c r="R47" s="76" t="str">
        <f aca="false">IF(B47="","",SUMIFS('Flujo de Pagos'!I$7:I$506,'Flujo de Pagos'!E$7:E$506,B47,'Flujo de Pagos'!B$7:B$506,R7))</f>
        <v/>
      </c>
      <c r="S47" s="76" t="str">
        <f aca="false">IF(B47="","",SUMIFS('Flujo de Pagos'!I$7:I$506,'Flujo de Pagos'!E$7:E$506,B47,'Flujo de Pagos'!B$7:B$506,S7))</f>
        <v/>
      </c>
      <c r="T47" s="76" t="str">
        <f aca="false">IF(B47="","",SUMIFS('Flujo de Pagos'!I$7:I$506,'Flujo de Pagos'!E$7:E$506,B47,'Flujo de Pagos'!B$7:B$506,T7))</f>
        <v/>
      </c>
      <c r="U47" s="76" t="str">
        <f aca="false">IF(B47="","",SUMIFS('Flujo de Pagos'!I$7:I$506,'Flujo de Pagos'!E$7:E$506,B47,'Flujo de Pagos'!B$7:B$506,U7))</f>
        <v/>
      </c>
      <c r="V47" s="76" t="str">
        <f aca="false">IF(B47="","",SUMIFS('Flujo de Pagos'!I$7:I$506,'Flujo de Pagos'!E$7:E$506,B47,'Flujo de Pagos'!B$7:B$506,V7))</f>
        <v/>
      </c>
      <c r="W47" s="76" t="str">
        <f aca="false">IF(B47="","",SUMIFS('Flujo de Pagos'!I$7:I$506,'Flujo de Pagos'!E$7:E$506,B47,'Flujo de Pagos'!B$7:B$506,W7))</f>
        <v/>
      </c>
      <c r="X47" s="76" t="str">
        <f aca="false">IF(B47="","",SUMIFS('Flujo de Pagos'!I$7:I$506,'Flujo de Pagos'!E$7:E$506,B47,'Flujo de Pagos'!B$7:B$506,X7))</f>
        <v/>
      </c>
      <c r="Y47" s="76" t="str">
        <f aca="false">IF(B47="","",SUMIFS('Flujo de Pagos'!I$7:I$506,'Flujo de Pagos'!E$7:E$506,B47,'Flujo de Pagos'!B$7:B$506,Y7))</f>
        <v/>
      </c>
      <c r="Z47" s="76" t="str">
        <f aca="false">IF(B47="","",SUMIFS('Flujo de Pagos'!I$7:I$506,'Flujo de Pagos'!E$7:E$506,B47,'Flujo de Pagos'!B$7:B$506,Z7))</f>
        <v/>
      </c>
      <c r="AA47" s="76" t="str">
        <f aca="false">IF(B47="","",SUMIFS('Flujo de Pagos'!I$7:I$506,'Flujo de Pagos'!E$7:E$506,B47,'Flujo de Pagos'!B$7:B$506,AA7))</f>
        <v/>
      </c>
      <c r="AB47" s="76" t="str">
        <f aca="false">IF(B47="","",SUMIFS('Flujo de Pagos'!I$7:I$506,'Flujo de Pagos'!E$7:E$506,B47,'Flujo de Pagos'!B$7:B$506,AB7))</f>
        <v/>
      </c>
      <c r="AC47" s="76" t="str">
        <f aca="false">IF(B47="","",SUMIFS('Flujo de Pagos'!I$7:I$506,'Flujo de Pagos'!E$7:E$506,B47,'Flujo de Pagos'!B$7:B$506,AC7))</f>
        <v/>
      </c>
      <c r="AD47" s="76" t="str">
        <f aca="false">IF(B47="","",SUMIFS('Flujo de Pagos'!I$7:I$506,'Flujo de Pagos'!E$7:E$506,B47,'Flujo de Pagos'!B$7:B$506,AD7))</f>
        <v/>
      </c>
      <c r="AE47" s="76" t="str">
        <f aca="false">IF(B47="","",SUMIFS('Flujo de Pagos'!I$7:I$506,'Flujo de Pagos'!E$7:E$506,B47,'Flujo de Pagos'!B$7:B$506,AE7))</f>
        <v/>
      </c>
      <c r="AF47" s="76" t="str">
        <f aca="false">IF(B47="","",SUMIFS('Flujo de Pagos'!I$7:I$506,'Flujo de Pagos'!E$7:E$506,B47,'Flujo de Pagos'!B$7:B$506,AF7))</f>
        <v/>
      </c>
      <c r="AG47" s="76" t="str">
        <f aca="false">IF(B47="","",SUMIFS('Flujo de Pagos'!I$7:I$506,'Flujo de Pagos'!E$7:E$506,B47,'Flujo de Pagos'!B$7:B$506,AG7))</f>
        <v/>
      </c>
      <c r="AH47" s="76" t="str">
        <f aca="false">IF(B47="","",SUMIFS('Flujo de Pagos'!I$7:I$506,'Flujo de Pagos'!E$7:E$506,B47,'Flujo de Pagos'!B$7:B$506,AH7))</f>
        <v/>
      </c>
      <c r="AI47" s="76" t="str">
        <f aca="false">IF(B47="","",SUMIFS('Flujo de Pagos'!I$7:I$506,'Flujo de Pagos'!E$7:E$506,B47,'Flujo de Pagos'!B$7:B$506,AI7))</f>
        <v/>
      </c>
      <c r="AJ47" s="76" t="str">
        <f aca="false">IF(B47="","",SUMIFS('Flujo de Pagos'!I$7:I$506,'Flujo de Pagos'!E$7:E$506,B47,'Flujo de Pagos'!B$7:B$506,AJ7))</f>
        <v/>
      </c>
      <c r="AK47" s="76" t="str">
        <f aca="false">IF(B47="","",SUMIFS('Flujo de Pagos'!I$7:I$506,'Flujo de Pagos'!E$7:E$506,B47,'Flujo de Pagos'!B$7:B$506,AK7))</f>
        <v/>
      </c>
      <c r="AL47" s="76" t="str">
        <f aca="false">IF(B47="","",SUMIFS('Flujo de Pagos'!I$7:I$506,'Flujo de Pagos'!E$7:E$506,B47,'Flujo de Pagos'!B$7:B$506,AL7))</f>
        <v/>
      </c>
      <c r="AM47" s="76" t="str">
        <f aca="false">IF(B47="","",SUM(C47:AL47))</f>
        <v/>
      </c>
    </row>
    <row r="48" customFormat="false" ht="15.75" hidden="false" customHeight="true" outlineLevel="0" collapsed="false">
      <c r="B48" s="64" t="str">
        <f aca="false">IF(Presupuesto!B45="","",Presupuesto!B45)</f>
        <v/>
      </c>
      <c r="C48" s="76" t="str">
        <f aca="false">IF(B48="","",SUMIFS('Flujo de Pagos'!I$7:I$506,'Flujo de Pagos'!E$7:E$506,B48,'Flujo de Pagos'!B$7:B$506,C7))</f>
        <v/>
      </c>
      <c r="D48" s="76" t="str">
        <f aca="false">IF(B48="","",SUMIFS('Flujo de Pagos'!I$7:I$506,'Flujo de Pagos'!E$7:E$506,B48,'Flujo de Pagos'!B$7:B$506,D7))</f>
        <v/>
      </c>
      <c r="E48" s="76" t="str">
        <f aca="false">IF(B48="","",SUMIFS('Flujo de Pagos'!I$7:I$506,'Flujo de Pagos'!E$7:E$506,B48,'Flujo de Pagos'!B$7:B$506,E7))</f>
        <v/>
      </c>
      <c r="F48" s="76" t="str">
        <f aca="false">IF(B48="","",SUMIFS('Flujo de Pagos'!I$7:I$506,'Flujo de Pagos'!E$7:E$506,B48,'Flujo de Pagos'!B$7:B$506,F7))</f>
        <v/>
      </c>
      <c r="G48" s="76" t="str">
        <f aca="false">IF(B48="","",SUMIFS('Flujo de Pagos'!I$7:I$506,'Flujo de Pagos'!E$7:E$506,B48,'Flujo de Pagos'!B$7:B$506,G7))</f>
        <v/>
      </c>
      <c r="H48" s="76" t="str">
        <f aca="false">IF(B48="","",SUMIFS('Flujo de Pagos'!I$7:I$506,'Flujo de Pagos'!E$7:E$506,B48,'Flujo de Pagos'!B$7:B$506,H7))</f>
        <v/>
      </c>
      <c r="I48" s="76" t="str">
        <f aca="false">IF(B48="","",SUMIFS('Flujo de Pagos'!I$7:I$506,'Flujo de Pagos'!E$7:E$506,B48,'Flujo de Pagos'!B$7:B$506,I7))</f>
        <v/>
      </c>
      <c r="J48" s="76" t="str">
        <f aca="false">IF(B48="","",SUMIFS('Flujo de Pagos'!I$7:I$506,'Flujo de Pagos'!E$7:E$506,B48,'Flujo de Pagos'!B$7:B$506,J7))</f>
        <v/>
      </c>
      <c r="K48" s="76" t="str">
        <f aca="false">IF(B48="","",SUMIFS('Flujo de Pagos'!I$7:I$506,'Flujo de Pagos'!E$7:E$506,B48,'Flujo de Pagos'!B$7:B$506,K7))</f>
        <v/>
      </c>
      <c r="L48" s="76" t="str">
        <f aca="false">IF(B48="","",SUMIFS('Flujo de Pagos'!I$7:I$506,'Flujo de Pagos'!E$7:E$506,B48,'Flujo de Pagos'!B$7:B$506,L7))</f>
        <v/>
      </c>
      <c r="M48" s="76" t="str">
        <f aca="false">IF(B48="","",SUMIFS('Flujo de Pagos'!I$7:I$506,'Flujo de Pagos'!E$7:E$506,B48,'Flujo de Pagos'!B$7:B$506,M7))</f>
        <v/>
      </c>
      <c r="N48" s="76" t="str">
        <f aca="false">IF(B48="","",SUMIFS('Flujo de Pagos'!I$7:I$506,'Flujo de Pagos'!E$7:E$506,B48,'Flujo de Pagos'!B$7:B$506,N7))</f>
        <v/>
      </c>
      <c r="O48" s="76" t="str">
        <f aca="false">IF(B48="","",SUMIFS('Flujo de Pagos'!I$7:I$506,'Flujo de Pagos'!E$7:E$506,B48,'Flujo de Pagos'!B$7:B$506,O7))</f>
        <v/>
      </c>
      <c r="P48" s="76" t="str">
        <f aca="false">IF(B48="","",SUMIFS('Flujo de Pagos'!I$7:I$506,'Flujo de Pagos'!E$7:E$506,B48,'Flujo de Pagos'!B$7:B$506,P7))</f>
        <v/>
      </c>
      <c r="Q48" s="76" t="str">
        <f aca="false">IF(B48="","",SUMIFS('Flujo de Pagos'!I$7:I$506,'Flujo de Pagos'!E$7:E$506,B48,'Flujo de Pagos'!B$7:B$506,Q7))</f>
        <v/>
      </c>
      <c r="R48" s="76" t="str">
        <f aca="false">IF(B48="","",SUMIFS('Flujo de Pagos'!I$7:I$506,'Flujo de Pagos'!E$7:E$506,B48,'Flujo de Pagos'!B$7:B$506,R7))</f>
        <v/>
      </c>
      <c r="S48" s="76" t="str">
        <f aca="false">IF(B48="","",SUMIFS('Flujo de Pagos'!I$7:I$506,'Flujo de Pagos'!E$7:E$506,B48,'Flujo de Pagos'!B$7:B$506,S7))</f>
        <v/>
      </c>
      <c r="T48" s="76" t="str">
        <f aca="false">IF(B48="","",SUMIFS('Flujo de Pagos'!I$7:I$506,'Flujo de Pagos'!E$7:E$506,B48,'Flujo de Pagos'!B$7:B$506,T7))</f>
        <v/>
      </c>
      <c r="U48" s="76" t="str">
        <f aca="false">IF(B48="","",SUMIFS('Flujo de Pagos'!I$7:I$506,'Flujo de Pagos'!E$7:E$506,B48,'Flujo de Pagos'!B$7:B$506,U7))</f>
        <v/>
      </c>
      <c r="V48" s="76" t="str">
        <f aca="false">IF(B48="","",SUMIFS('Flujo de Pagos'!I$7:I$506,'Flujo de Pagos'!E$7:E$506,B48,'Flujo de Pagos'!B$7:B$506,V7))</f>
        <v/>
      </c>
      <c r="W48" s="76" t="str">
        <f aca="false">IF(B48="","",SUMIFS('Flujo de Pagos'!I$7:I$506,'Flujo de Pagos'!E$7:E$506,B48,'Flujo de Pagos'!B$7:B$506,W7))</f>
        <v/>
      </c>
      <c r="X48" s="76" t="str">
        <f aca="false">IF(B48="","",SUMIFS('Flujo de Pagos'!I$7:I$506,'Flujo de Pagos'!E$7:E$506,B48,'Flujo de Pagos'!B$7:B$506,X7))</f>
        <v/>
      </c>
      <c r="Y48" s="76" t="str">
        <f aca="false">IF(B48="","",SUMIFS('Flujo de Pagos'!I$7:I$506,'Flujo de Pagos'!E$7:E$506,B48,'Flujo de Pagos'!B$7:B$506,Y7))</f>
        <v/>
      </c>
      <c r="Z48" s="76" t="str">
        <f aca="false">IF(B48="","",SUMIFS('Flujo de Pagos'!I$7:I$506,'Flujo de Pagos'!E$7:E$506,B48,'Flujo de Pagos'!B$7:B$506,Z7))</f>
        <v/>
      </c>
      <c r="AA48" s="76" t="str">
        <f aca="false">IF(B48="","",SUMIFS('Flujo de Pagos'!I$7:I$506,'Flujo de Pagos'!E$7:E$506,B48,'Flujo de Pagos'!B$7:B$506,AA7))</f>
        <v/>
      </c>
      <c r="AB48" s="76" t="str">
        <f aca="false">IF(B48="","",SUMIFS('Flujo de Pagos'!I$7:I$506,'Flujo de Pagos'!E$7:E$506,B48,'Flujo de Pagos'!B$7:B$506,AB7))</f>
        <v/>
      </c>
      <c r="AC48" s="76" t="str">
        <f aca="false">IF(B48="","",SUMIFS('Flujo de Pagos'!I$7:I$506,'Flujo de Pagos'!E$7:E$506,B48,'Flujo de Pagos'!B$7:B$506,AC7))</f>
        <v/>
      </c>
      <c r="AD48" s="76" t="str">
        <f aca="false">IF(B48="","",SUMIFS('Flujo de Pagos'!I$7:I$506,'Flujo de Pagos'!E$7:E$506,B48,'Flujo de Pagos'!B$7:B$506,AD7))</f>
        <v/>
      </c>
      <c r="AE48" s="76" t="str">
        <f aca="false">IF(B48="","",SUMIFS('Flujo de Pagos'!I$7:I$506,'Flujo de Pagos'!E$7:E$506,B48,'Flujo de Pagos'!B$7:B$506,AE7))</f>
        <v/>
      </c>
      <c r="AF48" s="76" t="str">
        <f aca="false">IF(B48="","",SUMIFS('Flujo de Pagos'!I$7:I$506,'Flujo de Pagos'!E$7:E$506,B48,'Flujo de Pagos'!B$7:B$506,AF7))</f>
        <v/>
      </c>
      <c r="AG48" s="76" t="str">
        <f aca="false">IF(B48="","",SUMIFS('Flujo de Pagos'!I$7:I$506,'Flujo de Pagos'!E$7:E$506,B48,'Flujo de Pagos'!B$7:B$506,AG7))</f>
        <v/>
      </c>
      <c r="AH48" s="76" t="str">
        <f aca="false">IF(B48="","",SUMIFS('Flujo de Pagos'!I$7:I$506,'Flujo de Pagos'!E$7:E$506,B48,'Flujo de Pagos'!B$7:B$506,AH7))</f>
        <v/>
      </c>
      <c r="AI48" s="76" t="str">
        <f aca="false">IF(B48="","",SUMIFS('Flujo de Pagos'!I$7:I$506,'Flujo de Pagos'!E$7:E$506,B48,'Flujo de Pagos'!B$7:B$506,AI7))</f>
        <v/>
      </c>
      <c r="AJ48" s="76" t="str">
        <f aca="false">IF(B48="","",SUMIFS('Flujo de Pagos'!I$7:I$506,'Flujo de Pagos'!E$7:E$506,B48,'Flujo de Pagos'!B$7:B$506,AJ7))</f>
        <v/>
      </c>
      <c r="AK48" s="76" t="str">
        <f aca="false">IF(B48="","",SUMIFS('Flujo de Pagos'!I$7:I$506,'Flujo de Pagos'!E$7:E$506,B48,'Flujo de Pagos'!B$7:B$506,AK7))</f>
        <v/>
      </c>
      <c r="AL48" s="76" t="str">
        <f aca="false">IF(B48="","",SUMIFS('Flujo de Pagos'!I$7:I$506,'Flujo de Pagos'!E$7:E$506,B48,'Flujo de Pagos'!B$7:B$506,AL7))</f>
        <v/>
      </c>
      <c r="AM48" s="76" t="str">
        <f aca="false">IF(B48="","",SUM(C48:AL48))</f>
        <v/>
      </c>
    </row>
    <row r="49" customFormat="false" ht="15.75" hidden="false" customHeight="true" outlineLevel="0" collapsed="false">
      <c r="B49" s="64" t="str">
        <f aca="false">IF(Presupuesto!B46="","",Presupuesto!B46)</f>
        <v/>
      </c>
      <c r="C49" s="76" t="str">
        <f aca="false">IF(B49="","",SUMIFS('Flujo de Pagos'!I$7:I$506,'Flujo de Pagos'!E$7:E$506,B49,'Flujo de Pagos'!B$7:B$506,C7))</f>
        <v/>
      </c>
      <c r="D49" s="76" t="str">
        <f aca="false">IF(B49="","",SUMIFS('Flujo de Pagos'!I$7:I$506,'Flujo de Pagos'!E$7:E$506,B49,'Flujo de Pagos'!B$7:B$506,D7))</f>
        <v/>
      </c>
      <c r="E49" s="76" t="str">
        <f aca="false">IF(B49="","",SUMIFS('Flujo de Pagos'!I$7:I$506,'Flujo de Pagos'!E$7:E$506,B49,'Flujo de Pagos'!B$7:B$506,E7))</f>
        <v/>
      </c>
      <c r="F49" s="76" t="str">
        <f aca="false">IF(B49="","",SUMIFS('Flujo de Pagos'!I$7:I$506,'Flujo de Pagos'!E$7:E$506,B49,'Flujo de Pagos'!B$7:B$506,F7))</f>
        <v/>
      </c>
      <c r="G49" s="76" t="str">
        <f aca="false">IF(B49="","",SUMIFS('Flujo de Pagos'!I$7:I$506,'Flujo de Pagos'!E$7:E$506,B49,'Flujo de Pagos'!B$7:B$506,G7))</f>
        <v/>
      </c>
      <c r="H49" s="76" t="str">
        <f aca="false">IF(B49="","",SUMIFS('Flujo de Pagos'!I$7:I$506,'Flujo de Pagos'!E$7:E$506,B49,'Flujo de Pagos'!B$7:B$506,H7))</f>
        <v/>
      </c>
      <c r="I49" s="76" t="str">
        <f aca="false">IF(B49="","",SUMIFS('Flujo de Pagos'!I$7:I$506,'Flujo de Pagos'!E$7:E$506,B49,'Flujo de Pagos'!B$7:B$506,I7))</f>
        <v/>
      </c>
      <c r="J49" s="76" t="str">
        <f aca="false">IF(B49="","",SUMIFS('Flujo de Pagos'!I$7:I$506,'Flujo de Pagos'!E$7:E$506,B49,'Flujo de Pagos'!B$7:B$506,J7))</f>
        <v/>
      </c>
      <c r="K49" s="76" t="str">
        <f aca="false">IF(B49="","",SUMIFS('Flujo de Pagos'!I$7:I$506,'Flujo de Pagos'!E$7:E$506,B49,'Flujo de Pagos'!B$7:B$506,K7))</f>
        <v/>
      </c>
      <c r="L49" s="76" t="str">
        <f aca="false">IF(B49="","",SUMIFS('Flujo de Pagos'!I$7:I$506,'Flujo de Pagos'!E$7:E$506,B49,'Flujo de Pagos'!B$7:B$506,L7))</f>
        <v/>
      </c>
      <c r="M49" s="76" t="str">
        <f aca="false">IF(B49="","",SUMIFS('Flujo de Pagos'!I$7:I$506,'Flujo de Pagos'!E$7:E$506,B49,'Flujo de Pagos'!B$7:B$506,M7))</f>
        <v/>
      </c>
      <c r="N49" s="76" t="str">
        <f aca="false">IF(B49="","",SUMIFS('Flujo de Pagos'!I$7:I$506,'Flujo de Pagos'!E$7:E$506,B49,'Flujo de Pagos'!B$7:B$506,N7))</f>
        <v/>
      </c>
      <c r="O49" s="76" t="str">
        <f aca="false">IF(B49="","",SUMIFS('Flujo de Pagos'!I$7:I$506,'Flujo de Pagos'!E$7:E$506,B49,'Flujo de Pagos'!B$7:B$506,O7))</f>
        <v/>
      </c>
      <c r="P49" s="76" t="str">
        <f aca="false">IF(B49="","",SUMIFS('Flujo de Pagos'!I$7:I$506,'Flujo de Pagos'!E$7:E$506,B49,'Flujo de Pagos'!B$7:B$506,P7))</f>
        <v/>
      </c>
      <c r="Q49" s="76" t="str">
        <f aca="false">IF(B49="","",SUMIFS('Flujo de Pagos'!I$7:I$506,'Flujo de Pagos'!E$7:E$506,B49,'Flujo de Pagos'!B$7:B$506,Q7))</f>
        <v/>
      </c>
      <c r="R49" s="76" t="str">
        <f aca="false">IF(B49="","",SUMIFS('Flujo de Pagos'!I$7:I$506,'Flujo de Pagos'!E$7:E$506,B49,'Flujo de Pagos'!B$7:B$506,R7))</f>
        <v/>
      </c>
      <c r="S49" s="76" t="str">
        <f aca="false">IF(B49="","",SUMIFS('Flujo de Pagos'!I$7:I$506,'Flujo de Pagos'!E$7:E$506,B49,'Flujo de Pagos'!B$7:B$506,S7))</f>
        <v/>
      </c>
      <c r="T49" s="76" t="str">
        <f aca="false">IF(B49="","",SUMIFS('Flujo de Pagos'!I$7:I$506,'Flujo de Pagos'!E$7:E$506,B49,'Flujo de Pagos'!B$7:B$506,T7))</f>
        <v/>
      </c>
      <c r="U49" s="76" t="str">
        <f aca="false">IF(B49="","",SUMIFS('Flujo de Pagos'!I$7:I$506,'Flujo de Pagos'!E$7:E$506,B49,'Flujo de Pagos'!B$7:B$506,U7))</f>
        <v/>
      </c>
      <c r="V49" s="76" t="str">
        <f aca="false">IF(B49="","",SUMIFS('Flujo de Pagos'!I$7:I$506,'Flujo de Pagos'!E$7:E$506,B49,'Flujo de Pagos'!B$7:B$506,V7))</f>
        <v/>
      </c>
      <c r="W49" s="76" t="str">
        <f aca="false">IF(B49="","",SUMIFS('Flujo de Pagos'!I$7:I$506,'Flujo de Pagos'!E$7:E$506,B49,'Flujo de Pagos'!B$7:B$506,W7))</f>
        <v/>
      </c>
      <c r="X49" s="76" t="str">
        <f aca="false">IF(B49="","",SUMIFS('Flujo de Pagos'!I$7:I$506,'Flujo de Pagos'!E$7:E$506,B49,'Flujo de Pagos'!B$7:B$506,X7))</f>
        <v/>
      </c>
      <c r="Y49" s="76" t="str">
        <f aca="false">IF(B49="","",SUMIFS('Flujo de Pagos'!I$7:I$506,'Flujo de Pagos'!E$7:E$506,B49,'Flujo de Pagos'!B$7:B$506,Y7))</f>
        <v/>
      </c>
      <c r="Z49" s="76" t="str">
        <f aca="false">IF(B49="","",SUMIFS('Flujo de Pagos'!I$7:I$506,'Flujo de Pagos'!E$7:E$506,B49,'Flujo de Pagos'!B$7:B$506,Z7))</f>
        <v/>
      </c>
      <c r="AA49" s="76" t="str">
        <f aca="false">IF(B49="","",SUMIFS('Flujo de Pagos'!I$7:I$506,'Flujo de Pagos'!E$7:E$506,B49,'Flujo de Pagos'!B$7:B$506,AA7))</f>
        <v/>
      </c>
      <c r="AB49" s="76" t="str">
        <f aca="false">IF(B49="","",SUMIFS('Flujo de Pagos'!I$7:I$506,'Flujo de Pagos'!E$7:E$506,B49,'Flujo de Pagos'!B$7:B$506,AB7))</f>
        <v/>
      </c>
      <c r="AC49" s="76" t="str">
        <f aca="false">IF(B49="","",SUMIFS('Flujo de Pagos'!I$7:I$506,'Flujo de Pagos'!E$7:E$506,B49,'Flujo de Pagos'!B$7:B$506,AC7))</f>
        <v/>
      </c>
      <c r="AD49" s="76" t="str">
        <f aca="false">IF(B49="","",SUMIFS('Flujo de Pagos'!I$7:I$506,'Flujo de Pagos'!E$7:E$506,B49,'Flujo de Pagos'!B$7:B$506,AD7))</f>
        <v/>
      </c>
      <c r="AE49" s="76" t="str">
        <f aca="false">IF(B49="","",SUMIFS('Flujo de Pagos'!I$7:I$506,'Flujo de Pagos'!E$7:E$506,B49,'Flujo de Pagos'!B$7:B$506,AE7))</f>
        <v/>
      </c>
      <c r="AF49" s="76" t="str">
        <f aca="false">IF(B49="","",SUMIFS('Flujo de Pagos'!I$7:I$506,'Flujo de Pagos'!E$7:E$506,B49,'Flujo de Pagos'!B$7:B$506,AF7))</f>
        <v/>
      </c>
      <c r="AG49" s="76" t="str">
        <f aca="false">IF(B49="","",SUMIFS('Flujo de Pagos'!I$7:I$506,'Flujo de Pagos'!E$7:E$506,B49,'Flujo de Pagos'!B$7:B$506,AG7))</f>
        <v/>
      </c>
      <c r="AH49" s="76" t="str">
        <f aca="false">IF(B49="","",SUMIFS('Flujo de Pagos'!I$7:I$506,'Flujo de Pagos'!E$7:E$506,B49,'Flujo de Pagos'!B$7:B$506,AH7))</f>
        <v/>
      </c>
      <c r="AI49" s="76" t="str">
        <f aca="false">IF(B49="","",SUMIFS('Flujo de Pagos'!I$7:I$506,'Flujo de Pagos'!E$7:E$506,B49,'Flujo de Pagos'!B$7:B$506,AI7))</f>
        <v/>
      </c>
      <c r="AJ49" s="76" t="str">
        <f aca="false">IF(B49="","",SUMIFS('Flujo de Pagos'!I$7:I$506,'Flujo de Pagos'!E$7:E$506,B49,'Flujo de Pagos'!B$7:B$506,AJ7))</f>
        <v/>
      </c>
      <c r="AK49" s="76" t="str">
        <f aca="false">IF(B49="","",SUMIFS('Flujo de Pagos'!I$7:I$506,'Flujo de Pagos'!E$7:E$506,B49,'Flujo de Pagos'!B$7:B$506,AK7))</f>
        <v/>
      </c>
      <c r="AL49" s="76" t="str">
        <f aca="false">IF(B49="","",SUMIFS('Flujo de Pagos'!I$7:I$506,'Flujo de Pagos'!E$7:E$506,B49,'Flujo de Pagos'!B$7:B$506,AL7))</f>
        <v/>
      </c>
      <c r="AM49" s="76" t="str">
        <f aca="false">IF(B49="","",SUM(C49:AL49))</f>
        <v/>
      </c>
    </row>
    <row r="50" customFormat="false" ht="15.75" hidden="false" customHeight="true" outlineLevel="0" collapsed="false">
      <c r="B50" s="64" t="str">
        <f aca="false">IF(Presupuesto!B47="","",Presupuesto!B47)</f>
        <v/>
      </c>
      <c r="C50" s="76" t="str">
        <f aca="false">IF(B50="","",SUMIFS('Flujo de Pagos'!I$7:I$506,'Flujo de Pagos'!E$7:E$506,B50,'Flujo de Pagos'!B$7:B$506,C7))</f>
        <v/>
      </c>
      <c r="D50" s="76" t="str">
        <f aca="false">IF(B50="","",SUMIFS('Flujo de Pagos'!I$7:I$506,'Flujo de Pagos'!E$7:E$506,B50,'Flujo de Pagos'!B$7:B$506,D7))</f>
        <v/>
      </c>
      <c r="E50" s="76" t="str">
        <f aca="false">IF(B50="","",SUMIFS('Flujo de Pagos'!I$7:I$506,'Flujo de Pagos'!E$7:E$506,B50,'Flujo de Pagos'!B$7:B$506,E7))</f>
        <v/>
      </c>
      <c r="F50" s="76" t="str">
        <f aca="false">IF(B50="","",SUMIFS('Flujo de Pagos'!I$7:I$506,'Flujo de Pagos'!E$7:E$506,B50,'Flujo de Pagos'!B$7:B$506,F7))</f>
        <v/>
      </c>
      <c r="G50" s="76" t="str">
        <f aca="false">IF(B50="","",SUMIFS('Flujo de Pagos'!I$7:I$506,'Flujo de Pagos'!E$7:E$506,B50,'Flujo de Pagos'!B$7:B$506,G7))</f>
        <v/>
      </c>
      <c r="H50" s="76" t="str">
        <f aca="false">IF(B50="","",SUMIFS('Flujo de Pagos'!I$7:I$506,'Flujo de Pagos'!E$7:E$506,B50,'Flujo de Pagos'!B$7:B$506,H7))</f>
        <v/>
      </c>
      <c r="I50" s="76" t="str">
        <f aca="false">IF(B50="","",SUMIFS('Flujo de Pagos'!I$7:I$506,'Flujo de Pagos'!E$7:E$506,B50,'Flujo de Pagos'!B$7:B$506,I7))</f>
        <v/>
      </c>
      <c r="J50" s="76" t="str">
        <f aca="false">IF(B50="","",SUMIFS('Flujo de Pagos'!I$7:I$506,'Flujo de Pagos'!E$7:E$506,B50,'Flujo de Pagos'!B$7:B$506,J7))</f>
        <v/>
      </c>
      <c r="K50" s="76" t="str">
        <f aca="false">IF(B50="","",SUMIFS('Flujo de Pagos'!I$7:I$506,'Flujo de Pagos'!E$7:E$506,B50,'Flujo de Pagos'!B$7:B$506,K7))</f>
        <v/>
      </c>
      <c r="L50" s="76" t="str">
        <f aca="false">IF(B50="","",SUMIFS('Flujo de Pagos'!I$7:I$506,'Flujo de Pagos'!E$7:E$506,B50,'Flujo de Pagos'!B$7:B$506,L7))</f>
        <v/>
      </c>
      <c r="M50" s="76" t="str">
        <f aca="false">IF(B50="","",SUMIFS('Flujo de Pagos'!I$7:I$506,'Flujo de Pagos'!E$7:E$506,B50,'Flujo de Pagos'!B$7:B$506,M7))</f>
        <v/>
      </c>
      <c r="N50" s="76" t="str">
        <f aca="false">IF(B50="","",SUMIFS('Flujo de Pagos'!I$7:I$506,'Flujo de Pagos'!E$7:E$506,B50,'Flujo de Pagos'!B$7:B$506,N7))</f>
        <v/>
      </c>
      <c r="O50" s="76" t="str">
        <f aca="false">IF(B50="","",SUMIFS('Flujo de Pagos'!I$7:I$506,'Flujo de Pagos'!E$7:E$506,B50,'Flujo de Pagos'!B$7:B$506,O7))</f>
        <v/>
      </c>
      <c r="P50" s="76" t="str">
        <f aca="false">IF(B50="","",SUMIFS('Flujo de Pagos'!I$7:I$506,'Flujo de Pagos'!E$7:E$506,B50,'Flujo de Pagos'!B$7:B$506,P7))</f>
        <v/>
      </c>
      <c r="Q50" s="76" t="str">
        <f aca="false">IF(B50="","",SUMIFS('Flujo de Pagos'!I$7:I$506,'Flujo de Pagos'!E$7:E$506,B50,'Flujo de Pagos'!B$7:B$506,Q7))</f>
        <v/>
      </c>
      <c r="R50" s="76" t="str">
        <f aca="false">IF(B50="","",SUMIFS('Flujo de Pagos'!I$7:I$506,'Flujo de Pagos'!E$7:E$506,B50,'Flujo de Pagos'!B$7:B$506,R7))</f>
        <v/>
      </c>
      <c r="S50" s="76" t="str">
        <f aca="false">IF(B50="","",SUMIFS('Flujo de Pagos'!I$7:I$506,'Flujo de Pagos'!E$7:E$506,B50,'Flujo de Pagos'!B$7:B$506,S7))</f>
        <v/>
      </c>
      <c r="T50" s="76" t="str">
        <f aca="false">IF(B50="","",SUMIFS('Flujo de Pagos'!I$7:I$506,'Flujo de Pagos'!E$7:E$506,B50,'Flujo de Pagos'!B$7:B$506,T7))</f>
        <v/>
      </c>
      <c r="U50" s="76" t="str">
        <f aca="false">IF(B50="","",SUMIFS('Flujo de Pagos'!I$7:I$506,'Flujo de Pagos'!E$7:E$506,B50,'Flujo de Pagos'!B$7:B$506,U7))</f>
        <v/>
      </c>
      <c r="V50" s="76" t="str">
        <f aca="false">IF(B50="","",SUMIFS('Flujo de Pagos'!I$7:I$506,'Flujo de Pagos'!E$7:E$506,B50,'Flujo de Pagos'!B$7:B$506,V7))</f>
        <v/>
      </c>
      <c r="W50" s="76" t="str">
        <f aca="false">IF(B50="","",SUMIFS('Flujo de Pagos'!I$7:I$506,'Flujo de Pagos'!E$7:E$506,B50,'Flujo de Pagos'!B$7:B$506,W7))</f>
        <v/>
      </c>
      <c r="X50" s="76" t="str">
        <f aca="false">IF(B50="","",SUMIFS('Flujo de Pagos'!I$7:I$506,'Flujo de Pagos'!E$7:E$506,B50,'Flujo de Pagos'!B$7:B$506,X7))</f>
        <v/>
      </c>
      <c r="Y50" s="76" t="str">
        <f aca="false">IF(B50="","",SUMIFS('Flujo de Pagos'!I$7:I$506,'Flujo de Pagos'!E$7:E$506,B50,'Flujo de Pagos'!B$7:B$506,Y7))</f>
        <v/>
      </c>
      <c r="Z50" s="76" t="str">
        <f aca="false">IF(B50="","",SUMIFS('Flujo de Pagos'!I$7:I$506,'Flujo de Pagos'!E$7:E$506,B50,'Flujo de Pagos'!B$7:B$506,Z7))</f>
        <v/>
      </c>
      <c r="AA50" s="76" t="str">
        <f aca="false">IF(B50="","",SUMIFS('Flujo de Pagos'!I$7:I$506,'Flujo de Pagos'!E$7:E$506,B50,'Flujo de Pagos'!B$7:B$506,AA7))</f>
        <v/>
      </c>
      <c r="AB50" s="76" t="str">
        <f aca="false">IF(B50="","",SUMIFS('Flujo de Pagos'!I$7:I$506,'Flujo de Pagos'!E$7:E$506,B50,'Flujo de Pagos'!B$7:B$506,AB7))</f>
        <v/>
      </c>
      <c r="AC50" s="76" t="str">
        <f aca="false">IF(B50="","",SUMIFS('Flujo de Pagos'!I$7:I$506,'Flujo de Pagos'!E$7:E$506,B50,'Flujo de Pagos'!B$7:B$506,AC7))</f>
        <v/>
      </c>
      <c r="AD50" s="76" t="str">
        <f aca="false">IF(B50="","",SUMIFS('Flujo de Pagos'!I$7:I$506,'Flujo de Pagos'!E$7:E$506,B50,'Flujo de Pagos'!B$7:B$506,AD7))</f>
        <v/>
      </c>
      <c r="AE50" s="76" t="str">
        <f aca="false">IF(B50="","",SUMIFS('Flujo de Pagos'!I$7:I$506,'Flujo de Pagos'!E$7:E$506,B50,'Flujo de Pagos'!B$7:B$506,AE7))</f>
        <v/>
      </c>
      <c r="AF50" s="76" t="str">
        <f aca="false">IF(B50="","",SUMIFS('Flujo de Pagos'!I$7:I$506,'Flujo de Pagos'!E$7:E$506,B50,'Flujo de Pagos'!B$7:B$506,AF7))</f>
        <v/>
      </c>
      <c r="AG50" s="76" t="str">
        <f aca="false">IF(B50="","",SUMIFS('Flujo de Pagos'!I$7:I$506,'Flujo de Pagos'!E$7:E$506,B50,'Flujo de Pagos'!B$7:B$506,AG7))</f>
        <v/>
      </c>
      <c r="AH50" s="76" t="str">
        <f aca="false">IF(B50="","",SUMIFS('Flujo de Pagos'!I$7:I$506,'Flujo de Pagos'!E$7:E$506,B50,'Flujo de Pagos'!B$7:B$506,AH7))</f>
        <v/>
      </c>
      <c r="AI50" s="76" t="str">
        <f aca="false">IF(B50="","",SUMIFS('Flujo de Pagos'!I$7:I$506,'Flujo de Pagos'!E$7:E$506,B50,'Flujo de Pagos'!B$7:B$506,AI7))</f>
        <v/>
      </c>
      <c r="AJ50" s="76" t="str">
        <f aca="false">IF(B50="","",SUMIFS('Flujo de Pagos'!I$7:I$506,'Flujo de Pagos'!E$7:E$506,B50,'Flujo de Pagos'!B$7:B$506,AJ7))</f>
        <v/>
      </c>
      <c r="AK50" s="76" t="str">
        <f aca="false">IF(B50="","",SUMIFS('Flujo de Pagos'!I$7:I$506,'Flujo de Pagos'!E$7:E$506,B50,'Flujo de Pagos'!B$7:B$506,AK7))</f>
        <v/>
      </c>
      <c r="AL50" s="76" t="str">
        <f aca="false">IF(B50="","",SUMIFS('Flujo de Pagos'!I$7:I$506,'Flujo de Pagos'!E$7:E$506,B50,'Flujo de Pagos'!B$7:B$506,AL7))</f>
        <v/>
      </c>
      <c r="AM50" s="76" t="str">
        <f aca="false">IF(B50="","",SUM(C50:AL50))</f>
        <v/>
      </c>
    </row>
    <row r="51" customFormat="false" ht="15.75" hidden="false" customHeight="true" outlineLevel="0" collapsed="false">
      <c r="B51" s="64" t="str">
        <f aca="false">IF(Presupuesto!B48="","",Presupuesto!B48)</f>
        <v/>
      </c>
      <c r="C51" s="76" t="str">
        <f aca="false">IF(B51="","",SUMIFS('Flujo de Pagos'!I$7:I$506,'Flujo de Pagos'!E$7:E$506,B51,'Flujo de Pagos'!B$7:B$506,C7))</f>
        <v/>
      </c>
      <c r="D51" s="76" t="str">
        <f aca="false">IF(B51="","",SUMIFS('Flujo de Pagos'!I$7:I$506,'Flujo de Pagos'!E$7:E$506,B51,'Flujo de Pagos'!B$7:B$506,D7))</f>
        <v/>
      </c>
      <c r="E51" s="76" t="str">
        <f aca="false">IF(B51="","",SUMIFS('Flujo de Pagos'!I$7:I$506,'Flujo de Pagos'!E$7:E$506,B51,'Flujo de Pagos'!B$7:B$506,E7))</f>
        <v/>
      </c>
      <c r="F51" s="76" t="str">
        <f aca="false">IF(B51="","",SUMIFS('Flujo de Pagos'!I$7:I$506,'Flujo de Pagos'!E$7:E$506,B51,'Flujo de Pagos'!B$7:B$506,F7))</f>
        <v/>
      </c>
      <c r="G51" s="76" t="str">
        <f aca="false">IF(B51="","",SUMIFS('Flujo de Pagos'!I$7:I$506,'Flujo de Pagos'!E$7:E$506,B51,'Flujo de Pagos'!B$7:B$506,G7))</f>
        <v/>
      </c>
      <c r="H51" s="76" t="str">
        <f aca="false">IF(B51="","",SUMIFS('Flujo de Pagos'!I$7:I$506,'Flujo de Pagos'!E$7:E$506,B51,'Flujo de Pagos'!B$7:B$506,H7))</f>
        <v/>
      </c>
      <c r="I51" s="76" t="str">
        <f aca="false">IF(B51="","",SUMIFS('Flujo de Pagos'!I$7:I$506,'Flujo de Pagos'!E$7:E$506,B51,'Flujo de Pagos'!B$7:B$506,I7))</f>
        <v/>
      </c>
      <c r="J51" s="76" t="str">
        <f aca="false">IF(B51="","",SUMIFS('Flujo de Pagos'!I$7:I$506,'Flujo de Pagos'!E$7:E$506,B51,'Flujo de Pagos'!B$7:B$506,J7))</f>
        <v/>
      </c>
      <c r="K51" s="76" t="str">
        <f aca="false">IF(B51="","",SUMIFS('Flujo de Pagos'!I$7:I$506,'Flujo de Pagos'!E$7:E$506,B51,'Flujo de Pagos'!B$7:B$506,K7))</f>
        <v/>
      </c>
      <c r="L51" s="76" t="str">
        <f aca="false">IF(B51="","",SUMIFS('Flujo de Pagos'!I$7:I$506,'Flujo de Pagos'!E$7:E$506,B51,'Flujo de Pagos'!B$7:B$506,L7))</f>
        <v/>
      </c>
      <c r="M51" s="76" t="str">
        <f aca="false">IF(B51="","",SUMIFS('Flujo de Pagos'!I$7:I$506,'Flujo de Pagos'!E$7:E$506,B51,'Flujo de Pagos'!B$7:B$506,M7))</f>
        <v/>
      </c>
      <c r="N51" s="76" t="str">
        <f aca="false">IF(B51="","",SUMIFS('Flujo de Pagos'!I$7:I$506,'Flujo de Pagos'!E$7:E$506,B51,'Flujo de Pagos'!B$7:B$506,N7))</f>
        <v/>
      </c>
      <c r="O51" s="76" t="str">
        <f aca="false">IF(B51="","",SUMIFS('Flujo de Pagos'!I$7:I$506,'Flujo de Pagos'!E$7:E$506,B51,'Flujo de Pagos'!B$7:B$506,O7))</f>
        <v/>
      </c>
      <c r="P51" s="76" t="str">
        <f aca="false">IF(B51="","",SUMIFS('Flujo de Pagos'!I$7:I$506,'Flujo de Pagos'!E$7:E$506,B51,'Flujo de Pagos'!B$7:B$506,P7))</f>
        <v/>
      </c>
      <c r="Q51" s="76" t="str">
        <f aca="false">IF(B51="","",SUMIFS('Flujo de Pagos'!I$7:I$506,'Flujo de Pagos'!E$7:E$506,B51,'Flujo de Pagos'!B$7:B$506,Q7))</f>
        <v/>
      </c>
      <c r="R51" s="76" t="str">
        <f aca="false">IF(B51="","",SUMIFS('Flujo de Pagos'!I$7:I$506,'Flujo de Pagos'!E$7:E$506,B51,'Flujo de Pagos'!B$7:B$506,R7))</f>
        <v/>
      </c>
      <c r="S51" s="76" t="str">
        <f aca="false">IF(B51="","",SUMIFS('Flujo de Pagos'!I$7:I$506,'Flujo de Pagos'!E$7:E$506,B51,'Flujo de Pagos'!B$7:B$506,S7))</f>
        <v/>
      </c>
      <c r="T51" s="76" t="str">
        <f aca="false">IF(B51="","",SUMIFS('Flujo de Pagos'!I$7:I$506,'Flujo de Pagos'!E$7:E$506,B51,'Flujo de Pagos'!B$7:B$506,T7))</f>
        <v/>
      </c>
      <c r="U51" s="76" t="str">
        <f aca="false">IF(B51="","",SUMIFS('Flujo de Pagos'!I$7:I$506,'Flujo de Pagos'!E$7:E$506,B51,'Flujo de Pagos'!B$7:B$506,U7))</f>
        <v/>
      </c>
      <c r="V51" s="76" t="str">
        <f aca="false">IF(B51="","",SUMIFS('Flujo de Pagos'!I$7:I$506,'Flujo de Pagos'!E$7:E$506,B51,'Flujo de Pagos'!B$7:B$506,V7))</f>
        <v/>
      </c>
      <c r="W51" s="76" t="str">
        <f aca="false">IF(B51="","",SUMIFS('Flujo de Pagos'!I$7:I$506,'Flujo de Pagos'!E$7:E$506,B51,'Flujo de Pagos'!B$7:B$506,W7))</f>
        <v/>
      </c>
      <c r="X51" s="76" t="str">
        <f aca="false">IF(B51="","",SUMIFS('Flujo de Pagos'!I$7:I$506,'Flujo de Pagos'!E$7:E$506,B51,'Flujo de Pagos'!B$7:B$506,X7))</f>
        <v/>
      </c>
      <c r="Y51" s="76" t="str">
        <f aca="false">IF(B51="","",SUMIFS('Flujo de Pagos'!I$7:I$506,'Flujo de Pagos'!E$7:E$506,B51,'Flujo de Pagos'!B$7:B$506,Y7))</f>
        <v/>
      </c>
      <c r="Z51" s="76" t="str">
        <f aca="false">IF(B51="","",SUMIFS('Flujo de Pagos'!I$7:I$506,'Flujo de Pagos'!E$7:E$506,B51,'Flujo de Pagos'!B$7:B$506,Z7))</f>
        <v/>
      </c>
      <c r="AA51" s="76" t="str">
        <f aca="false">IF(B51="","",SUMIFS('Flujo de Pagos'!I$7:I$506,'Flujo de Pagos'!E$7:E$506,B51,'Flujo de Pagos'!B$7:B$506,AA7))</f>
        <v/>
      </c>
      <c r="AB51" s="76" t="str">
        <f aca="false">IF(B51="","",SUMIFS('Flujo de Pagos'!I$7:I$506,'Flujo de Pagos'!E$7:E$506,B51,'Flujo de Pagos'!B$7:B$506,AB7))</f>
        <v/>
      </c>
      <c r="AC51" s="76" t="str">
        <f aca="false">IF(B51="","",SUMIFS('Flujo de Pagos'!I$7:I$506,'Flujo de Pagos'!E$7:E$506,B51,'Flujo de Pagos'!B$7:B$506,AC7))</f>
        <v/>
      </c>
      <c r="AD51" s="76" t="str">
        <f aca="false">IF(B51="","",SUMIFS('Flujo de Pagos'!I$7:I$506,'Flujo de Pagos'!E$7:E$506,B51,'Flujo de Pagos'!B$7:B$506,AD7))</f>
        <v/>
      </c>
      <c r="AE51" s="76" t="str">
        <f aca="false">IF(B51="","",SUMIFS('Flujo de Pagos'!I$7:I$506,'Flujo de Pagos'!E$7:E$506,B51,'Flujo de Pagos'!B$7:B$506,AE7))</f>
        <v/>
      </c>
      <c r="AF51" s="76" t="str">
        <f aca="false">IF(B51="","",SUMIFS('Flujo de Pagos'!I$7:I$506,'Flujo de Pagos'!E$7:E$506,B51,'Flujo de Pagos'!B$7:B$506,AF7))</f>
        <v/>
      </c>
      <c r="AG51" s="76" t="str">
        <f aca="false">IF(B51="","",SUMIFS('Flujo de Pagos'!I$7:I$506,'Flujo de Pagos'!E$7:E$506,B51,'Flujo de Pagos'!B$7:B$506,AG7))</f>
        <v/>
      </c>
      <c r="AH51" s="76" t="str">
        <f aca="false">IF(B51="","",SUMIFS('Flujo de Pagos'!I$7:I$506,'Flujo de Pagos'!E$7:E$506,B51,'Flujo de Pagos'!B$7:B$506,AH7))</f>
        <v/>
      </c>
      <c r="AI51" s="76" t="str">
        <f aca="false">IF(B51="","",SUMIFS('Flujo de Pagos'!I$7:I$506,'Flujo de Pagos'!E$7:E$506,B51,'Flujo de Pagos'!B$7:B$506,AI7))</f>
        <v/>
      </c>
      <c r="AJ51" s="76" t="str">
        <f aca="false">IF(B51="","",SUMIFS('Flujo de Pagos'!I$7:I$506,'Flujo de Pagos'!E$7:E$506,B51,'Flujo de Pagos'!B$7:B$506,AJ7))</f>
        <v/>
      </c>
      <c r="AK51" s="76" t="str">
        <f aca="false">IF(B51="","",SUMIFS('Flujo de Pagos'!I$7:I$506,'Flujo de Pagos'!E$7:E$506,B51,'Flujo de Pagos'!B$7:B$506,AK7))</f>
        <v/>
      </c>
      <c r="AL51" s="76" t="str">
        <f aca="false">IF(B51="","",SUMIFS('Flujo de Pagos'!I$7:I$506,'Flujo de Pagos'!E$7:E$506,B51,'Flujo de Pagos'!B$7:B$506,AL7))</f>
        <v/>
      </c>
      <c r="AM51" s="76" t="str">
        <f aca="false">IF(B51="","",SUM(C51:AL51))</f>
        <v/>
      </c>
    </row>
    <row r="52" customFormat="false" ht="15.75" hidden="false" customHeight="true" outlineLevel="0" collapsed="false">
      <c r="B52" s="64" t="str">
        <f aca="false">IF(Presupuesto!B49="","",Presupuesto!B49)</f>
        <v/>
      </c>
      <c r="C52" s="76" t="str">
        <f aca="false">IF(B52="","",SUMIFS('Flujo de Pagos'!I$7:I$506,'Flujo de Pagos'!E$7:E$506,B52,'Flujo de Pagos'!B$7:B$506,C7))</f>
        <v/>
      </c>
      <c r="D52" s="76" t="str">
        <f aca="false">IF(B52="","",SUMIFS('Flujo de Pagos'!I$7:I$506,'Flujo de Pagos'!E$7:E$506,B52,'Flujo de Pagos'!B$7:B$506,D7))</f>
        <v/>
      </c>
      <c r="E52" s="76" t="str">
        <f aca="false">IF(B52="","",SUMIFS('Flujo de Pagos'!I$7:I$506,'Flujo de Pagos'!E$7:E$506,B52,'Flujo de Pagos'!B$7:B$506,E7))</f>
        <v/>
      </c>
      <c r="F52" s="76" t="str">
        <f aca="false">IF(B52="","",SUMIFS('Flujo de Pagos'!I$7:I$506,'Flujo de Pagos'!E$7:E$506,B52,'Flujo de Pagos'!B$7:B$506,F7))</f>
        <v/>
      </c>
      <c r="G52" s="76" t="str">
        <f aca="false">IF(B52="","",SUMIFS('Flujo de Pagos'!I$7:I$506,'Flujo de Pagos'!E$7:E$506,B52,'Flujo de Pagos'!B$7:B$506,G7))</f>
        <v/>
      </c>
      <c r="H52" s="76" t="str">
        <f aca="false">IF(B52="","",SUMIFS('Flujo de Pagos'!I$7:I$506,'Flujo de Pagos'!E$7:E$506,B52,'Flujo de Pagos'!B$7:B$506,H7))</f>
        <v/>
      </c>
      <c r="I52" s="76" t="str">
        <f aca="false">IF(B52="","",SUMIFS('Flujo de Pagos'!I$7:I$506,'Flujo de Pagos'!E$7:E$506,B52,'Flujo de Pagos'!B$7:B$506,I7))</f>
        <v/>
      </c>
      <c r="J52" s="76" t="str">
        <f aca="false">IF(B52="","",SUMIFS('Flujo de Pagos'!I$7:I$506,'Flujo de Pagos'!E$7:E$506,B52,'Flujo de Pagos'!B$7:B$506,J7))</f>
        <v/>
      </c>
      <c r="K52" s="76" t="str">
        <f aca="false">IF(B52="","",SUMIFS('Flujo de Pagos'!I$7:I$506,'Flujo de Pagos'!E$7:E$506,B52,'Flujo de Pagos'!B$7:B$506,K7))</f>
        <v/>
      </c>
      <c r="L52" s="76" t="str">
        <f aca="false">IF(B52="","",SUMIFS('Flujo de Pagos'!I$7:I$506,'Flujo de Pagos'!E$7:E$506,B52,'Flujo de Pagos'!B$7:B$506,L7))</f>
        <v/>
      </c>
      <c r="M52" s="76" t="str">
        <f aca="false">IF(B52="","",SUMIFS('Flujo de Pagos'!I$7:I$506,'Flujo de Pagos'!E$7:E$506,B52,'Flujo de Pagos'!B$7:B$506,M7))</f>
        <v/>
      </c>
      <c r="N52" s="76" t="str">
        <f aca="false">IF(B52="","",SUMIFS('Flujo de Pagos'!I$7:I$506,'Flujo de Pagos'!E$7:E$506,B52,'Flujo de Pagos'!B$7:B$506,N7))</f>
        <v/>
      </c>
      <c r="O52" s="76" t="str">
        <f aca="false">IF(B52="","",SUMIFS('Flujo de Pagos'!I$7:I$506,'Flujo de Pagos'!E$7:E$506,B52,'Flujo de Pagos'!B$7:B$506,O7))</f>
        <v/>
      </c>
      <c r="P52" s="76" t="str">
        <f aca="false">IF(B52="","",SUMIFS('Flujo de Pagos'!I$7:I$506,'Flujo de Pagos'!E$7:E$506,B52,'Flujo de Pagos'!B$7:B$506,P7))</f>
        <v/>
      </c>
      <c r="Q52" s="76" t="str">
        <f aca="false">IF(B52="","",SUMIFS('Flujo de Pagos'!I$7:I$506,'Flujo de Pagos'!E$7:E$506,B52,'Flujo de Pagos'!B$7:B$506,Q7))</f>
        <v/>
      </c>
      <c r="R52" s="76" t="str">
        <f aca="false">IF(B52="","",SUMIFS('Flujo de Pagos'!I$7:I$506,'Flujo de Pagos'!E$7:E$506,B52,'Flujo de Pagos'!B$7:B$506,R7))</f>
        <v/>
      </c>
      <c r="S52" s="76" t="str">
        <f aca="false">IF(B52="","",SUMIFS('Flujo de Pagos'!I$7:I$506,'Flujo de Pagos'!E$7:E$506,B52,'Flujo de Pagos'!B$7:B$506,S7))</f>
        <v/>
      </c>
      <c r="T52" s="76" t="str">
        <f aca="false">IF(B52="","",SUMIFS('Flujo de Pagos'!I$7:I$506,'Flujo de Pagos'!E$7:E$506,B52,'Flujo de Pagos'!B$7:B$506,T7))</f>
        <v/>
      </c>
      <c r="U52" s="76" t="str">
        <f aca="false">IF(B52="","",SUMIFS('Flujo de Pagos'!I$7:I$506,'Flujo de Pagos'!E$7:E$506,B52,'Flujo de Pagos'!B$7:B$506,U7))</f>
        <v/>
      </c>
      <c r="V52" s="76" t="str">
        <f aca="false">IF(B52="","",SUMIFS('Flujo de Pagos'!I$7:I$506,'Flujo de Pagos'!E$7:E$506,B52,'Flujo de Pagos'!B$7:B$506,V7))</f>
        <v/>
      </c>
      <c r="W52" s="76" t="str">
        <f aca="false">IF(B52="","",SUMIFS('Flujo de Pagos'!I$7:I$506,'Flujo de Pagos'!E$7:E$506,B52,'Flujo de Pagos'!B$7:B$506,W7))</f>
        <v/>
      </c>
      <c r="X52" s="76" t="str">
        <f aca="false">IF(B52="","",SUMIFS('Flujo de Pagos'!I$7:I$506,'Flujo de Pagos'!E$7:E$506,B52,'Flujo de Pagos'!B$7:B$506,X7))</f>
        <v/>
      </c>
      <c r="Y52" s="76" t="str">
        <f aca="false">IF(B52="","",SUMIFS('Flujo de Pagos'!I$7:I$506,'Flujo de Pagos'!E$7:E$506,B52,'Flujo de Pagos'!B$7:B$506,Y7))</f>
        <v/>
      </c>
      <c r="Z52" s="76" t="str">
        <f aca="false">IF(B52="","",SUMIFS('Flujo de Pagos'!I$7:I$506,'Flujo de Pagos'!E$7:E$506,B52,'Flujo de Pagos'!B$7:B$506,Z7))</f>
        <v/>
      </c>
      <c r="AA52" s="76" t="str">
        <f aca="false">IF(B52="","",SUMIFS('Flujo de Pagos'!I$7:I$506,'Flujo de Pagos'!E$7:E$506,B52,'Flujo de Pagos'!B$7:B$506,AA7))</f>
        <v/>
      </c>
      <c r="AB52" s="76" t="str">
        <f aca="false">IF(B52="","",SUMIFS('Flujo de Pagos'!I$7:I$506,'Flujo de Pagos'!E$7:E$506,B52,'Flujo de Pagos'!B$7:B$506,AB7))</f>
        <v/>
      </c>
      <c r="AC52" s="76" t="str">
        <f aca="false">IF(B52="","",SUMIFS('Flujo de Pagos'!I$7:I$506,'Flujo de Pagos'!E$7:E$506,B52,'Flujo de Pagos'!B$7:B$506,AC7))</f>
        <v/>
      </c>
      <c r="AD52" s="76" t="str">
        <f aca="false">IF(B52="","",SUMIFS('Flujo de Pagos'!I$7:I$506,'Flujo de Pagos'!E$7:E$506,B52,'Flujo de Pagos'!B$7:B$506,AD7))</f>
        <v/>
      </c>
      <c r="AE52" s="76" t="str">
        <f aca="false">IF(B52="","",SUMIFS('Flujo de Pagos'!I$7:I$506,'Flujo de Pagos'!E$7:E$506,B52,'Flujo de Pagos'!B$7:B$506,AE7))</f>
        <v/>
      </c>
      <c r="AF52" s="76" t="str">
        <f aca="false">IF(B52="","",SUMIFS('Flujo de Pagos'!I$7:I$506,'Flujo de Pagos'!E$7:E$506,B52,'Flujo de Pagos'!B$7:B$506,AF7))</f>
        <v/>
      </c>
      <c r="AG52" s="76" t="str">
        <f aca="false">IF(B52="","",SUMIFS('Flujo de Pagos'!I$7:I$506,'Flujo de Pagos'!E$7:E$506,B52,'Flujo de Pagos'!B$7:B$506,AG7))</f>
        <v/>
      </c>
      <c r="AH52" s="76" t="str">
        <f aca="false">IF(B52="","",SUMIFS('Flujo de Pagos'!I$7:I$506,'Flujo de Pagos'!E$7:E$506,B52,'Flujo de Pagos'!B$7:B$506,AH7))</f>
        <v/>
      </c>
      <c r="AI52" s="76" t="str">
        <f aca="false">IF(B52="","",SUMIFS('Flujo de Pagos'!I$7:I$506,'Flujo de Pagos'!E$7:E$506,B52,'Flujo de Pagos'!B$7:B$506,AI7))</f>
        <v/>
      </c>
      <c r="AJ52" s="76" t="str">
        <f aca="false">IF(B52="","",SUMIFS('Flujo de Pagos'!I$7:I$506,'Flujo de Pagos'!E$7:E$506,B52,'Flujo de Pagos'!B$7:B$506,AJ7))</f>
        <v/>
      </c>
      <c r="AK52" s="76" t="str">
        <f aca="false">IF(B52="","",SUMIFS('Flujo de Pagos'!I$7:I$506,'Flujo de Pagos'!E$7:E$506,B52,'Flujo de Pagos'!B$7:B$506,AK7))</f>
        <v/>
      </c>
      <c r="AL52" s="76" t="str">
        <f aca="false">IF(B52="","",SUMIFS('Flujo de Pagos'!I$7:I$506,'Flujo de Pagos'!E$7:E$506,B52,'Flujo de Pagos'!B$7:B$506,AL7))</f>
        <v/>
      </c>
      <c r="AM52" s="76" t="str">
        <f aca="false">IF(B52="","",SUM(C52:AL52))</f>
        <v/>
      </c>
    </row>
    <row r="53" customFormat="false" ht="15.75" hidden="false" customHeight="true" outlineLevel="0" collapsed="false">
      <c r="B53" s="64" t="str">
        <f aca="false">IF(Presupuesto!B50="","",Presupuesto!B50)</f>
        <v/>
      </c>
      <c r="C53" s="76" t="str">
        <f aca="false">IF(B53="","",SUMIFS('Flujo de Pagos'!I$7:I$506,'Flujo de Pagos'!E$7:E$506,B53,'Flujo de Pagos'!B$7:B$506,C7))</f>
        <v/>
      </c>
      <c r="D53" s="76" t="str">
        <f aca="false">IF(B53="","",SUMIFS('Flujo de Pagos'!I$7:I$506,'Flujo de Pagos'!E$7:E$506,B53,'Flujo de Pagos'!B$7:B$506,D7))</f>
        <v/>
      </c>
      <c r="E53" s="76" t="str">
        <f aca="false">IF(B53="","",SUMIFS('Flujo de Pagos'!I$7:I$506,'Flujo de Pagos'!E$7:E$506,B53,'Flujo de Pagos'!B$7:B$506,E7))</f>
        <v/>
      </c>
      <c r="F53" s="76" t="str">
        <f aca="false">IF(B53="","",SUMIFS('Flujo de Pagos'!I$7:I$506,'Flujo de Pagos'!E$7:E$506,B53,'Flujo de Pagos'!B$7:B$506,F7))</f>
        <v/>
      </c>
      <c r="G53" s="76" t="str">
        <f aca="false">IF(B53="","",SUMIFS('Flujo de Pagos'!I$7:I$506,'Flujo de Pagos'!E$7:E$506,B53,'Flujo de Pagos'!B$7:B$506,G7))</f>
        <v/>
      </c>
      <c r="H53" s="76" t="str">
        <f aca="false">IF(B53="","",SUMIFS('Flujo de Pagos'!I$7:I$506,'Flujo de Pagos'!E$7:E$506,B53,'Flujo de Pagos'!B$7:B$506,H7))</f>
        <v/>
      </c>
      <c r="I53" s="76" t="str">
        <f aca="false">IF(B53="","",SUMIFS('Flujo de Pagos'!I$7:I$506,'Flujo de Pagos'!E$7:E$506,B53,'Flujo de Pagos'!B$7:B$506,I7))</f>
        <v/>
      </c>
      <c r="J53" s="76" t="str">
        <f aca="false">IF(B53="","",SUMIFS('Flujo de Pagos'!I$7:I$506,'Flujo de Pagos'!E$7:E$506,B53,'Flujo de Pagos'!B$7:B$506,J7))</f>
        <v/>
      </c>
      <c r="K53" s="76" t="str">
        <f aca="false">IF(B53="","",SUMIFS('Flujo de Pagos'!I$7:I$506,'Flujo de Pagos'!E$7:E$506,B53,'Flujo de Pagos'!B$7:B$506,K7))</f>
        <v/>
      </c>
      <c r="L53" s="76" t="str">
        <f aca="false">IF(B53="","",SUMIFS('Flujo de Pagos'!I$7:I$506,'Flujo de Pagos'!E$7:E$506,B53,'Flujo de Pagos'!B$7:B$506,L7))</f>
        <v/>
      </c>
      <c r="M53" s="76" t="str">
        <f aca="false">IF(B53="","",SUMIFS('Flujo de Pagos'!I$7:I$506,'Flujo de Pagos'!E$7:E$506,B53,'Flujo de Pagos'!B$7:B$506,M7))</f>
        <v/>
      </c>
      <c r="N53" s="76" t="str">
        <f aca="false">IF(B53="","",SUMIFS('Flujo de Pagos'!I$7:I$506,'Flujo de Pagos'!E$7:E$506,B53,'Flujo de Pagos'!B$7:B$506,N7))</f>
        <v/>
      </c>
      <c r="O53" s="76" t="str">
        <f aca="false">IF(B53="","",SUMIFS('Flujo de Pagos'!I$7:I$506,'Flujo de Pagos'!E$7:E$506,B53,'Flujo de Pagos'!B$7:B$506,O7))</f>
        <v/>
      </c>
      <c r="P53" s="76" t="str">
        <f aca="false">IF(B53="","",SUMIFS('Flujo de Pagos'!I$7:I$506,'Flujo de Pagos'!E$7:E$506,B53,'Flujo de Pagos'!B$7:B$506,P7))</f>
        <v/>
      </c>
      <c r="Q53" s="76" t="str">
        <f aca="false">IF(B53="","",SUMIFS('Flujo de Pagos'!I$7:I$506,'Flujo de Pagos'!E$7:E$506,B53,'Flujo de Pagos'!B$7:B$506,Q7))</f>
        <v/>
      </c>
      <c r="R53" s="76" t="str">
        <f aca="false">IF(B53="","",SUMIFS('Flujo de Pagos'!I$7:I$506,'Flujo de Pagos'!E$7:E$506,B53,'Flujo de Pagos'!B$7:B$506,R7))</f>
        <v/>
      </c>
      <c r="S53" s="76" t="str">
        <f aca="false">IF(B53="","",SUMIFS('Flujo de Pagos'!I$7:I$506,'Flujo de Pagos'!E$7:E$506,B53,'Flujo de Pagos'!B$7:B$506,S7))</f>
        <v/>
      </c>
      <c r="T53" s="76" t="str">
        <f aca="false">IF(B53="","",SUMIFS('Flujo de Pagos'!I$7:I$506,'Flujo de Pagos'!E$7:E$506,B53,'Flujo de Pagos'!B$7:B$506,T7))</f>
        <v/>
      </c>
      <c r="U53" s="76" t="str">
        <f aca="false">IF(B53="","",SUMIFS('Flujo de Pagos'!I$7:I$506,'Flujo de Pagos'!E$7:E$506,B53,'Flujo de Pagos'!B$7:B$506,U7))</f>
        <v/>
      </c>
      <c r="V53" s="76" t="str">
        <f aca="false">IF(B53="","",SUMIFS('Flujo de Pagos'!I$7:I$506,'Flujo de Pagos'!E$7:E$506,B53,'Flujo de Pagos'!B$7:B$506,V7))</f>
        <v/>
      </c>
      <c r="W53" s="76" t="str">
        <f aca="false">IF(B53="","",SUMIFS('Flujo de Pagos'!I$7:I$506,'Flujo de Pagos'!E$7:E$506,B53,'Flujo de Pagos'!B$7:B$506,W7))</f>
        <v/>
      </c>
      <c r="X53" s="76" t="str">
        <f aca="false">IF(B53="","",SUMIFS('Flujo de Pagos'!I$7:I$506,'Flujo de Pagos'!E$7:E$506,B53,'Flujo de Pagos'!B$7:B$506,X7))</f>
        <v/>
      </c>
      <c r="Y53" s="76" t="str">
        <f aca="false">IF(B53="","",SUMIFS('Flujo de Pagos'!I$7:I$506,'Flujo de Pagos'!E$7:E$506,B53,'Flujo de Pagos'!B$7:B$506,Y7))</f>
        <v/>
      </c>
      <c r="Z53" s="76" t="str">
        <f aca="false">IF(B53="","",SUMIFS('Flujo de Pagos'!I$7:I$506,'Flujo de Pagos'!E$7:E$506,B53,'Flujo de Pagos'!B$7:B$506,Z7))</f>
        <v/>
      </c>
      <c r="AA53" s="76" t="str">
        <f aca="false">IF(B53="","",SUMIFS('Flujo de Pagos'!I$7:I$506,'Flujo de Pagos'!E$7:E$506,B53,'Flujo de Pagos'!B$7:B$506,AA7))</f>
        <v/>
      </c>
      <c r="AB53" s="76" t="str">
        <f aca="false">IF(B53="","",SUMIFS('Flujo de Pagos'!I$7:I$506,'Flujo de Pagos'!E$7:E$506,B53,'Flujo de Pagos'!B$7:B$506,AB7))</f>
        <v/>
      </c>
      <c r="AC53" s="76" t="str">
        <f aca="false">IF(B53="","",SUMIFS('Flujo de Pagos'!I$7:I$506,'Flujo de Pagos'!E$7:E$506,B53,'Flujo de Pagos'!B$7:B$506,AC7))</f>
        <v/>
      </c>
      <c r="AD53" s="76" t="str">
        <f aca="false">IF(B53="","",SUMIFS('Flujo de Pagos'!I$7:I$506,'Flujo de Pagos'!E$7:E$506,B53,'Flujo de Pagos'!B$7:B$506,AD7))</f>
        <v/>
      </c>
      <c r="AE53" s="76" t="str">
        <f aca="false">IF(B53="","",SUMIFS('Flujo de Pagos'!I$7:I$506,'Flujo de Pagos'!E$7:E$506,B53,'Flujo de Pagos'!B$7:B$506,AE7))</f>
        <v/>
      </c>
      <c r="AF53" s="76" t="str">
        <f aca="false">IF(B53="","",SUMIFS('Flujo de Pagos'!I$7:I$506,'Flujo de Pagos'!E$7:E$506,B53,'Flujo de Pagos'!B$7:B$506,AF7))</f>
        <v/>
      </c>
      <c r="AG53" s="76" t="str">
        <f aca="false">IF(B53="","",SUMIFS('Flujo de Pagos'!I$7:I$506,'Flujo de Pagos'!E$7:E$506,B53,'Flujo de Pagos'!B$7:B$506,AG7))</f>
        <v/>
      </c>
      <c r="AH53" s="76" t="str">
        <f aca="false">IF(B53="","",SUMIFS('Flujo de Pagos'!I$7:I$506,'Flujo de Pagos'!E$7:E$506,B53,'Flujo de Pagos'!B$7:B$506,AH7))</f>
        <v/>
      </c>
      <c r="AI53" s="76" t="str">
        <f aca="false">IF(B53="","",SUMIFS('Flujo de Pagos'!I$7:I$506,'Flujo de Pagos'!E$7:E$506,B53,'Flujo de Pagos'!B$7:B$506,AI7))</f>
        <v/>
      </c>
      <c r="AJ53" s="76" t="str">
        <f aca="false">IF(B53="","",SUMIFS('Flujo de Pagos'!I$7:I$506,'Flujo de Pagos'!E$7:E$506,B53,'Flujo de Pagos'!B$7:B$506,AJ7))</f>
        <v/>
      </c>
      <c r="AK53" s="76" t="str">
        <f aca="false">IF(B53="","",SUMIFS('Flujo de Pagos'!I$7:I$506,'Flujo de Pagos'!E$7:E$506,B53,'Flujo de Pagos'!B$7:B$506,AK7))</f>
        <v/>
      </c>
      <c r="AL53" s="76" t="str">
        <f aca="false">IF(B53="","",SUMIFS('Flujo de Pagos'!I$7:I$506,'Flujo de Pagos'!E$7:E$506,B53,'Flujo de Pagos'!B$7:B$506,AL7))</f>
        <v/>
      </c>
      <c r="AM53" s="76" t="str">
        <f aca="false">IF(B53="","",SUM(C53:AL53))</f>
        <v/>
      </c>
    </row>
    <row r="54" customFormat="false" ht="15.75" hidden="false" customHeight="true" outlineLevel="0" collapsed="false">
      <c r="B54" s="64" t="str">
        <f aca="false">IF(Presupuesto!B51="","",Presupuesto!B51)</f>
        <v/>
      </c>
      <c r="C54" s="76" t="str">
        <f aca="false">IF(B54="","",SUMIFS('Flujo de Pagos'!I$7:I$506,'Flujo de Pagos'!E$7:E$506,B54,'Flujo de Pagos'!B$7:B$506,C7))</f>
        <v/>
      </c>
      <c r="D54" s="76" t="str">
        <f aca="false">IF(B54="","",SUMIFS('Flujo de Pagos'!I$7:I$506,'Flujo de Pagos'!E$7:E$506,B54,'Flujo de Pagos'!B$7:B$506,D7))</f>
        <v/>
      </c>
      <c r="E54" s="76" t="str">
        <f aca="false">IF(B54="","",SUMIFS('Flujo de Pagos'!I$7:I$506,'Flujo de Pagos'!E$7:E$506,B54,'Flujo de Pagos'!B$7:B$506,E7))</f>
        <v/>
      </c>
      <c r="F54" s="76" t="str">
        <f aca="false">IF(B54="","",SUMIFS('Flujo de Pagos'!I$7:I$506,'Flujo de Pagos'!E$7:E$506,B54,'Flujo de Pagos'!B$7:B$506,F7))</f>
        <v/>
      </c>
      <c r="G54" s="76" t="str">
        <f aca="false">IF(B54="","",SUMIFS('Flujo de Pagos'!I$7:I$506,'Flujo de Pagos'!E$7:E$506,B54,'Flujo de Pagos'!B$7:B$506,G7))</f>
        <v/>
      </c>
      <c r="H54" s="76" t="str">
        <f aca="false">IF(B54="","",SUMIFS('Flujo de Pagos'!I$7:I$506,'Flujo de Pagos'!E$7:E$506,B54,'Flujo de Pagos'!B$7:B$506,H7))</f>
        <v/>
      </c>
      <c r="I54" s="76" t="str">
        <f aca="false">IF(B54="","",SUMIFS('Flujo de Pagos'!I$7:I$506,'Flujo de Pagos'!E$7:E$506,B54,'Flujo de Pagos'!B$7:B$506,I7))</f>
        <v/>
      </c>
      <c r="J54" s="76" t="str">
        <f aca="false">IF(B54="","",SUMIFS('Flujo de Pagos'!I$7:I$506,'Flujo de Pagos'!E$7:E$506,B54,'Flujo de Pagos'!B$7:B$506,J7))</f>
        <v/>
      </c>
      <c r="K54" s="76" t="str">
        <f aca="false">IF(B54="","",SUMIFS('Flujo de Pagos'!I$7:I$506,'Flujo de Pagos'!E$7:E$506,B54,'Flujo de Pagos'!B$7:B$506,K7))</f>
        <v/>
      </c>
      <c r="L54" s="76" t="str">
        <f aca="false">IF(B54="","",SUMIFS('Flujo de Pagos'!I$7:I$506,'Flujo de Pagos'!E$7:E$506,B54,'Flujo de Pagos'!B$7:B$506,L7))</f>
        <v/>
      </c>
      <c r="M54" s="76" t="str">
        <f aca="false">IF(B54="","",SUMIFS('Flujo de Pagos'!I$7:I$506,'Flujo de Pagos'!E$7:E$506,B54,'Flujo de Pagos'!B$7:B$506,M7))</f>
        <v/>
      </c>
      <c r="N54" s="76" t="str">
        <f aca="false">IF(B54="","",SUMIFS('Flujo de Pagos'!I$7:I$506,'Flujo de Pagos'!E$7:E$506,B54,'Flujo de Pagos'!B$7:B$506,N7))</f>
        <v/>
      </c>
      <c r="O54" s="76" t="str">
        <f aca="false">IF(B54="","",SUMIFS('Flujo de Pagos'!I$7:I$506,'Flujo de Pagos'!E$7:E$506,B54,'Flujo de Pagos'!B$7:B$506,O7))</f>
        <v/>
      </c>
      <c r="P54" s="76" t="str">
        <f aca="false">IF(B54="","",SUMIFS('Flujo de Pagos'!I$7:I$506,'Flujo de Pagos'!E$7:E$506,B54,'Flujo de Pagos'!B$7:B$506,P7))</f>
        <v/>
      </c>
      <c r="Q54" s="76" t="str">
        <f aca="false">IF(B54="","",SUMIFS('Flujo de Pagos'!I$7:I$506,'Flujo de Pagos'!E$7:E$506,B54,'Flujo de Pagos'!B$7:B$506,Q7))</f>
        <v/>
      </c>
      <c r="R54" s="76" t="str">
        <f aca="false">IF(B54="","",SUMIFS('Flujo de Pagos'!I$7:I$506,'Flujo de Pagos'!E$7:E$506,B54,'Flujo de Pagos'!B$7:B$506,R7))</f>
        <v/>
      </c>
      <c r="S54" s="76" t="str">
        <f aca="false">IF(B54="","",SUMIFS('Flujo de Pagos'!I$7:I$506,'Flujo de Pagos'!E$7:E$506,B54,'Flujo de Pagos'!B$7:B$506,S7))</f>
        <v/>
      </c>
      <c r="T54" s="76" t="str">
        <f aca="false">IF(B54="","",SUMIFS('Flujo de Pagos'!I$7:I$506,'Flujo de Pagos'!E$7:E$506,B54,'Flujo de Pagos'!B$7:B$506,T7))</f>
        <v/>
      </c>
      <c r="U54" s="76" t="str">
        <f aca="false">IF(B54="","",SUMIFS('Flujo de Pagos'!I$7:I$506,'Flujo de Pagos'!E$7:E$506,B54,'Flujo de Pagos'!B$7:B$506,U7))</f>
        <v/>
      </c>
      <c r="V54" s="76" t="str">
        <f aca="false">IF(B54="","",SUMIFS('Flujo de Pagos'!I$7:I$506,'Flujo de Pagos'!E$7:E$506,B54,'Flujo de Pagos'!B$7:B$506,V7))</f>
        <v/>
      </c>
      <c r="W54" s="76" t="str">
        <f aca="false">IF(B54="","",SUMIFS('Flujo de Pagos'!I$7:I$506,'Flujo de Pagos'!E$7:E$506,B54,'Flujo de Pagos'!B$7:B$506,W7))</f>
        <v/>
      </c>
      <c r="X54" s="76" t="str">
        <f aca="false">IF(B54="","",SUMIFS('Flujo de Pagos'!I$7:I$506,'Flujo de Pagos'!E$7:E$506,B54,'Flujo de Pagos'!B$7:B$506,X7))</f>
        <v/>
      </c>
      <c r="Y54" s="76" t="str">
        <f aca="false">IF(B54="","",SUMIFS('Flujo de Pagos'!I$7:I$506,'Flujo de Pagos'!E$7:E$506,B54,'Flujo de Pagos'!B$7:B$506,Y7))</f>
        <v/>
      </c>
      <c r="Z54" s="76" t="str">
        <f aca="false">IF(B54="","",SUMIFS('Flujo de Pagos'!I$7:I$506,'Flujo de Pagos'!E$7:E$506,B54,'Flujo de Pagos'!B$7:B$506,Z7))</f>
        <v/>
      </c>
      <c r="AA54" s="76" t="str">
        <f aca="false">IF(B54="","",SUMIFS('Flujo de Pagos'!I$7:I$506,'Flujo de Pagos'!E$7:E$506,B54,'Flujo de Pagos'!B$7:B$506,AA7))</f>
        <v/>
      </c>
      <c r="AB54" s="76" t="str">
        <f aca="false">IF(B54="","",SUMIFS('Flujo de Pagos'!I$7:I$506,'Flujo de Pagos'!E$7:E$506,B54,'Flujo de Pagos'!B$7:B$506,AB7))</f>
        <v/>
      </c>
      <c r="AC54" s="76" t="str">
        <f aca="false">IF(B54="","",SUMIFS('Flujo de Pagos'!I$7:I$506,'Flujo de Pagos'!E$7:E$506,B54,'Flujo de Pagos'!B$7:B$506,AC7))</f>
        <v/>
      </c>
      <c r="AD54" s="76" t="str">
        <f aca="false">IF(B54="","",SUMIFS('Flujo de Pagos'!I$7:I$506,'Flujo de Pagos'!E$7:E$506,B54,'Flujo de Pagos'!B$7:B$506,AD7))</f>
        <v/>
      </c>
      <c r="AE54" s="76" t="str">
        <f aca="false">IF(B54="","",SUMIFS('Flujo de Pagos'!I$7:I$506,'Flujo de Pagos'!E$7:E$506,B54,'Flujo de Pagos'!B$7:B$506,AE7))</f>
        <v/>
      </c>
      <c r="AF54" s="76" t="str">
        <f aca="false">IF(B54="","",SUMIFS('Flujo de Pagos'!I$7:I$506,'Flujo de Pagos'!E$7:E$506,B54,'Flujo de Pagos'!B$7:B$506,AF7))</f>
        <v/>
      </c>
      <c r="AG54" s="76" t="str">
        <f aca="false">IF(B54="","",SUMIFS('Flujo de Pagos'!I$7:I$506,'Flujo de Pagos'!E$7:E$506,B54,'Flujo de Pagos'!B$7:B$506,AG7))</f>
        <v/>
      </c>
      <c r="AH54" s="76" t="str">
        <f aca="false">IF(B54="","",SUMIFS('Flujo de Pagos'!I$7:I$506,'Flujo de Pagos'!E$7:E$506,B54,'Flujo de Pagos'!B$7:B$506,AH7))</f>
        <v/>
      </c>
      <c r="AI54" s="76" t="str">
        <f aca="false">IF(B54="","",SUMIFS('Flujo de Pagos'!I$7:I$506,'Flujo de Pagos'!E$7:E$506,B54,'Flujo de Pagos'!B$7:B$506,AI7))</f>
        <v/>
      </c>
      <c r="AJ54" s="76" t="str">
        <f aca="false">IF(B54="","",SUMIFS('Flujo de Pagos'!I$7:I$506,'Flujo de Pagos'!E$7:E$506,B54,'Flujo de Pagos'!B$7:B$506,AJ7))</f>
        <v/>
      </c>
      <c r="AK54" s="76" t="str">
        <f aca="false">IF(B54="","",SUMIFS('Flujo de Pagos'!I$7:I$506,'Flujo de Pagos'!E$7:E$506,B54,'Flujo de Pagos'!B$7:B$506,AK7))</f>
        <v/>
      </c>
      <c r="AL54" s="76" t="str">
        <f aca="false">IF(B54="","",SUMIFS('Flujo de Pagos'!I$7:I$506,'Flujo de Pagos'!E$7:E$506,B54,'Flujo de Pagos'!B$7:B$506,AL7))</f>
        <v/>
      </c>
      <c r="AM54" s="76" t="str">
        <f aca="false">IF(B54="","",SUM(C54:AL54))</f>
        <v/>
      </c>
    </row>
    <row r="55" customFormat="false" ht="15.75" hidden="false" customHeight="true" outlineLevel="0" collapsed="false">
      <c r="B55" s="64" t="str">
        <f aca="false">IF(Presupuesto!B52="","",Presupuesto!B52)</f>
        <v/>
      </c>
      <c r="C55" s="76" t="str">
        <f aca="false">IF(B55="","",SUMIFS('Flujo de Pagos'!I$7:I$506,'Flujo de Pagos'!E$7:E$506,B55,'Flujo de Pagos'!B$7:B$506,C7))</f>
        <v/>
      </c>
      <c r="D55" s="76" t="str">
        <f aca="false">IF(B55="","",SUMIFS('Flujo de Pagos'!I$7:I$506,'Flujo de Pagos'!E$7:E$506,B55,'Flujo de Pagos'!B$7:B$506,D7))</f>
        <v/>
      </c>
      <c r="E55" s="76" t="str">
        <f aca="false">IF(B55="","",SUMIFS('Flujo de Pagos'!I$7:I$506,'Flujo de Pagos'!E$7:E$506,B55,'Flujo de Pagos'!B$7:B$506,E7))</f>
        <v/>
      </c>
      <c r="F55" s="76" t="str">
        <f aca="false">IF(B55="","",SUMIFS('Flujo de Pagos'!I$7:I$506,'Flujo de Pagos'!E$7:E$506,B55,'Flujo de Pagos'!B$7:B$506,F7))</f>
        <v/>
      </c>
      <c r="G55" s="76" t="str">
        <f aca="false">IF(B55="","",SUMIFS('Flujo de Pagos'!I$7:I$506,'Flujo de Pagos'!E$7:E$506,B55,'Flujo de Pagos'!B$7:B$506,G7))</f>
        <v/>
      </c>
      <c r="H55" s="76" t="str">
        <f aca="false">IF(B55="","",SUMIFS('Flujo de Pagos'!I$7:I$506,'Flujo de Pagos'!E$7:E$506,B55,'Flujo de Pagos'!B$7:B$506,H7))</f>
        <v/>
      </c>
      <c r="I55" s="76" t="str">
        <f aca="false">IF(B55="","",SUMIFS('Flujo de Pagos'!I$7:I$506,'Flujo de Pagos'!E$7:E$506,B55,'Flujo de Pagos'!B$7:B$506,I7))</f>
        <v/>
      </c>
      <c r="J55" s="76" t="str">
        <f aca="false">IF(B55="","",SUMIFS('Flujo de Pagos'!I$7:I$506,'Flujo de Pagos'!E$7:E$506,B55,'Flujo de Pagos'!B$7:B$506,J7))</f>
        <v/>
      </c>
      <c r="K55" s="76" t="str">
        <f aca="false">IF(B55="","",SUMIFS('Flujo de Pagos'!I$7:I$506,'Flujo de Pagos'!E$7:E$506,B55,'Flujo de Pagos'!B$7:B$506,K7))</f>
        <v/>
      </c>
      <c r="L55" s="76" t="str">
        <f aca="false">IF(B55="","",SUMIFS('Flujo de Pagos'!I$7:I$506,'Flujo de Pagos'!E$7:E$506,B55,'Flujo de Pagos'!B$7:B$506,L7))</f>
        <v/>
      </c>
      <c r="M55" s="76" t="str">
        <f aca="false">IF(B55="","",SUMIFS('Flujo de Pagos'!I$7:I$506,'Flujo de Pagos'!E$7:E$506,B55,'Flujo de Pagos'!B$7:B$506,M7))</f>
        <v/>
      </c>
      <c r="N55" s="76" t="str">
        <f aca="false">IF(B55="","",SUMIFS('Flujo de Pagos'!I$7:I$506,'Flujo de Pagos'!E$7:E$506,B55,'Flujo de Pagos'!B$7:B$506,N7))</f>
        <v/>
      </c>
      <c r="O55" s="76" t="str">
        <f aca="false">IF(B55="","",SUMIFS('Flujo de Pagos'!I$7:I$506,'Flujo de Pagos'!E$7:E$506,B55,'Flujo de Pagos'!B$7:B$506,O7))</f>
        <v/>
      </c>
      <c r="P55" s="76" t="str">
        <f aca="false">IF(B55="","",SUMIFS('Flujo de Pagos'!I$7:I$506,'Flujo de Pagos'!E$7:E$506,B55,'Flujo de Pagos'!B$7:B$506,P7))</f>
        <v/>
      </c>
      <c r="Q55" s="76" t="str">
        <f aca="false">IF(B55="","",SUMIFS('Flujo de Pagos'!I$7:I$506,'Flujo de Pagos'!E$7:E$506,B55,'Flujo de Pagos'!B$7:B$506,Q7))</f>
        <v/>
      </c>
      <c r="R55" s="76" t="str">
        <f aca="false">IF(B55="","",SUMIFS('Flujo de Pagos'!I$7:I$506,'Flujo de Pagos'!E$7:E$506,B55,'Flujo de Pagos'!B$7:B$506,R7))</f>
        <v/>
      </c>
      <c r="S55" s="76" t="str">
        <f aca="false">IF(B55="","",SUMIFS('Flujo de Pagos'!I$7:I$506,'Flujo de Pagos'!E$7:E$506,B55,'Flujo de Pagos'!B$7:B$506,S7))</f>
        <v/>
      </c>
      <c r="T55" s="76" t="str">
        <f aca="false">IF(B55="","",SUMIFS('Flujo de Pagos'!I$7:I$506,'Flujo de Pagos'!E$7:E$506,B55,'Flujo de Pagos'!B$7:B$506,T7))</f>
        <v/>
      </c>
      <c r="U55" s="76" t="str">
        <f aca="false">IF(B55="","",SUMIFS('Flujo de Pagos'!I$7:I$506,'Flujo de Pagos'!E$7:E$506,B55,'Flujo de Pagos'!B$7:B$506,U7))</f>
        <v/>
      </c>
      <c r="V55" s="76" t="str">
        <f aca="false">IF(B55="","",SUMIFS('Flujo de Pagos'!I$7:I$506,'Flujo de Pagos'!E$7:E$506,B55,'Flujo de Pagos'!B$7:B$506,V7))</f>
        <v/>
      </c>
      <c r="W55" s="76" t="str">
        <f aca="false">IF(B55="","",SUMIFS('Flujo de Pagos'!I$7:I$506,'Flujo de Pagos'!E$7:E$506,B55,'Flujo de Pagos'!B$7:B$506,W7))</f>
        <v/>
      </c>
      <c r="X55" s="76" t="str">
        <f aca="false">IF(B55="","",SUMIFS('Flujo de Pagos'!I$7:I$506,'Flujo de Pagos'!E$7:E$506,B55,'Flujo de Pagos'!B$7:B$506,X7))</f>
        <v/>
      </c>
      <c r="Y55" s="76" t="str">
        <f aca="false">IF(B55="","",SUMIFS('Flujo de Pagos'!I$7:I$506,'Flujo de Pagos'!E$7:E$506,B55,'Flujo de Pagos'!B$7:B$506,Y7))</f>
        <v/>
      </c>
      <c r="Z55" s="76" t="str">
        <f aca="false">IF(B55="","",SUMIFS('Flujo de Pagos'!I$7:I$506,'Flujo de Pagos'!E$7:E$506,B55,'Flujo de Pagos'!B$7:B$506,Z7))</f>
        <v/>
      </c>
      <c r="AA55" s="76" t="str">
        <f aca="false">IF(B55="","",SUMIFS('Flujo de Pagos'!I$7:I$506,'Flujo de Pagos'!E$7:E$506,B55,'Flujo de Pagos'!B$7:B$506,AA7))</f>
        <v/>
      </c>
      <c r="AB55" s="76" t="str">
        <f aca="false">IF(B55="","",SUMIFS('Flujo de Pagos'!I$7:I$506,'Flujo de Pagos'!E$7:E$506,B55,'Flujo de Pagos'!B$7:B$506,AB7))</f>
        <v/>
      </c>
      <c r="AC55" s="76" t="str">
        <f aca="false">IF(B55="","",SUMIFS('Flujo de Pagos'!I$7:I$506,'Flujo de Pagos'!E$7:E$506,B55,'Flujo de Pagos'!B$7:B$506,AC7))</f>
        <v/>
      </c>
      <c r="AD55" s="76" t="str">
        <f aca="false">IF(B55="","",SUMIFS('Flujo de Pagos'!I$7:I$506,'Flujo de Pagos'!E$7:E$506,B55,'Flujo de Pagos'!B$7:B$506,AD7))</f>
        <v/>
      </c>
      <c r="AE55" s="76" t="str">
        <f aca="false">IF(B55="","",SUMIFS('Flujo de Pagos'!I$7:I$506,'Flujo de Pagos'!E$7:E$506,B55,'Flujo de Pagos'!B$7:B$506,AE7))</f>
        <v/>
      </c>
      <c r="AF55" s="76" t="str">
        <f aca="false">IF(B55="","",SUMIFS('Flujo de Pagos'!I$7:I$506,'Flujo de Pagos'!E$7:E$506,B55,'Flujo de Pagos'!B$7:B$506,AF7))</f>
        <v/>
      </c>
      <c r="AG55" s="76" t="str">
        <f aca="false">IF(B55="","",SUMIFS('Flujo de Pagos'!I$7:I$506,'Flujo de Pagos'!E$7:E$506,B55,'Flujo de Pagos'!B$7:B$506,AG7))</f>
        <v/>
      </c>
      <c r="AH55" s="76" t="str">
        <f aca="false">IF(B55="","",SUMIFS('Flujo de Pagos'!I$7:I$506,'Flujo de Pagos'!E$7:E$506,B55,'Flujo de Pagos'!B$7:B$506,AH7))</f>
        <v/>
      </c>
      <c r="AI55" s="76" t="str">
        <f aca="false">IF(B55="","",SUMIFS('Flujo de Pagos'!I$7:I$506,'Flujo de Pagos'!E$7:E$506,B55,'Flujo de Pagos'!B$7:B$506,AI7))</f>
        <v/>
      </c>
      <c r="AJ55" s="76" t="str">
        <f aca="false">IF(B55="","",SUMIFS('Flujo de Pagos'!I$7:I$506,'Flujo de Pagos'!E$7:E$506,B55,'Flujo de Pagos'!B$7:B$506,AJ7))</f>
        <v/>
      </c>
      <c r="AK55" s="76" t="str">
        <f aca="false">IF(B55="","",SUMIFS('Flujo de Pagos'!I$7:I$506,'Flujo de Pagos'!E$7:E$506,B55,'Flujo de Pagos'!B$7:B$506,AK7))</f>
        <v/>
      </c>
      <c r="AL55" s="76" t="str">
        <f aca="false">IF(B55="","",SUMIFS('Flujo de Pagos'!I$7:I$506,'Flujo de Pagos'!E$7:E$506,B55,'Flujo de Pagos'!B$7:B$506,AL7))</f>
        <v/>
      </c>
      <c r="AM55" s="76" t="str">
        <f aca="false">IF(B55="","",SUM(C55:AL55))</f>
        <v/>
      </c>
    </row>
    <row r="56" customFormat="false" ht="15.75" hidden="false" customHeight="true" outlineLevel="0" collapsed="false">
      <c r="B56" s="64" t="str">
        <f aca="false">IF(Presupuesto!B53="","",Presupuesto!B53)</f>
        <v/>
      </c>
      <c r="C56" s="76" t="str">
        <f aca="false">IF(B56="","",SUMIFS('Flujo de Pagos'!I$7:I$506,'Flujo de Pagos'!E$7:E$506,B56,'Flujo de Pagos'!B$7:B$506,C7))</f>
        <v/>
      </c>
      <c r="D56" s="76" t="str">
        <f aca="false">IF(B56="","",SUMIFS('Flujo de Pagos'!I$7:I$506,'Flujo de Pagos'!E$7:E$506,B56,'Flujo de Pagos'!B$7:B$506,D7))</f>
        <v/>
      </c>
      <c r="E56" s="76" t="str">
        <f aca="false">IF(B56="","",SUMIFS('Flujo de Pagos'!I$7:I$506,'Flujo de Pagos'!E$7:E$506,B56,'Flujo de Pagos'!B$7:B$506,E7))</f>
        <v/>
      </c>
      <c r="F56" s="76" t="str">
        <f aca="false">IF(B56="","",SUMIFS('Flujo de Pagos'!I$7:I$506,'Flujo de Pagos'!E$7:E$506,B56,'Flujo de Pagos'!B$7:B$506,F7))</f>
        <v/>
      </c>
      <c r="G56" s="76" t="str">
        <f aca="false">IF(B56="","",SUMIFS('Flujo de Pagos'!I$7:I$506,'Flujo de Pagos'!E$7:E$506,B56,'Flujo de Pagos'!B$7:B$506,G7))</f>
        <v/>
      </c>
      <c r="H56" s="76" t="str">
        <f aca="false">IF(B56="","",SUMIFS('Flujo de Pagos'!I$7:I$506,'Flujo de Pagos'!E$7:E$506,B56,'Flujo de Pagos'!B$7:B$506,H7))</f>
        <v/>
      </c>
      <c r="I56" s="76" t="str">
        <f aca="false">IF(B56="","",SUMIFS('Flujo de Pagos'!I$7:I$506,'Flujo de Pagos'!E$7:E$506,B56,'Flujo de Pagos'!B$7:B$506,I7))</f>
        <v/>
      </c>
      <c r="J56" s="76" t="str">
        <f aca="false">IF(B56="","",SUMIFS('Flujo de Pagos'!I$7:I$506,'Flujo de Pagos'!E$7:E$506,B56,'Flujo de Pagos'!B$7:B$506,J7))</f>
        <v/>
      </c>
      <c r="K56" s="76" t="str">
        <f aca="false">IF(B56="","",SUMIFS('Flujo de Pagos'!I$7:I$506,'Flujo de Pagos'!E$7:E$506,B56,'Flujo de Pagos'!B$7:B$506,K7))</f>
        <v/>
      </c>
      <c r="L56" s="76" t="str">
        <f aca="false">IF(B56="","",SUMIFS('Flujo de Pagos'!I$7:I$506,'Flujo de Pagos'!E$7:E$506,B56,'Flujo de Pagos'!B$7:B$506,L7))</f>
        <v/>
      </c>
      <c r="M56" s="76" t="str">
        <f aca="false">IF(B56="","",SUMIFS('Flujo de Pagos'!I$7:I$506,'Flujo de Pagos'!E$7:E$506,B56,'Flujo de Pagos'!B$7:B$506,M7))</f>
        <v/>
      </c>
      <c r="N56" s="76" t="str">
        <f aca="false">IF(B56="","",SUMIFS('Flujo de Pagos'!I$7:I$506,'Flujo de Pagos'!E$7:E$506,B56,'Flujo de Pagos'!B$7:B$506,N7))</f>
        <v/>
      </c>
      <c r="O56" s="76" t="str">
        <f aca="false">IF(B56="","",SUMIFS('Flujo de Pagos'!I$7:I$506,'Flujo de Pagos'!E$7:E$506,B56,'Flujo de Pagos'!B$7:B$506,O7))</f>
        <v/>
      </c>
      <c r="P56" s="76" t="str">
        <f aca="false">IF(B56="","",SUMIFS('Flujo de Pagos'!I$7:I$506,'Flujo de Pagos'!E$7:E$506,B56,'Flujo de Pagos'!B$7:B$506,P7))</f>
        <v/>
      </c>
      <c r="Q56" s="76" t="str">
        <f aca="false">IF(B56="","",SUMIFS('Flujo de Pagos'!I$7:I$506,'Flujo de Pagos'!E$7:E$506,B56,'Flujo de Pagos'!B$7:B$506,Q7))</f>
        <v/>
      </c>
      <c r="R56" s="76" t="str">
        <f aca="false">IF(B56="","",SUMIFS('Flujo de Pagos'!I$7:I$506,'Flujo de Pagos'!E$7:E$506,B56,'Flujo de Pagos'!B$7:B$506,R7))</f>
        <v/>
      </c>
      <c r="S56" s="76" t="str">
        <f aca="false">IF(B56="","",SUMIFS('Flujo de Pagos'!I$7:I$506,'Flujo de Pagos'!E$7:E$506,B56,'Flujo de Pagos'!B$7:B$506,S7))</f>
        <v/>
      </c>
      <c r="T56" s="76" t="str">
        <f aca="false">IF(B56="","",SUMIFS('Flujo de Pagos'!I$7:I$506,'Flujo de Pagos'!E$7:E$506,B56,'Flujo de Pagos'!B$7:B$506,T7))</f>
        <v/>
      </c>
      <c r="U56" s="76" t="str">
        <f aca="false">IF(B56="","",SUMIFS('Flujo de Pagos'!I$7:I$506,'Flujo de Pagos'!E$7:E$506,B56,'Flujo de Pagos'!B$7:B$506,U7))</f>
        <v/>
      </c>
      <c r="V56" s="76" t="str">
        <f aca="false">IF(B56="","",SUMIFS('Flujo de Pagos'!I$7:I$506,'Flujo de Pagos'!E$7:E$506,B56,'Flujo de Pagos'!B$7:B$506,V7))</f>
        <v/>
      </c>
      <c r="W56" s="76" t="str">
        <f aca="false">IF(B56="","",SUMIFS('Flujo de Pagos'!I$7:I$506,'Flujo de Pagos'!E$7:E$506,B56,'Flujo de Pagos'!B$7:B$506,W7))</f>
        <v/>
      </c>
      <c r="X56" s="76" t="str">
        <f aca="false">IF(B56="","",SUMIFS('Flujo de Pagos'!I$7:I$506,'Flujo de Pagos'!E$7:E$506,B56,'Flujo de Pagos'!B$7:B$506,X7))</f>
        <v/>
      </c>
      <c r="Y56" s="76" t="str">
        <f aca="false">IF(B56="","",SUMIFS('Flujo de Pagos'!I$7:I$506,'Flujo de Pagos'!E$7:E$506,B56,'Flujo de Pagos'!B$7:B$506,Y7))</f>
        <v/>
      </c>
      <c r="Z56" s="76" t="str">
        <f aca="false">IF(B56="","",SUMIFS('Flujo de Pagos'!I$7:I$506,'Flujo de Pagos'!E$7:E$506,B56,'Flujo de Pagos'!B$7:B$506,Z7))</f>
        <v/>
      </c>
      <c r="AA56" s="76" t="str">
        <f aca="false">IF(B56="","",SUMIFS('Flujo de Pagos'!I$7:I$506,'Flujo de Pagos'!E$7:E$506,B56,'Flujo de Pagos'!B$7:B$506,AA7))</f>
        <v/>
      </c>
      <c r="AB56" s="76" t="str">
        <f aca="false">IF(B56="","",SUMIFS('Flujo de Pagos'!I$7:I$506,'Flujo de Pagos'!E$7:E$506,B56,'Flujo de Pagos'!B$7:B$506,AB7))</f>
        <v/>
      </c>
      <c r="AC56" s="76" t="str">
        <f aca="false">IF(B56="","",SUMIFS('Flujo de Pagos'!I$7:I$506,'Flujo de Pagos'!E$7:E$506,B56,'Flujo de Pagos'!B$7:B$506,AC7))</f>
        <v/>
      </c>
      <c r="AD56" s="76" t="str">
        <f aca="false">IF(B56="","",SUMIFS('Flujo de Pagos'!I$7:I$506,'Flujo de Pagos'!E$7:E$506,B56,'Flujo de Pagos'!B$7:B$506,AD7))</f>
        <v/>
      </c>
      <c r="AE56" s="76" t="str">
        <f aca="false">IF(B56="","",SUMIFS('Flujo de Pagos'!I$7:I$506,'Flujo de Pagos'!E$7:E$506,B56,'Flujo de Pagos'!B$7:B$506,AE7))</f>
        <v/>
      </c>
      <c r="AF56" s="76" t="str">
        <f aca="false">IF(B56="","",SUMIFS('Flujo de Pagos'!I$7:I$506,'Flujo de Pagos'!E$7:E$506,B56,'Flujo de Pagos'!B$7:B$506,AF7))</f>
        <v/>
      </c>
      <c r="AG56" s="76" t="str">
        <f aca="false">IF(B56="","",SUMIFS('Flujo de Pagos'!I$7:I$506,'Flujo de Pagos'!E$7:E$506,B56,'Flujo de Pagos'!B$7:B$506,AG7))</f>
        <v/>
      </c>
      <c r="AH56" s="76" t="str">
        <f aca="false">IF(B56="","",SUMIFS('Flujo de Pagos'!I$7:I$506,'Flujo de Pagos'!E$7:E$506,B56,'Flujo de Pagos'!B$7:B$506,AH7))</f>
        <v/>
      </c>
      <c r="AI56" s="76" t="str">
        <f aca="false">IF(B56="","",SUMIFS('Flujo de Pagos'!I$7:I$506,'Flujo de Pagos'!E$7:E$506,B56,'Flujo de Pagos'!B$7:B$506,AI7))</f>
        <v/>
      </c>
      <c r="AJ56" s="76" t="str">
        <f aca="false">IF(B56="","",SUMIFS('Flujo de Pagos'!I$7:I$506,'Flujo de Pagos'!E$7:E$506,B56,'Flujo de Pagos'!B$7:B$506,AJ7))</f>
        <v/>
      </c>
      <c r="AK56" s="76" t="str">
        <f aca="false">IF(B56="","",SUMIFS('Flujo de Pagos'!I$7:I$506,'Flujo de Pagos'!E$7:E$506,B56,'Flujo de Pagos'!B$7:B$506,AK7))</f>
        <v/>
      </c>
      <c r="AL56" s="76" t="str">
        <f aca="false">IF(B56="","",SUMIFS('Flujo de Pagos'!I$7:I$506,'Flujo de Pagos'!E$7:E$506,B56,'Flujo de Pagos'!B$7:B$506,AL7))</f>
        <v/>
      </c>
      <c r="AM56" s="76" t="str">
        <f aca="false">IF(B56="","",SUM(C56:AL56))</f>
        <v/>
      </c>
    </row>
    <row r="57" customFormat="false" ht="15.75" hidden="false" customHeight="true" outlineLevel="0" collapsed="false">
      <c r="B57" s="64" t="str">
        <f aca="false">IF(Presupuesto!B54="","",Presupuesto!B54)</f>
        <v/>
      </c>
      <c r="C57" s="76" t="str">
        <f aca="false">IF(B57="","",SUMIFS('Flujo de Pagos'!I$7:I$506,'Flujo de Pagos'!E$7:E$506,B57,'Flujo de Pagos'!B$7:B$506,C7))</f>
        <v/>
      </c>
      <c r="D57" s="76" t="str">
        <f aca="false">IF(B57="","",SUMIFS('Flujo de Pagos'!I$7:I$506,'Flujo de Pagos'!E$7:E$506,B57,'Flujo de Pagos'!B$7:B$506,D7))</f>
        <v/>
      </c>
      <c r="E57" s="76" t="str">
        <f aca="false">IF(B57="","",SUMIFS('Flujo de Pagos'!I$7:I$506,'Flujo de Pagos'!E$7:E$506,B57,'Flujo de Pagos'!B$7:B$506,E7))</f>
        <v/>
      </c>
      <c r="F57" s="76" t="str">
        <f aca="false">IF(B57="","",SUMIFS('Flujo de Pagos'!I$7:I$506,'Flujo de Pagos'!E$7:E$506,B57,'Flujo de Pagos'!B$7:B$506,F7))</f>
        <v/>
      </c>
      <c r="G57" s="76" t="str">
        <f aca="false">IF(B57="","",SUMIFS('Flujo de Pagos'!I$7:I$506,'Flujo de Pagos'!E$7:E$506,B57,'Flujo de Pagos'!B$7:B$506,G7))</f>
        <v/>
      </c>
      <c r="H57" s="76" t="str">
        <f aca="false">IF(B57="","",SUMIFS('Flujo de Pagos'!I$7:I$506,'Flujo de Pagos'!E$7:E$506,B57,'Flujo de Pagos'!B$7:B$506,H7))</f>
        <v/>
      </c>
      <c r="I57" s="76" t="str">
        <f aca="false">IF(B57="","",SUMIFS('Flujo de Pagos'!I$7:I$506,'Flujo de Pagos'!E$7:E$506,B57,'Flujo de Pagos'!B$7:B$506,I7))</f>
        <v/>
      </c>
      <c r="J57" s="76" t="str">
        <f aca="false">IF(B57="","",SUMIFS('Flujo de Pagos'!I$7:I$506,'Flujo de Pagos'!E$7:E$506,B57,'Flujo de Pagos'!B$7:B$506,J7))</f>
        <v/>
      </c>
      <c r="K57" s="76" t="str">
        <f aca="false">IF(B57="","",SUMIFS('Flujo de Pagos'!I$7:I$506,'Flujo de Pagos'!E$7:E$506,B57,'Flujo de Pagos'!B$7:B$506,K7))</f>
        <v/>
      </c>
      <c r="L57" s="76" t="str">
        <f aca="false">IF(B57="","",SUMIFS('Flujo de Pagos'!I$7:I$506,'Flujo de Pagos'!E$7:E$506,B57,'Flujo de Pagos'!B$7:B$506,L7))</f>
        <v/>
      </c>
      <c r="M57" s="76" t="str">
        <f aca="false">IF(B57="","",SUMIFS('Flujo de Pagos'!I$7:I$506,'Flujo de Pagos'!E$7:E$506,B57,'Flujo de Pagos'!B$7:B$506,M7))</f>
        <v/>
      </c>
      <c r="N57" s="76" t="str">
        <f aca="false">IF(B57="","",SUMIFS('Flujo de Pagos'!I$7:I$506,'Flujo de Pagos'!E$7:E$506,B57,'Flujo de Pagos'!B$7:B$506,N7))</f>
        <v/>
      </c>
      <c r="O57" s="76" t="str">
        <f aca="false">IF(B57="","",SUMIFS('Flujo de Pagos'!I$7:I$506,'Flujo de Pagos'!E$7:E$506,B57,'Flujo de Pagos'!B$7:B$506,O7))</f>
        <v/>
      </c>
      <c r="P57" s="76" t="str">
        <f aca="false">IF(B57="","",SUMIFS('Flujo de Pagos'!I$7:I$506,'Flujo de Pagos'!E$7:E$506,B57,'Flujo de Pagos'!B$7:B$506,P7))</f>
        <v/>
      </c>
      <c r="Q57" s="76" t="str">
        <f aca="false">IF(B57="","",SUMIFS('Flujo de Pagos'!I$7:I$506,'Flujo de Pagos'!E$7:E$506,B57,'Flujo de Pagos'!B$7:B$506,Q7))</f>
        <v/>
      </c>
      <c r="R57" s="76" t="str">
        <f aca="false">IF(B57="","",SUMIFS('Flujo de Pagos'!I$7:I$506,'Flujo de Pagos'!E$7:E$506,B57,'Flujo de Pagos'!B$7:B$506,R7))</f>
        <v/>
      </c>
      <c r="S57" s="76" t="str">
        <f aca="false">IF(B57="","",SUMIFS('Flujo de Pagos'!I$7:I$506,'Flujo de Pagos'!E$7:E$506,B57,'Flujo de Pagos'!B$7:B$506,S7))</f>
        <v/>
      </c>
      <c r="T57" s="76" t="str">
        <f aca="false">IF(B57="","",SUMIFS('Flujo de Pagos'!I$7:I$506,'Flujo de Pagos'!E$7:E$506,B57,'Flujo de Pagos'!B$7:B$506,T7))</f>
        <v/>
      </c>
      <c r="U57" s="76" t="str">
        <f aca="false">IF(B57="","",SUMIFS('Flujo de Pagos'!I$7:I$506,'Flujo de Pagos'!E$7:E$506,B57,'Flujo de Pagos'!B$7:B$506,U7))</f>
        <v/>
      </c>
      <c r="V57" s="76" t="str">
        <f aca="false">IF(B57="","",SUMIFS('Flujo de Pagos'!I$7:I$506,'Flujo de Pagos'!E$7:E$506,B57,'Flujo de Pagos'!B$7:B$506,V7))</f>
        <v/>
      </c>
      <c r="W57" s="76" t="str">
        <f aca="false">IF(B57="","",SUMIFS('Flujo de Pagos'!I$7:I$506,'Flujo de Pagos'!E$7:E$506,B57,'Flujo de Pagos'!B$7:B$506,W7))</f>
        <v/>
      </c>
      <c r="X57" s="76" t="str">
        <f aca="false">IF(B57="","",SUMIFS('Flujo de Pagos'!I$7:I$506,'Flujo de Pagos'!E$7:E$506,B57,'Flujo de Pagos'!B$7:B$506,X7))</f>
        <v/>
      </c>
      <c r="Y57" s="76" t="str">
        <f aca="false">IF(B57="","",SUMIFS('Flujo de Pagos'!I$7:I$506,'Flujo de Pagos'!E$7:E$506,B57,'Flujo de Pagos'!B$7:B$506,Y7))</f>
        <v/>
      </c>
      <c r="Z57" s="76" t="str">
        <f aca="false">IF(B57="","",SUMIFS('Flujo de Pagos'!I$7:I$506,'Flujo de Pagos'!E$7:E$506,B57,'Flujo de Pagos'!B$7:B$506,Z7))</f>
        <v/>
      </c>
      <c r="AA57" s="76" t="str">
        <f aca="false">IF(B57="","",SUMIFS('Flujo de Pagos'!I$7:I$506,'Flujo de Pagos'!E$7:E$506,B57,'Flujo de Pagos'!B$7:B$506,AA7))</f>
        <v/>
      </c>
      <c r="AB57" s="76" t="str">
        <f aca="false">IF(B57="","",SUMIFS('Flujo de Pagos'!I$7:I$506,'Flujo de Pagos'!E$7:E$506,B57,'Flujo de Pagos'!B$7:B$506,AB7))</f>
        <v/>
      </c>
      <c r="AC57" s="76" t="str">
        <f aca="false">IF(B57="","",SUMIFS('Flujo de Pagos'!I$7:I$506,'Flujo de Pagos'!E$7:E$506,B57,'Flujo de Pagos'!B$7:B$506,AC7))</f>
        <v/>
      </c>
      <c r="AD57" s="76" t="str">
        <f aca="false">IF(B57="","",SUMIFS('Flujo de Pagos'!I$7:I$506,'Flujo de Pagos'!E$7:E$506,B57,'Flujo de Pagos'!B$7:B$506,AD7))</f>
        <v/>
      </c>
      <c r="AE57" s="76" t="str">
        <f aca="false">IF(B57="","",SUMIFS('Flujo de Pagos'!I$7:I$506,'Flujo de Pagos'!E$7:E$506,B57,'Flujo de Pagos'!B$7:B$506,AE7))</f>
        <v/>
      </c>
      <c r="AF57" s="76" t="str">
        <f aca="false">IF(B57="","",SUMIFS('Flujo de Pagos'!I$7:I$506,'Flujo de Pagos'!E$7:E$506,B57,'Flujo de Pagos'!B$7:B$506,AF7))</f>
        <v/>
      </c>
      <c r="AG57" s="76" t="str">
        <f aca="false">IF(B57="","",SUMIFS('Flujo de Pagos'!I$7:I$506,'Flujo de Pagos'!E$7:E$506,B57,'Flujo de Pagos'!B$7:B$506,AG7))</f>
        <v/>
      </c>
      <c r="AH57" s="76" t="str">
        <f aca="false">IF(B57="","",SUMIFS('Flujo de Pagos'!I$7:I$506,'Flujo de Pagos'!E$7:E$506,B57,'Flujo de Pagos'!B$7:B$506,AH7))</f>
        <v/>
      </c>
      <c r="AI57" s="76" t="str">
        <f aca="false">IF(B57="","",SUMIFS('Flujo de Pagos'!I$7:I$506,'Flujo de Pagos'!E$7:E$506,B57,'Flujo de Pagos'!B$7:B$506,AI7))</f>
        <v/>
      </c>
      <c r="AJ57" s="76" t="str">
        <f aca="false">IF(B57="","",SUMIFS('Flujo de Pagos'!I$7:I$506,'Flujo de Pagos'!E$7:E$506,B57,'Flujo de Pagos'!B$7:B$506,AJ7))</f>
        <v/>
      </c>
      <c r="AK57" s="76" t="str">
        <f aca="false">IF(B57="","",SUMIFS('Flujo de Pagos'!I$7:I$506,'Flujo de Pagos'!E$7:E$506,B57,'Flujo de Pagos'!B$7:B$506,AK7))</f>
        <v/>
      </c>
      <c r="AL57" s="76" t="str">
        <f aca="false">IF(B57="","",SUMIFS('Flujo de Pagos'!I$7:I$506,'Flujo de Pagos'!E$7:E$506,B57,'Flujo de Pagos'!B$7:B$506,AL7))</f>
        <v/>
      </c>
      <c r="AM57" s="76" t="str">
        <f aca="false">IF(B57="","",SUM(C57:AL57))</f>
        <v/>
      </c>
    </row>
    <row r="58" customFormat="false" ht="15.75" hidden="false" customHeight="true" outlineLevel="0" collapsed="false">
      <c r="B58" s="64" t="str">
        <f aca="false">IF(Presupuesto!B55="","",Presupuesto!B55)</f>
        <v/>
      </c>
      <c r="C58" s="76" t="str">
        <f aca="false">IF(B58="","",SUMIFS('Flujo de Pagos'!I$7:I$506,'Flujo de Pagos'!E$7:E$506,B58,'Flujo de Pagos'!B$7:B$506,C7))</f>
        <v/>
      </c>
      <c r="D58" s="76" t="str">
        <f aca="false">IF(B58="","",SUMIFS('Flujo de Pagos'!I$7:I$506,'Flujo de Pagos'!E$7:E$506,B58,'Flujo de Pagos'!B$7:B$506,D7))</f>
        <v/>
      </c>
      <c r="E58" s="76" t="str">
        <f aca="false">IF(B58="","",SUMIFS('Flujo de Pagos'!I$7:I$506,'Flujo de Pagos'!E$7:E$506,B58,'Flujo de Pagos'!B$7:B$506,E7))</f>
        <v/>
      </c>
      <c r="F58" s="76" t="str">
        <f aca="false">IF(B58="","",SUMIFS('Flujo de Pagos'!I$7:I$506,'Flujo de Pagos'!E$7:E$506,B58,'Flujo de Pagos'!B$7:B$506,F7))</f>
        <v/>
      </c>
      <c r="G58" s="76" t="str">
        <f aca="false">IF(B58="","",SUMIFS('Flujo de Pagos'!I$7:I$506,'Flujo de Pagos'!E$7:E$506,B58,'Flujo de Pagos'!B$7:B$506,G7))</f>
        <v/>
      </c>
      <c r="H58" s="76" t="str">
        <f aca="false">IF(B58="","",SUMIFS('Flujo de Pagos'!I$7:I$506,'Flujo de Pagos'!E$7:E$506,B58,'Flujo de Pagos'!B$7:B$506,H7))</f>
        <v/>
      </c>
      <c r="I58" s="76" t="str">
        <f aca="false">IF(B58="","",SUMIFS('Flujo de Pagos'!I$7:I$506,'Flujo de Pagos'!E$7:E$506,B58,'Flujo de Pagos'!B$7:B$506,I7))</f>
        <v/>
      </c>
      <c r="J58" s="76" t="str">
        <f aca="false">IF(B58="","",SUMIFS('Flujo de Pagos'!I$7:I$506,'Flujo de Pagos'!E$7:E$506,B58,'Flujo de Pagos'!B$7:B$506,J7))</f>
        <v/>
      </c>
      <c r="K58" s="76" t="str">
        <f aca="false">IF(B58="","",SUMIFS('Flujo de Pagos'!I$7:I$506,'Flujo de Pagos'!E$7:E$506,B58,'Flujo de Pagos'!B$7:B$506,K7))</f>
        <v/>
      </c>
      <c r="L58" s="76" t="str">
        <f aca="false">IF(B58="","",SUMIFS('Flujo de Pagos'!I$7:I$506,'Flujo de Pagos'!E$7:E$506,B58,'Flujo de Pagos'!B$7:B$506,L7))</f>
        <v/>
      </c>
      <c r="M58" s="76" t="str">
        <f aca="false">IF(B58="","",SUMIFS('Flujo de Pagos'!I$7:I$506,'Flujo de Pagos'!E$7:E$506,B58,'Flujo de Pagos'!B$7:B$506,M7))</f>
        <v/>
      </c>
      <c r="N58" s="76" t="str">
        <f aca="false">IF(B58="","",SUMIFS('Flujo de Pagos'!I$7:I$506,'Flujo de Pagos'!E$7:E$506,B58,'Flujo de Pagos'!B$7:B$506,N7))</f>
        <v/>
      </c>
      <c r="O58" s="76" t="str">
        <f aca="false">IF(B58="","",SUMIFS('Flujo de Pagos'!I$7:I$506,'Flujo de Pagos'!E$7:E$506,B58,'Flujo de Pagos'!B$7:B$506,O7))</f>
        <v/>
      </c>
      <c r="P58" s="76" t="str">
        <f aca="false">IF(B58="","",SUMIFS('Flujo de Pagos'!I$7:I$506,'Flujo de Pagos'!E$7:E$506,B58,'Flujo de Pagos'!B$7:B$506,P7))</f>
        <v/>
      </c>
      <c r="Q58" s="76" t="str">
        <f aca="false">IF(B58="","",SUMIFS('Flujo de Pagos'!I$7:I$506,'Flujo de Pagos'!E$7:E$506,B58,'Flujo de Pagos'!B$7:B$506,Q7))</f>
        <v/>
      </c>
      <c r="R58" s="76" t="str">
        <f aca="false">IF(B58="","",SUMIFS('Flujo de Pagos'!I$7:I$506,'Flujo de Pagos'!E$7:E$506,B58,'Flujo de Pagos'!B$7:B$506,R7))</f>
        <v/>
      </c>
      <c r="S58" s="76" t="str">
        <f aca="false">IF(B58="","",SUMIFS('Flujo de Pagos'!I$7:I$506,'Flujo de Pagos'!E$7:E$506,B58,'Flujo de Pagos'!B$7:B$506,S7))</f>
        <v/>
      </c>
      <c r="T58" s="76" t="str">
        <f aca="false">IF(B58="","",SUMIFS('Flujo de Pagos'!I$7:I$506,'Flujo de Pagos'!E$7:E$506,B58,'Flujo de Pagos'!B$7:B$506,T7))</f>
        <v/>
      </c>
      <c r="U58" s="76" t="str">
        <f aca="false">IF(B58="","",SUMIFS('Flujo de Pagos'!I$7:I$506,'Flujo de Pagos'!E$7:E$506,B58,'Flujo de Pagos'!B$7:B$506,U7))</f>
        <v/>
      </c>
      <c r="V58" s="76" t="str">
        <f aca="false">IF(B58="","",SUMIFS('Flujo de Pagos'!I$7:I$506,'Flujo de Pagos'!E$7:E$506,B58,'Flujo de Pagos'!B$7:B$506,V7))</f>
        <v/>
      </c>
      <c r="W58" s="76" t="str">
        <f aca="false">IF(B58="","",SUMIFS('Flujo de Pagos'!I$7:I$506,'Flujo de Pagos'!E$7:E$506,B58,'Flujo de Pagos'!B$7:B$506,W7))</f>
        <v/>
      </c>
      <c r="X58" s="76" t="str">
        <f aca="false">IF(B58="","",SUMIFS('Flujo de Pagos'!I$7:I$506,'Flujo de Pagos'!E$7:E$506,B58,'Flujo de Pagos'!B$7:B$506,X7))</f>
        <v/>
      </c>
      <c r="Y58" s="76" t="str">
        <f aca="false">IF(B58="","",SUMIFS('Flujo de Pagos'!I$7:I$506,'Flujo de Pagos'!E$7:E$506,B58,'Flujo de Pagos'!B$7:B$506,Y7))</f>
        <v/>
      </c>
      <c r="Z58" s="76" t="str">
        <f aca="false">IF(B58="","",SUMIFS('Flujo de Pagos'!I$7:I$506,'Flujo de Pagos'!E$7:E$506,B58,'Flujo de Pagos'!B$7:B$506,Z7))</f>
        <v/>
      </c>
      <c r="AA58" s="76" t="str">
        <f aca="false">IF(B58="","",SUMIFS('Flujo de Pagos'!I$7:I$506,'Flujo de Pagos'!E$7:E$506,B58,'Flujo de Pagos'!B$7:B$506,AA7))</f>
        <v/>
      </c>
      <c r="AB58" s="76" t="str">
        <f aca="false">IF(B58="","",SUMIFS('Flujo de Pagos'!I$7:I$506,'Flujo de Pagos'!E$7:E$506,B58,'Flujo de Pagos'!B$7:B$506,AB7))</f>
        <v/>
      </c>
      <c r="AC58" s="76" t="str">
        <f aca="false">IF(B58="","",SUMIFS('Flujo de Pagos'!I$7:I$506,'Flujo de Pagos'!E$7:E$506,B58,'Flujo de Pagos'!B$7:B$506,AC7))</f>
        <v/>
      </c>
      <c r="AD58" s="76" t="str">
        <f aca="false">IF(B58="","",SUMIFS('Flujo de Pagos'!I$7:I$506,'Flujo de Pagos'!E$7:E$506,B58,'Flujo de Pagos'!B$7:B$506,AD7))</f>
        <v/>
      </c>
      <c r="AE58" s="76" t="str">
        <f aca="false">IF(B58="","",SUMIFS('Flujo de Pagos'!I$7:I$506,'Flujo de Pagos'!E$7:E$506,B58,'Flujo de Pagos'!B$7:B$506,AE7))</f>
        <v/>
      </c>
      <c r="AF58" s="76" t="str">
        <f aca="false">IF(B58="","",SUMIFS('Flujo de Pagos'!I$7:I$506,'Flujo de Pagos'!E$7:E$506,B58,'Flujo de Pagos'!B$7:B$506,AF7))</f>
        <v/>
      </c>
      <c r="AG58" s="76" t="str">
        <f aca="false">IF(B58="","",SUMIFS('Flujo de Pagos'!I$7:I$506,'Flujo de Pagos'!E$7:E$506,B58,'Flujo de Pagos'!B$7:B$506,AG7))</f>
        <v/>
      </c>
      <c r="AH58" s="76" t="str">
        <f aca="false">IF(B58="","",SUMIFS('Flujo de Pagos'!I$7:I$506,'Flujo de Pagos'!E$7:E$506,B58,'Flujo de Pagos'!B$7:B$506,AH7))</f>
        <v/>
      </c>
      <c r="AI58" s="76" t="str">
        <f aca="false">IF(B58="","",SUMIFS('Flujo de Pagos'!I$7:I$506,'Flujo de Pagos'!E$7:E$506,B58,'Flujo de Pagos'!B$7:B$506,AI7))</f>
        <v/>
      </c>
      <c r="AJ58" s="76" t="str">
        <f aca="false">IF(B58="","",SUMIFS('Flujo de Pagos'!I$7:I$506,'Flujo de Pagos'!E$7:E$506,B58,'Flujo de Pagos'!B$7:B$506,AJ7))</f>
        <v/>
      </c>
      <c r="AK58" s="76" t="str">
        <f aca="false">IF(B58="","",SUMIFS('Flujo de Pagos'!I$7:I$506,'Flujo de Pagos'!E$7:E$506,B58,'Flujo de Pagos'!B$7:B$506,AK7))</f>
        <v/>
      </c>
      <c r="AL58" s="76" t="str">
        <f aca="false">IF(B58="","",SUMIFS('Flujo de Pagos'!I$7:I$506,'Flujo de Pagos'!E$7:E$506,B58,'Flujo de Pagos'!B$7:B$506,AL7))</f>
        <v/>
      </c>
      <c r="AM58" s="76" t="str">
        <f aca="false">IF(B58="","",SUM(C58:AL58))</f>
        <v/>
      </c>
    </row>
    <row r="59" customFormat="false" ht="15.75" hidden="false" customHeight="true" outlineLevel="0" collapsed="false">
      <c r="B59" s="64" t="str">
        <f aca="false">IF(Presupuesto!B56="","",Presupuesto!B56)</f>
        <v/>
      </c>
      <c r="C59" s="76" t="str">
        <f aca="false">IF(B59="","",SUMIFS('Flujo de Pagos'!I$7:I$506,'Flujo de Pagos'!E$7:E$506,B59,'Flujo de Pagos'!B$7:B$506,C7))</f>
        <v/>
      </c>
      <c r="D59" s="76" t="str">
        <f aca="false">IF(B59="","",SUMIFS('Flujo de Pagos'!I$7:I$506,'Flujo de Pagos'!E$7:E$506,B59,'Flujo de Pagos'!B$7:B$506,D7))</f>
        <v/>
      </c>
      <c r="E59" s="76" t="str">
        <f aca="false">IF(B59="","",SUMIFS('Flujo de Pagos'!I$7:I$506,'Flujo de Pagos'!E$7:E$506,B59,'Flujo de Pagos'!B$7:B$506,E7))</f>
        <v/>
      </c>
      <c r="F59" s="76" t="str">
        <f aca="false">IF(B59="","",SUMIFS('Flujo de Pagos'!I$7:I$506,'Flujo de Pagos'!E$7:E$506,B59,'Flujo de Pagos'!B$7:B$506,F7))</f>
        <v/>
      </c>
      <c r="G59" s="76" t="str">
        <f aca="false">IF(B59="","",SUMIFS('Flujo de Pagos'!I$7:I$506,'Flujo de Pagos'!E$7:E$506,B59,'Flujo de Pagos'!B$7:B$506,G7))</f>
        <v/>
      </c>
      <c r="H59" s="76" t="str">
        <f aca="false">IF(B59="","",SUMIFS('Flujo de Pagos'!I$7:I$506,'Flujo de Pagos'!E$7:E$506,B59,'Flujo de Pagos'!B$7:B$506,H7))</f>
        <v/>
      </c>
      <c r="I59" s="76" t="str">
        <f aca="false">IF(B59="","",SUMIFS('Flujo de Pagos'!I$7:I$506,'Flujo de Pagos'!E$7:E$506,B59,'Flujo de Pagos'!B$7:B$506,I7))</f>
        <v/>
      </c>
      <c r="J59" s="76" t="str">
        <f aca="false">IF(B59="","",SUMIFS('Flujo de Pagos'!I$7:I$506,'Flujo de Pagos'!E$7:E$506,B59,'Flujo de Pagos'!B$7:B$506,J7))</f>
        <v/>
      </c>
      <c r="K59" s="76" t="str">
        <f aca="false">IF(B59="","",SUMIFS('Flujo de Pagos'!I$7:I$506,'Flujo de Pagos'!E$7:E$506,B59,'Flujo de Pagos'!B$7:B$506,K7))</f>
        <v/>
      </c>
      <c r="L59" s="76" t="str">
        <f aca="false">IF(B59="","",SUMIFS('Flujo de Pagos'!I$7:I$506,'Flujo de Pagos'!E$7:E$506,B59,'Flujo de Pagos'!B$7:B$506,L7))</f>
        <v/>
      </c>
      <c r="M59" s="76" t="str">
        <f aca="false">IF(B59="","",SUMIFS('Flujo de Pagos'!I$7:I$506,'Flujo de Pagos'!E$7:E$506,B59,'Flujo de Pagos'!B$7:B$506,M7))</f>
        <v/>
      </c>
      <c r="N59" s="76" t="str">
        <f aca="false">IF(B59="","",SUMIFS('Flujo de Pagos'!I$7:I$506,'Flujo de Pagos'!E$7:E$506,B59,'Flujo de Pagos'!B$7:B$506,N7))</f>
        <v/>
      </c>
      <c r="O59" s="76" t="str">
        <f aca="false">IF(B59="","",SUMIFS('Flujo de Pagos'!I$7:I$506,'Flujo de Pagos'!E$7:E$506,B59,'Flujo de Pagos'!B$7:B$506,O7))</f>
        <v/>
      </c>
      <c r="P59" s="76" t="str">
        <f aca="false">IF(B59="","",SUMIFS('Flujo de Pagos'!I$7:I$506,'Flujo de Pagos'!E$7:E$506,B59,'Flujo de Pagos'!B$7:B$506,P7))</f>
        <v/>
      </c>
      <c r="Q59" s="76" t="str">
        <f aca="false">IF(B59="","",SUMIFS('Flujo de Pagos'!I$7:I$506,'Flujo de Pagos'!E$7:E$506,B59,'Flujo de Pagos'!B$7:B$506,Q7))</f>
        <v/>
      </c>
      <c r="R59" s="76" t="str">
        <f aca="false">IF(B59="","",SUMIFS('Flujo de Pagos'!I$7:I$506,'Flujo de Pagos'!E$7:E$506,B59,'Flujo de Pagos'!B$7:B$506,R7))</f>
        <v/>
      </c>
      <c r="S59" s="76" t="str">
        <f aca="false">IF(B59="","",SUMIFS('Flujo de Pagos'!I$7:I$506,'Flujo de Pagos'!E$7:E$506,B59,'Flujo de Pagos'!B$7:B$506,S7))</f>
        <v/>
      </c>
      <c r="T59" s="76" t="str">
        <f aca="false">IF(B59="","",SUMIFS('Flujo de Pagos'!I$7:I$506,'Flujo de Pagos'!E$7:E$506,B59,'Flujo de Pagos'!B$7:B$506,T7))</f>
        <v/>
      </c>
      <c r="U59" s="76" t="str">
        <f aca="false">IF(B59="","",SUMIFS('Flujo de Pagos'!I$7:I$506,'Flujo de Pagos'!E$7:E$506,B59,'Flujo de Pagos'!B$7:B$506,U7))</f>
        <v/>
      </c>
      <c r="V59" s="76" t="str">
        <f aca="false">IF(B59="","",SUMIFS('Flujo de Pagos'!I$7:I$506,'Flujo de Pagos'!E$7:E$506,B59,'Flujo de Pagos'!B$7:B$506,V7))</f>
        <v/>
      </c>
      <c r="W59" s="76" t="str">
        <f aca="false">IF(B59="","",SUMIFS('Flujo de Pagos'!I$7:I$506,'Flujo de Pagos'!E$7:E$506,B59,'Flujo de Pagos'!B$7:B$506,W7))</f>
        <v/>
      </c>
      <c r="X59" s="76" t="str">
        <f aca="false">IF(B59="","",SUMIFS('Flujo de Pagos'!I$7:I$506,'Flujo de Pagos'!E$7:E$506,B59,'Flujo de Pagos'!B$7:B$506,X7))</f>
        <v/>
      </c>
      <c r="Y59" s="76" t="str">
        <f aca="false">IF(B59="","",SUMIFS('Flujo de Pagos'!I$7:I$506,'Flujo de Pagos'!E$7:E$506,B59,'Flujo de Pagos'!B$7:B$506,Y7))</f>
        <v/>
      </c>
      <c r="Z59" s="76" t="str">
        <f aca="false">IF(B59="","",SUMIFS('Flujo de Pagos'!I$7:I$506,'Flujo de Pagos'!E$7:E$506,B59,'Flujo de Pagos'!B$7:B$506,Z7))</f>
        <v/>
      </c>
      <c r="AA59" s="76" t="str">
        <f aca="false">IF(B59="","",SUMIFS('Flujo de Pagos'!I$7:I$506,'Flujo de Pagos'!E$7:E$506,B59,'Flujo de Pagos'!B$7:B$506,AA7))</f>
        <v/>
      </c>
      <c r="AB59" s="76" t="str">
        <f aca="false">IF(B59="","",SUMIFS('Flujo de Pagos'!I$7:I$506,'Flujo de Pagos'!E$7:E$506,B59,'Flujo de Pagos'!B$7:B$506,AB7))</f>
        <v/>
      </c>
      <c r="AC59" s="76" t="str">
        <f aca="false">IF(B59="","",SUMIFS('Flujo de Pagos'!I$7:I$506,'Flujo de Pagos'!E$7:E$506,B59,'Flujo de Pagos'!B$7:B$506,AC7))</f>
        <v/>
      </c>
      <c r="AD59" s="76" t="str">
        <f aca="false">IF(B59="","",SUMIFS('Flujo de Pagos'!I$7:I$506,'Flujo de Pagos'!E$7:E$506,B59,'Flujo de Pagos'!B$7:B$506,AD7))</f>
        <v/>
      </c>
      <c r="AE59" s="76" t="str">
        <f aca="false">IF(B59="","",SUMIFS('Flujo de Pagos'!I$7:I$506,'Flujo de Pagos'!E$7:E$506,B59,'Flujo de Pagos'!B$7:B$506,AE7))</f>
        <v/>
      </c>
      <c r="AF59" s="76" t="str">
        <f aca="false">IF(B59="","",SUMIFS('Flujo de Pagos'!I$7:I$506,'Flujo de Pagos'!E$7:E$506,B59,'Flujo de Pagos'!B$7:B$506,AF7))</f>
        <v/>
      </c>
      <c r="AG59" s="76" t="str">
        <f aca="false">IF(B59="","",SUMIFS('Flujo de Pagos'!I$7:I$506,'Flujo de Pagos'!E$7:E$506,B59,'Flujo de Pagos'!B$7:B$506,AG7))</f>
        <v/>
      </c>
      <c r="AH59" s="76" t="str">
        <f aca="false">IF(B59="","",SUMIFS('Flujo de Pagos'!I$7:I$506,'Flujo de Pagos'!E$7:E$506,B59,'Flujo de Pagos'!B$7:B$506,AH7))</f>
        <v/>
      </c>
      <c r="AI59" s="76" t="str">
        <f aca="false">IF(B59="","",SUMIFS('Flujo de Pagos'!I$7:I$506,'Flujo de Pagos'!E$7:E$506,B59,'Flujo de Pagos'!B$7:B$506,AI7))</f>
        <v/>
      </c>
      <c r="AJ59" s="76" t="str">
        <f aca="false">IF(B59="","",SUMIFS('Flujo de Pagos'!I$7:I$506,'Flujo de Pagos'!E$7:E$506,B59,'Flujo de Pagos'!B$7:B$506,AJ7))</f>
        <v/>
      </c>
      <c r="AK59" s="76" t="str">
        <f aca="false">IF(B59="","",SUMIFS('Flujo de Pagos'!I$7:I$506,'Flujo de Pagos'!E$7:E$506,B59,'Flujo de Pagos'!B$7:B$506,AK7))</f>
        <v/>
      </c>
      <c r="AL59" s="76" t="str">
        <f aca="false">IF(B59="","",SUMIFS('Flujo de Pagos'!I$7:I$506,'Flujo de Pagos'!E$7:E$506,B59,'Flujo de Pagos'!B$7:B$506,AL7))</f>
        <v/>
      </c>
      <c r="AM59" s="76" t="str">
        <f aca="false">IF(B59="","",SUM(C59:AL59))</f>
        <v/>
      </c>
    </row>
    <row r="60" customFormat="false" ht="15.75" hidden="false" customHeight="true" outlineLevel="0" collapsed="false">
      <c r="B60" s="64" t="str">
        <f aca="false">IF(Presupuesto!B57="","",Presupuesto!B57)</f>
        <v/>
      </c>
      <c r="C60" s="76" t="str">
        <f aca="false">IF(B60="","",SUMIFS('Flujo de Pagos'!I$7:I$506,'Flujo de Pagos'!E$7:E$506,B60,'Flujo de Pagos'!B$7:B$506,C7))</f>
        <v/>
      </c>
      <c r="D60" s="76" t="str">
        <f aca="false">IF(B60="","",SUMIFS('Flujo de Pagos'!I$7:I$506,'Flujo de Pagos'!E$7:E$506,B60,'Flujo de Pagos'!B$7:B$506,D7))</f>
        <v/>
      </c>
      <c r="E60" s="76" t="str">
        <f aca="false">IF(B60="","",SUMIFS('Flujo de Pagos'!I$7:I$506,'Flujo de Pagos'!E$7:E$506,B60,'Flujo de Pagos'!B$7:B$506,E7))</f>
        <v/>
      </c>
      <c r="F60" s="76" t="str">
        <f aca="false">IF(B60="","",SUMIFS('Flujo de Pagos'!I$7:I$506,'Flujo de Pagos'!E$7:E$506,B60,'Flujo de Pagos'!B$7:B$506,F7))</f>
        <v/>
      </c>
      <c r="G60" s="76" t="str">
        <f aca="false">IF(B60="","",SUMIFS('Flujo de Pagos'!I$7:I$506,'Flujo de Pagos'!E$7:E$506,B60,'Flujo de Pagos'!B$7:B$506,G7))</f>
        <v/>
      </c>
      <c r="H60" s="76" t="str">
        <f aca="false">IF(B60="","",SUMIFS('Flujo de Pagos'!I$7:I$506,'Flujo de Pagos'!E$7:E$506,B60,'Flujo de Pagos'!B$7:B$506,H7))</f>
        <v/>
      </c>
      <c r="I60" s="76" t="str">
        <f aca="false">IF(B60="","",SUMIFS('Flujo de Pagos'!I$7:I$506,'Flujo de Pagos'!E$7:E$506,B60,'Flujo de Pagos'!B$7:B$506,I7))</f>
        <v/>
      </c>
      <c r="J60" s="76" t="str">
        <f aca="false">IF(B60="","",SUMIFS('Flujo de Pagos'!I$7:I$506,'Flujo de Pagos'!E$7:E$506,B60,'Flujo de Pagos'!B$7:B$506,J7))</f>
        <v/>
      </c>
      <c r="K60" s="76" t="str">
        <f aca="false">IF(B60="","",SUMIFS('Flujo de Pagos'!I$7:I$506,'Flujo de Pagos'!E$7:E$506,B60,'Flujo de Pagos'!B$7:B$506,K7))</f>
        <v/>
      </c>
      <c r="L60" s="76" t="str">
        <f aca="false">IF(B60="","",SUMIFS('Flujo de Pagos'!I$7:I$506,'Flujo de Pagos'!E$7:E$506,B60,'Flujo de Pagos'!B$7:B$506,L7))</f>
        <v/>
      </c>
      <c r="M60" s="76" t="str">
        <f aca="false">IF(B60="","",SUMIFS('Flujo de Pagos'!I$7:I$506,'Flujo de Pagos'!E$7:E$506,B60,'Flujo de Pagos'!B$7:B$506,M7))</f>
        <v/>
      </c>
      <c r="N60" s="76" t="str">
        <f aca="false">IF(B60="","",SUMIFS('Flujo de Pagos'!I$7:I$506,'Flujo de Pagos'!E$7:E$506,B60,'Flujo de Pagos'!B$7:B$506,N7))</f>
        <v/>
      </c>
      <c r="O60" s="76" t="str">
        <f aca="false">IF(B60="","",SUMIFS('Flujo de Pagos'!I$7:I$506,'Flujo de Pagos'!E$7:E$506,B60,'Flujo de Pagos'!B$7:B$506,O7))</f>
        <v/>
      </c>
      <c r="P60" s="76" t="str">
        <f aca="false">IF(B60="","",SUMIFS('Flujo de Pagos'!I$7:I$506,'Flujo de Pagos'!E$7:E$506,B60,'Flujo de Pagos'!B$7:B$506,P7))</f>
        <v/>
      </c>
      <c r="Q60" s="76" t="str">
        <f aca="false">IF(B60="","",SUMIFS('Flujo de Pagos'!I$7:I$506,'Flujo de Pagos'!E$7:E$506,B60,'Flujo de Pagos'!B$7:B$506,Q7))</f>
        <v/>
      </c>
      <c r="R60" s="76" t="str">
        <f aca="false">IF(B60="","",SUMIFS('Flujo de Pagos'!I$7:I$506,'Flujo de Pagos'!E$7:E$506,B60,'Flujo de Pagos'!B$7:B$506,R7))</f>
        <v/>
      </c>
      <c r="S60" s="76" t="str">
        <f aca="false">IF(B60="","",SUMIFS('Flujo de Pagos'!I$7:I$506,'Flujo de Pagos'!E$7:E$506,B60,'Flujo de Pagos'!B$7:B$506,S7))</f>
        <v/>
      </c>
      <c r="T60" s="76" t="str">
        <f aca="false">IF(B60="","",SUMIFS('Flujo de Pagos'!I$7:I$506,'Flujo de Pagos'!E$7:E$506,B60,'Flujo de Pagos'!B$7:B$506,T7))</f>
        <v/>
      </c>
      <c r="U60" s="76" t="str">
        <f aca="false">IF(B60="","",SUMIFS('Flujo de Pagos'!I$7:I$506,'Flujo de Pagos'!E$7:E$506,B60,'Flujo de Pagos'!B$7:B$506,U7))</f>
        <v/>
      </c>
      <c r="V60" s="76" t="str">
        <f aca="false">IF(B60="","",SUMIFS('Flujo de Pagos'!I$7:I$506,'Flujo de Pagos'!E$7:E$506,B60,'Flujo de Pagos'!B$7:B$506,V7))</f>
        <v/>
      </c>
      <c r="W60" s="76" t="str">
        <f aca="false">IF(B60="","",SUMIFS('Flujo de Pagos'!I$7:I$506,'Flujo de Pagos'!E$7:E$506,B60,'Flujo de Pagos'!B$7:B$506,W7))</f>
        <v/>
      </c>
      <c r="X60" s="76" t="str">
        <f aca="false">IF(B60="","",SUMIFS('Flujo de Pagos'!I$7:I$506,'Flujo de Pagos'!E$7:E$506,B60,'Flujo de Pagos'!B$7:B$506,X7))</f>
        <v/>
      </c>
      <c r="Y60" s="76" t="str">
        <f aca="false">IF(B60="","",SUMIFS('Flujo de Pagos'!I$7:I$506,'Flujo de Pagos'!E$7:E$506,B60,'Flujo de Pagos'!B$7:B$506,Y7))</f>
        <v/>
      </c>
      <c r="Z60" s="76" t="str">
        <f aca="false">IF(B60="","",SUMIFS('Flujo de Pagos'!I$7:I$506,'Flujo de Pagos'!E$7:E$506,B60,'Flujo de Pagos'!B$7:B$506,Z7))</f>
        <v/>
      </c>
      <c r="AA60" s="76" t="str">
        <f aca="false">IF(B60="","",SUMIFS('Flujo de Pagos'!I$7:I$506,'Flujo de Pagos'!E$7:E$506,B60,'Flujo de Pagos'!B$7:B$506,AA7))</f>
        <v/>
      </c>
      <c r="AB60" s="76" t="str">
        <f aca="false">IF(B60="","",SUMIFS('Flujo de Pagos'!I$7:I$506,'Flujo de Pagos'!E$7:E$506,B60,'Flujo de Pagos'!B$7:B$506,AB7))</f>
        <v/>
      </c>
      <c r="AC60" s="76" t="str">
        <f aca="false">IF(B60="","",SUMIFS('Flujo de Pagos'!I$7:I$506,'Flujo de Pagos'!E$7:E$506,B60,'Flujo de Pagos'!B$7:B$506,AC7))</f>
        <v/>
      </c>
      <c r="AD60" s="76" t="str">
        <f aca="false">IF(B60="","",SUMIFS('Flujo de Pagos'!I$7:I$506,'Flujo de Pagos'!E$7:E$506,B60,'Flujo de Pagos'!B$7:B$506,AD7))</f>
        <v/>
      </c>
      <c r="AE60" s="76" t="str">
        <f aca="false">IF(B60="","",SUMIFS('Flujo de Pagos'!I$7:I$506,'Flujo de Pagos'!E$7:E$506,B60,'Flujo de Pagos'!B$7:B$506,AE7))</f>
        <v/>
      </c>
      <c r="AF60" s="76" t="str">
        <f aca="false">IF(B60="","",SUMIFS('Flujo de Pagos'!I$7:I$506,'Flujo de Pagos'!E$7:E$506,B60,'Flujo de Pagos'!B$7:B$506,AF7))</f>
        <v/>
      </c>
      <c r="AG60" s="76" t="str">
        <f aca="false">IF(B60="","",SUMIFS('Flujo de Pagos'!I$7:I$506,'Flujo de Pagos'!E$7:E$506,B60,'Flujo de Pagos'!B$7:B$506,AG7))</f>
        <v/>
      </c>
      <c r="AH60" s="76" t="str">
        <f aca="false">IF(B60="","",SUMIFS('Flujo de Pagos'!I$7:I$506,'Flujo de Pagos'!E$7:E$506,B60,'Flujo de Pagos'!B$7:B$506,AH7))</f>
        <v/>
      </c>
      <c r="AI60" s="76" t="str">
        <f aca="false">IF(B60="","",SUMIFS('Flujo de Pagos'!I$7:I$506,'Flujo de Pagos'!E$7:E$506,B60,'Flujo de Pagos'!B$7:B$506,AI7))</f>
        <v/>
      </c>
      <c r="AJ60" s="76" t="str">
        <f aca="false">IF(B60="","",SUMIFS('Flujo de Pagos'!I$7:I$506,'Flujo de Pagos'!E$7:E$506,B60,'Flujo de Pagos'!B$7:B$506,AJ7))</f>
        <v/>
      </c>
      <c r="AK60" s="76" t="str">
        <f aca="false">IF(B60="","",SUMIFS('Flujo de Pagos'!I$7:I$506,'Flujo de Pagos'!E$7:E$506,B60,'Flujo de Pagos'!B$7:B$506,AK7))</f>
        <v/>
      </c>
      <c r="AL60" s="76" t="str">
        <f aca="false">IF(B60="","",SUMIFS('Flujo de Pagos'!I$7:I$506,'Flujo de Pagos'!E$7:E$506,B60,'Flujo de Pagos'!B$7:B$506,AL7))</f>
        <v/>
      </c>
      <c r="AM60" s="76" t="str">
        <f aca="false">IF(B60="","",SUM(C60:AL60))</f>
        <v/>
      </c>
    </row>
    <row r="61" customFormat="false" ht="15.75" hidden="false" customHeight="true" outlineLevel="0" collapsed="false">
      <c r="B61" s="64" t="str">
        <f aca="false">IF(Presupuesto!B58="","",Presupuesto!B58)</f>
        <v/>
      </c>
      <c r="C61" s="76" t="str">
        <f aca="false">IF(B61="","",SUMIFS('Flujo de Pagos'!I$7:I$506,'Flujo de Pagos'!E$7:E$506,B61,'Flujo de Pagos'!B$7:B$506,C7))</f>
        <v/>
      </c>
      <c r="D61" s="76" t="str">
        <f aca="false">IF(B61="","",SUMIFS('Flujo de Pagos'!I$7:I$506,'Flujo de Pagos'!E$7:E$506,B61,'Flujo de Pagos'!B$7:B$506,D7))</f>
        <v/>
      </c>
      <c r="E61" s="76" t="str">
        <f aca="false">IF(B61="","",SUMIFS('Flujo de Pagos'!I$7:I$506,'Flujo de Pagos'!E$7:E$506,B61,'Flujo de Pagos'!B$7:B$506,E7))</f>
        <v/>
      </c>
      <c r="F61" s="76" t="str">
        <f aca="false">IF(B61="","",SUMIFS('Flujo de Pagos'!I$7:I$506,'Flujo de Pagos'!E$7:E$506,B61,'Flujo de Pagos'!B$7:B$506,F7))</f>
        <v/>
      </c>
      <c r="G61" s="76" t="str">
        <f aca="false">IF(B61="","",SUMIFS('Flujo de Pagos'!I$7:I$506,'Flujo de Pagos'!E$7:E$506,B61,'Flujo de Pagos'!B$7:B$506,G7))</f>
        <v/>
      </c>
      <c r="H61" s="76" t="str">
        <f aca="false">IF(B61="","",SUMIFS('Flujo de Pagos'!I$7:I$506,'Flujo de Pagos'!E$7:E$506,B61,'Flujo de Pagos'!B$7:B$506,H7))</f>
        <v/>
      </c>
      <c r="I61" s="76" t="str">
        <f aca="false">IF(B61="","",SUMIFS('Flujo de Pagos'!I$7:I$506,'Flujo de Pagos'!E$7:E$506,B61,'Flujo de Pagos'!B$7:B$506,I7))</f>
        <v/>
      </c>
      <c r="J61" s="76" t="str">
        <f aca="false">IF(B61="","",SUMIFS('Flujo de Pagos'!I$7:I$506,'Flujo de Pagos'!E$7:E$506,B61,'Flujo de Pagos'!B$7:B$506,J7))</f>
        <v/>
      </c>
      <c r="K61" s="76" t="str">
        <f aca="false">IF(B61="","",SUMIFS('Flujo de Pagos'!I$7:I$506,'Flujo de Pagos'!E$7:E$506,B61,'Flujo de Pagos'!B$7:B$506,K7))</f>
        <v/>
      </c>
      <c r="L61" s="76" t="str">
        <f aca="false">IF(B61="","",SUMIFS('Flujo de Pagos'!I$7:I$506,'Flujo de Pagos'!E$7:E$506,B61,'Flujo de Pagos'!B$7:B$506,L7))</f>
        <v/>
      </c>
      <c r="M61" s="76" t="str">
        <f aca="false">IF(B61="","",SUMIFS('Flujo de Pagos'!I$7:I$506,'Flujo de Pagos'!E$7:E$506,B61,'Flujo de Pagos'!B$7:B$506,M7))</f>
        <v/>
      </c>
      <c r="N61" s="76" t="str">
        <f aca="false">IF(B61="","",SUMIFS('Flujo de Pagos'!I$7:I$506,'Flujo de Pagos'!E$7:E$506,B61,'Flujo de Pagos'!B$7:B$506,N7))</f>
        <v/>
      </c>
      <c r="O61" s="76" t="str">
        <f aca="false">IF(B61="","",SUMIFS('Flujo de Pagos'!I$7:I$506,'Flujo de Pagos'!E$7:E$506,B61,'Flujo de Pagos'!B$7:B$506,O7))</f>
        <v/>
      </c>
      <c r="P61" s="76" t="str">
        <f aca="false">IF(B61="","",SUMIFS('Flujo de Pagos'!I$7:I$506,'Flujo de Pagos'!E$7:E$506,B61,'Flujo de Pagos'!B$7:B$506,P7))</f>
        <v/>
      </c>
      <c r="Q61" s="76" t="str">
        <f aca="false">IF(B61="","",SUMIFS('Flujo de Pagos'!I$7:I$506,'Flujo de Pagos'!E$7:E$506,B61,'Flujo de Pagos'!B$7:B$506,Q7))</f>
        <v/>
      </c>
      <c r="R61" s="76" t="str">
        <f aca="false">IF(B61="","",SUMIFS('Flujo de Pagos'!I$7:I$506,'Flujo de Pagos'!E$7:E$506,B61,'Flujo de Pagos'!B$7:B$506,R7))</f>
        <v/>
      </c>
      <c r="S61" s="76" t="str">
        <f aca="false">IF(B61="","",SUMIFS('Flujo de Pagos'!I$7:I$506,'Flujo de Pagos'!E$7:E$506,B61,'Flujo de Pagos'!B$7:B$506,S7))</f>
        <v/>
      </c>
      <c r="T61" s="76" t="str">
        <f aca="false">IF(B61="","",SUMIFS('Flujo de Pagos'!I$7:I$506,'Flujo de Pagos'!E$7:E$506,B61,'Flujo de Pagos'!B$7:B$506,T7))</f>
        <v/>
      </c>
      <c r="U61" s="76" t="str">
        <f aca="false">IF(B61="","",SUMIFS('Flujo de Pagos'!I$7:I$506,'Flujo de Pagos'!E$7:E$506,B61,'Flujo de Pagos'!B$7:B$506,U7))</f>
        <v/>
      </c>
      <c r="V61" s="76" t="str">
        <f aca="false">IF(B61="","",SUMIFS('Flujo de Pagos'!I$7:I$506,'Flujo de Pagos'!E$7:E$506,B61,'Flujo de Pagos'!B$7:B$506,V7))</f>
        <v/>
      </c>
      <c r="W61" s="76" t="str">
        <f aca="false">IF(B61="","",SUMIFS('Flujo de Pagos'!I$7:I$506,'Flujo de Pagos'!E$7:E$506,B61,'Flujo de Pagos'!B$7:B$506,W7))</f>
        <v/>
      </c>
      <c r="X61" s="76" t="str">
        <f aca="false">IF(B61="","",SUMIFS('Flujo de Pagos'!I$7:I$506,'Flujo de Pagos'!E$7:E$506,B61,'Flujo de Pagos'!B$7:B$506,X7))</f>
        <v/>
      </c>
      <c r="Y61" s="76" t="str">
        <f aca="false">IF(B61="","",SUMIFS('Flujo de Pagos'!I$7:I$506,'Flujo de Pagos'!E$7:E$506,B61,'Flujo de Pagos'!B$7:B$506,Y7))</f>
        <v/>
      </c>
      <c r="Z61" s="76" t="str">
        <f aca="false">IF(B61="","",SUMIFS('Flujo de Pagos'!I$7:I$506,'Flujo de Pagos'!E$7:E$506,B61,'Flujo de Pagos'!B$7:B$506,Z7))</f>
        <v/>
      </c>
      <c r="AA61" s="76" t="str">
        <f aca="false">IF(B61="","",SUMIFS('Flujo de Pagos'!I$7:I$506,'Flujo de Pagos'!E$7:E$506,B61,'Flujo de Pagos'!B$7:B$506,AA7))</f>
        <v/>
      </c>
      <c r="AB61" s="76" t="str">
        <f aca="false">IF(B61="","",SUMIFS('Flujo de Pagos'!I$7:I$506,'Flujo de Pagos'!E$7:E$506,B61,'Flujo de Pagos'!B$7:B$506,AB7))</f>
        <v/>
      </c>
      <c r="AC61" s="76" t="str">
        <f aca="false">IF(B61="","",SUMIFS('Flujo de Pagos'!I$7:I$506,'Flujo de Pagos'!E$7:E$506,B61,'Flujo de Pagos'!B$7:B$506,AC7))</f>
        <v/>
      </c>
      <c r="AD61" s="76" t="str">
        <f aca="false">IF(B61="","",SUMIFS('Flujo de Pagos'!I$7:I$506,'Flujo de Pagos'!E$7:E$506,B61,'Flujo de Pagos'!B$7:B$506,AD7))</f>
        <v/>
      </c>
      <c r="AE61" s="76" t="str">
        <f aca="false">IF(B61="","",SUMIFS('Flujo de Pagos'!I$7:I$506,'Flujo de Pagos'!E$7:E$506,B61,'Flujo de Pagos'!B$7:B$506,AE7))</f>
        <v/>
      </c>
      <c r="AF61" s="76" t="str">
        <f aca="false">IF(B61="","",SUMIFS('Flujo de Pagos'!I$7:I$506,'Flujo de Pagos'!E$7:E$506,B61,'Flujo de Pagos'!B$7:B$506,AF7))</f>
        <v/>
      </c>
      <c r="AG61" s="76" t="str">
        <f aca="false">IF(B61="","",SUMIFS('Flujo de Pagos'!I$7:I$506,'Flujo de Pagos'!E$7:E$506,B61,'Flujo de Pagos'!B$7:B$506,AG7))</f>
        <v/>
      </c>
      <c r="AH61" s="76" t="str">
        <f aca="false">IF(B61="","",SUMIFS('Flujo de Pagos'!I$7:I$506,'Flujo de Pagos'!E$7:E$506,B61,'Flujo de Pagos'!B$7:B$506,AH7))</f>
        <v/>
      </c>
      <c r="AI61" s="76" t="str">
        <f aca="false">IF(B61="","",SUMIFS('Flujo de Pagos'!I$7:I$506,'Flujo de Pagos'!E$7:E$506,B61,'Flujo de Pagos'!B$7:B$506,AI7))</f>
        <v/>
      </c>
      <c r="AJ61" s="76" t="str">
        <f aca="false">IF(B61="","",SUMIFS('Flujo de Pagos'!I$7:I$506,'Flujo de Pagos'!E$7:E$506,B61,'Flujo de Pagos'!B$7:B$506,AJ7))</f>
        <v/>
      </c>
      <c r="AK61" s="76" t="str">
        <f aca="false">IF(B61="","",SUMIFS('Flujo de Pagos'!I$7:I$506,'Flujo de Pagos'!E$7:E$506,B61,'Flujo de Pagos'!B$7:B$506,AK7))</f>
        <v/>
      </c>
      <c r="AL61" s="76" t="str">
        <f aca="false">IF(B61="","",SUMIFS('Flujo de Pagos'!I$7:I$506,'Flujo de Pagos'!E$7:E$506,B61,'Flujo de Pagos'!B$7:B$506,AL7))</f>
        <v/>
      </c>
      <c r="AM61" s="76" t="str">
        <f aca="false">IF(B61="","",SUM(C61:AL61))</f>
        <v/>
      </c>
    </row>
    <row r="62" customFormat="false" ht="15.75" hidden="false" customHeight="true" outlineLevel="0" collapsed="false">
      <c r="B62" s="64" t="str">
        <f aca="false">IF(Presupuesto!B59="","",Presupuesto!B59)</f>
        <v/>
      </c>
      <c r="C62" s="76" t="str">
        <f aca="false">IF(B62="","",SUMIFS('Flujo de Pagos'!I$7:I$506,'Flujo de Pagos'!E$7:E$506,B62,'Flujo de Pagos'!B$7:B$506,C7))</f>
        <v/>
      </c>
      <c r="D62" s="76" t="str">
        <f aca="false">IF(B62="","",SUMIFS('Flujo de Pagos'!I$7:I$506,'Flujo de Pagos'!E$7:E$506,B62,'Flujo de Pagos'!B$7:B$506,D7))</f>
        <v/>
      </c>
      <c r="E62" s="76" t="str">
        <f aca="false">IF(B62="","",SUMIFS('Flujo de Pagos'!I$7:I$506,'Flujo de Pagos'!E$7:E$506,B62,'Flujo de Pagos'!B$7:B$506,E7))</f>
        <v/>
      </c>
      <c r="F62" s="76" t="str">
        <f aca="false">IF(B62="","",SUMIFS('Flujo de Pagos'!I$7:I$506,'Flujo de Pagos'!E$7:E$506,B62,'Flujo de Pagos'!B$7:B$506,F7))</f>
        <v/>
      </c>
      <c r="G62" s="76" t="str">
        <f aca="false">IF(B62="","",SUMIFS('Flujo de Pagos'!I$7:I$506,'Flujo de Pagos'!E$7:E$506,B62,'Flujo de Pagos'!B$7:B$506,G7))</f>
        <v/>
      </c>
      <c r="H62" s="76" t="str">
        <f aca="false">IF(B62="","",SUMIFS('Flujo de Pagos'!I$7:I$506,'Flujo de Pagos'!E$7:E$506,B62,'Flujo de Pagos'!B$7:B$506,H7))</f>
        <v/>
      </c>
      <c r="I62" s="76" t="str">
        <f aca="false">IF(B62="","",SUMIFS('Flujo de Pagos'!I$7:I$506,'Flujo de Pagos'!E$7:E$506,B62,'Flujo de Pagos'!B$7:B$506,I7))</f>
        <v/>
      </c>
      <c r="J62" s="76" t="str">
        <f aca="false">IF(B62="","",SUMIFS('Flujo de Pagos'!I$7:I$506,'Flujo de Pagos'!E$7:E$506,B62,'Flujo de Pagos'!B$7:B$506,J7))</f>
        <v/>
      </c>
      <c r="K62" s="76" t="str">
        <f aca="false">IF(B62="","",SUMIFS('Flujo de Pagos'!I$7:I$506,'Flujo de Pagos'!E$7:E$506,B62,'Flujo de Pagos'!B$7:B$506,K7))</f>
        <v/>
      </c>
      <c r="L62" s="76" t="str">
        <f aca="false">IF(B62="","",SUMIFS('Flujo de Pagos'!I$7:I$506,'Flujo de Pagos'!E$7:E$506,B62,'Flujo de Pagos'!B$7:B$506,L7))</f>
        <v/>
      </c>
      <c r="M62" s="76" t="str">
        <f aca="false">IF(B62="","",SUMIFS('Flujo de Pagos'!I$7:I$506,'Flujo de Pagos'!E$7:E$506,B62,'Flujo de Pagos'!B$7:B$506,M7))</f>
        <v/>
      </c>
      <c r="N62" s="76" t="str">
        <f aca="false">IF(B62="","",SUMIFS('Flujo de Pagos'!I$7:I$506,'Flujo de Pagos'!E$7:E$506,B62,'Flujo de Pagos'!B$7:B$506,N7))</f>
        <v/>
      </c>
      <c r="O62" s="76" t="str">
        <f aca="false">IF(B62="","",SUMIFS('Flujo de Pagos'!I$7:I$506,'Flujo de Pagos'!E$7:E$506,B62,'Flujo de Pagos'!B$7:B$506,O7))</f>
        <v/>
      </c>
      <c r="P62" s="76" t="str">
        <f aca="false">IF(B62="","",SUMIFS('Flujo de Pagos'!I$7:I$506,'Flujo de Pagos'!E$7:E$506,B62,'Flujo de Pagos'!B$7:B$506,P7))</f>
        <v/>
      </c>
      <c r="Q62" s="76" t="str">
        <f aca="false">IF(B62="","",SUMIFS('Flujo de Pagos'!I$7:I$506,'Flujo de Pagos'!E$7:E$506,B62,'Flujo de Pagos'!B$7:B$506,Q7))</f>
        <v/>
      </c>
      <c r="R62" s="76" t="str">
        <f aca="false">IF(B62="","",SUMIFS('Flujo de Pagos'!I$7:I$506,'Flujo de Pagos'!E$7:E$506,B62,'Flujo de Pagos'!B$7:B$506,R7))</f>
        <v/>
      </c>
      <c r="S62" s="76" t="str">
        <f aca="false">IF(B62="","",SUMIFS('Flujo de Pagos'!I$7:I$506,'Flujo de Pagos'!E$7:E$506,B62,'Flujo de Pagos'!B$7:B$506,S7))</f>
        <v/>
      </c>
      <c r="T62" s="76" t="str">
        <f aca="false">IF(B62="","",SUMIFS('Flujo de Pagos'!I$7:I$506,'Flujo de Pagos'!E$7:E$506,B62,'Flujo de Pagos'!B$7:B$506,T7))</f>
        <v/>
      </c>
      <c r="U62" s="76" t="str">
        <f aca="false">IF(B62="","",SUMIFS('Flujo de Pagos'!I$7:I$506,'Flujo de Pagos'!E$7:E$506,B62,'Flujo de Pagos'!B$7:B$506,U7))</f>
        <v/>
      </c>
      <c r="V62" s="76" t="str">
        <f aca="false">IF(B62="","",SUMIFS('Flujo de Pagos'!I$7:I$506,'Flujo de Pagos'!E$7:E$506,B62,'Flujo de Pagos'!B$7:B$506,V7))</f>
        <v/>
      </c>
      <c r="W62" s="76" t="str">
        <f aca="false">IF(B62="","",SUMIFS('Flujo de Pagos'!I$7:I$506,'Flujo de Pagos'!E$7:E$506,B62,'Flujo de Pagos'!B$7:B$506,W7))</f>
        <v/>
      </c>
      <c r="X62" s="76" t="str">
        <f aca="false">IF(B62="","",SUMIFS('Flujo de Pagos'!I$7:I$506,'Flujo de Pagos'!E$7:E$506,B62,'Flujo de Pagos'!B$7:B$506,X7))</f>
        <v/>
      </c>
      <c r="Y62" s="76" t="str">
        <f aca="false">IF(B62="","",SUMIFS('Flujo de Pagos'!I$7:I$506,'Flujo de Pagos'!E$7:E$506,B62,'Flujo de Pagos'!B$7:B$506,Y7))</f>
        <v/>
      </c>
      <c r="Z62" s="76" t="str">
        <f aca="false">IF(B62="","",SUMIFS('Flujo de Pagos'!I$7:I$506,'Flujo de Pagos'!E$7:E$506,B62,'Flujo de Pagos'!B$7:B$506,Z7))</f>
        <v/>
      </c>
      <c r="AA62" s="76" t="str">
        <f aca="false">IF(B62="","",SUMIFS('Flujo de Pagos'!I$7:I$506,'Flujo de Pagos'!E$7:E$506,B62,'Flujo de Pagos'!B$7:B$506,AA7))</f>
        <v/>
      </c>
      <c r="AB62" s="76" t="str">
        <f aca="false">IF(B62="","",SUMIFS('Flujo de Pagos'!I$7:I$506,'Flujo de Pagos'!E$7:E$506,B62,'Flujo de Pagos'!B$7:B$506,AB7))</f>
        <v/>
      </c>
      <c r="AC62" s="76" t="str">
        <f aca="false">IF(B62="","",SUMIFS('Flujo de Pagos'!I$7:I$506,'Flujo de Pagos'!E$7:E$506,B62,'Flujo de Pagos'!B$7:B$506,AC7))</f>
        <v/>
      </c>
      <c r="AD62" s="76" t="str">
        <f aca="false">IF(B62="","",SUMIFS('Flujo de Pagos'!I$7:I$506,'Flujo de Pagos'!E$7:E$506,B62,'Flujo de Pagos'!B$7:B$506,AD7))</f>
        <v/>
      </c>
      <c r="AE62" s="76" t="str">
        <f aca="false">IF(B62="","",SUMIFS('Flujo de Pagos'!I$7:I$506,'Flujo de Pagos'!E$7:E$506,B62,'Flujo de Pagos'!B$7:B$506,AE7))</f>
        <v/>
      </c>
      <c r="AF62" s="76" t="str">
        <f aca="false">IF(B62="","",SUMIFS('Flujo de Pagos'!I$7:I$506,'Flujo de Pagos'!E$7:E$506,B62,'Flujo de Pagos'!B$7:B$506,AF7))</f>
        <v/>
      </c>
      <c r="AG62" s="76" t="str">
        <f aca="false">IF(B62="","",SUMIFS('Flujo de Pagos'!I$7:I$506,'Flujo de Pagos'!E$7:E$506,B62,'Flujo de Pagos'!B$7:B$506,AG7))</f>
        <v/>
      </c>
      <c r="AH62" s="76" t="str">
        <f aca="false">IF(B62="","",SUMIFS('Flujo de Pagos'!I$7:I$506,'Flujo de Pagos'!E$7:E$506,B62,'Flujo de Pagos'!B$7:B$506,AH7))</f>
        <v/>
      </c>
      <c r="AI62" s="76" t="str">
        <f aca="false">IF(B62="","",SUMIFS('Flujo de Pagos'!I$7:I$506,'Flujo de Pagos'!E$7:E$506,B62,'Flujo de Pagos'!B$7:B$506,AI7))</f>
        <v/>
      </c>
      <c r="AJ62" s="76" t="str">
        <f aca="false">IF(B62="","",SUMIFS('Flujo de Pagos'!I$7:I$506,'Flujo de Pagos'!E$7:E$506,B62,'Flujo de Pagos'!B$7:B$506,AJ7))</f>
        <v/>
      </c>
      <c r="AK62" s="76" t="str">
        <f aca="false">IF(B62="","",SUMIFS('Flujo de Pagos'!I$7:I$506,'Flujo de Pagos'!E$7:E$506,B62,'Flujo de Pagos'!B$7:B$506,AK7))</f>
        <v/>
      </c>
      <c r="AL62" s="76" t="str">
        <f aca="false">IF(B62="","",SUMIFS('Flujo de Pagos'!I$7:I$506,'Flujo de Pagos'!E$7:E$506,B62,'Flujo de Pagos'!B$7:B$506,AL7))</f>
        <v/>
      </c>
      <c r="AM62" s="76" t="str">
        <f aca="false">IF(B62="","",SUM(C62:AL62))</f>
        <v/>
      </c>
    </row>
    <row r="63" customFormat="false" ht="15.75" hidden="false" customHeight="true" outlineLevel="0" collapsed="false">
      <c r="B63" s="64" t="str">
        <f aca="false">IF(Presupuesto!B60="","",Presupuesto!B60)</f>
        <v/>
      </c>
      <c r="C63" s="76" t="str">
        <f aca="false">IF(B63="","",SUMIFS('Flujo de Pagos'!I$7:I$506,'Flujo de Pagos'!E$7:E$506,B63,'Flujo de Pagos'!B$7:B$506,C7))</f>
        <v/>
      </c>
      <c r="D63" s="76" t="str">
        <f aca="false">IF(B63="","",SUMIFS('Flujo de Pagos'!I$7:I$506,'Flujo de Pagos'!E$7:E$506,B63,'Flujo de Pagos'!B$7:B$506,D7))</f>
        <v/>
      </c>
      <c r="E63" s="76" t="str">
        <f aca="false">IF(B63="","",SUMIFS('Flujo de Pagos'!I$7:I$506,'Flujo de Pagos'!E$7:E$506,B63,'Flujo de Pagos'!B$7:B$506,E7))</f>
        <v/>
      </c>
      <c r="F63" s="76" t="str">
        <f aca="false">IF(B63="","",SUMIFS('Flujo de Pagos'!I$7:I$506,'Flujo de Pagos'!E$7:E$506,B63,'Flujo de Pagos'!B$7:B$506,F7))</f>
        <v/>
      </c>
      <c r="G63" s="76" t="str">
        <f aca="false">IF(B63="","",SUMIFS('Flujo de Pagos'!I$7:I$506,'Flujo de Pagos'!E$7:E$506,B63,'Flujo de Pagos'!B$7:B$506,G7))</f>
        <v/>
      </c>
      <c r="H63" s="76" t="str">
        <f aca="false">IF(B63="","",SUMIFS('Flujo de Pagos'!I$7:I$506,'Flujo de Pagos'!E$7:E$506,B63,'Flujo de Pagos'!B$7:B$506,H7))</f>
        <v/>
      </c>
      <c r="I63" s="76" t="str">
        <f aca="false">IF(B63="","",SUMIFS('Flujo de Pagos'!I$7:I$506,'Flujo de Pagos'!E$7:E$506,B63,'Flujo de Pagos'!B$7:B$506,I7))</f>
        <v/>
      </c>
      <c r="J63" s="76" t="str">
        <f aca="false">IF(B63="","",SUMIFS('Flujo de Pagos'!I$7:I$506,'Flujo de Pagos'!E$7:E$506,B63,'Flujo de Pagos'!B$7:B$506,J7))</f>
        <v/>
      </c>
      <c r="K63" s="76" t="str">
        <f aca="false">IF(B63="","",SUMIFS('Flujo de Pagos'!I$7:I$506,'Flujo de Pagos'!E$7:E$506,B63,'Flujo de Pagos'!B$7:B$506,K7))</f>
        <v/>
      </c>
      <c r="L63" s="76" t="str">
        <f aca="false">IF(B63="","",SUMIFS('Flujo de Pagos'!I$7:I$506,'Flujo de Pagos'!E$7:E$506,B63,'Flujo de Pagos'!B$7:B$506,L7))</f>
        <v/>
      </c>
      <c r="M63" s="76" t="str">
        <f aca="false">IF(B63="","",SUMIFS('Flujo de Pagos'!I$7:I$506,'Flujo de Pagos'!E$7:E$506,B63,'Flujo de Pagos'!B$7:B$506,M7))</f>
        <v/>
      </c>
      <c r="N63" s="76" t="str">
        <f aca="false">IF(B63="","",SUMIFS('Flujo de Pagos'!I$7:I$506,'Flujo de Pagos'!E$7:E$506,B63,'Flujo de Pagos'!B$7:B$506,N7))</f>
        <v/>
      </c>
      <c r="O63" s="76" t="str">
        <f aca="false">IF(B63="","",SUMIFS('Flujo de Pagos'!I$7:I$506,'Flujo de Pagos'!E$7:E$506,B63,'Flujo de Pagos'!B$7:B$506,O7))</f>
        <v/>
      </c>
      <c r="P63" s="76" t="str">
        <f aca="false">IF(B63="","",SUMIFS('Flujo de Pagos'!I$7:I$506,'Flujo de Pagos'!E$7:E$506,B63,'Flujo de Pagos'!B$7:B$506,P7))</f>
        <v/>
      </c>
      <c r="Q63" s="76" t="str">
        <f aca="false">IF(B63="","",SUMIFS('Flujo de Pagos'!I$7:I$506,'Flujo de Pagos'!E$7:E$506,B63,'Flujo de Pagos'!B$7:B$506,Q7))</f>
        <v/>
      </c>
      <c r="R63" s="76" t="str">
        <f aca="false">IF(B63="","",SUMIFS('Flujo de Pagos'!I$7:I$506,'Flujo de Pagos'!E$7:E$506,B63,'Flujo de Pagos'!B$7:B$506,R7))</f>
        <v/>
      </c>
      <c r="S63" s="76" t="str">
        <f aca="false">IF(B63="","",SUMIFS('Flujo de Pagos'!I$7:I$506,'Flujo de Pagos'!E$7:E$506,B63,'Flujo de Pagos'!B$7:B$506,S7))</f>
        <v/>
      </c>
      <c r="T63" s="76" t="str">
        <f aca="false">IF(B63="","",SUMIFS('Flujo de Pagos'!I$7:I$506,'Flujo de Pagos'!E$7:E$506,B63,'Flujo de Pagos'!B$7:B$506,T7))</f>
        <v/>
      </c>
      <c r="U63" s="76" t="str">
        <f aca="false">IF(B63="","",SUMIFS('Flujo de Pagos'!I$7:I$506,'Flujo de Pagos'!E$7:E$506,B63,'Flujo de Pagos'!B$7:B$506,U7))</f>
        <v/>
      </c>
      <c r="V63" s="76" t="str">
        <f aca="false">IF(B63="","",SUMIFS('Flujo de Pagos'!I$7:I$506,'Flujo de Pagos'!E$7:E$506,B63,'Flujo de Pagos'!B$7:B$506,V7))</f>
        <v/>
      </c>
      <c r="W63" s="76" t="str">
        <f aca="false">IF(B63="","",SUMIFS('Flujo de Pagos'!I$7:I$506,'Flujo de Pagos'!E$7:E$506,B63,'Flujo de Pagos'!B$7:B$506,W7))</f>
        <v/>
      </c>
      <c r="X63" s="76" t="str">
        <f aca="false">IF(B63="","",SUMIFS('Flujo de Pagos'!I$7:I$506,'Flujo de Pagos'!E$7:E$506,B63,'Flujo de Pagos'!B$7:B$506,X7))</f>
        <v/>
      </c>
      <c r="Y63" s="76" t="str">
        <f aca="false">IF(B63="","",SUMIFS('Flujo de Pagos'!I$7:I$506,'Flujo de Pagos'!E$7:E$506,B63,'Flujo de Pagos'!B$7:B$506,Y7))</f>
        <v/>
      </c>
      <c r="Z63" s="76" t="str">
        <f aca="false">IF(B63="","",SUMIFS('Flujo de Pagos'!I$7:I$506,'Flujo de Pagos'!E$7:E$506,B63,'Flujo de Pagos'!B$7:B$506,Z7))</f>
        <v/>
      </c>
      <c r="AA63" s="76" t="str">
        <f aca="false">IF(B63="","",SUMIFS('Flujo de Pagos'!I$7:I$506,'Flujo de Pagos'!E$7:E$506,B63,'Flujo de Pagos'!B$7:B$506,AA7))</f>
        <v/>
      </c>
      <c r="AB63" s="76" t="str">
        <f aca="false">IF(B63="","",SUMIFS('Flujo de Pagos'!I$7:I$506,'Flujo de Pagos'!E$7:E$506,B63,'Flujo de Pagos'!B$7:B$506,AB7))</f>
        <v/>
      </c>
      <c r="AC63" s="76" t="str">
        <f aca="false">IF(B63="","",SUMIFS('Flujo de Pagos'!I$7:I$506,'Flujo de Pagos'!E$7:E$506,B63,'Flujo de Pagos'!B$7:B$506,AC7))</f>
        <v/>
      </c>
      <c r="AD63" s="76" t="str">
        <f aca="false">IF(B63="","",SUMIFS('Flujo de Pagos'!I$7:I$506,'Flujo de Pagos'!E$7:E$506,B63,'Flujo de Pagos'!B$7:B$506,AD7))</f>
        <v/>
      </c>
      <c r="AE63" s="76" t="str">
        <f aca="false">IF(B63="","",SUMIFS('Flujo de Pagos'!I$7:I$506,'Flujo de Pagos'!E$7:E$506,B63,'Flujo de Pagos'!B$7:B$506,AE7))</f>
        <v/>
      </c>
      <c r="AF63" s="76" t="str">
        <f aca="false">IF(B63="","",SUMIFS('Flujo de Pagos'!I$7:I$506,'Flujo de Pagos'!E$7:E$506,B63,'Flujo de Pagos'!B$7:B$506,AF7))</f>
        <v/>
      </c>
      <c r="AG63" s="76" t="str">
        <f aca="false">IF(B63="","",SUMIFS('Flujo de Pagos'!I$7:I$506,'Flujo de Pagos'!E$7:E$506,B63,'Flujo de Pagos'!B$7:B$506,AG7))</f>
        <v/>
      </c>
      <c r="AH63" s="76" t="str">
        <f aca="false">IF(B63="","",SUMIFS('Flujo de Pagos'!I$7:I$506,'Flujo de Pagos'!E$7:E$506,B63,'Flujo de Pagos'!B$7:B$506,AH7))</f>
        <v/>
      </c>
      <c r="AI63" s="76" t="str">
        <f aca="false">IF(B63="","",SUMIFS('Flujo de Pagos'!I$7:I$506,'Flujo de Pagos'!E$7:E$506,B63,'Flujo de Pagos'!B$7:B$506,AI7))</f>
        <v/>
      </c>
      <c r="AJ63" s="76" t="str">
        <f aca="false">IF(B63="","",SUMIFS('Flujo de Pagos'!I$7:I$506,'Flujo de Pagos'!E$7:E$506,B63,'Flujo de Pagos'!B$7:B$506,AJ7))</f>
        <v/>
      </c>
      <c r="AK63" s="76" t="str">
        <f aca="false">IF(B63="","",SUMIFS('Flujo de Pagos'!I$7:I$506,'Flujo de Pagos'!E$7:E$506,B63,'Flujo de Pagos'!B$7:B$506,AK7))</f>
        <v/>
      </c>
      <c r="AL63" s="76" t="str">
        <f aca="false">IF(B63="","",SUMIFS('Flujo de Pagos'!I$7:I$506,'Flujo de Pagos'!E$7:E$506,B63,'Flujo de Pagos'!B$7:B$506,AL7))</f>
        <v/>
      </c>
      <c r="AM63" s="76" t="str">
        <f aca="false">IF(B63="","",SUM(C63:AL63))</f>
        <v/>
      </c>
    </row>
    <row r="64" customFormat="false" ht="15.75" hidden="false" customHeight="true" outlineLevel="0" collapsed="false">
      <c r="B64" s="64" t="str">
        <f aca="false">IF(Presupuesto!B61="","",Presupuesto!B61)</f>
        <v/>
      </c>
      <c r="C64" s="76" t="str">
        <f aca="false">IF(B64="","",SUMIFS('Flujo de Pagos'!I$7:I$506,'Flujo de Pagos'!E$7:E$506,B64,'Flujo de Pagos'!B$7:B$506,C7))</f>
        <v/>
      </c>
      <c r="D64" s="76" t="str">
        <f aca="false">IF(B64="","",SUMIFS('Flujo de Pagos'!I$7:I$506,'Flujo de Pagos'!E$7:E$506,B64,'Flujo de Pagos'!B$7:B$506,D7))</f>
        <v/>
      </c>
      <c r="E64" s="76" t="str">
        <f aca="false">IF(B64="","",SUMIFS('Flujo de Pagos'!I$7:I$506,'Flujo de Pagos'!E$7:E$506,B64,'Flujo de Pagos'!B$7:B$506,E7))</f>
        <v/>
      </c>
      <c r="F64" s="76" t="str">
        <f aca="false">IF(B64="","",SUMIFS('Flujo de Pagos'!I$7:I$506,'Flujo de Pagos'!E$7:E$506,B64,'Flujo de Pagos'!B$7:B$506,F7))</f>
        <v/>
      </c>
      <c r="G64" s="76" t="str">
        <f aca="false">IF(B64="","",SUMIFS('Flujo de Pagos'!I$7:I$506,'Flujo de Pagos'!E$7:E$506,B64,'Flujo de Pagos'!B$7:B$506,G7))</f>
        <v/>
      </c>
      <c r="H64" s="76" t="str">
        <f aca="false">IF(B64="","",SUMIFS('Flujo de Pagos'!I$7:I$506,'Flujo de Pagos'!E$7:E$506,B64,'Flujo de Pagos'!B$7:B$506,H7))</f>
        <v/>
      </c>
      <c r="I64" s="76" t="str">
        <f aca="false">IF(B64="","",SUMIFS('Flujo de Pagos'!I$7:I$506,'Flujo de Pagos'!E$7:E$506,B64,'Flujo de Pagos'!B$7:B$506,I7))</f>
        <v/>
      </c>
      <c r="J64" s="76" t="str">
        <f aca="false">IF(B64="","",SUMIFS('Flujo de Pagos'!I$7:I$506,'Flujo de Pagos'!E$7:E$506,B64,'Flujo de Pagos'!B$7:B$506,J7))</f>
        <v/>
      </c>
      <c r="K64" s="76" t="str">
        <f aca="false">IF(B64="","",SUMIFS('Flujo de Pagos'!I$7:I$506,'Flujo de Pagos'!E$7:E$506,B64,'Flujo de Pagos'!B$7:B$506,K7))</f>
        <v/>
      </c>
      <c r="L64" s="76" t="str">
        <f aca="false">IF(B64="","",SUMIFS('Flujo de Pagos'!I$7:I$506,'Flujo de Pagos'!E$7:E$506,B64,'Flujo de Pagos'!B$7:B$506,L7))</f>
        <v/>
      </c>
      <c r="M64" s="76" t="str">
        <f aca="false">IF(B64="","",SUMIFS('Flujo de Pagos'!I$7:I$506,'Flujo de Pagos'!E$7:E$506,B64,'Flujo de Pagos'!B$7:B$506,M7))</f>
        <v/>
      </c>
      <c r="N64" s="76" t="str">
        <f aca="false">IF(B64="","",SUMIFS('Flujo de Pagos'!I$7:I$506,'Flujo de Pagos'!E$7:E$506,B64,'Flujo de Pagos'!B$7:B$506,N7))</f>
        <v/>
      </c>
      <c r="O64" s="76" t="str">
        <f aca="false">IF(B64="","",SUMIFS('Flujo de Pagos'!I$7:I$506,'Flujo de Pagos'!E$7:E$506,B64,'Flujo de Pagos'!B$7:B$506,O7))</f>
        <v/>
      </c>
      <c r="P64" s="76" t="str">
        <f aca="false">IF(B64="","",SUMIFS('Flujo de Pagos'!I$7:I$506,'Flujo de Pagos'!E$7:E$506,B64,'Flujo de Pagos'!B$7:B$506,P7))</f>
        <v/>
      </c>
      <c r="Q64" s="76" t="str">
        <f aca="false">IF(B64="","",SUMIFS('Flujo de Pagos'!I$7:I$506,'Flujo de Pagos'!E$7:E$506,B64,'Flujo de Pagos'!B$7:B$506,Q7))</f>
        <v/>
      </c>
      <c r="R64" s="76" t="str">
        <f aca="false">IF(B64="","",SUMIFS('Flujo de Pagos'!I$7:I$506,'Flujo de Pagos'!E$7:E$506,B64,'Flujo de Pagos'!B$7:B$506,R7))</f>
        <v/>
      </c>
      <c r="S64" s="76" t="str">
        <f aca="false">IF(B64="","",SUMIFS('Flujo de Pagos'!I$7:I$506,'Flujo de Pagos'!E$7:E$506,B64,'Flujo de Pagos'!B$7:B$506,S7))</f>
        <v/>
      </c>
      <c r="T64" s="76" t="str">
        <f aca="false">IF(B64="","",SUMIFS('Flujo de Pagos'!I$7:I$506,'Flujo de Pagos'!E$7:E$506,B64,'Flujo de Pagos'!B$7:B$506,T7))</f>
        <v/>
      </c>
      <c r="U64" s="76" t="str">
        <f aca="false">IF(B64="","",SUMIFS('Flujo de Pagos'!I$7:I$506,'Flujo de Pagos'!E$7:E$506,B64,'Flujo de Pagos'!B$7:B$506,U7))</f>
        <v/>
      </c>
      <c r="V64" s="76" t="str">
        <f aca="false">IF(B64="","",SUMIFS('Flujo de Pagos'!I$7:I$506,'Flujo de Pagos'!E$7:E$506,B64,'Flujo de Pagos'!B$7:B$506,V7))</f>
        <v/>
      </c>
      <c r="W64" s="76" t="str">
        <f aca="false">IF(B64="","",SUMIFS('Flujo de Pagos'!I$7:I$506,'Flujo de Pagos'!E$7:E$506,B64,'Flujo de Pagos'!B$7:B$506,W7))</f>
        <v/>
      </c>
      <c r="X64" s="76" t="str">
        <f aca="false">IF(B64="","",SUMIFS('Flujo de Pagos'!I$7:I$506,'Flujo de Pagos'!E$7:E$506,B64,'Flujo de Pagos'!B$7:B$506,X7))</f>
        <v/>
      </c>
      <c r="Y64" s="76" t="str">
        <f aca="false">IF(B64="","",SUMIFS('Flujo de Pagos'!I$7:I$506,'Flujo de Pagos'!E$7:E$506,B64,'Flujo de Pagos'!B$7:B$506,Y7))</f>
        <v/>
      </c>
      <c r="Z64" s="76" t="str">
        <f aca="false">IF(B64="","",SUMIFS('Flujo de Pagos'!I$7:I$506,'Flujo de Pagos'!E$7:E$506,B64,'Flujo de Pagos'!B$7:B$506,Z7))</f>
        <v/>
      </c>
      <c r="AA64" s="76" t="str">
        <f aca="false">IF(B64="","",SUMIFS('Flujo de Pagos'!I$7:I$506,'Flujo de Pagos'!E$7:E$506,B64,'Flujo de Pagos'!B$7:B$506,AA7))</f>
        <v/>
      </c>
      <c r="AB64" s="76" t="str">
        <f aca="false">IF(B64="","",SUMIFS('Flujo de Pagos'!I$7:I$506,'Flujo de Pagos'!E$7:E$506,B64,'Flujo de Pagos'!B$7:B$506,AB7))</f>
        <v/>
      </c>
      <c r="AC64" s="76" t="str">
        <f aca="false">IF(B64="","",SUMIFS('Flujo de Pagos'!I$7:I$506,'Flujo de Pagos'!E$7:E$506,B64,'Flujo de Pagos'!B$7:B$506,AC7))</f>
        <v/>
      </c>
      <c r="AD64" s="76" t="str">
        <f aca="false">IF(B64="","",SUMIFS('Flujo de Pagos'!I$7:I$506,'Flujo de Pagos'!E$7:E$506,B64,'Flujo de Pagos'!B$7:B$506,AD7))</f>
        <v/>
      </c>
      <c r="AE64" s="76" t="str">
        <f aca="false">IF(B64="","",SUMIFS('Flujo de Pagos'!I$7:I$506,'Flujo de Pagos'!E$7:E$506,B64,'Flujo de Pagos'!B$7:B$506,AE7))</f>
        <v/>
      </c>
      <c r="AF64" s="76" t="str">
        <f aca="false">IF(B64="","",SUMIFS('Flujo de Pagos'!I$7:I$506,'Flujo de Pagos'!E$7:E$506,B64,'Flujo de Pagos'!B$7:B$506,AF7))</f>
        <v/>
      </c>
      <c r="AG64" s="76" t="str">
        <f aca="false">IF(B64="","",SUMIFS('Flujo de Pagos'!I$7:I$506,'Flujo de Pagos'!E$7:E$506,B64,'Flujo de Pagos'!B$7:B$506,AG7))</f>
        <v/>
      </c>
      <c r="AH64" s="76" t="str">
        <f aca="false">IF(B64="","",SUMIFS('Flujo de Pagos'!I$7:I$506,'Flujo de Pagos'!E$7:E$506,B64,'Flujo de Pagos'!B$7:B$506,AH7))</f>
        <v/>
      </c>
      <c r="AI64" s="76" t="str">
        <f aca="false">IF(B64="","",SUMIFS('Flujo de Pagos'!I$7:I$506,'Flujo de Pagos'!E$7:E$506,B64,'Flujo de Pagos'!B$7:B$506,AI7))</f>
        <v/>
      </c>
      <c r="AJ64" s="76" t="str">
        <f aca="false">IF(B64="","",SUMIFS('Flujo de Pagos'!I$7:I$506,'Flujo de Pagos'!E$7:E$506,B64,'Flujo de Pagos'!B$7:B$506,AJ7))</f>
        <v/>
      </c>
      <c r="AK64" s="76" t="str">
        <f aca="false">IF(B64="","",SUMIFS('Flujo de Pagos'!I$7:I$506,'Flujo de Pagos'!E$7:E$506,B64,'Flujo de Pagos'!B$7:B$506,AK7))</f>
        <v/>
      </c>
      <c r="AL64" s="76" t="str">
        <f aca="false">IF(B64="","",SUMIFS('Flujo de Pagos'!I$7:I$506,'Flujo de Pagos'!E$7:E$506,B64,'Flujo de Pagos'!B$7:B$506,AL7))</f>
        <v/>
      </c>
      <c r="AM64" s="76" t="str">
        <f aca="false">IF(B64="","",SUM(C64:AL64))</f>
        <v/>
      </c>
    </row>
    <row r="65" customFormat="false" ht="15.75" hidden="false" customHeight="true" outlineLevel="0" collapsed="false">
      <c r="B65" s="64" t="str">
        <f aca="false">IF(Presupuesto!B62="","",Presupuesto!B62)</f>
        <v/>
      </c>
      <c r="C65" s="76" t="str">
        <f aca="false">IF(B65="","",SUMIFS('Flujo de Pagos'!I$7:I$506,'Flujo de Pagos'!E$7:E$506,B65,'Flujo de Pagos'!B$7:B$506,C7))</f>
        <v/>
      </c>
      <c r="D65" s="76" t="str">
        <f aca="false">IF(B65="","",SUMIFS('Flujo de Pagos'!I$7:I$506,'Flujo de Pagos'!E$7:E$506,B65,'Flujo de Pagos'!B$7:B$506,D7))</f>
        <v/>
      </c>
      <c r="E65" s="76" t="str">
        <f aca="false">IF(B65="","",SUMIFS('Flujo de Pagos'!I$7:I$506,'Flujo de Pagos'!E$7:E$506,B65,'Flujo de Pagos'!B$7:B$506,E7))</f>
        <v/>
      </c>
      <c r="F65" s="76" t="str">
        <f aca="false">IF(B65="","",SUMIFS('Flujo de Pagos'!I$7:I$506,'Flujo de Pagos'!E$7:E$506,B65,'Flujo de Pagos'!B$7:B$506,F7))</f>
        <v/>
      </c>
      <c r="G65" s="76" t="str">
        <f aca="false">IF(B65="","",SUMIFS('Flujo de Pagos'!I$7:I$506,'Flujo de Pagos'!E$7:E$506,B65,'Flujo de Pagos'!B$7:B$506,G7))</f>
        <v/>
      </c>
      <c r="H65" s="76" t="str">
        <f aca="false">IF(B65="","",SUMIFS('Flujo de Pagos'!I$7:I$506,'Flujo de Pagos'!E$7:E$506,B65,'Flujo de Pagos'!B$7:B$506,H7))</f>
        <v/>
      </c>
      <c r="I65" s="76" t="str">
        <f aca="false">IF(B65="","",SUMIFS('Flujo de Pagos'!I$7:I$506,'Flujo de Pagos'!E$7:E$506,B65,'Flujo de Pagos'!B$7:B$506,I7))</f>
        <v/>
      </c>
      <c r="J65" s="76" t="str">
        <f aca="false">IF(B65="","",SUMIFS('Flujo de Pagos'!I$7:I$506,'Flujo de Pagos'!E$7:E$506,B65,'Flujo de Pagos'!B$7:B$506,J7))</f>
        <v/>
      </c>
      <c r="K65" s="76" t="str">
        <f aca="false">IF(B65="","",SUMIFS('Flujo de Pagos'!I$7:I$506,'Flujo de Pagos'!E$7:E$506,B65,'Flujo de Pagos'!B$7:B$506,K7))</f>
        <v/>
      </c>
      <c r="L65" s="76" t="str">
        <f aca="false">IF(B65="","",SUMIFS('Flujo de Pagos'!I$7:I$506,'Flujo de Pagos'!E$7:E$506,B65,'Flujo de Pagos'!B$7:B$506,L7))</f>
        <v/>
      </c>
      <c r="M65" s="76" t="str">
        <f aca="false">IF(B65="","",SUMIFS('Flujo de Pagos'!I$7:I$506,'Flujo de Pagos'!E$7:E$506,B65,'Flujo de Pagos'!B$7:B$506,M7))</f>
        <v/>
      </c>
      <c r="N65" s="76" t="str">
        <f aca="false">IF(B65="","",SUMIFS('Flujo de Pagos'!I$7:I$506,'Flujo de Pagos'!E$7:E$506,B65,'Flujo de Pagos'!B$7:B$506,N7))</f>
        <v/>
      </c>
      <c r="O65" s="76" t="str">
        <f aca="false">IF(B65="","",SUMIFS('Flujo de Pagos'!I$7:I$506,'Flujo de Pagos'!E$7:E$506,B65,'Flujo de Pagos'!B$7:B$506,O7))</f>
        <v/>
      </c>
      <c r="P65" s="76" t="str">
        <f aca="false">IF(B65="","",SUMIFS('Flujo de Pagos'!I$7:I$506,'Flujo de Pagos'!E$7:E$506,B65,'Flujo de Pagos'!B$7:B$506,P7))</f>
        <v/>
      </c>
      <c r="Q65" s="76" t="str">
        <f aca="false">IF(B65="","",SUMIFS('Flujo de Pagos'!I$7:I$506,'Flujo de Pagos'!E$7:E$506,B65,'Flujo de Pagos'!B$7:B$506,Q7))</f>
        <v/>
      </c>
      <c r="R65" s="76" t="str">
        <f aca="false">IF(B65="","",SUMIFS('Flujo de Pagos'!I$7:I$506,'Flujo de Pagos'!E$7:E$506,B65,'Flujo de Pagos'!B$7:B$506,R7))</f>
        <v/>
      </c>
      <c r="S65" s="76" t="str">
        <f aca="false">IF(B65="","",SUMIFS('Flujo de Pagos'!I$7:I$506,'Flujo de Pagos'!E$7:E$506,B65,'Flujo de Pagos'!B$7:B$506,S7))</f>
        <v/>
      </c>
      <c r="T65" s="76" t="str">
        <f aca="false">IF(B65="","",SUMIFS('Flujo de Pagos'!I$7:I$506,'Flujo de Pagos'!E$7:E$506,B65,'Flujo de Pagos'!B$7:B$506,T7))</f>
        <v/>
      </c>
      <c r="U65" s="76" t="str">
        <f aca="false">IF(B65="","",SUMIFS('Flujo de Pagos'!I$7:I$506,'Flujo de Pagos'!E$7:E$506,B65,'Flujo de Pagos'!B$7:B$506,U7))</f>
        <v/>
      </c>
      <c r="V65" s="76" t="str">
        <f aca="false">IF(B65="","",SUMIFS('Flujo de Pagos'!I$7:I$506,'Flujo de Pagos'!E$7:E$506,B65,'Flujo de Pagos'!B$7:B$506,V7))</f>
        <v/>
      </c>
      <c r="W65" s="76" t="str">
        <f aca="false">IF(B65="","",SUMIFS('Flujo de Pagos'!I$7:I$506,'Flujo de Pagos'!E$7:E$506,B65,'Flujo de Pagos'!B$7:B$506,W7))</f>
        <v/>
      </c>
      <c r="X65" s="76" t="str">
        <f aca="false">IF(B65="","",SUMIFS('Flujo de Pagos'!I$7:I$506,'Flujo de Pagos'!E$7:E$506,B65,'Flujo de Pagos'!B$7:B$506,X7))</f>
        <v/>
      </c>
      <c r="Y65" s="76" t="str">
        <f aca="false">IF(B65="","",SUMIFS('Flujo de Pagos'!I$7:I$506,'Flujo de Pagos'!E$7:E$506,B65,'Flujo de Pagos'!B$7:B$506,Y7))</f>
        <v/>
      </c>
      <c r="Z65" s="76" t="str">
        <f aca="false">IF(B65="","",SUMIFS('Flujo de Pagos'!I$7:I$506,'Flujo de Pagos'!E$7:E$506,B65,'Flujo de Pagos'!B$7:B$506,Z7))</f>
        <v/>
      </c>
      <c r="AA65" s="76" t="str">
        <f aca="false">IF(B65="","",SUMIFS('Flujo de Pagos'!I$7:I$506,'Flujo de Pagos'!E$7:E$506,B65,'Flujo de Pagos'!B$7:B$506,AA7))</f>
        <v/>
      </c>
      <c r="AB65" s="76" t="str">
        <f aca="false">IF(B65="","",SUMIFS('Flujo de Pagos'!I$7:I$506,'Flujo de Pagos'!E$7:E$506,B65,'Flujo de Pagos'!B$7:B$506,AB7))</f>
        <v/>
      </c>
      <c r="AC65" s="76" t="str">
        <f aca="false">IF(B65="","",SUMIFS('Flujo de Pagos'!I$7:I$506,'Flujo de Pagos'!E$7:E$506,B65,'Flujo de Pagos'!B$7:B$506,AC7))</f>
        <v/>
      </c>
      <c r="AD65" s="76" t="str">
        <f aca="false">IF(B65="","",SUMIFS('Flujo de Pagos'!I$7:I$506,'Flujo de Pagos'!E$7:E$506,B65,'Flujo de Pagos'!B$7:B$506,AD7))</f>
        <v/>
      </c>
      <c r="AE65" s="76" t="str">
        <f aca="false">IF(B65="","",SUMIFS('Flujo de Pagos'!I$7:I$506,'Flujo de Pagos'!E$7:E$506,B65,'Flujo de Pagos'!B$7:B$506,AE7))</f>
        <v/>
      </c>
      <c r="AF65" s="76" t="str">
        <f aca="false">IF(B65="","",SUMIFS('Flujo de Pagos'!I$7:I$506,'Flujo de Pagos'!E$7:E$506,B65,'Flujo de Pagos'!B$7:B$506,AF7))</f>
        <v/>
      </c>
      <c r="AG65" s="76" t="str">
        <f aca="false">IF(B65="","",SUMIFS('Flujo de Pagos'!I$7:I$506,'Flujo de Pagos'!E$7:E$506,B65,'Flujo de Pagos'!B$7:B$506,AG7))</f>
        <v/>
      </c>
      <c r="AH65" s="76" t="str">
        <f aca="false">IF(B65="","",SUMIFS('Flujo de Pagos'!I$7:I$506,'Flujo de Pagos'!E$7:E$506,B65,'Flujo de Pagos'!B$7:B$506,AH7))</f>
        <v/>
      </c>
      <c r="AI65" s="76" t="str">
        <f aca="false">IF(B65="","",SUMIFS('Flujo de Pagos'!I$7:I$506,'Flujo de Pagos'!E$7:E$506,B65,'Flujo de Pagos'!B$7:B$506,AI7))</f>
        <v/>
      </c>
      <c r="AJ65" s="76" t="str">
        <f aca="false">IF(B65="","",SUMIFS('Flujo de Pagos'!I$7:I$506,'Flujo de Pagos'!E$7:E$506,B65,'Flujo de Pagos'!B$7:B$506,AJ7))</f>
        <v/>
      </c>
      <c r="AK65" s="76" t="str">
        <f aca="false">IF(B65="","",SUMIFS('Flujo de Pagos'!I$7:I$506,'Flujo de Pagos'!E$7:E$506,B65,'Flujo de Pagos'!B$7:B$506,AK7))</f>
        <v/>
      </c>
      <c r="AL65" s="76" t="str">
        <f aca="false">IF(B65="","",SUMIFS('Flujo de Pagos'!I$7:I$506,'Flujo de Pagos'!E$7:E$506,B65,'Flujo de Pagos'!B$7:B$506,AL7))</f>
        <v/>
      </c>
      <c r="AM65" s="76" t="str">
        <f aca="false">IF(B65="","",SUM(C65:AL65))</f>
        <v/>
      </c>
    </row>
    <row r="66" customFormat="false" ht="15.75" hidden="false" customHeight="true" outlineLevel="0" collapsed="false">
      <c r="B66" s="64" t="str">
        <f aca="false">IF(Presupuesto!B63="","",Presupuesto!B63)</f>
        <v/>
      </c>
      <c r="C66" s="76" t="str">
        <f aca="false">IF(B66="","",SUMIFS('Flujo de Pagos'!I$7:I$506,'Flujo de Pagos'!E$7:E$506,B66,'Flujo de Pagos'!B$7:B$506,C7))</f>
        <v/>
      </c>
      <c r="D66" s="76" t="str">
        <f aca="false">IF(B66="","",SUMIFS('Flujo de Pagos'!I$7:I$506,'Flujo de Pagos'!E$7:E$506,B66,'Flujo de Pagos'!B$7:B$506,D7))</f>
        <v/>
      </c>
      <c r="E66" s="76" t="str">
        <f aca="false">IF(B66="","",SUMIFS('Flujo de Pagos'!I$7:I$506,'Flujo de Pagos'!E$7:E$506,B66,'Flujo de Pagos'!B$7:B$506,E7))</f>
        <v/>
      </c>
      <c r="F66" s="76" t="str">
        <f aca="false">IF(B66="","",SUMIFS('Flujo de Pagos'!I$7:I$506,'Flujo de Pagos'!E$7:E$506,B66,'Flujo de Pagos'!B$7:B$506,F7))</f>
        <v/>
      </c>
      <c r="G66" s="76" t="str">
        <f aca="false">IF(B66="","",SUMIFS('Flujo de Pagos'!I$7:I$506,'Flujo de Pagos'!E$7:E$506,B66,'Flujo de Pagos'!B$7:B$506,G7))</f>
        <v/>
      </c>
      <c r="H66" s="76" t="str">
        <f aca="false">IF(B66="","",SUMIFS('Flujo de Pagos'!I$7:I$506,'Flujo de Pagos'!E$7:E$506,B66,'Flujo de Pagos'!B$7:B$506,H7))</f>
        <v/>
      </c>
      <c r="I66" s="76" t="str">
        <f aca="false">IF(B66="","",SUMIFS('Flujo de Pagos'!I$7:I$506,'Flujo de Pagos'!E$7:E$506,B66,'Flujo de Pagos'!B$7:B$506,I7))</f>
        <v/>
      </c>
      <c r="J66" s="76" t="str">
        <f aca="false">IF(B66="","",SUMIFS('Flujo de Pagos'!I$7:I$506,'Flujo de Pagos'!E$7:E$506,B66,'Flujo de Pagos'!B$7:B$506,J7))</f>
        <v/>
      </c>
      <c r="K66" s="76" t="str">
        <f aca="false">IF(B66="","",SUMIFS('Flujo de Pagos'!I$7:I$506,'Flujo de Pagos'!E$7:E$506,B66,'Flujo de Pagos'!B$7:B$506,K7))</f>
        <v/>
      </c>
      <c r="L66" s="76" t="str">
        <f aca="false">IF(B66="","",SUMIFS('Flujo de Pagos'!I$7:I$506,'Flujo de Pagos'!E$7:E$506,B66,'Flujo de Pagos'!B$7:B$506,L7))</f>
        <v/>
      </c>
      <c r="M66" s="76" t="str">
        <f aca="false">IF(B66="","",SUMIFS('Flujo de Pagos'!I$7:I$506,'Flujo de Pagos'!E$7:E$506,B66,'Flujo de Pagos'!B$7:B$506,M7))</f>
        <v/>
      </c>
      <c r="N66" s="76" t="str">
        <f aca="false">IF(B66="","",SUMIFS('Flujo de Pagos'!I$7:I$506,'Flujo de Pagos'!E$7:E$506,B66,'Flujo de Pagos'!B$7:B$506,N7))</f>
        <v/>
      </c>
      <c r="O66" s="76" t="str">
        <f aca="false">IF(B66="","",SUMIFS('Flujo de Pagos'!I$7:I$506,'Flujo de Pagos'!E$7:E$506,B66,'Flujo de Pagos'!B$7:B$506,O7))</f>
        <v/>
      </c>
      <c r="P66" s="76" t="str">
        <f aca="false">IF(B66="","",SUMIFS('Flujo de Pagos'!I$7:I$506,'Flujo de Pagos'!E$7:E$506,B66,'Flujo de Pagos'!B$7:B$506,P7))</f>
        <v/>
      </c>
      <c r="Q66" s="76" t="str">
        <f aca="false">IF(B66="","",SUMIFS('Flujo de Pagos'!I$7:I$506,'Flujo de Pagos'!E$7:E$506,B66,'Flujo de Pagos'!B$7:B$506,Q7))</f>
        <v/>
      </c>
      <c r="R66" s="76" t="str">
        <f aca="false">IF(B66="","",SUMIFS('Flujo de Pagos'!I$7:I$506,'Flujo de Pagos'!E$7:E$506,B66,'Flujo de Pagos'!B$7:B$506,R7))</f>
        <v/>
      </c>
      <c r="S66" s="76" t="str">
        <f aca="false">IF(B66="","",SUMIFS('Flujo de Pagos'!I$7:I$506,'Flujo de Pagos'!E$7:E$506,B66,'Flujo de Pagos'!B$7:B$506,S7))</f>
        <v/>
      </c>
      <c r="T66" s="76" t="str">
        <f aca="false">IF(B66="","",SUMIFS('Flujo de Pagos'!I$7:I$506,'Flujo de Pagos'!E$7:E$506,B66,'Flujo de Pagos'!B$7:B$506,T7))</f>
        <v/>
      </c>
      <c r="U66" s="76" t="str">
        <f aca="false">IF(B66="","",SUMIFS('Flujo de Pagos'!I$7:I$506,'Flujo de Pagos'!E$7:E$506,B66,'Flujo de Pagos'!B$7:B$506,U7))</f>
        <v/>
      </c>
      <c r="V66" s="76" t="str">
        <f aca="false">IF(B66="","",SUMIFS('Flujo de Pagos'!I$7:I$506,'Flujo de Pagos'!E$7:E$506,B66,'Flujo de Pagos'!B$7:B$506,V7))</f>
        <v/>
      </c>
      <c r="W66" s="76" t="str">
        <f aca="false">IF(B66="","",SUMIFS('Flujo de Pagos'!I$7:I$506,'Flujo de Pagos'!E$7:E$506,B66,'Flujo de Pagos'!B$7:B$506,W7))</f>
        <v/>
      </c>
      <c r="X66" s="76" t="str">
        <f aca="false">IF(B66="","",SUMIFS('Flujo de Pagos'!I$7:I$506,'Flujo de Pagos'!E$7:E$506,B66,'Flujo de Pagos'!B$7:B$506,X7))</f>
        <v/>
      </c>
      <c r="Y66" s="76" t="str">
        <f aca="false">IF(B66="","",SUMIFS('Flujo de Pagos'!I$7:I$506,'Flujo de Pagos'!E$7:E$506,B66,'Flujo de Pagos'!B$7:B$506,Y7))</f>
        <v/>
      </c>
      <c r="Z66" s="76" t="str">
        <f aca="false">IF(B66="","",SUMIFS('Flujo de Pagos'!I$7:I$506,'Flujo de Pagos'!E$7:E$506,B66,'Flujo de Pagos'!B$7:B$506,Z7))</f>
        <v/>
      </c>
      <c r="AA66" s="76" t="str">
        <f aca="false">IF(B66="","",SUMIFS('Flujo de Pagos'!I$7:I$506,'Flujo de Pagos'!E$7:E$506,B66,'Flujo de Pagos'!B$7:B$506,AA7))</f>
        <v/>
      </c>
      <c r="AB66" s="76" t="str">
        <f aca="false">IF(B66="","",SUMIFS('Flujo de Pagos'!I$7:I$506,'Flujo de Pagos'!E$7:E$506,B66,'Flujo de Pagos'!B$7:B$506,AB7))</f>
        <v/>
      </c>
      <c r="AC66" s="76" t="str">
        <f aca="false">IF(B66="","",SUMIFS('Flujo de Pagos'!I$7:I$506,'Flujo de Pagos'!E$7:E$506,B66,'Flujo de Pagos'!B$7:B$506,AC7))</f>
        <v/>
      </c>
      <c r="AD66" s="76" t="str">
        <f aca="false">IF(B66="","",SUMIFS('Flujo de Pagos'!I$7:I$506,'Flujo de Pagos'!E$7:E$506,B66,'Flujo de Pagos'!B$7:B$506,AD7))</f>
        <v/>
      </c>
      <c r="AE66" s="76" t="str">
        <f aca="false">IF(B66="","",SUMIFS('Flujo de Pagos'!I$7:I$506,'Flujo de Pagos'!E$7:E$506,B66,'Flujo de Pagos'!B$7:B$506,AE7))</f>
        <v/>
      </c>
      <c r="AF66" s="76" t="str">
        <f aca="false">IF(B66="","",SUMIFS('Flujo de Pagos'!I$7:I$506,'Flujo de Pagos'!E$7:E$506,B66,'Flujo de Pagos'!B$7:B$506,AF7))</f>
        <v/>
      </c>
      <c r="AG66" s="76" t="str">
        <f aca="false">IF(B66="","",SUMIFS('Flujo de Pagos'!I$7:I$506,'Flujo de Pagos'!E$7:E$506,B66,'Flujo de Pagos'!B$7:B$506,AG7))</f>
        <v/>
      </c>
      <c r="AH66" s="76" t="str">
        <f aca="false">IF(B66="","",SUMIFS('Flujo de Pagos'!I$7:I$506,'Flujo de Pagos'!E$7:E$506,B66,'Flujo de Pagos'!B$7:B$506,AH7))</f>
        <v/>
      </c>
      <c r="AI66" s="76" t="str">
        <f aca="false">IF(B66="","",SUMIFS('Flujo de Pagos'!I$7:I$506,'Flujo de Pagos'!E$7:E$506,B66,'Flujo de Pagos'!B$7:B$506,AI7))</f>
        <v/>
      </c>
      <c r="AJ66" s="76" t="str">
        <f aca="false">IF(B66="","",SUMIFS('Flujo de Pagos'!I$7:I$506,'Flujo de Pagos'!E$7:E$506,B66,'Flujo de Pagos'!B$7:B$506,AJ7))</f>
        <v/>
      </c>
      <c r="AK66" s="76" t="str">
        <f aca="false">IF(B66="","",SUMIFS('Flujo de Pagos'!I$7:I$506,'Flujo de Pagos'!E$7:E$506,B66,'Flujo de Pagos'!B$7:B$506,AK7))</f>
        <v/>
      </c>
      <c r="AL66" s="76" t="str">
        <f aca="false">IF(B66="","",SUMIFS('Flujo de Pagos'!I$7:I$506,'Flujo de Pagos'!E$7:E$506,B66,'Flujo de Pagos'!B$7:B$506,AL7))</f>
        <v/>
      </c>
      <c r="AM66" s="76" t="str">
        <f aca="false">IF(B66="","",SUM(C66:AL66))</f>
        <v/>
      </c>
    </row>
    <row r="67" customFormat="false" ht="15.75" hidden="false" customHeight="true" outlineLevel="0" collapsed="false">
      <c r="B67" s="64" t="str">
        <f aca="false">IF(Presupuesto!B64="","",Presupuesto!B64)</f>
        <v/>
      </c>
      <c r="C67" s="76" t="str">
        <f aca="false">IF(B67="","",SUMIFS('Flujo de Pagos'!I$7:I$506,'Flujo de Pagos'!E$7:E$506,B67,'Flujo de Pagos'!B$7:B$506,C7))</f>
        <v/>
      </c>
      <c r="D67" s="76" t="str">
        <f aca="false">IF(B67="","",SUMIFS('Flujo de Pagos'!I$7:I$506,'Flujo de Pagos'!E$7:E$506,B67,'Flujo de Pagos'!B$7:B$506,D7))</f>
        <v/>
      </c>
      <c r="E67" s="76" t="str">
        <f aca="false">IF(B67="","",SUMIFS('Flujo de Pagos'!I$7:I$506,'Flujo de Pagos'!E$7:E$506,B67,'Flujo de Pagos'!B$7:B$506,E7))</f>
        <v/>
      </c>
      <c r="F67" s="76" t="str">
        <f aca="false">IF(B67="","",SUMIFS('Flujo de Pagos'!I$7:I$506,'Flujo de Pagos'!E$7:E$506,B67,'Flujo de Pagos'!B$7:B$506,F7))</f>
        <v/>
      </c>
      <c r="G67" s="76" t="str">
        <f aca="false">IF(B67="","",SUMIFS('Flujo de Pagos'!I$7:I$506,'Flujo de Pagos'!E$7:E$506,B67,'Flujo de Pagos'!B$7:B$506,G7))</f>
        <v/>
      </c>
      <c r="H67" s="76" t="str">
        <f aca="false">IF(B67="","",SUMIFS('Flujo de Pagos'!I$7:I$506,'Flujo de Pagos'!E$7:E$506,B67,'Flujo de Pagos'!B$7:B$506,H7))</f>
        <v/>
      </c>
      <c r="I67" s="76" t="str">
        <f aca="false">IF(B67="","",SUMIFS('Flujo de Pagos'!I$7:I$506,'Flujo de Pagos'!E$7:E$506,B67,'Flujo de Pagos'!B$7:B$506,I7))</f>
        <v/>
      </c>
      <c r="J67" s="76" t="str">
        <f aca="false">IF(B67="","",SUMIFS('Flujo de Pagos'!I$7:I$506,'Flujo de Pagos'!E$7:E$506,B67,'Flujo de Pagos'!B$7:B$506,J7))</f>
        <v/>
      </c>
      <c r="K67" s="76" t="str">
        <f aca="false">IF(B67="","",SUMIFS('Flujo de Pagos'!I$7:I$506,'Flujo de Pagos'!E$7:E$506,B67,'Flujo de Pagos'!B$7:B$506,K7))</f>
        <v/>
      </c>
      <c r="L67" s="76" t="str">
        <f aca="false">IF(B67="","",SUMIFS('Flujo de Pagos'!I$7:I$506,'Flujo de Pagos'!E$7:E$506,B67,'Flujo de Pagos'!B$7:B$506,L7))</f>
        <v/>
      </c>
      <c r="M67" s="76" t="str">
        <f aca="false">IF(B67="","",SUMIFS('Flujo de Pagos'!I$7:I$506,'Flujo de Pagos'!E$7:E$506,B67,'Flujo de Pagos'!B$7:B$506,M7))</f>
        <v/>
      </c>
      <c r="N67" s="76" t="str">
        <f aca="false">IF(B67="","",SUMIFS('Flujo de Pagos'!I$7:I$506,'Flujo de Pagos'!E$7:E$506,B67,'Flujo de Pagos'!B$7:B$506,N7))</f>
        <v/>
      </c>
      <c r="O67" s="76" t="str">
        <f aca="false">IF(B67="","",SUMIFS('Flujo de Pagos'!I$7:I$506,'Flujo de Pagos'!E$7:E$506,B67,'Flujo de Pagos'!B$7:B$506,O7))</f>
        <v/>
      </c>
      <c r="P67" s="76" t="str">
        <f aca="false">IF(B67="","",SUMIFS('Flujo de Pagos'!I$7:I$506,'Flujo de Pagos'!E$7:E$506,B67,'Flujo de Pagos'!B$7:B$506,P7))</f>
        <v/>
      </c>
      <c r="Q67" s="76" t="str">
        <f aca="false">IF(B67="","",SUMIFS('Flujo de Pagos'!I$7:I$506,'Flujo de Pagos'!E$7:E$506,B67,'Flujo de Pagos'!B$7:B$506,Q7))</f>
        <v/>
      </c>
      <c r="R67" s="76" t="str">
        <f aca="false">IF(B67="","",SUMIFS('Flujo de Pagos'!I$7:I$506,'Flujo de Pagos'!E$7:E$506,B67,'Flujo de Pagos'!B$7:B$506,R7))</f>
        <v/>
      </c>
      <c r="S67" s="76" t="str">
        <f aca="false">IF(B67="","",SUMIFS('Flujo de Pagos'!I$7:I$506,'Flujo de Pagos'!E$7:E$506,B67,'Flujo de Pagos'!B$7:B$506,S7))</f>
        <v/>
      </c>
      <c r="T67" s="76" t="str">
        <f aca="false">IF(B67="","",SUMIFS('Flujo de Pagos'!I$7:I$506,'Flujo de Pagos'!E$7:E$506,B67,'Flujo de Pagos'!B$7:B$506,T7))</f>
        <v/>
      </c>
      <c r="U67" s="76" t="str">
        <f aca="false">IF(B67="","",SUMIFS('Flujo de Pagos'!I$7:I$506,'Flujo de Pagos'!E$7:E$506,B67,'Flujo de Pagos'!B$7:B$506,U7))</f>
        <v/>
      </c>
      <c r="V67" s="76" t="str">
        <f aca="false">IF(B67="","",SUMIFS('Flujo de Pagos'!I$7:I$506,'Flujo de Pagos'!E$7:E$506,B67,'Flujo de Pagos'!B$7:B$506,V7))</f>
        <v/>
      </c>
      <c r="W67" s="76" t="str">
        <f aca="false">IF(B67="","",SUMIFS('Flujo de Pagos'!I$7:I$506,'Flujo de Pagos'!E$7:E$506,B67,'Flujo de Pagos'!B$7:B$506,W7))</f>
        <v/>
      </c>
      <c r="X67" s="76" t="str">
        <f aca="false">IF(B67="","",SUMIFS('Flujo de Pagos'!I$7:I$506,'Flujo de Pagos'!E$7:E$506,B67,'Flujo de Pagos'!B$7:B$506,X7))</f>
        <v/>
      </c>
      <c r="Y67" s="76" t="str">
        <f aca="false">IF(B67="","",SUMIFS('Flujo de Pagos'!I$7:I$506,'Flujo de Pagos'!E$7:E$506,B67,'Flujo de Pagos'!B$7:B$506,Y7))</f>
        <v/>
      </c>
      <c r="Z67" s="76" t="str">
        <f aca="false">IF(B67="","",SUMIFS('Flujo de Pagos'!I$7:I$506,'Flujo de Pagos'!E$7:E$506,B67,'Flujo de Pagos'!B$7:B$506,Z7))</f>
        <v/>
      </c>
      <c r="AA67" s="76" t="str">
        <f aca="false">IF(B67="","",SUMIFS('Flujo de Pagos'!I$7:I$506,'Flujo de Pagos'!E$7:E$506,B67,'Flujo de Pagos'!B$7:B$506,AA7))</f>
        <v/>
      </c>
      <c r="AB67" s="76" t="str">
        <f aca="false">IF(B67="","",SUMIFS('Flujo de Pagos'!I$7:I$506,'Flujo de Pagos'!E$7:E$506,B67,'Flujo de Pagos'!B$7:B$506,AB7))</f>
        <v/>
      </c>
      <c r="AC67" s="76" t="str">
        <f aca="false">IF(B67="","",SUMIFS('Flujo de Pagos'!I$7:I$506,'Flujo de Pagos'!E$7:E$506,B67,'Flujo de Pagos'!B$7:B$506,AC7))</f>
        <v/>
      </c>
      <c r="AD67" s="76" t="str">
        <f aca="false">IF(B67="","",SUMIFS('Flujo de Pagos'!I$7:I$506,'Flujo de Pagos'!E$7:E$506,B67,'Flujo de Pagos'!B$7:B$506,AD7))</f>
        <v/>
      </c>
      <c r="AE67" s="76" t="str">
        <f aca="false">IF(B67="","",SUMIFS('Flujo de Pagos'!I$7:I$506,'Flujo de Pagos'!E$7:E$506,B67,'Flujo de Pagos'!B$7:B$506,AE7))</f>
        <v/>
      </c>
      <c r="AF67" s="76" t="str">
        <f aca="false">IF(B67="","",SUMIFS('Flujo de Pagos'!I$7:I$506,'Flujo de Pagos'!E$7:E$506,B67,'Flujo de Pagos'!B$7:B$506,AF7))</f>
        <v/>
      </c>
      <c r="AG67" s="76" t="str">
        <f aca="false">IF(B67="","",SUMIFS('Flujo de Pagos'!I$7:I$506,'Flujo de Pagos'!E$7:E$506,B67,'Flujo de Pagos'!B$7:B$506,AG7))</f>
        <v/>
      </c>
      <c r="AH67" s="76" t="str">
        <f aca="false">IF(B67="","",SUMIFS('Flujo de Pagos'!I$7:I$506,'Flujo de Pagos'!E$7:E$506,B67,'Flujo de Pagos'!B$7:B$506,AH7))</f>
        <v/>
      </c>
      <c r="AI67" s="76" t="str">
        <f aca="false">IF(B67="","",SUMIFS('Flujo de Pagos'!I$7:I$506,'Flujo de Pagos'!E$7:E$506,B67,'Flujo de Pagos'!B$7:B$506,AI7))</f>
        <v/>
      </c>
      <c r="AJ67" s="76" t="str">
        <f aca="false">IF(B67="","",SUMIFS('Flujo de Pagos'!I$7:I$506,'Flujo de Pagos'!E$7:E$506,B67,'Flujo de Pagos'!B$7:B$506,AJ7))</f>
        <v/>
      </c>
      <c r="AK67" s="76" t="str">
        <f aca="false">IF(B67="","",SUMIFS('Flujo de Pagos'!I$7:I$506,'Flujo de Pagos'!E$7:E$506,B67,'Flujo de Pagos'!B$7:B$506,AK7))</f>
        <v/>
      </c>
      <c r="AL67" s="76" t="str">
        <f aca="false">IF(B67="","",SUMIFS('Flujo de Pagos'!I$7:I$506,'Flujo de Pagos'!E$7:E$506,B67,'Flujo de Pagos'!B$7:B$506,AL7))</f>
        <v/>
      </c>
      <c r="AM67" s="76" t="str">
        <f aca="false">IF(B67="","",SUM(C67:AL67))</f>
        <v/>
      </c>
    </row>
    <row r="68" customFormat="false" ht="15.75" hidden="false" customHeight="true" outlineLevel="0" collapsed="false">
      <c r="B68" s="64" t="str">
        <f aca="false">IF(Presupuesto!B65="","",Presupuesto!B65)</f>
        <v/>
      </c>
      <c r="C68" s="76" t="str">
        <f aca="false">IF(B68="","",SUMIFS('Flujo de Pagos'!I$7:I$506,'Flujo de Pagos'!E$7:E$506,B68,'Flujo de Pagos'!B$7:B$506,C7))</f>
        <v/>
      </c>
      <c r="D68" s="76" t="str">
        <f aca="false">IF(B68="","",SUMIFS('Flujo de Pagos'!I$7:I$506,'Flujo de Pagos'!E$7:E$506,B68,'Flujo de Pagos'!B$7:B$506,D7))</f>
        <v/>
      </c>
      <c r="E68" s="76" t="str">
        <f aca="false">IF(B68="","",SUMIFS('Flujo de Pagos'!I$7:I$506,'Flujo de Pagos'!E$7:E$506,B68,'Flujo de Pagos'!B$7:B$506,E7))</f>
        <v/>
      </c>
      <c r="F68" s="76" t="str">
        <f aca="false">IF(B68="","",SUMIFS('Flujo de Pagos'!I$7:I$506,'Flujo de Pagos'!E$7:E$506,B68,'Flujo de Pagos'!B$7:B$506,F7))</f>
        <v/>
      </c>
      <c r="G68" s="76" t="str">
        <f aca="false">IF(B68="","",SUMIFS('Flujo de Pagos'!I$7:I$506,'Flujo de Pagos'!E$7:E$506,B68,'Flujo de Pagos'!B$7:B$506,G7))</f>
        <v/>
      </c>
      <c r="H68" s="76" t="str">
        <f aca="false">IF(B68="","",SUMIFS('Flujo de Pagos'!I$7:I$506,'Flujo de Pagos'!E$7:E$506,B68,'Flujo de Pagos'!B$7:B$506,H7))</f>
        <v/>
      </c>
      <c r="I68" s="76" t="str">
        <f aca="false">IF(B68="","",SUMIFS('Flujo de Pagos'!I$7:I$506,'Flujo de Pagos'!E$7:E$506,B68,'Flujo de Pagos'!B$7:B$506,I7))</f>
        <v/>
      </c>
      <c r="J68" s="76" t="str">
        <f aca="false">IF(B68="","",SUMIFS('Flujo de Pagos'!I$7:I$506,'Flujo de Pagos'!E$7:E$506,B68,'Flujo de Pagos'!B$7:B$506,J7))</f>
        <v/>
      </c>
      <c r="K68" s="76" t="str">
        <f aca="false">IF(B68="","",SUMIFS('Flujo de Pagos'!I$7:I$506,'Flujo de Pagos'!E$7:E$506,B68,'Flujo de Pagos'!B$7:B$506,K7))</f>
        <v/>
      </c>
      <c r="L68" s="76" t="str">
        <f aca="false">IF(B68="","",SUMIFS('Flujo de Pagos'!I$7:I$506,'Flujo de Pagos'!E$7:E$506,B68,'Flujo de Pagos'!B$7:B$506,L7))</f>
        <v/>
      </c>
      <c r="M68" s="76" t="str">
        <f aca="false">IF(B68="","",SUMIFS('Flujo de Pagos'!I$7:I$506,'Flujo de Pagos'!E$7:E$506,B68,'Flujo de Pagos'!B$7:B$506,M7))</f>
        <v/>
      </c>
      <c r="N68" s="76" t="str">
        <f aca="false">IF(B68="","",SUMIFS('Flujo de Pagos'!I$7:I$506,'Flujo de Pagos'!E$7:E$506,B68,'Flujo de Pagos'!B$7:B$506,N7))</f>
        <v/>
      </c>
      <c r="O68" s="76" t="str">
        <f aca="false">IF(B68="","",SUMIFS('Flujo de Pagos'!I$7:I$506,'Flujo de Pagos'!E$7:E$506,B68,'Flujo de Pagos'!B$7:B$506,O7))</f>
        <v/>
      </c>
      <c r="P68" s="76" t="str">
        <f aca="false">IF(B68="","",SUMIFS('Flujo de Pagos'!I$7:I$506,'Flujo de Pagos'!E$7:E$506,B68,'Flujo de Pagos'!B$7:B$506,P7))</f>
        <v/>
      </c>
      <c r="Q68" s="76" t="str">
        <f aca="false">IF(B68="","",SUMIFS('Flujo de Pagos'!I$7:I$506,'Flujo de Pagos'!E$7:E$506,B68,'Flujo de Pagos'!B$7:B$506,Q7))</f>
        <v/>
      </c>
      <c r="R68" s="76" t="str">
        <f aca="false">IF(B68="","",SUMIFS('Flujo de Pagos'!I$7:I$506,'Flujo de Pagos'!E$7:E$506,B68,'Flujo de Pagos'!B$7:B$506,R7))</f>
        <v/>
      </c>
      <c r="S68" s="76" t="str">
        <f aca="false">IF(B68="","",SUMIFS('Flujo de Pagos'!I$7:I$506,'Flujo de Pagos'!E$7:E$506,B68,'Flujo de Pagos'!B$7:B$506,S7))</f>
        <v/>
      </c>
      <c r="T68" s="76" t="str">
        <f aca="false">IF(B68="","",SUMIFS('Flujo de Pagos'!I$7:I$506,'Flujo de Pagos'!E$7:E$506,B68,'Flujo de Pagos'!B$7:B$506,T7))</f>
        <v/>
      </c>
      <c r="U68" s="76" t="str">
        <f aca="false">IF(B68="","",SUMIFS('Flujo de Pagos'!I$7:I$506,'Flujo de Pagos'!E$7:E$506,B68,'Flujo de Pagos'!B$7:B$506,U7))</f>
        <v/>
      </c>
      <c r="V68" s="76" t="str">
        <f aca="false">IF(B68="","",SUMIFS('Flujo de Pagos'!I$7:I$506,'Flujo de Pagos'!E$7:E$506,B68,'Flujo de Pagos'!B$7:B$506,V7))</f>
        <v/>
      </c>
      <c r="W68" s="76" t="str">
        <f aca="false">IF(B68="","",SUMIFS('Flujo de Pagos'!I$7:I$506,'Flujo de Pagos'!E$7:E$506,B68,'Flujo de Pagos'!B$7:B$506,W7))</f>
        <v/>
      </c>
      <c r="X68" s="76" t="str">
        <f aca="false">IF(B68="","",SUMIFS('Flujo de Pagos'!I$7:I$506,'Flujo de Pagos'!E$7:E$506,B68,'Flujo de Pagos'!B$7:B$506,X7))</f>
        <v/>
      </c>
      <c r="Y68" s="76" t="str">
        <f aca="false">IF(B68="","",SUMIFS('Flujo de Pagos'!I$7:I$506,'Flujo de Pagos'!E$7:E$506,B68,'Flujo de Pagos'!B$7:B$506,Y7))</f>
        <v/>
      </c>
      <c r="Z68" s="76" t="str">
        <f aca="false">IF(B68="","",SUMIFS('Flujo de Pagos'!I$7:I$506,'Flujo de Pagos'!E$7:E$506,B68,'Flujo de Pagos'!B$7:B$506,Z7))</f>
        <v/>
      </c>
      <c r="AA68" s="76" t="str">
        <f aca="false">IF(B68="","",SUMIFS('Flujo de Pagos'!I$7:I$506,'Flujo de Pagos'!E$7:E$506,B68,'Flujo de Pagos'!B$7:B$506,AA7))</f>
        <v/>
      </c>
      <c r="AB68" s="76" t="str">
        <f aca="false">IF(B68="","",SUMIFS('Flujo de Pagos'!I$7:I$506,'Flujo de Pagos'!E$7:E$506,B68,'Flujo de Pagos'!B$7:B$506,AB7))</f>
        <v/>
      </c>
      <c r="AC68" s="76" t="str">
        <f aca="false">IF(B68="","",SUMIFS('Flujo de Pagos'!I$7:I$506,'Flujo de Pagos'!E$7:E$506,B68,'Flujo de Pagos'!B$7:B$506,AC7))</f>
        <v/>
      </c>
      <c r="AD68" s="76" t="str">
        <f aca="false">IF(B68="","",SUMIFS('Flujo de Pagos'!I$7:I$506,'Flujo de Pagos'!E$7:E$506,B68,'Flujo de Pagos'!B$7:B$506,AD7))</f>
        <v/>
      </c>
      <c r="AE68" s="76" t="str">
        <f aca="false">IF(B68="","",SUMIFS('Flujo de Pagos'!I$7:I$506,'Flujo de Pagos'!E$7:E$506,B68,'Flujo de Pagos'!B$7:B$506,AE7))</f>
        <v/>
      </c>
      <c r="AF68" s="76" t="str">
        <f aca="false">IF(B68="","",SUMIFS('Flujo de Pagos'!I$7:I$506,'Flujo de Pagos'!E$7:E$506,B68,'Flujo de Pagos'!B$7:B$506,AF7))</f>
        <v/>
      </c>
      <c r="AG68" s="76" t="str">
        <f aca="false">IF(B68="","",SUMIFS('Flujo de Pagos'!I$7:I$506,'Flujo de Pagos'!E$7:E$506,B68,'Flujo de Pagos'!B$7:B$506,AG7))</f>
        <v/>
      </c>
      <c r="AH68" s="76" t="str">
        <f aca="false">IF(B68="","",SUMIFS('Flujo de Pagos'!I$7:I$506,'Flujo de Pagos'!E$7:E$506,B68,'Flujo de Pagos'!B$7:B$506,AH7))</f>
        <v/>
      </c>
      <c r="AI68" s="76" t="str">
        <f aca="false">IF(B68="","",SUMIFS('Flujo de Pagos'!I$7:I$506,'Flujo de Pagos'!E$7:E$506,B68,'Flujo de Pagos'!B$7:B$506,AI7))</f>
        <v/>
      </c>
      <c r="AJ68" s="76" t="str">
        <f aca="false">IF(B68="","",SUMIFS('Flujo de Pagos'!I$7:I$506,'Flujo de Pagos'!E$7:E$506,B68,'Flujo de Pagos'!B$7:B$506,AJ7))</f>
        <v/>
      </c>
      <c r="AK68" s="76" t="str">
        <f aca="false">IF(B68="","",SUMIFS('Flujo de Pagos'!I$7:I$506,'Flujo de Pagos'!E$7:E$506,B68,'Flujo de Pagos'!B$7:B$506,AK7))</f>
        <v/>
      </c>
      <c r="AL68" s="76" t="str">
        <f aca="false">IF(B68="","",SUMIFS('Flujo de Pagos'!I$7:I$506,'Flujo de Pagos'!E$7:E$506,B68,'Flujo de Pagos'!B$7:B$506,AL7))</f>
        <v/>
      </c>
      <c r="AM68" s="76" t="str">
        <f aca="false">IF(B68="","",SUM(C68:AL68))</f>
        <v/>
      </c>
    </row>
    <row r="69" customFormat="false" ht="15.75" hidden="false" customHeight="true" outlineLevel="0" collapsed="false">
      <c r="B69" s="64" t="str">
        <f aca="false">IF(Presupuesto!B66="","",Presupuesto!B66)</f>
        <v/>
      </c>
      <c r="C69" s="76" t="str">
        <f aca="false">IF(B69="","",SUMIFS('Flujo de Pagos'!I$7:I$506,'Flujo de Pagos'!E$7:E$506,B69,'Flujo de Pagos'!B$7:B$506,C7))</f>
        <v/>
      </c>
      <c r="D69" s="76" t="str">
        <f aca="false">IF(B69="","",SUMIFS('Flujo de Pagos'!I$7:I$506,'Flujo de Pagos'!E$7:E$506,B69,'Flujo de Pagos'!B$7:B$506,D7))</f>
        <v/>
      </c>
      <c r="E69" s="76" t="str">
        <f aca="false">IF(B69="","",SUMIFS('Flujo de Pagos'!I$7:I$506,'Flujo de Pagos'!E$7:E$506,B69,'Flujo de Pagos'!B$7:B$506,E7))</f>
        <v/>
      </c>
      <c r="F69" s="76" t="str">
        <f aca="false">IF(B69="","",SUMIFS('Flujo de Pagos'!I$7:I$506,'Flujo de Pagos'!E$7:E$506,B69,'Flujo de Pagos'!B$7:B$506,F7))</f>
        <v/>
      </c>
      <c r="G69" s="76" t="str">
        <f aca="false">IF(B69="","",SUMIFS('Flujo de Pagos'!I$7:I$506,'Flujo de Pagos'!E$7:E$506,B69,'Flujo de Pagos'!B$7:B$506,G7))</f>
        <v/>
      </c>
      <c r="H69" s="76" t="str">
        <f aca="false">IF(B69="","",SUMIFS('Flujo de Pagos'!I$7:I$506,'Flujo de Pagos'!E$7:E$506,B69,'Flujo de Pagos'!B$7:B$506,H7))</f>
        <v/>
      </c>
      <c r="I69" s="76" t="str">
        <f aca="false">IF(B69="","",SUMIFS('Flujo de Pagos'!I$7:I$506,'Flujo de Pagos'!E$7:E$506,B69,'Flujo de Pagos'!B$7:B$506,I7))</f>
        <v/>
      </c>
      <c r="J69" s="76" t="str">
        <f aca="false">IF(B69="","",SUMIFS('Flujo de Pagos'!I$7:I$506,'Flujo de Pagos'!E$7:E$506,B69,'Flujo de Pagos'!B$7:B$506,J7))</f>
        <v/>
      </c>
      <c r="K69" s="76" t="str">
        <f aca="false">IF(B69="","",SUMIFS('Flujo de Pagos'!I$7:I$506,'Flujo de Pagos'!E$7:E$506,B69,'Flujo de Pagos'!B$7:B$506,K7))</f>
        <v/>
      </c>
      <c r="L69" s="76" t="str">
        <f aca="false">IF(B69="","",SUMIFS('Flujo de Pagos'!I$7:I$506,'Flujo de Pagos'!E$7:E$506,B69,'Flujo de Pagos'!B$7:B$506,L7))</f>
        <v/>
      </c>
      <c r="M69" s="76" t="str">
        <f aca="false">IF(B69="","",SUMIFS('Flujo de Pagos'!I$7:I$506,'Flujo de Pagos'!E$7:E$506,B69,'Flujo de Pagos'!B$7:B$506,M7))</f>
        <v/>
      </c>
      <c r="N69" s="76" t="str">
        <f aca="false">IF(B69="","",SUMIFS('Flujo de Pagos'!I$7:I$506,'Flujo de Pagos'!E$7:E$506,B69,'Flujo de Pagos'!B$7:B$506,N7))</f>
        <v/>
      </c>
      <c r="O69" s="76" t="str">
        <f aca="false">IF(B69="","",SUMIFS('Flujo de Pagos'!I$7:I$506,'Flujo de Pagos'!E$7:E$506,B69,'Flujo de Pagos'!B$7:B$506,O7))</f>
        <v/>
      </c>
      <c r="P69" s="76" t="str">
        <f aca="false">IF(B69="","",SUMIFS('Flujo de Pagos'!I$7:I$506,'Flujo de Pagos'!E$7:E$506,B69,'Flujo de Pagos'!B$7:B$506,P7))</f>
        <v/>
      </c>
      <c r="Q69" s="76" t="str">
        <f aca="false">IF(B69="","",SUMIFS('Flujo de Pagos'!I$7:I$506,'Flujo de Pagos'!E$7:E$506,B69,'Flujo de Pagos'!B$7:B$506,Q7))</f>
        <v/>
      </c>
      <c r="R69" s="76" t="str">
        <f aca="false">IF(B69="","",SUMIFS('Flujo de Pagos'!I$7:I$506,'Flujo de Pagos'!E$7:E$506,B69,'Flujo de Pagos'!B$7:B$506,R7))</f>
        <v/>
      </c>
      <c r="S69" s="76" t="str">
        <f aca="false">IF(B69="","",SUMIFS('Flujo de Pagos'!I$7:I$506,'Flujo de Pagos'!E$7:E$506,B69,'Flujo de Pagos'!B$7:B$506,S7))</f>
        <v/>
      </c>
      <c r="T69" s="76" t="str">
        <f aca="false">IF(B69="","",SUMIFS('Flujo de Pagos'!I$7:I$506,'Flujo de Pagos'!E$7:E$506,B69,'Flujo de Pagos'!B$7:B$506,T7))</f>
        <v/>
      </c>
      <c r="U69" s="76" t="str">
        <f aca="false">IF(B69="","",SUMIFS('Flujo de Pagos'!I$7:I$506,'Flujo de Pagos'!E$7:E$506,B69,'Flujo de Pagos'!B$7:B$506,U7))</f>
        <v/>
      </c>
      <c r="V69" s="76" t="str">
        <f aca="false">IF(B69="","",SUMIFS('Flujo de Pagos'!I$7:I$506,'Flujo de Pagos'!E$7:E$506,B69,'Flujo de Pagos'!B$7:B$506,V7))</f>
        <v/>
      </c>
      <c r="W69" s="76" t="str">
        <f aca="false">IF(B69="","",SUMIFS('Flujo de Pagos'!I$7:I$506,'Flujo de Pagos'!E$7:E$506,B69,'Flujo de Pagos'!B$7:B$506,W7))</f>
        <v/>
      </c>
      <c r="X69" s="76" t="str">
        <f aca="false">IF(B69="","",SUMIFS('Flujo de Pagos'!I$7:I$506,'Flujo de Pagos'!E$7:E$506,B69,'Flujo de Pagos'!B$7:B$506,X7))</f>
        <v/>
      </c>
      <c r="Y69" s="76" t="str">
        <f aca="false">IF(B69="","",SUMIFS('Flujo de Pagos'!I$7:I$506,'Flujo de Pagos'!E$7:E$506,B69,'Flujo de Pagos'!B$7:B$506,Y7))</f>
        <v/>
      </c>
      <c r="Z69" s="76" t="str">
        <f aca="false">IF(B69="","",SUMIFS('Flujo de Pagos'!I$7:I$506,'Flujo de Pagos'!E$7:E$506,B69,'Flujo de Pagos'!B$7:B$506,Z7))</f>
        <v/>
      </c>
      <c r="AA69" s="76" t="str">
        <f aca="false">IF(B69="","",SUMIFS('Flujo de Pagos'!I$7:I$506,'Flujo de Pagos'!E$7:E$506,B69,'Flujo de Pagos'!B$7:B$506,AA7))</f>
        <v/>
      </c>
      <c r="AB69" s="76" t="str">
        <f aca="false">IF(B69="","",SUMIFS('Flujo de Pagos'!I$7:I$506,'Flujo de Pagos'!E$7:E$506,B69,'Flujo de Pagos'!B$7:B$506,AB7))</f>
        <v/>
      </c>
      <c r="AC69" s="76" t="str">
        <f aca="false">IF(B69="","",SUMIFS('Flujo de Pagos'!I$7:I$506,'Flujo de Pagos'!E$7:E$506,B69,'Flujo de Pagos'!B$7:B$506,AC7))</f>
        <v/>
      </c>
      <c r="AD69" s="76" t="str">
        <f aca="false">IF(B69="","",SUMIFS('Flujo de Pagos'!I$7:I$506,'Flujo de Pagos'!E$7:E$506,B69,'Flujo de Pagos'!B$7:B$506,AD7))</f>
        <v/>
      </c>
      <c r="AE69" s="76" t="str">
        <f aca="false">IF(B69="","",SUMIFS('Flujo de Pagos'!I$7:I$506,'Flujo de Pagos'!E$7:E$506,B69,'Flujo de Pagos'!B$7:B$506,AE7))</f>
        <v/>
      </c>
      <c r="AF69" s="76" t="str">
        <f aca="false">IF(B69="","",SUMIFS('Flujo de Pagos'!I$7:I$506,'Flujo de Pagos'!E$7:E$506,B69,'Flujo de Pagos'!B$7:B$506,AF7))</f>
        <v/>
      </c>
      <c r="AG69" s="76" t="str">
        <f aca="false">IF(B69="","",SUMIFS('Flujo de Pagos'!I$7:I$506,'Flujo de Pagos'!E$7:E$506,B69,'Flujo de Pagos'!B$7:B$506,AG7))</f>
        <v/>
      </c>
      <c r="AH69" s="76" t="str">
        <f aca="false">IF(B69="","",SUMIFS('Flujo de Pagos'!I$7:I$506,'Flujo de Pagos'!E$7:E$506,B69,'Flujo de Pagos'!B$7:B$506,AH7))</f>
        <v/>
      </c>
      <c r="AI69" s="76" t="str">
        <f aca="false">IF(B69="","",SUMIFS('Flujo de Pagos'!I$7:I$506,'Flujo de Pagos'!E$7:E$506,B69,'Flujo de Pagos'!B$7:B$506,AI7))</f>
        <v/>
      </c>
      <c r="AJ69" s="76" t="str">
        <f aca="false">IF(B69="","",SUMIFS('Flujo de Pagos'!I$7:I$506,'Flujo de Pagos'!E$7:E$506,B69,'Flujo de Pagos'!B$7:B$506,AJ7))</f>
        <v/>
      </c>
      <c r="AK69" s="76" t="str">
        <f aca="false">IF(B69="","",SUMIFS('Flujo de Pagos'!I$7:I$506,'Flujo de Pagos'!E$7:E$506,B69,'Flujo de Pagos'!B$7:B$506,AK7))</f>
        <v/>
      </c>
      <c r="AL69" s="76" t="str">
        <f aca="false">IF(B69="","",SUMIFS('Flujo de Pagos'!I$7:I$506,'Flujo de Pagos'!E$7:E$506,B69,'Flujo de Pagos'!B$7:B$506,AL7))</f>
        <v/>
      </c>
      <c r="AM69" s="76" t="str">
        <f aca="false">IF(B69="","",SUM(C69:AL69))</f>
        <v/>
      </c>
    </row>
    <row r="70" customFormat="false" ht="15.75" hidden="false" customHeight="true" outlineLevel="0" collapsed="false">
      <c r="B70" s="49" t="s">
        <v>84</v>
      </c>
      <c r="C70" s="77" t="n">
        <f aca="false">SUM(C10:C69)</f>
        <v>106395.2</v>
      </c>
      <c r="D70" s="77" t="n">
        <f aca="false">SUM(D10:D69)</f>
        <v>100000</v>
      </c>
      <c r="E70" s="77" t="n">
        <f aca="false">SUM(E10:E69)</f>
        <v>0</v>
      </c>
      <c r="F70" s="77" t="n">
        <f aca="false">SUM(F10:F69)</f>
        <v>180000</v>
      </c>
      <c r="G70" s="77" t="n">
        <f aca="false">SUM(G10:G69)</f>
        <v>203352.81</v>
      </c>
      <c r="H70" s="77" t="n">
        <f aca="false">SUM(H10:H69)</f>
        <v>0</v>
      </c>
      <c r="I70" s="77" t="n">
        <f aca="false">SUM(I10:I69)</f>
        <v>0</v>
      </c>
      <c r="J70" s="77" t="n">
        <f aca="false">SUM(J10:J69)</f>
        <v>0</v>
      </c>
      <c r="K70" s="77" t="n">
        <f aca="false">SUM(K10:K69)</f>
        <v>0</v>
      </c>
      <c r="L70" s="77" t="n">
        <f aca="false">SUM(L10:L69)</f>
        <v>0</v>
      </c>
      <c r="M70" s="77" t="n">
        <f aca="false">SUM(M10:M69)</f>
        <v>0</v>
      </c>
      <c r="N70" s="77" t="n">
        <f aca="false">SUM(N10:N69)</f>
        <v>0</v>
      </c>
      <c r="O70" s="77" t="n">
        <f aca="false">SUM(O10:O69)</f>
        <v>0</v>
      </c>
      <c r="P70" s="77" t="n">
        <f aca="false">SUM(P10:P69)</f>
        <v>0</v>
      </c>
      <c r="Q70" s="77" t="n">
        <f aca="false">SUM(Q10:Q69)</f>
        <v>0</v>
      </c>
      <c r="R70" s="77" t="n">
        <f aca="false">SUM(R10:R69)</f>
        <v>0</v>
      </c>
      <c r="S70" s="77" t="n">
        <f aca="false">SUM(S10:S69)</f>
        <v>0</v>
      </c>
      <c r="T70" s="77" t="n">
        <f aca="false">SUM(T10:T69)</f>
        <v>0</v>
      </c>
      <c r="U70" s="77" t="n">
        <f aca="false">SUM(U10:U69)</f>
        <v>0</v>
      </c>
      <c r="V70" s="77" t="n">
        <f aca="false">SUM(V10:V69)</f>
        <v>0</v>
      </c>
      <c r="W70" s="77" t="n">
        <f aca="false">SUM(W10:W69)</f>
        <v>0</v>
      </c>
      <c r="X70" s="77" t="n">
        <f aca="false">SUM(X10:X69)</f>
        <v>0</v>
      </c>
      <c r="Y70" s="77" t="n">
        <f aca="false">SUM(Y10:Y69)</f>
        <v>0</v>
      </c>
      <c r="Z70" s="77" t="n">
        <f aca="false">SUM(Z10:Z69)</f>
        <v>0</v>
      </c>
      <c r="AA70" s="77" t="n">
        <f aca="false">SUM(AA10:AA69)</f>
        <v>0</v>
      </c>
      <c r="AB70" s="77" t="n">
        <f aca="false">SUM(AB10:AB69)</f>
        <v>0</v>
      </c>
      <c r="AC70" s="77" t="n">
        <f aca="false">SUM(AC10:AC69)</f>
        <v>0</v>
      </c>
      <c r="AD70" s="77" t="n">
        <f aca="false">SUM(AD10:AD69)</f>
        <v>0</v>
      </c>
      <c r="AE70" s="77" t="n">
        <f aca="false">SUM(AE10:AE69)</f>
        <v>0</v>
      </c>
      <c r="AF70" s="77" t="n">
        <f aca="false">SUM(AF10:AF69)</f>
        <v>0</v>
      </c>
      <c r="AG70" s="77" t="n">
        <f aca="false">SUM(AG10:AG69)</f>
        <v>0</v>
      </c>
      <c r="AH70" s="77" t="n">
        <f aca="false">SUM(AH10:AH69)</f>
        <v>0</v>
      </c>
      <c r="AI70" s="77" t="n">
        <f aca="false">SUM(AI10:AI69)</f>
        <v>0</v>
      </c>
      <c r="AJ70" s="77" t="n">
        <f aca="false">SUM(AJ10:AJ69)</f>
        <v>0</v>
      </c>
      <c r="AK70" s="77" t="n">
        <f aca="false">SUM(AK10:AK69)</f>
        <v>0</v>
      </c>
      <c r="AL70" s="77" t="n">
        <f aca="false">SUM(AL10:AL69)</f>
        <v>0</v>
      </c>
      <c r="AM70" s="77" t="n">
        <f aca="false">SUM(C70:AL70)</f>
        <v>589748.01</v>
      </c>
    </row>
    <row r="71" customFormat="false" ht="15.75" hidden="false" customHeight="true" outlineLevel="0" collapsed="false"/>
    <row r="72" customFormat="false" ht="15.75" hidden="false" customHeight="true" outlineLevel="0" collapsed="false">
      <c r="B72" s="75" t="s">
        <v>85</v>
      </c>
    </row>
    <row r="73" customFormat="false" ht="15.75" hidden="false" customHeight="true" outlineLevel="0" collapsed="false">
      <c r="B73" s="78" t="s">
        <v>86</v>
      </c>
      <c r="AM73" s="76" t="n">
        <f aca="false">Presupuesto!G68</f>
        <v>1019792.0064</v>
      </c>
    </row>
    <row r="74" customFormat="false" ht="15.75" hidden="false" customHeight="true" outlineLevel="0" collapsed="false">
      <c r="B74" s="78" t="s">
        <v>87</v>
      </c>
      <c r="AM74" s="76" t="n">
        <f aca="false">AM70</f>
        <v>589748.01</v>
      </c>
    </row>
    <row r="75" customFormat="false" ht="15.75" hidden="false" customHeight="true" outlineLevel="0" collapsed="false">
      <c r="B75" s="78" t="s">
        <v>88</v>
      </c>
      <c r="AM75" s="67" t="n">
        <f aca="false">IF(AM73=0,"",AM74/AM73)</f>
        <v>0.578302248202443</v>
      </c>
    </row>
    <row r="76" customFormat="false" ht="15.75" hidden="false" customHeight="true" outlineLevel="0" collapsed="false">
      <c r="B76" s="78" t="s">
        <v>89</v>
      </c>
      <c r="AM76" s="76" t="n">
        <f aca="false">AM73-AM74</f>
        <v>430043.9964</v>
      </c>
    </row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5078125" defaultRowHeight="15" customHeight="true" zeroHeight="false" outlineLevelRow="0" outlineLevelCol="0"/>
  <cols>
    <col collapsed="false" customWidth="true" hidden="false" outlineLevel="0" max="1" min="1" style="1" width="8.67"/>
    <col collapsed="false" customWidth="true" hidden="false" outlineLevel="0" max="2" min="2" style="1" width="6"/>
    <col collapsed="false" customWidth="true" hidden="false" outlineLevel="0" max="3" min="3" style="1" width="28"/>
    <col collapsed="false" customWidth="true" hidden="false" outlineLevel="0" max="4" min="4" style="1" width="25"/>
    <col collapsed="false" customWidth="true" hidden="false" outlineLevel="0" max="26" min="5" style="1" width="8.67"/>
  </cols>
  <sheetData>
    <row r="1" customFormat="false" ht="15" hidden="false" customHeight="true" outlineLevel="0" collapsed="false">
      <c r="A1" s="33" t="s">
        <v>0</v>
      </c>
    </row>
    <row r="2" customFormat="false" ht="15" hidden="false" customHeight="true" outlineLevel="0" collapsed="false">
      <c r="A2" s="34" t="s">
        <v>90</v>
      </c>
    </row>
    <row r="3" customFormat="false" ht="15" hidden="false" customHeight="true" outlineLevel="0" collapsed="false">
      <c r="A3" s="35" t="s">
        <v>44</v>
      </c>
    </row>
    <row r="4" customFormat="false" ht="15" hidden="false" customHeight="true" outlineLevel="0" collapsed="false">
      <c r="B4" s="79" t="s">
        <v>91</v>
      </c>
      <c r="C4" s="79"/>
      <c r="D4" s="79"/>
    </row>
    <row r="5" customFormat="false" ht="15" hidden="false" customHeight="true" outlineLevel="0" collapsed="false">
      <c r="B5" s="80" t="s">
        <v>4</v>
      </c>
      <c r="C5" s="80" t="s">
        <v>12</v>
      </c>
      <c r="D5" s="80" t="s">
        <v>92</v>
      </c>
    </row>
    <row r="6" customFormat="false" ht="15" hidden="false" customHeight="true" outlineLevel="0" collapsed="false">
      <c r="B6" s="35" t="n">
        <v>1</v>
      </c>
      <c r="C6" s="35" t="s">
        <v>74</v>
      </c>
    </row>
    <row r="7" customFormat="false" ht="15" hidden="false" customHeight="true" outlineLevel="0" collapsed="false">
      <c r="B7" s="35" t="n">
        <v>2</v>
      </c>
      <c r="C7" s="35" t="s">
        <v>93</v>
      </c>
    </row>
    <row r="8" customFormat="false" ht="15" hidden="false" customHeight="true" outlineLevel="0" collapsed="false">
      <c r="B8" s="35" t="n">
        <v>3</v>
      </c>
      <c r="C8" s="35" t="s">
        <v>94</v>
      </c>
    </row>
    <row r="9" customFormat="false" ht="15" hidden="false" customHeight="true" outlineLevel="0" collapsed="false">
      <c r="B9" s="35" t="n">
        <v>4</v>
      </c>
      <c r="C9" s="35" t="s">
        <v>95</v>
      </c>
    </row>
    <row r="10" customFormat="false" ht="15" hidden="false" customHeight="true" outlineLevel="0" collapsed="false">
      <c r="B10" s="78" t="s">
        <v>96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B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H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2" min="1" style="1" width="18"/>
    <col collapsed="false" customWidth="true" hidden="false" outlineLevel="0" max="4" min="4" style="1" width="32"/>
    <col collapsed="false" customWidth="true" hidden="false" outlineLevel="0" max="5" min="5" style="1" width="22"/>
    <col collapsed="false" customWidth="true" hidden="false" outlineLevel="0" max="17" min="8" style="1" width="18"/>
    <col collapsed="false" customWidth="true" hidden="false" outlineLevel="0" max="86" min="27" style="0" width="5"/>
  </cols>
  <sheetData>
    <row r="1" customFormat="false" ht="15" hidden="false" customHeight="true" outlineLevel="0" collapsed="false">
      <c r="A1" s="81" t="s">
        <v>97</v>
      </c>
      <c r="B1" s="81" t="s">
        <v>98</v>
      </c>
      <c r="D1" s="81" t="s">
        <v>99</v>
      </c>
      <c r="E1" s="81" t="s">
        <v>100</v>
      </c>
      <c r="H1" s="1" t="s">
        <v>101</v>
      </c>
      <c r="AA1" s="0" t="s">
        <v>102</v>
      </c>
    </row>
    <row r="2" customFormat="false" ht="15" hidden="false" customHeight="true" outlineLevel="0" collapsed="false">
      <c r="A2" s="1" t="n">
        <f aca="false">IF(Presupuesto!B7=Carátula!$B$2,7,9999)</f>
        <v>9999</v>
      </c>
      <c r="B2" s="1" t="n">
        <f aca="false">IF(AND('Flujo de Pagos'!E7=Carátula!$B$2,'Flujo de Pagos'!F7=Carátula!$B$4,'Flujo de Pagos'!H7&lt;&gt;""),7,99999)</f>
        <v>99999</v>
      </c>
      <c r="D2" s="1" t="str">
        <f aca="false">IF(SMALL($A$2:$A$61,1)&gt;=9999,"",INDEX(Presupuesto!$C:$C,SMALL($A$2:$A$61,1)))</f>
        <v>Colocaión cerca perimetral</v>
      </c>
      <c r="E2" s="1" t="str">
        <f aca="false">IF(SMALL($B$2:$B$501,1)&gt;=99999,"",INDEX('Flujo de Pagos'!$H:$H,SMALL($B$2:$B$501,1)))</f>
        <v>Anticipo</v>
      </c>
    </row>
    <row r="3" customFormat="false" ht="15" hidden="false" customHeight="true" outlineLevel="0" collapsed="false">
      <c r="A3" s="1" t="n">
        <f aca="false">IF(Presupuesto!B8=Carátula!$B$2,8,9999)</f>
        <v>9999</v>
      </c>
      <c r="B3" s="1" t="n">
        <f aca="false">IF(AND('Flujo de Pagos'!E8=Carátula!$B$2,'Flujo de Pagos'!F8=Carátula!$B$4,'Flujo de Pagos'!H8&lt;&gt;""),8,99999)</f>
        <v>99999</v>
      </c>
      <c r="D3" s="1" t="str">
        <f aca="false">IF(SMALL($A$2:$A$61,2)&gt;=9999,"",INDEX(Presupuesto!$C:$C,SMALL($A$2:$A$61,2)))</f>
        <v/>
      </c>
      <c r="E3" s="1" t="str">
        <f aca="false">IF(SMALL($B$2:$B$501,2)&gt;=99999,"",INDEX('Flujo de Pagos'!$H:$H,SMALL($B$2:$B$501,2)))</f>
        <v/>
      </c>
    </row>
    <row r="4" customFormat="false" ht="15" hidden="false" customHeight="true" outlineLevel="0" collapsed="false">
      <c r="A4" s="1" t="n">
        <f aca="false">IF(Presupuesto!B9=Carátula!$B$2,9,9999)</f>
        <v>9</v>
      </c>
      <c r="B4" s="1" t="n">
        <f aca="false">IF(AND('Flujo de Pagos'!E9=Carátula!$B$2,'Flujo de Pagos'!F9=Carátula!$B$4,'Flujo de Pagos'!H9&lt;&gt;""),9,99999)</f>
        <v>9</v>
      </c>
      <c r="D4" s="1" t="str">
        <f aca="false">IF(SMALL($A$2:$A$61,3)&gt;=9999,"",INDEX(Presupuesto!$C:$C,SMALL($A$2:$A$61,3)))</f>
        <v/>
      </c>
      <c r="E4" s="1" t="str">
        <f aca="false">IF(SMALL($B$2:$B$501,3)&gt;=99999,"",INDEX('Flujo de Pagos'!$H:$H,SMALL($B$2:$B$501,3)))</f>
        <v/>
      </c>
    </row>
    <row r="5" customFormat="false" ht="15" hidden="false" customHeight="true" outlineLevel="0" collapsed="false">
      <c r="A5" s="1" t="n">
        <f aca="false">IF(Presupuesto!B10=Carátula!$B$2,10,9999)</f>
        <v>9999</v>
      </c>
      <c r="B5" s="1" t="n">
        <f aca="false">IF(AND('Flujo de Pagos'!E10=Carátula!$B$2,'Flujo de Pagos'!F10=Carátula!$B$4,'Flujo de Pagos'!H10&lt;&gt;""),10,99999)</f>
        <v>99999</v>
      </c>
      <c r="D5" s="1" t="str">
        <f aca="false">IF(SMALL($A$2:$A$61,4)&gt;=9999,"",INDEX(Presupuesto!$C:$C,SMALL($A$2:$A$61,4)))</f>
        <v/>
      </c>
      <c r="E5" s="1" t="str">
        <f aca="false">IF(SMALL($B$2:$B$501,4)&gt;=99999,"",INDEX('Flujo de Pagos'!$H:$H,SMALL($B$2:$B$501,4)))</f>
        <v/>
      </c>
    </row>
    <row r="6" customFormat="false" ht="15" hidden="false" customHeight="true" outlineLevel="0" collapsed="false">
      <c r="A6" s="1" t="n">
        <f aca="false">IF(Presupuesto!B11=Carátula!$B$2,11,9999)</f>
        <v>9999</v>
      </c>
      <c r="B6" s="1" t="n">
        <f aca="false">IF(AND('Flujo de Pagos'!E11=Carátula!$B$2,'Flujo de Pagos'!F11=Carátula!$B$4,'Flujo de Pagos'!H11&lt;&gt;""),11,99999)</f>
        <v>99999</v>
      </c>
      <c r="D6" s="1" t="str">
        <f aca="false">IF(SMALL($A$2:$A$61,5)&gt;=9999,"",INDEX(Presupuesto!$C:$C,SMALL($A$2:$A$61,5)))</f>
        <v/>
      </c>
      <c r="E6" s="1" t="str">
        <f aca="false">IF(SMALL($B$2:$B$501,5)&gt;=99999,"",INDEX('Flujo de Pagos'!$H:$H,SMALL($B$2:$B$501,5)))</f>
        <v/>
      </c>
    </row>
    <row r="7" customFormat="false" ht="15" hidden="false" customHeight="true" outlineLevel="0" collapsed="false">
      <c r="A7" s="1" t="n">
        <f aca="false">IF(Presupuesto!B12=Carátula!$B$2,12,9999)</f>
        <v>9999</v>
      </c>
      <c r="B7" s="1" t="n">
        <f aca="false">IF(AND('Flujo de Pagos'!E12=Carátula!$B$2,'Flujo de Pagos'!F12=Carátula!$B$4,'Flujo de Pagos'!H12&lt;&gt;""),12,99999)</f>
        <v>99999</v>
      </c>
      <c r="D7" s="1" t="str">
        <f aca="false">IF(SMALL($A$2:$A$61,6)&gt;=9999,"",INDEX(Presupuesto!$C:$C,SMALL($A$2:$A$61,6)))</f>
        <v/>
      </c>
      <c r="E7" s="1" t="str">
        <f aca="false">IF(SMALL($B$2:$B$501,6)&gt;=99999,"",INDEX('Flujo de Pagos'!$H:$H,SMALL($B$2:$B$501,6)))</f>
        <v/>
      </c>
      <c r="H7" s="1" t="str">
        <f aca="false">IF(SMALL($AA7:$CH7,1)&gt;=9999,"",INDEX(Presupuesto!$C:$C,SMALL($AA7:$CH7,1)))</f>
        <v>Mecanica de Suelos</v>
      </c>
      <c r="I7" s="1" t="str">
        <f aca="false">IF(SMALL($AA7:$CH7,2)&gt;=9999,"",INDEX(Presupuesto!$C:$C,SMALL($AA7:$CH7,2)))</f>
        <v/>
      </c>
      <c r="J7" s="1" t="str">
        <f aca="false">IF(SMALL($AA7:$CH7,3)&gt;=9999,"",INDEX(Presupuesto!$C:$C,SMALL($AA7:$CH7,3)))</f>
        <v/>
      </c>
      <c r="K7" s="1" t="str">
        <f aca="false">IF(SMALL($AA7:$CH7,4)&gt;=9999,"",INDEX(Presupuesto!$C:$C,SMALL($AA7:$CH7,4)))</f>
        <v/>
      </c>
      <c r="L7" s="1" t="str">
        <f aca="false">IF(SMALL($AA7:$CH7,5)&gt;=9999,"",INDEX(Presupuesto!$C:$C,SMALL($AA7:$CH7,5)))</f>
        <v/>
      </c>
      <c r="M7" s="1" t="str">
        <f aca="false">IF(SMALL($AA7:$CH7,6)&gt;=9999,"",INDEX(Presupuesto!$C:$C,SMALL($AA7:$CH7,6)))</f>
        <v/>
      </c>
      <c r="N7" s="1" t="str">
        <f aca="false">IF(SMALL($AA7:$CH7,7)&gt;=9999,"",INDEX(Presupuesto!$C:$C,SMALL($AA7:$CH7,7)))</f>
        <v/>
      </c>
      <c r="O7" s="1" t="str">
        <f aca="false">IF(SMALL($AA7:$CH7,8)&gt;=9999,"",INDEX(Presupuesto!$C:$C,SMALL($AA7:$CH7,8)))</f>
        <v/>
      </c>
      <c r="P7" s="1" t="str">
        <f aca="false">IF(SMALL($AA7:$CH7,9)&gt;=9999,"",INDEX(Presupuesto!$C:$C,SMALL($AA7:$CH7,9)))</f>
        <v/>
      </c>
      <c r="Q7" s="1" t="str">
        <f aca="false">IF(SMALL($AA7:$CH7,10)&gt;=9999,"",INDEX(Presupuesto!$C:$C,SMALL($AA7:$CH7,10)))</f>
        <v/>
      </c>
      <c r="AA7" s="0" t="n">
        <f aca="false">IF(Presupuesto!$B$7='Flujo de Pagos'!$E7,7,9999)</f>
        <v>7</v>
      </c>
      <c r="AB7" s="0" t="n">
        <f aca="false">IF(Presupuesto!$B$8='Flujo de Pagos'!$E7,8,9999)</f>
        <v>9999</v>
      </c>
      <c r="AC7" s="0" t="n">
        <f aca="false">IF(Presupuesto!$B$9='Flujo de Pagos'!$E7,9,9999)</f>
        <v>9999</v>
      </c>
      <c r="AD7" s="0" t="n">
        <f aca="false">IF(Presupuesto!$B$10='Flujo de Pagos'!$E7,10,9999)</f>
        <v>9999</v>
      </c>
      <c r="AE7" s="0" t="n">
        <f aca="false">IF(Presupuesto!$B$11='Flujo de Pagos'!$E7,11,9999)</f>
        <v>9999</v>
      </c>
      <c r="AF7" s="0" t="n">
        <f aca="false">IF(Presupuesto!$B$12='Flujo de Pagos'!$E7,12,9999)</f>
        <v>9999</v>
      </c>
      <c r="AG7" s="0" t="n">
        <f aca="false">IF(Presupuesto!$B$13='Flujo de Pagos'!$E7,13,9999)</f>
        <v>9999</v>
      </c>
      <c r="AH7" s="0" t="n">
        <f aca="false">IF(Presupuesto!$B$14='Flujo de Pagos'!$E7,14,9999)</f>
        <v>9999</v>
      </c>
      <c r="AI7" s="0" t="n">
        <f aca="false">IF(Presupuesto!$B$15='Flujo de Pagos'!$E7,15,9999)</f>
        <v>9999</v>
      </c>
      <c r="AJ7" s="0" t="n">
        <f aca="false">IF(Presupuesto!$B$16='Flujo de Pagos'!$E7,16,9999)</f>
        <v>9999</v>
      </c>
      <c r="AK7" s="0" t="n">
        <f aca="false">IF(Presupuesto!$B$17='Flujo de Pagos'!$E7,17,9999)</f>
        <v>9999</v>
      </c>
      <c r="AL7" s="0" t="n">
        <f aca="false">IF(Presupuesto!$B$18='Flujo de Pagos'!$E7,18,9999)</f>
        <v>9999</v>
      </c>
      <c r="AM7" s="0" t="n">
        <f aca="false">IF(Presupuesto!$B$19='Flujo de Pagos'!$E7,19,9999)</f>
        <v>9999</v>
      </c>
      <c r="AN7" s="0" t="n">
        <f aca="false">IF(Presupuesto!$B$20='Flujo de Pagos'!$E7,20,9999)</f>
        <v>9999</v>
      </c>
      <c r="AO7" s="0" t="n">
        <f aca="false">IF(Presupuesto!$B$21='Flujo de Pagos'!$E7,21,9999)</f>
        <v>9999</v>
      </c>
      <c r="AP7" s="0" t="n">
        <f aca="false">IF(Presupuesto!$B$22='Flujo de Pagos'!$E7,22,9999)</f>
        <v>9999</v>
      </c>
      <c r="AQ7" s="0" t="n">
        <f aca="false">IF(Presupuesto!$B$23='Flujo de Pagos'!$E7,23,9999)</f>
        <v>9999</v>
      </c>
      <c r="AR7" s="0" t="n">
        <f aca="false">IF(Presupuesto!$B$24='Flujo de Pagos'!$E7,24,9999)</f>
        <v>9999</v>
      </c>
      <c r="AS7" s="0" t="n">
        <f aca="false">IF(Presupuesto!$B$25='Flujo de Pagos'!$E7,25,9999)</f>
        <v>9999</v>
      </c>
      <c r="AT7" s="0" t="n">
        <f aca="false">IF(Presupuesto!$B$26='Flujo de Pagos'!$E7,26,9999)</f>
        <v>9999</v>
      </c>
      <c r="AU7" s="0" t="n">
        <f aca="false">IF(Presupuesto!$B$27='Flujo de Pagos'!$E7,27,9999)</f>
        <v>9999</v>
      </c>
      <c r="AV7" s="0" t="n">
        <f aca="false">IF(Presupuesto!$B$28='Flujo de Pagos'!$E7,28,9999)</f>
        <v>9999</v>
      </c>
      <c r="AW7" s="0" t="n">
        <f aca="false">IF(Presupuesto!$B$29='Flujo de Pagos'!$E7,29,9999)</f>
        <v>9999</v>
      </c>
      <c r="AX7" s="0" t="n">
        <f aca="false">IF(Presupuesto!$B$30='Flujo de Pagos'!$E7,30,9999)</f>
        <v>9999</v>
      </c>
      <c r="AY7" s="0" t="n">
        <f aca="false">IF(Presupuesto!$B$31='Flujo de Pagos'!$E7,31,9999)</f>
        <v>9999</v>
      </c>
      <c r="AZ7" s="0" t="n">
        <f aca="false">IF(Presupuesto!$B$32='Flujo de Pagos'!$E7,32,9999)</f>
        <v>9999</v>
      </c>
      <c r="BA7" s="0" t="n">
        <f aca="false">IF(Presupuesto!$B$33='Flujo de Pagos'!$E7,33,9999)</f>
        <v>9999</v>
      </c>
      <c r="BB7" s="0" t="n">
        <f aca="false">IF(Presupuesto!$B$34='Flujo de Pagos'!$E7,34,9999)</f>
        <v>9999</v>
      </c>
      <c r="BC7" s="0" t="n">
        <f aca="false">IF(Presupuesto!$B$35='Flujo de Pagos'!$E7,35,9999)</f>
        <v>9999</v>
      </c>
      <c r="BD7" s="0" t="n">
        <f aca="false">IF(Presupuesto!$B$36='Flujo de Pagos'!$E7,36,9999)</f>
        <v>9999</v>
      </c>
      <c r="BE7" s="0" t="n">
        <f aca="false">IF(Presupuesto!$B$37='Flujo de Pagos'!$E7,37,9999)</f>
        <v>9999</v>
      </c>
      <c r="BF7" s="0" t="n">
        <f aca="false">IF(Presupuesto!$B$38='Flujo de Pagos'!$E7,38,9999)</f>
        <v>9999</v>
      </c>
      <c r="BG7" s="0" t="n">
        <f aca="false">IF(Presupuesto!$B$39='Flujo de Pagos'!$E7,39,9999)</f>
        <v>9999</v>
      </c>
      <c r="BH7" s="0" t="n">
        <f aca="false">IF(Presupuesto!$B$40='Flujo de Pagos'!$E7,40,9999)</f>
        <v>9999</v>
      </c>
      <c r="BI7" s="0" t="n">
        <f aca="false">IF(Presupuesto!$B$41='Flujo de Pagos'!$E7,41,9999)</f>
        <v>9999</v>
      </c>
      <c r="BJ7" s="0" t="n">
        <f aca="false">IF(Presupuesto!$B$42='Flujo de Pagos'!$E7,42,9999)</f>
        <v>9999</v>
      </c>
      <c r="BK7" s="0" t="n">
        <f aca="false">IF(Presupuesto!$B$43='Flujo de Pagos'!$E7,43,9999)</f>
        <v>9999</v>
      </c>
      <c r="BL7" s="0" t="n">
        <f aca="false">IF(Presupuesto!$B$44='Flujo de Pagos'!$E7,44,9999)</f>
        <v>9999</v>
      </c>
      <c r="BM7" s="0" t="n">
        <f aca="false">IF(Presupuesto!$B$45='Flujo de Pagos'!$E7,45,9999)</f>
        <v>9999</v>
      </c>
      <c r="BN7" s="0" t="n">
        <f aca="false">IF(Presupuesto!$B$46='Flujo de Pagos'!$E7,46,9999)</f>
        <v>9999</v>
      </c>
      <c r="BO7" s="0" t="n">
        <f aca="false">IF(Presupuesto!$B$47='Flujo de Pagos'!$E7,47,9999)</f>
        <v>9999</v>
      </c>
      <c r="BP7" s="0" t="n">
        <f aca="false">IF(Presupuesto!$B$48='Flujo de Pagos'!$E7,48,9999)</f>
        <v>9999</v>
      </c>
      <c r="BQ7" s="0" t="n">
        <f aca="false">IF(Presupuesto!$B$49='Flujo de Pagos'!$E7,49,9999)</f>
        <v>9999</v>
      </c>
      <c r="BR7" s="0" t="n">
        <f aca="false">IF(Presupuesto!$B$50='Flujo de Pagos'!$E7,50,9999)</f>
        <v>9999</v>
      </c>
      <c r="BS7" s="0" t="n">
        <f aca="false">IF(Presupuesto!$B$51='Flujo de Pagos'!$E7,51,9999)</f>
        <v>9999</v>
      </c>
      <c r="BT7" s="0" t="n">
        <f aca="false">IF(Presupuesto!$B$52='Flujo de Pagos'!$E7,52,9999)</f>
        <v>9999</v>
      </c>
      <c r="BU7" s="0" t="n">
        <f aca="false">IF(Presupuesto!$B$53='Flujo de Pagos'!$E7,53,9999)</f>
        <v>9999</v>
      </c>
      <c r="BV7" s="0" t="n">
        <f aca="false">IF(Presupuesto!$B$54='Flujo de Pagos'!$E7,54,9999)</f>
        <v>9999</v>
      </c>
      <c r="BW7" s="0" t="n">
        <f aca="false">IF(Presupuesto!$B$55='Flujo de Pagos'!$E7,55,9999)</f>
        <v>9999</v>
      </c>
      <c r="BX7" s="0" t="n">
        <f aca="false">IF(Presupuesto!$B$56='Flujo de Pagos'!$E7,56,9999)</f>
        <v>9999</v>
      </c>
      <c r="BY7" s="0" t="n">
        <f aca="false">IF(Presupuesto!$B$57='Flujo de Pagos'!$E7,57,9999)</f>
        <v>9999</v>
      </c>
      <c r="BZ7" s="0" t="n">
        <f aca="false">IF(Presupuesto!$B$58='Flujo de Pagos'!$E7,58,9999)</f>
        <v>9999</v>
      </c>
      <c r="CA7" s="0" t="n">
        <f aca="false">IF(Presupuesto!$B$59='Flujo de Pagos'!$E7,59,9999)</f>
        <v>9999</v>
      </c>
      <c r="CB7" s="0" t="n">
        <f aca="false">IF(Presupuesto!$B$60='Flujo de Pagos'!$E7,60,9999)</f>
        <v>9999</v>
      </c>
      <c r="CC7" s="0" t="n">
        <f aca="false">IF(Presupuesto!$B$61='Flujo de Pagos'!$E7,61,9999)</f>
        <v>9999</v>
      </c>
      <c r="CD7" s="0" t="n">
        <f aca="false">IF(Presupuesto!$B$62='Flujo de Pagos'!$E7,62,9999)</f>
        <v>9999</v>
      </c>
      <c r="CE7" s="0" t="n">
        <f aca="false">IF(Presupuesto!$B$63='Flujo de Pagos'!$E7,63,9999)</f>
        <v>9999</v>
      </c>
      <c r="CF7" s="0" t="n">
        <f aca="false">IF(Presupuesto!$B$64='Flujo de Pagos'!$E7,64,9999)</f>
        <v>9999</v>
      </c>
      <c r="CG7" s="0" t="n">
        <f aca="false">IF(Presupuesto!$B$65='Flujo de Pagos'!$E7,65,9999)</f>
        <v>9999</v>
      </c>
      <c r="CH7" s="0" t="n">
        <f aca="false">IF(Presupuesto!$B$66='Flujo de Pagos'!$E7,66,9999)</f>
        <v>9999</v>
      </c>
    </row>
    <row r="8" customFormat="false" ht="15" hidden="false" customHeight="true" outlineLevel="0" collapsed="false">
      <c r="A8" s="1" t="n">
        <f aca="false">IF(Presupuesto!B13=Carátula!$B$2,13,9999)</f>
        <v>9999</v>
      </c>
      <c r="B8" s="1" t="n">
        <f aca="false">IF(AND('Flujo de Pagos'!E13=Carátula!$B$2,'Flujo de Pagos'!F13=Carátula!$B$4,'Flujo de Pagos'!H13&lt;&gt;""),13,99999)</f>
        <v>99999</v>
      </c>
      <c r="D8" s="1" t="str">
        <f aca="false">IF(SMALL($A$2:$A$61,7)&gt;=9999,"",INDEX(Presupuesto!$C:$C,SMALL($A$2:$A$61,7)))</f>
        <v/>
      </c>
      <c r="E8" s="1" t="str">
        <f aca="false">IF(SMALL($B$2:$B$501,7)&gt;=99999,"",INDEX('Flujo de Pagos'!$H:$H,SMALL($B$2:$B$501,7)))</f>
        <v/>
      </c>
      <c r="H8" s="1" t="str">
        <f aca="false">IF(SMALL($AA8:$CH8,1)&gt;=9999,"",INDEX(Presupuesto!$C:$C,SMALL($AA8:$CH8,1)))</f>
        <v>Diseño Estructural</v>
      </c>
      <c r="I8" s="1" t="str">
        <f aca="false">IF(SMALL($AA8:$CH8,2)&gt;=9999,"",INDEX(Presupuesto!$C:$C,SMALL($AA8:$CH8,2)))</f>
        <v/>
      </c>
      <c r="J8" s="1" t="str">
        <f aca="false">IF(SMALL($AA8:$CH8,3)&gt;=9999,"",INDEX(Presupuesto!$C:$C,SMALL($AA8:$CH8,3)))</f>
        <v/>
      </c>
      <c r="K8" s="1" t="str">
        <f aca="false">IF(SMALL($AA8:$CH8,4)&gt;=9999,"",INDEX(Presupuesto!$C:$C,SMALL($AA8:$CH8,4)))</f>
        <v/>
      </c>
      <c r="L8" s="1" t="str">
        <f aca="false">IF(SMALL($AA8:$CH8,5)&gt;=9999,"",INDEX(Presupuesto!$C:$C,SMALL($AA8:$CH8,5)))</f>
        <v/>
      </c>
      <c r="M8" s="1" t="str">
        <f aca="false">IF(SMALL($AA8:$CH8,6)&gt;=9999,"",INDEX(Presupuesto!$C:$C,SMALL($AA8:$CH8,6)))</f>
        <v/>
      </c>
      <c r="N8" s="1" t="str">
        <f aca="false">IF(SMALL($AA8:$CH8,7)&gt;=9999,"",INDEX(Presupuesto!$C:$C,SMALL($AA8:$CH8,7)))</f>
        <v/>
      </c>
      <c r="O8" s="1" t="str">
        <f aca="false">IF(SMALL($AA8:$CH8,8)&gt;=9999,"",INDEX(Presupuesto!$C:$C,SMALL($AA8:$CH8,8)))</f>
        <v/>
      </c>
      <c r="P8" s="1" t="str">
        <f aca="false">IF(SMALL($AA8:$CH8,9)&gt;=9999,"",INDEX(Presupuesto!$C:$C,SMALL($AA8:$CH8,9)))</f>
        <v/>
      </c>
      <c r="Q8" s="1" t="str">
        <f aca="false">IF(SMALL($AA8:$CH8,10)&gt;=9999,"",INDEX(Presupuesto!$C:$C,SMALL($AA8:$CH8,10)))</f>
        <v/>
      </c>
      <c r="AA8" s="0" t="n">
        <f aca="false">IF(Presupuesto!$B$7='Flujo de Pagos'!$E8,7,9999)</f>
        <v>9999</v>
      </c>
      <c r="AB8" s="0" t="n">
        <f aca="false">IF(Presupuesto!$B$8='Flujo de Pagos'!$E8,8,9999)</f>
        <v>8</v>
      </c>
      <c r="AC8" s="0" t="n">
        <f aca="false">IF(Presupuesto!$B$9='Flujo de Pagos'!$E8,9,9999)</f>
        <v>9999</v>
      </c>
      <c r="AD8" s="0" t="n">
        <f aca="false">IF(Presupuesto!$B$10='Flujo de Pagos'!$E8,10,9999)</f>
        <v>9999</v>
      </c>
      <c r="AE8" s="0" t="n">
        <f aca="false">IF(Presupuesto!$B$11='Flujo de Pagos'!$E8,11,9999)</f>
        <v>9999</v>
      </c>
      <c r="AF8" s="0" t="n">
        <f aca="false">IF(Presupuesto!$B$12='Flujo de Pagos'!$E8,12,9999)</f>
        <v>9999</v>
      </c>
      <c r="AG8" s="0" t="n">
        <f aca="false">IF(Presupuesto!$B$13='Flujo de Pagos'!$E8,13,9999)</f>
        <v>9999</v>
      </c>
      <c r="AH8" s="0" t="n">
        <f aca="false">IF(Presupuesto!$B$14='Flujo de Pagos'!$E8,14,9999)</f>
        <v>9999</v>
      </c>
      <c r="AI8" s="0" t="n">
        <f aca="false">IF(Presupuesto!$B$15='Flujo de Pagos'!$E8,15,9999)</f>
        <v>9999</v>
      </c>
      <c r="AJ8" s="0" t="n">
        <f aca="false">IF(Presupuesto!$B$16='Flujo de Pagos'!$E8,16,9999)</f>
        <v>9999</v>
      </c>
      <c r="AK8" s="0" t="n">
        <f aca="false">IF(Presupuesto!$B$17='Flujo de Pagos'!$E8,17,9999)</f>
        <v>9999</v>
      </c>
      <c r="AL8" s="0" t="n">
        <f aca="false">IF(Presupuesto!$B$18='Flujo de Pagos'!$E8,18,9999)</f>
        <v>9999</v>
      </c>
      <c r="AM8" s="0" t="n">
        <f aca="false">IF(Presupuesto!$B$19='Flujo de Pagos'!$E8,19,9999)</f>
        <v>9999</v>
      </c>
      <c r="AN8" s="0" t="n">
        <f aca="false">IF(Presupuesto!$B$20='Flujo de Pagos'!$E8,20,9999)</f>
        <v>9999</v>
      </c>
      <c r="AO8" s="0" t="n">
        <f aca="false">IF(Presupuesto!$B$21='Flujo de Pagos'!$E8,21,9999)</f>
        <v>9999</v>
      </c>
      <c r="AP8" s="0" t="n">
        <f aca="false">IF(Presupuesto!$B$22='Flujo de Pagos'!$E8,22,9999)</f>
        <v>9999</v>
      </c>
      <c r="AQ8" s="0" t="n">
        <f aca="false">IF(Presupuesto!$B$23='Flujo de Pagos'!$E8,23,9999)</f>
        <v>9999</v>
      </c>
      <c r="AR8" s="0" t="n">
        <f aca="false">IF(Presupuesto!$B$24='Flujo de Pagos'!$E8,24,9999)</f>
        <v>9999</v>
      </c>
      <c r="AS8" s="0" t="n">
        <f aca="false">IF(Presupuesto!$B$25='Flujo de Pagos'!$E8,25,9999)</f>
        <v>9999</v>
      </c>
      <c r="AT8" s="0" t="n">
        <f aca="false">IF(Presupuesto!$B$26='Flujo de Pagos'!$E8,26,9999)</f>
        <v>9999</v>
      </c>
      <c r="AU8" s="0" t="n">
        <f aca="false">IF(Presupuesto!$B$27='Flujo de Pagos'!$E8,27,9999)</f>
        <v>9999</v>
      </c>
      <c r="AV8" s="0" t="n">
        <f aca="false">IF(Presupuesto!$B$28='Flujo de Pagos'!$E8,28,9999)</f>
        <v>9999</v>
      </c>
      <c r="AW8" s="0" t="n">
        <f aca="false">IF(Presupuesto!$B$29='Flujo de Pagos'!$E8,29,9999)</f>
        <v>9999</v>
      </c>
      <c r="AX8" s="0" t="n">
        <f aca="false">IF(Presupuesto!$B$30='Flujo de Pagos'!$E8,30,9999)</f>
        <v>9999</v>
      </c>
      <c r="AY8" s="0" t="n">
        <f aca="false">IF(Presupuesto!$B$31='Flujo de Pagos'!$E8,31,9999)</f>
        <v>9999</v>
      </c>
      <c r="AZ8" s="0" t="n">
        <f aca="false">IF(Presupuesto!$B$32='Flujo de Pagos'!$E8,32,9999)</f>
        <v>9999</v>
      </c>
      <c r="BA8" s="0" t="n">
        <f aca="false">IF(Presupuesto!$B$33='Flujo de Pagos'!$E8,33,9999)</f>
        <v>9999</v>
      </c>
      <c r="BB8" s="0" t="n">
        <f aca="false">IF(Presupuesto!$B$34='Flujo de Pagos'!$E8,34,9999)</f>
        <v>9999</v>
      </c>
      <c r="BC8" s="0" t="n">
        <f aca="false">IF(Presupuesto!$B$35='Flujo de Pagos'!$E8,35,9999)</f>
        <v>9999</v>
      </c>
      <c r="BD8" s="0" t="n">
        <f aca="false">IF(Presupuesto!$B$36='Flujo de Pagos'!$E8,36,9999)</f>
        <v>9999</v>
      </c>
      <c r="BE8" s="0" t="n">
        <f aca="false">IF(Presupuesto!$B$37='Flujo de Pagos'!$E8,37,9999)</f>
        <v>9999</v>
      </c>
      <c r="BF8" s="0" t="n">
        <f aca="false">IF(Presupuesto!$B$38='Flujo de Pagos'!$E8,38,9999)</f>
        <v>9999</v>
      </c>
      <c r="BG8" s="0" t="n">
        <f aca="false">IF(Presupuesto!$B$39='Flujo de Pagos'!$E8,39,9999)</f>
        <v>9999</v>
      </c>
      <c r="BH8" s="0" t="n">
        <f aca="false">IF(Presupuesto!$B$40='Flujo de Pagos'!$E8,40,9999)</f>
        <v>9999</v>
      </c>
      <c r="BI8" s="0" t="n">
        <f aca="false">IF(Presupuesto!$B$41='Flujo de Pagos'!$E8,41,9999)</f>
        <v>9999</v>
      </c>
      <c r="BJ8" s="0" t="n">
        <f aca="false">IF(Presupuesto!$B$42='Flujo de Pagos'!$E8,42,9999)</f>
        <v>9999</v>
      </c>
      <c r="BK8" s="0" t="n">
        <f aca="false">IF(Presupuesto!$B$43='Flujo de Pagos'!$E8,43,9999)</f>
        <v>9999</v>
      </c>
      <c r="BL8" s="0" t="n">
        <f aca="false">IF(Presupuesto!$B$44='Flujo de Pagos'!$E8,44,9999)</f>
        <v>9999</v>
      </c>
      <c r="BM8" s="0" t="n">
        <f aca="false">IF(Presupuesto!$B$45='Flujo de Pagos'!$E8,45,9999)</f>
        <v>9999</v>
      </c>
      <c r="BN8" s="0" t="n">
        <f aca="false">IF(Presupuesto!$B$46='Flujo de Pagos'!$E8,46,9999)</f>
        <v>9999</v>
      </c>
      <c r="BO8" s="0" t="n">
        <f aca="false">IF(Presupuesto!$B$47='Flujo de Pagos'!$E8,47,9999)</f>
        <v>9999</v>
      </c>
      <c r="BP8" s="0" t="n">
        <f aca="false">IF(Presupuesto!$B$48='Flujo de Pagos'!$E8,48,9999)</f>
        <v>9999</v>
      </c>
      <c r="BQ8" s="0" t="n">
        <f aca="false">IF(Presupuesto!$B$49='Flujo de Pagos'!$E8,49,9999)</f>
        <v>9999</v>
      </c>
      <c r="BR8" s="0" t="n">
        <f aca="false">IF(Presupuesto!$B$50='Flujo de Pagos'!$E8,50,9999)</f>
        <v>9999</v>
      </c>
      <c r="BS8" s="0" t="n">
        <f aca="false">IF(Presupuesto!$B$51='Flujo de Pagos'!$E8,51,9999)</f>
        <v>9999</v>
      </c>
      <c r="BT8" s="0" t="n">
        <f aca="false">IF(Presupuesto!$B$52='Flujo de Pagos'!$E8,52,9999)</f>
        <v>9999</v>
      </c>
      <c r="BU8" s="0" t="n">
        <f aca="false">IF(Presupuesto!$B$53='Flujo de Pagos'!$E8,53,9999)</f>
        <v>9999</v>
      </c>
      <c r="BV8" s="0" t="n">
        <f aca="false">IF(Presupuesto!$B$54='Flujo de Pagos'!$E8,54,9999)</f>
        <v>9999</v>
      </c>
      <c r="BW8" s="0" t="n">
        <f aca="false">IF(Presupuesto!$B$55='Flujo de Pagos'!$E8,55,9999)</f>
        <v>9999</v>
      </c>
      <c r="BX8" s="0" t="n">
        <f aca="false">IF(Presupuesto!$B$56='Flujo de Pagos'!$E8,56,9999)</f>
        <v>9999</v>
      </c>
      <c r="BY8" s="0" t="n">
        <f aca="false">IF(Presupuesto!$B$57='Flujo de Pagos'!$E8,57,9999)</f>
        <v>9999</v>
      </c>
      <c r="BZ8" s="0" t="n">
        <f aca="false">IF(Presupuesto!$B$58='Flujo de Pagos'!$E8,58,9999)</f>
        <v>9999</v>
      </c>
      <c r="CA8" s="0" t="n">
        <f aca="false">IF(Presupuesto!$B$59='Flujo de Pagos'!$E8,59,9999)</f>
        <v>9999</v>
      </c>
      <c r="CB8" s="0" t="n">
        <f aca="false">IF(Presupuesto!$B$60='Flujo de Pagos'!$E8,60,9999)</f>
        <v>9999</v>
      </c>
      <c r="CC8" s="0" t="n">
        <f aca="false">IF(Presupuesto!$B$61='Flujo de Pagos'!$E8,61,9999)</f>
        <v>9999</v>
      </c>
      <c r="CD8" s="0" t="n">
        <f aca="false">IF(Presupuesto!$B$62='Flujo de Pagos'!$E8,62,9999)</f>
        <v>9999</v>
      </c>
      <c r="CE8" s="0" t="n">
        <f aca="false">IF(Presupuesto!$B$63='Flujo de Pagos'!$E8,63,9999)</f>
        <v>9999</v>
      </c>
      <c r="CF8" s="0" t="n">
        <f aca="false">IF(Presupuesto!$B$64='Flujo de Pagos'!$E8,64,9999)</f>
        <v>9999</v>
      </c>
      <c r="CG8" s="0" t="n">
        <f aca="false">IF(Presupuesto!$B$65='Flujo de Pagos'!$E8,65,9999)</f>
        <v>9999</v>
      </c>
      <c r="CH8" s="0" t="n">
        <f aca="false">IF(Presupuesto!$B$66='Flujo de Pagos'!$E8,66,9999)</f>
        <v>9999</v>
      </c>
    </row>
    <row r="9" customFormat="false" ht="15" hidden="false" customHeight="true" outlineLevel="0" collapsed="false">
      <c r="A9" s="1" t="n">
        <f aca="false">IF(Presupuesto!B14=Carátula!$B$2,14,9999)</f>
        <v>9999</v>
      </c>
      <c r="B9" s="1" t="n">
        <f aca="false">IF(AND('Flujo de Pagos'!E14=Carátula!$B$2,'Flujo de Pagos'!F14=Carátula!$B$4,'Flujo de Pagos'!H14&lt;&gt;""),14,99999)</f>
        <v>99999</v>
      </c>
      <c r="D9" s="1" t="str">
        <f aca="false">IF(SMALL($A$2:$A$61,8)&gt;=9999,"",INDEX(Presupuesto!$C:$C,SMALL($A$2:$A$61,8)))</f>
        <v/>
      </c>
      <c r="E9" s="1" t="str">
        <f aca="false">IF(SMALL($B$2:$B$501,8)&gt;=99999,"",INDEX('Flujo de Pagos'!$H:$H,SMALL($B$2:$B$501,8)))</f>
        <v/>
      </c>
      <c r="H9" s="1" t="str">
        <f aca="false">IF(SMALL($AA9:$CH9,1)&gt;=9999,"",INDEX(Presupuesto!$C:$C,SMALL($AA9:$CH9,1)))</f>
        <v>Colocaión cerca perimetral</v>
      </c>
      <c r="I9" s="1" t="str">
        <f aca="false">IF(SMALL($AA9:$CH9,2)&gt;=9999,"",INDEX(Presupuesto!$C:$C,SMALL($AA9:$CH9,2)))</f>
        <v/>
      </c>
      <c r="J9" s="1" t="str">
        <f aca="false">IF(SMALL($AA9:$CH9,3)&gt;=9999,"",INDEX(Presupuesto!$C:$C,SMALL($AA9:$CH9,3)))</f>
        <v/>
      </c>
      <c r="K9" s="1" t="str">
        <f aca="false">IF(SMALL($AA9:$CH9,4)&gt;=9999,"",INDEX(Presupuesto!$C:$C,SMALL($AA9:$CH9,4)))</f>
        <v/>
      </c>
      <c r="L9" s="1" t="str">
        <f aca="false">IF(SMALL($AA9:$CH9,5)&gt;=9999,"",INDEX(Presupuesto!$C:$C,SMALL($AA9:$CH9,5)))</f>
        <v/>
      </c>
      <c r="M9" s="1" t="str">
        <f aca="false">IF(SMALL($AA9:$CH9,6)&gt;=9999,"",INDEX(Presupuesto!$C:$C,SMALL($AA9:$CH9,6)))</f>
        <v/>
      </c>
      <c r="N9" s="1" t="str">
        <f aca="false">IF(SMALL($AA9:$CH9,7)&gt;=9999,"",INDEX(Presupuesto!$C:$C,SMALL($AA9:$CH9,7)))</f>
        <v/>
      </c>
      <c r="O9" s="1" t="str">
        <f aca="false">IF(SMALL($AA9:$CH9,8)&gt;=9999,"",INDEX(Presupuesto!$C:$C,SMALL($AA9:$CH9,8)))</f>
        <v/>
      </c>
      <c r="P9" s="1" t="str">
        <f aca="false">IF(SMALL($AA9:$CH9,9)&gt;=9999,"",INDEX(Presupuesto!$C:$C,SMALL($AA9:$CH9,9)))</f>
        <v/>
      </c>
      <c r="Q9" s="1" t="str">
        <f aca="false">IF(SMALL($AA9:$CH9,10)&gt;=9999,"",INDEX(Presupuesto!$C:$C,SMALL($AA9:$CH9,10)))</f>
        <v/>
      </c>
      <c r="AA9" s="0" t="n">
        <f aca="false">IF(Presupuesto!$B$7='Flujo de Pagos'!$E9,7,9999)</f>
        <v>9999</v>
      </c>
      <c r="AB9" s="0" t="n">
        <f aca="false">IF(Presupuesto!$B$8='Flujo de Pagos'!$E9,8,9999)</f>
        <v>9999</v>
      </c>
      <c r="AC9" s="0" t="n">
        <f aca="false">IF(Presupuesto!$B$9='Flujo de Pagos'!$E9,9,9999)</f>
        <v>9</v>
      </c>
      <c r="AD9" s="0" t="n">
        <f aca="false">IF(Presupuesto!$B$10='Flujo de Pagos'!$E9,10,9999)</f>
        <v>9999</v>
      </c>
      <c r="AE9" s="0" t="n">
        <f aca="false">IF(Presupuesto!$B$11='Flujo de Pagos'!$E9,11,9999)</f>
        <v>9999</v>
      </c>
      <c r="AF9" s="0" t="n">
        <f aca="false">IF(Presupuesto!$B$12='Flujo de Pagos'!$E9,12,9999)</f>
        <v>9999</v>
      </c>
      <c r="AG9" s="0" t="n">
        <f aca="false">IF(Presupuesto!$B$13='Flujo de Pagos'!$E9,13,9999)</f>
        <v>9999</v>
      </c>
      <c r="AH9" s="0" t="n">
        <f aca="false">IF(Presupuesto!$B$14='Flujo de Pagos'!$E9,14,9999)</f>
        <v>9999</v>
      </c>
      <c r="AI9" s="0" t="n">
        <f aca="false">IF(Presupuesto!$B$15='Flujo de Pagos'!$E9,15,9999)</f>
        <v>9999</v>
      </c>
      <c r="AJ9" s="0" t="n">
        <f aca="false">IF(Presupuesto!$B$16='Flujo de Pagos'!$E9,16,9999)</f>
        <v>9999</v>
      </c>
      <c r="AK9" s="0" t="n">
        <f aca="false">IF(Presupuesto!$B$17='Flujo de Pagos'!$E9,17,9999)</f>
        <v>9999</v>
      </c>
      <c r="AL9" s="0" t="n">
        <f aca="false">IF(Presupuesto!$B$18='Flujo de Pagos'!$E9,18,9999)</f>
        <v>9999</v>
      </c>
      <c r="AM9" s="0" t="n">
        <f aca="false">IF(Presupuesto!$B$19='Flujo de Pagos'!$E9,19,9999)</f>
        <v>9999</v>
      </c>
      <c r="AN9" s="0" t="n">
        <f aca="false">IF(Presupuesto!$B$20='Flujo de Pagos'!$E9,20,9999)</f>
        <v>9999</v>
      </c>
      <c r="AO9" s="0" t="n">
        <f aca="false">IF(Presupuesto!$B$21='Flujo de Pagos'!$E9,21,9999)</f>
        <v>9999</v>
      </c>
      <c r="AP9" s="0" t="n">
        <f aca="false">IF(Presupuesto!$B$22='Flujo de Pagos'!$E9,22,9999)</f>
        <v>9999</v>
      </c>
      <c r="AQ9" s="0" t="n">
        <f aca="false">IF(Presupuesto!$B$23='Flujo de Pagos'!$E9,23,9999)</f>
        <v>9999</v>
      </c>
      <c r="AR9" s="0" t="n">
        <f aca="false">IF(Presupuesto!$B$24='Flujo de Pagos'!$E9,24,9999)</f>
        <v>9999</v>
      </c>
      <c r="AS9" s="0" t="n">
        <f aca="false">IF(Presupuesto!$B$25='Flujo de Pagos'!$E9,25,9999)</f>
        <v>9999</v>
      </c>
      <c r="AT9" s="0" t="n">
        <f aca="false">IF(Presupuesto!$B$26='Flujo de Pagos'!$E9,26,9999)</f>
        <v>9999</v>
      </c>
      <c r="AU9" s="0" t="n">
        <f aca="false">IF(Presupuesto!$B$27='Flujo de Pagos'!$E9,27,9999)</f>
        <v>9999</v>
      </c>
      <c r="AV9" s="0" t="n">
        <f aca="false">IF(Presupuesto!$B$28='Flujo de Pagos'!$E9,28,9999)</f>
        <v>9999</v>
      </c>
      <c r="AW9" s="0" t="n">
        <f aca="false">IF(Presupuesto!$B$29='Flujo de Pagos'!$E9,29,9999)</f>
        <v>9999</v>
      </c>
      <c r="AX9" s="0" t="n">
        <f aca="false">IF(Presupuesto!$B$30='Flujo de Pagos'!$E9,30,9999)</f>
        <v>9999</v>
      </c>
      <c r="AY9" s="0" t="n">
        <f aca="false">IF(Presupuesto!$B$31='Flujo de Pagos'!$E9,31,9999)</f>
        <v>9999</v>
      </c>
      <c r="AZ9" s="0" t="n">
        <f aca="false">IF(Presupuesto!$B$32='Flujo de Pagos'!$E9,32,9999)</f>
        <v>9999</v>
      </c>
      <c r="BA9" s="0" t="n">
        <f aca="false">IF(Presupuesto!$B$33='Flujo de Pagos'!$E9,33,9999)</f>
        <v>9999</v>
      </c>
      <c r="BB9" s="0" t="n">
        <f aca="false">IF(Presupuesto!$B$34='Flujo de Pagos'!$E9,34,9999)</f>
        <v>9999</v>
      </c>
      <c r="BC9" s="0" t="n">
        <f aca="false">IF(Presupuesto!$B$35='Flujo de Pagos'!$E9,35,9999)</f>
        <v>9999</v>
      </c>
      <c r="BD9" s="0" t="n">
        <f aca="false">IF(Presupuesto!$B$36='Flujo de Pagos'!$E9,36,9999)</f>
        <v>9999</v>
      </c>
      <c r="BE9" s="0" t="n">
        <f aca="false">IF(Presupuesto!$B$37='Flujo de Pagos'!$E9,37,9999)</f>
        <v>9999</v>
      </c>
      <c r="BF9" s="0" t="n">
        <f aca="false">IF(Presupuesto!$B$38='Flujo de Pagos'!$E9,38,9999)</f>
        <v>9999</v>
      </c>
      <c r="BG9" s="0" t="n">
        <f aca="false">IF(Presupuesto!$B$39='Flujo de Pagos'!$E9,39,9999)</f>
        <v>9999</v>
      </c>
      <c r="BH9" s="0" t="n">
        <f aca="false">IF(Presupuesto!$B$40='Flujo de Pagos'!$E9,40,9999)</f>
        <v>9999</v>
      </c>
      <c r="BI9" s="0" t="n">
        <f aca="false">IF(Presupuesto!$B$41='Flujo de Pagos'!$E9,41,9999)</f>
        <v>9999</v>
      </c>
      <c r="BJ9" s="0" t="n">
        <f aca="false">IF(Presupuesto!$B$42='Flujo de Pagos'!$E9,42,9999)</f>
        <v>9999</v>
      </c>
      <c r="BK9" s="0" t="n">
        <f aca="false">IF(Presupuesto!$B$43='Flujo de Pagos'!$E9,43,9999)</f>
        <v>9999</v>
      </c>
      <c r="BL9" s="0" t="n">
        <f aca="false">IF(Presupuesto!$B$44='Flujo de Pagos'!$E9,44,9999)</f>
        <v>9999</v>
      </c>
      <c r="BM9" s="0" t="n">
        <f aca="false">IF(Presupuesto!$B$45='Flujo de Pagos'!$E9,45,9999)</f>
        <v>9999</v>
      </c>
      <c r="BN9" s="0" t="n">
        <f aca="false">IF(Presupuesto!$B$46='Flujo de Pagos'!$E9,46,9999)</f>
        <v>9999</v>
      </c>
      <c r="BO9" s="0" t="n">
        <f aca="false">IF(Presupuesto!$B$47='Flujo de Pagos'!$E9,47,9999)</f>
        <v>9999</v>
      </c>
      <c r="BP9" s="0" t="n">
        <f aca="false">IF(Presupuesto!$B$48='Flujo de Pagos'!$E9,48,9999)</f>
        <v>9999</v>
      </c>
      <c r="BQ9" s="0" t="n">
        <f aca="false">IF(Presupuesto!$B$49='Flujo de Pagos'!$E9,49,9999)</f>
        <v>9999</v>
      </c>
      <c r="BR9" s="0" t="n">
        <f aca="false">IF(Presupuesto!$B$50='Flujo de Pagos'!$E9,50,9999)</f>
        <v>9999</v>
      </c>
      <c r="BS9" s="0" t="n">
        <f aca="false">IF(Presupuesto!$B$51='Flujo de Pagos'!$E9,51,9999)</f>
        <v>9999</v>
      </c>
      <c r="BT9" s="0" t="n">
        <f aca="false">IF(Presupuesto!$B$52='Flujo de Pagos'!$E9,52,9999)</f>
        <v>9999</v>
      </c>
      <c r="BU9" s="0" t="n">
        <f aca="false">IF(Presupuesto!$B$53='Flujo de Pagos'!$E9,53,9999)</f>
        <v>9999</v>
      </c>
      <c r="BV9" s="0" t="n">
        <f aca="false">IF(Presupuesto!$B$54='Flujo de Pagos'!$E9,54,9999)</f>
        <v>9999</v>
      </c>
      <c r="BW9" s="0" t="n">
        <f aca="false">IF(Presupuesto!$B$55='Flujo de Pagos'!$E9,55,9999)</f>
        <v>9999</v>
      </c>
      <c r="BX9" s="0" t="n">
        <f aca="false">IF(Presupuesto!$B$56='Flujo de Pagos'!$E9,56,9999)</f>
        <v>9999</v>
      </c>
      <c r="BY9" s="0" t="n">
        <f aca="false">IF(Presupuesto!$B$57='Flujo de Pagos'!$E9,57,9999)</f>
        <v>9999</v>
      </c>
      <c r="BZ9" s="0" t="n">
        <f aca="false">IF(Presupuesto!$B$58='Flujo de Pagos'!$E9,58,9999)</f>
        <v>9999</v>
      </c>
      <c r="CA9" s="0" t="n">
        <f aca="false">IF(Presupuesto!$B$59='Flujo de Pagos'!$E9,59,9999)</f>
        <v>9999</v>
      </c>
      <c r="CB9" s="0" t="n">
        <f aca="false">IF(Presupuesto!$B$60='Flujo de Pagos'!$E9,60,9999)</f>
        <v>9999</v>
      </c>
      <c r="CC9" s="0" t="n">
        <f aca="false">IF(Presupuesto!$B$61='Flujo de Pagos'!$E9,61,9999)</f>
        <v>9999</v>
      </c>
      <c r="CD9" s="0" t="n">
        <f aca="false">IF(Presupuesto!$B$62='Flujo de Pagos'!$E9,62,9999)</f>
        <v>9999</v>
      </c>
      <c r="CE9" s="0" t="n">
        <f aca="false">IF(Presupuesto!$B$63='Flujo de Pagos'!$E9,63,9999)</f>
        <v>9999</v>
      </c>
      <c r="CF9" s="0" t="n">
        <f aca="false">IF(Presupuesto!$B$64='Flujo de Pagos'!$E9,64,9999)</f>
        <v>9999</v>
      </c>
      <c r="CG9" s="0" t="n">
        <f aca="false">IF(Presupuesto!$B$65='Flujo de Pagos'!$E9,65,9999)</f>
        <v>9999</v>
      </c>
      <c r="CH9" s="0" t="n">
        <f aca="false">IF(Presupuesto!$B$66='Flujo de Pagos'!$E9,66,9999)</f>
        <v>9999</v>
      </c>
    </row>
    <row r="10" customFormat="false" ht="15" hidden="false" customHeight="true" outlineLevel="0" collapsed="false">
      <c r="A10" s="1" t="n">
        <f aca="false">IF(Presupuesto!B15=Carátula!$B$2,15,9999)</f>
        <v>9999</v>
      </c>
      <c r="B10" s="1" t="n">
        <f aca="false">IF(AND('Flujo de Pagos'!E15=Carátula!$B$2,'Flujo de Pagos'!F15=Carátula!$B$4,'Flujo de Pagos'!H15&lt;&gt;""),15,99999)</f>
        <v>99999</v>
      </c>
      <c r="D10" s="1" t="str">
        <f aca="false">IF(SMALL($A$2:$A$61,9)&gt;=9999,"",INDEX(Presupuesto!$C:$C,SMALL($A$2:$A$61,9)))</f>
        <v/>
      </c>
      <c r="E10" s="1" t="str">
        <f aca="false">IF(SMALL($B$2:$B$501,9)&gt;=99999,"",INDEX('Flujo de Pagos'!$H:$H,SMALL($B$2:$B$501,9)))</f>
        <v/>
      </c>
      <c r="H10" s="1" t="str">
        <f aca="false">IF(SMALL($AA10:$CH10,1)&gt;=9999,"",INDEX(Presupuesto!$C:$C,SMALL($AA10:$CH10,1)))</f>
        <v>Derribo y Reubicacion de Arboles</v>
      </c>
      <c r="I10" s="1" t="str">
        <f aca="false">IF(SMALL($AA10:$CH10,2)&gt;=9999,"",INDEX(Presupuesto!$C:$C,SMALL($AA10:$CH10,2)))</f>
        <v/>
      </c>
      <c r="J10" s="1" t="str">
        <f aca="false">IF(SMALL($AA10:$CH10,3)&gt;=9999,"",INDEX(Presupuesto!$C:$C,SMALL($AA10:$CH10,3)))</f>
        <v/>
      </c>
      <c r="K10" s="1" t="str">
        <f aca="false">IF(SMALL($AA10:$CH10,4)&gt;=9999,"",INDEX(Presupuesto!$C:$C,SMALL($AA10:$CH10,4)))</f>
        <v/>
      </c>
      <c r="L10" s="1" t="str">
        <f aca="false">IF(SMALL($AA10:$CH10,5)&gt;=9999,"",INDEX(Presupuesto!$C:$C,SMALL($AA10:$CH10,5)))</f>
        <v/>
      </c>
      <c r="M10" s="1" t="str">
        <f aca="false">IF(SMALL($AA10:$CH10,6)&gt;=9999,"",INDEX(Presupuesto!$C:$C,SMALL($AA10:$CH10,6)))</f>
        <v/>
      </c>
      <c r="N10" s="1" t="str">
        <f aca="false">IF(SMALL($AA10:$CH10,7)&gt;=9999,"",INDEX(Presupuesto!$C:$C,SMALL($AA10:$CH10,7)))</f>
        <v/>
      </c>
      <c r="O10" s="1" t="str">
        <f aca="false">IF(SMALL($AA10:$CH10,8)&gt;=9999,"",INDEX(Presupuesto!$C:$C,SMALL($AA10:$CH10,8)))</f>
        <v/>
      </c>
      <c r="P10" s="1" t="str">
        <f aca="false">IF(SMALL($AA10:$CH10,9)&gt;=9999,"",INDEX(Presupuesto!$C:$C,SMALL($AA10:$CH10,9)))</f>
        <v/>
      </c>
      <c r="Q10" s="1" t="str">
        <f aca="false">IF(SMALL($AA10:$CH10,10)&gt;=9999,"",INDEX(Presupuesto!$C:$C,SMALL($AA10:$CH10,10)))</f>
        <v/>
      </c>
      <c r="AA10" s="0" t="n">
        <f aca="false">IF(Presupuesto!$B$7='Flujo de Pagos'!$E10,7,9999)</f>
        <v>9999</v>
      </c>
      <c r="AB10" s="0" t="n">
        <f aca="false">IF(Presupuesto!$B$8='Flujo de Pagos'!$E10,8,9999)</f>
        <v>9999</v>
      </c>
      <c r="AC10" s="0" t="n">
        <f aca="false">IF(Presupuesto!$B$9='Flujo de Pagos'!$E10,9,9999)</f>
        <v>9999</v>
      </c>
      <c r="AD10" s="0" t="n">
        <f aca="false">IF(Presupuesto!$B$10='Flujo de Pagos'!$E10,10,9999)</f>
        <v>10</v>
      </c>
      <c r="AE10" s="0" t="n">
        <f aca="false">IF(Presupuesto!$B$11='Flujo de Pagos'!$E10,11,9999)</f>
        <v>9999</v>
      </c>
      <c r="AF10" s="0" t="n">
        <f aca="false">IF(Presupuesto!$B$12='Flujo de Pagos'!$E10,12,9999)</f>
        <v>9999</v>
      </c>
      <c r="AG10" s="0" t="n">
        <f aca="false">IF(Presupuesto!$B$13='Flujo de Pagos'!$E10,13,9999)</f>
        <v>9999</v>
      </c>
      <c r="AH10" s="0" t="n">
        <f aca="false">IF(Presupuesto!$B$14='Flujo de Pagos'!$E10,14,9999)</f>
        <v>9999</v>
      </c>
      <c r="AI10" s="0" t="n">
        <f aca="false">IF(Presupuesto!$B$15='Flujo de Pagos'!$E10,15,9999)</f>
        <v>9999</v>
      </c>
      <c r="AJ10" s="0" t="n">
        <f aca="false">IF(Presupuesto!$B$16='Flujo de Pagos'!$E10,16,9999)</f>
        <v>9999</v>
      </c>
      <c r="AK10" s="0" t="n">
        <f aca="false">IF(Presupuesto!$B$17='Flujo de Pagos'!$E10,17,9999)</f>
        <v>9999</v>
      </c>
      <c r="AL10" s="0" t="n">
        <f aca="false">IF(Presupuesto!$B$18='Flujo de Pagos'!$E10,18,9999)</f>
        <v>9999</v>
      </c>
      <c r="AM10" s="0" t="n">
        <f aca="false">IF(Presupuesto!$B$19='Flujo de Pagos'!$E10,19,9999)</f>
        <v>9999</v>
      </c>
      <c r="AN10" s="0" t="n">
        <f aca="false">IF(Presupuesto!$B$20='Flujo de Pagos'!$E10,20,9999)</f>
        <v>9999</v>
      </c>
      <c r="AO10" s="0" t="n">
        <f aca="false">IF(Presupuesto!$B$21='Flujo de Pagos'!$E10,21,9999)</f>
        <v>9999</v>
      </c>
      <c r="AP10" s="0" t="n">
        <f aca="false">IF(Presupuesto!$B$22='Flujo de Pagos'!$E10,22,9999)</f>
        <v>9999</v>
      </c>
      <c r="AQ10" s="0" t="n">
        <f aca="false">IF(Presupuesto!$B$23='Flujo de Pagos'!$E10,23,9999)</f>
        <v>9999</v>
      </c>
      <c r="AR10" s="0" t="n">
        <f aca="false">IF(Presupuesto!$B$24='Flujo de Pagos'!$E10,24,9999)</f>
        <v>9999</v>
      </c>
      <c r="AS10" s="0" t="n">
        <f aca="false">IF(Presupuesto!$B$25='Flujo de Pagos'!$E10,25,9999)</f>
        <v>9999</v>
      </c>
      <c r="AT10" s="0" t="n">
        <f aca="false">IF(Presupuesto!$B$26='Flujo de Pagos'!$E10,26,9999)</f>
        <v>9999</v>
      </c>
      <c r="AU10" s="0" t="n">
        <f aca="false">IF(Presupuesto!$B$27='Flujo de Pagos'!$E10,27,9999)</f>
        <v>9999</v>
      </c>
      <c r="AV10" s="0" t="n">
        <f aca="false">IF(Presupuesto!$B$28='Flujo de Pagos'!$E10,28,9999)</f>
        <v>9999</v>
      </c>
      <c r="AW10" s="0" t="n">
        <f aca="false">IF(Presupuesto!$B$29='Flujo de Pagos'!$E10,29,9999)</f>
        <v>9999</v>
      </c>
      <c r="AX10" s="0" t="n">
        <f aca="false">IF(Presupuesto!$B$30='Flujo de Pagos'!$E10,30,9999)</f>
        <v>9999</v>
      </c>
      <c r="AY10" s="0" t="n">
        <f aca="false">IF(Presupuesto!$B$31='Flujo de Pagos'!$E10,31,9999)</f>
        <v>9999</v>
      </c>
      <c r="AZ10" s="0" t="n">
        <f aca="false">IF(Presupuesto!$B$32='Flujo de Pagos'!$E10,32,9999)</f>
        <v>9999</v>
      </c>
      <c r="BA10" s="0" t="n">
        <f aca="false">IF(Presupuesto!$B$33='Flujo de Pagos'!$E10,33,9999)</f>
        <v>9999</v>
      </c>
      <c r="BB10" s="0" t="n">
        <f aca="false">IF(Presupuesto!$B$34='Flujo de Pagos'!$E10,34,9999)</f>
        <v>9999</v>
      </c>
      <c r="BC10" s="0" t="n">
        <f aca="false">IF(Presupuesto!$B$35='Flujo de Pagos'!$E10,35,9999)</f>
        <v>9999</v>
      </c>
      <c r="BD10" s="0" t="n">
        <f aca="false">IF(Presupuesto!$B$36='Flujo de Pagos'!$E10,36,9999)</f>
        <v>9999</v>
      </c>
      <c r="BE10" s="0" t="n">
        <f aca="false">IF(Presupuesto!$B$37='Flujo de Pagos'!$E10,37,9999)</f>
        <v>9999</v>
      </c>
      <c r="BF10" s="0" t="n">
        <f aca="false">IF(Presupuesto!$B$38='Flujo de Pagos'!$E10,38,9999)</f>
        <v>9999</v>
      </c>
      <c r="BG10" s="0" t="n">
        <f aca="false">IF(Presupuesto!$B$39='Flujo de Pagos'!$E10,39,9999)</f>
        <v>9999</v>
      </c>
      <c r="BH10" s="0" t="n">
        <f aca="false">IF(Presupuesto!$B$40='Flujo de Pagos'!$E10,40,9999)</f>
        <v>9999</v>
      </c>
      <c r="BI10" s="0" t="n">
        <f aca="false">IF(Presupuesto!$B$41='Flujo de Pagos'!$E10,41,9999)</f>
        <v>9999</v>
      </c>
      <c r="BJ10" s="0" t="n">
        <f aca="false">IF(Presupuesto!$B$42='Flujo de Pagos'!$E10,42,9999)</f>
        <v>9999</v>
      </c>
      <c r="BK10" s="0" t="n">
        <f aca="false">IF(Presupuesto!$B$43='Flujo de Pagos'!$E10,43,9999)</f>
        <v>9999</v>
      </c>
      <c r="BL10" s="0" t="n">
        <f aca="false">IF(Presupuesto!$B$44='Flujo de Pagos'!$E10,44,9999)</f>
        <v>9999</v>
      </c>
      <c r="BM10" s="0" t="n">
        <f aca="false">IF(Presupuesto!$B$45='Flujo de Pagos'!$E10,45,9999)</f>
        <v>9999</v>
      </c>
      <c r="BN10" s="0" t="n">
        <f aca="false">IF(Presupuesto!$B$46='Flujo de Pagos'!$E10,46,9999)</f>
        <v>9999</v>
      </c>
      <c r="BO10" s="0" t="n">
        <f aca="false">IF(Presupuesto!$B$47='Flujo de Pagos'!$E10,47,9999)</f>
        <v>9999</v>
      </c>
      <c r="BP10" s="0" t="n">
        <f aca="false">IF(Presupuesto!$B$48='Flujo de Pagos'!$E10,48,9999)</f>
        <v>9999</v>
      </c>
      <c r="BQ10" s="0" t="n">
        <f aca="false">IF(Presupuesto!$B$49='Flujo de Pagos'!$E10,49,9999)</f>
        <v>9999</v>
      </c>
      <c r="BR10" s="0" t="n">
        <f aca="false">IF(Presupuesto!$B$50='Flujo de Pagos'!$E10,50,9999)</f>
        <v>9999</v>
      </c>
      <c r="BS10" s="0" t="n">
        <f aca="false">IF(Presupuesto!$B$51='Flujo de Pagos'!$E10,51,9999)</f>
        <v>9999</v>
      </c>
      <c r="BT10" s="0" t="n">
        <f aca="false">IF(Presupuesto!$B$52='Flujo de Pagos'!$E10,52,9999)</f>
        <v>9999</v>
      </c>
      <c r="BU10" s="0" t="n">
        <f aca="false">IF(Presupuesto!$B$53='Flujo de Pagos'!$E10,53,9999)</f>
        <v>9999</v>
      </c>
      <c r="BV10" s="0" t="n">
        <f aca="false">IF(Presupuesto!$B$54='Flujo de Pagos'!$E10,54,9999)</f>
        <v>9999</v>
      </c>
      <c r="BW10" s="0" t="n">
        <f aca="false">IF(Presupuesto!$B$55='Flujo de Pagos'!$E10,55,9999)</f>
        <v>9999</v>
      </c>
      <c r="BX10" s="0" t="n">
        <f aca="false">IF(Presupuesto!$B$56='Flujo de Pagos'!$E10,56,9999)</f>
        <v>9999</v>
      </c>
      <c r="BY10" s="0" t="n">
        <f aca="false">IF(Presupuesto!$B$57='Flujo de Pagos'!$E10,57,9999)</f>
        <v>9999</v>
      </c>
      <c r="BZ10" s="0" t="n">
        <f aca="false">IF(Presupuesto!$B$58='Flujo de Pagos'!$E10,58,9999)</f>
        <v>9999</v>
      </c>
      <c r="CA10" s="0" t="n">
        <f aca="false">IF(Presupuesto!$B$59='Flujo de Pagos'!$E10,59,9999)</f>
        <v>9999</v>
      </c>
      <c r="CB10" s="0" t="n">
        <f aca="false">IF(Presupuesto!$B$60='Flujo de Pagos'!$E10,60,9999)</f>
        <v>9999</v>
      </c>
      <c r="CC10" s="0" t="n">
        <f aca="false">IF(Presupuesto!$B$61='Flujo de Pagos'!$E10,61,9999)</f>
        <v>9999</v>
      </c>
      <c r="CD10" s="0" t="n">
        <f aca="false">IF(Presupuesto!$B$62='Flujo de Pagos'!$E10,62,9999)</f>
        <v>9999</v>
      </c>
      <c r="CE10" s="0" t="n">
        <f aca="false">IF(Presupuesto!$B$63='Flujo de Pagos'!$E10,63,9999)</f>
        <v>9999</v>
      </c>
      <c r="CF10" s="0" t="n">
        <f aca="false">IF(Presupuesto!$B$64='Flujo de Pagos'!$E10,64,9999)</f>
        <v>9999</v>
      </c>
      <c r="CG10" s="0" t="n">
        <f aca="false">IF(Presupuesto!$B$65='Flujo de Pagos'!$E10,65,9999)</f>
        <v>9999</v>
      </c>
      <c r="CH10" s="0" t="n">
        <f aca="false">IF(Presupuesto!$B$66='Flujo de Pagos'!$E10,66,9999)</f>
        <v>9999</v>
      </c>
    </row>
    <row r="11" customFormat="false" ht="15" hidden="false" customHeight="true" outlineLevel="0" collapsed="false">
      <c r="A11" s="1" t="n">
        <f aca="false">IF(Presupuesto!B16=Carátula!$B$2,16,9999)</f>
        <v>9999</v>
      </c>
      <c r="B11" s="1" t="n">
        <f aca="false">IF(AND('Flujo de Pagos'!E16=Carátula!$B$2,'Flujo de Pagos'!F16=Carátula!$B$4,'Flujo de Pagos'!H16&lt;&gt;""),16,99999)</f>
        <v>99999</v>
      </c>
      <c r="D11" s="1" t="str">
        <f aca="false">IF(SMALL($A$2:$A$61,10)&gt;=9999,"",INDEX(Presupuesto!$C:$C,SMALL($A$2:$A$61,10)))</f>
        <v/>
      </c>
      <c r="E11" s="1" t="str">
        <f aca="false">IF(SMALL($B$2:$B$501,10)&gt;=99999,"",INDEX('Flujo de Pagos'!$H:$H,SMALL($B$2:$B$501,10)))</f>
        <v/>
      </c>
      <c r="H11" s="1" t="str">
        <f aca="false">IF(SMALL($AA11:$CH11,1)&gt;=9999,"",INDEX(Presupuesto!$C:$C,SMALL($AA11:$CH11,1)))</f>
        <v>Derribo y Reubicacion de Arboles</v>
      </c>
      <c r="I11" s="1" t="str">
        <f aca="false">IF(SMALL($AA11:$CH11,2)&gt;=9999,"",INDEX(Presupuesto!$C:$C,SMALL($AA11:$CH11,2)))</f>
        <v/>
      </c>
      <c r="J11" s="1" t="str">
        <f aca="false">IF(SMALL($AA11:$CH11,3)&gt;=9999,"",INDEX(Presupuesto!$C:$C,SMALL($AA11:$CH11,3)))</f>
        <v/>
      </c>
      <c r="K11" s="1" t="str">
        <f aca="false">IF(SMALL($AA11:$CH11,4)&gt;=9999,"",INDEX(Presupuesto!$C:$C,SMALL($AA11:$CH11,4)))</f>
        <v/>
      </c>
      <c r="L11" s="1" t="str">
        <f aca="false">IF(SMALL($AA11:$CH11,5)&gt;=9999,"",INDEX(Presupuesto!$C:$C,SMALL($AA11:$CH11,5)))</f>
        <v/>
      </c>
      <c r="M11" s="1" t="str">
        <f aca="false">IF(SMALL($AA11:$CH11,6)&gt;=9999,"",INDEX(Presupuesto!$C:$C,SMALL($AA11:$CH11,6)))</f>
        <v/>
      </c>
      <c r="N11" s="1" t="str">
        <f aca="false">IF(SMALL($AA11:$CH11,7)&gt;=9999,"",INDEX(Presupuesto!$C:$C,SMALL($AA11:$CH11,7)))</f>
        <v/>
      </c>
      <c r="O11" s="1" t="str">
        <f aca="false">IF(SMALL($AA11:$CH11,8)&gt;=9999,"",INDEX(Presupuesto!$C:$C,SMALL($AA11:$CH11,8)))</f>
        <v/>
      </c>
      <c r="P11" s="1" t="str">
        <f aca="false">IF(SMALL($AA11:$CH11,9)&gt;=9999,"",INDEX(Presupuesto!$C:$C,SMALL($AA11:$CH11,9)))</f>
        <v/>
      </c>
      <c r="Q11" s="1" t="str">
        <f aca="false">IF(SMALL($AA11:$CH11,10)&gt;=9999,"",INDEX(Presupuesto!$C:$C,SMALL($AA11:$CH11,10)))</f>
        <v/>
      </c>
      <c r="AA11" s="0" t="n">
        <f aca="false">IF(Presupuesto!$B$7='Flujo de Pagos'!$E11,7,9999)</f>
        <v>9999</v>
      </c>
      <c r="AB11" s="0" t="n">
        <f aca="false">IF(Presupuesto!$B$8='Flujo de Pagos'!$E11,8,9999)</f>
        <v>9999</v>
      </c>
      <c r="AC11" s="0" t="n">
        <f aca="false">IF(Presupuesto!$B$9='Flujo de Pagos'!$E11,9,9999)</f>
        <v>9999</v>
      </c>
      <c r="AD11" s="0" t="n">
        <f aca="false">IF(Presupuesto!$B$10='Flujo de Pagos'!$E11,10,9999)</f>
        <v>10</v>
      </c>
      <c r="AE11" s="0" t="n">
        <f aca="false">IF(Presupuesto!$B$11='Flujo de Pagos'!$E11,11,9999)</f>
        <v>9999</v>
      </c>
      <c r="AF11" s="0" t="n">
        <f aca="false">IF(Presupuesto!$B$12='Flujo de Pagos'!$E11,12,9999)</f>
        <v>9999</v>
      </c>
      <c r="AG11" s="0" t="n">
        <f aca="false">IF(Presupuesto!$B$13='Flujo de Pagos'!$E11,13,9999)</f>
        <v>9999</v>
      </c>
      <c r="AH11" s="0" t="n">
        <f aca="false">IF(Presupuesto!$B$14='Flujo de Pagos'!$E11,14,9999)</f>
        <v>9999</v>
      </c>
      <c r="AI11" s="0" t="n">
        <f aca="false">IF(Presupuesto!$B$15='Flujo de Pagos'!$E11,15,9999)</f>
        <v>9999</v>
      </c>
      <c r="AJ11" s="0" t="n">
        <f aca="false">IF(Presupuesto!$B$16='Flujo de Pagos'!$E11,16,9999)</f>
        <v>9999</v>
      </c>
      <c r="AK11" s="0" t="n">
        <f aca="false">IF(Presupuesto!$B$17='Flujo de Pagos'!$E11,17,9999)</f>
        <v>9999</v>
      </c>
      <c r="AL11" s="0" t="n">
        <f aca="false">IF(Presupuesto!$B$18='Flujo de Pagos'!$E11,18,9999)</f>
        <v>9999</v>
      </c>
      <c r="AM11" s="0" t="n">
        <f aca="false">IF(Presupuesto!$B$19='Flujo de Pagos'!$E11,19,9999)</f>
        <v>9999</v>
      </c>
      <c r="AN11" s="0" t="n">
        <f aca="false">IF(Presupuesto!$B$20='Flujo de Pagos'!$E11,20,9999)</f>
        <v>9999</v>
      </c>
      <c r="AO11" s="0" t="n">
        <f aca="false">IF(Presupuesto!$B$21='Flujo de Pagos'!$E11,21,9999)</f>
        <v>9999</v>
      </c>
      <c r="AP11" s="0" t="n">
        <f aca="false">IF(Presupuesto!$B$22='Flujo de Pagos'!$E11,22,9999)</f>
        <v>9999</v>
      </c>
      <c r="AQ11" s="0" t="n">
        <f aca="false">IF(Presupuesto!$B$23='Flujo de Pagos'!$E11,23,9999)</f>
        <v>9999</v>
      </c>
      <c r="AR11" s="0" t="n">
        <f aca="false">IF(Presupuesto!$B$24='Flujo de Pagos'!$E11,24,9999)</f>
        <v>9999</v>
      </c>
      <c r="AS11" s="0" t="n">
        <f aca="false">IF(Presupuesto!$B$25='Flujo de Pagos'!$E11,25,9999)</f>
        <v>9999</v>
      </c>
      <c r="AT11" s="0" t="n">
        <f aca="false">IF(Presupuesto!$B$26='Flujo de Pagos'!$E11,26,9999)</f>
        <v>9999</v>
      </c>
      <c r="AU11" s="0" t="n">
        <f aca="false">IF(Presupuesto!$B$27='Flujo de Pagos'!$E11,27,9999)</f>
        <v>9999</v>
      </c>
      <c r="AV11" s="0" t="n">
        <f aca="false">IF(Presupuesto!$B$28='Flujo de Pagos'!$E11,28,9999)</f>
        <v>9999</v>
      </c>
      <c r="AW11" s="0" t="n">
        <f aca="false">IF(Presupuesto!$B$29='Flujo de Pagos'!$E11,29,9999)</f>
        <v>9999</v>
      </c>
      <c r="AX11" s="0" t="n">
        <f aca="false">IF(Presupuesto!$B$30='Flujo de Pagos'!$E11,30,9999)</f>
        <v>9999</v>
      </c>
      <c r="AY11" s="0" t="n">
        <f aca="false">IF(Presupuesto!$B$31='Flujo de Pagos'!$E11,31,9999)</f>
        <v>9999</v>
      </c>
      <c r="AZ11" s="0" t="n">
        <f aca="false">IF(Presupuesto!$B$32='Flujo de Pagos'!$E11,32,9999)</f>
        <v>9999</v>
      </c>
      <c r="BA11" s="0" t="n">
        <f aca="false">IF(Presupuesto!$B$33='Flujo de Pagos'!$E11,33,9999)</f>
        <v>9999</v>
      </c>
      <c r="BB11" s="0" t="n">
        <f aca="false">IF(Presupuesto!$B$34='Flujo de Pagos'!$E11,34,9999)</f>
        <v>9999</v>
      </c>
      <c r="BC11" s="0" t="n">
        <f aca="false">IF(Presupuesto!$B$35='Flujo de Pagos'!$E11,35,9999)</f>
        <v>9999</v>
      </c>
      <c r="BD11" s="0" t="n">
        <f aca="false">IF(Presupuesto!$B$36='Flujo de Pagos'!$E11,36,9999)</f>
        <v>9999</v>
      </c>
      <c r="BE11" s="0" t="n">
        <f aca="false">IF(Presupuesto!$B$37='Flujo de Pagos'!$E11,37,9999)</f>
        <v>9999</v>
      </c>
      <c r="BF11" s="0" t="n">
        <f aca="false">IF(Presupuesto!$B$38='Flujo de Pagos'!$E11,38,9999)</f>
        <v>9999</v>
      </c>
      <c r="BG11" s="0" t="n">
        <f aca="false">IF(Presupuesto!$B$39='Flujo de Pagos'!$E11,39,9999)</f>
        <v>9999</v>
      </c>
      <c r="BH11" s="0" t="n">
        <f aca="false">IF(Presupuesto!$B$40='Flujo de Pagos'!$E11,40,9999)</f>
        <v>9999</v>
      </c>
      <c r="BI11" s="0" t="n">
        <f aca="false">IF(Presupuesto!$B$41='Flujo de Pagos'!$E11,41,9999)</f>
        <v>9999</v>
      </c>
      <c r="BJ11" s="0" t="n">
        <f aca="false">IF(Presupuesto!$B$42='Flujo de Pagos'!$E11,42,9999)</f>
        <v>9999</v>
      </c>
      <c r="BK11" s="0" t="n">
        <f aca="false">IF(Presupuesto!$B$43='Flujo de Pagos'!$E11,43,9999)</f>
        <v>9999</v>
      </c>
      <c r="BL11" s="0" t="n">
        <f aca="false">IF(Presupuesto!$B$44='Flujo de Pagos'!$E11,44,9999)</f>
        <v>9999</v>
      </c>
      <c r="BM11" s="0" t="n">
        <f aca="false">IF(Presupuesto!$B$45='Flujo de Pagos'!$E11,45,9999)</f>
        <v>9999</v>
      </c>
      <c r="BN11" s="0" t="n">
        <f aca="false">IF(Presupuesto!$B$46='Flujo de Pagos'!$E11,46,9999)</f>
        <v>9999</v>
      </c>
      <c r="BO11" s="0" t="n">
        <f aca="false">IF(Presupuesto!$B$47='Flujo de Pagos'!$E11,47,9999)</f>
        <v>9999</v>
      </c>
      <c r="BP11" s="0" t="n">
        <f aca="false">IF(Presupuesto!$B$48='Flujo de Pagos'!$E11,48,9999)</f>
        <v>9999</v>
      </c>
      <c r="BQ11" s="0" t="n">
        <f aca="false">IF(Presupuesto!$B$49='Flujo de Pagos'!$E11,49,9999)</f>
        <v>9999</v>
      </c>
      <c r="BR11" s="0" t="n">
        <f aca="false">IF(Presupuesto!$B$50='Flujo de Pagos'!$E11,50,9999)</f>
        <v>9999</v>
      </c>
      <c r="BS11" s="0" t="n">
        <f aca="false">IF(Presupuesto!$B$51='Flujo de Pagos'!$E11,51,9999)</f>
        <v>9999</v>
      </c>
      <c r="BT11" s="0" t="n">
        <f aca="false">IF(Presupuesto!$B$52='Flujo de Pagos'!$E11,52,9999)</f>
        <v>9999</v>
      </c>
      <c r="BU11" s="0" t="n">
        <f aca="false">IF(Presupuesto!$B$53='Flujo de Pagos'!$E11,53,9999)</f>
        <v>9999</v>
      </c>
      <c r="BV11" s="0" t="n">
        <f aca="false">IF(Presupuesto!$B$54='Flujo de Pagos'!$E11,54,9999)</f>
        <v>9999</v>
      </c>
      <c r="BW11" s="0" t="n">
        <f aca="false">IF(Presupuesto!$B$55='Flujo de Pagos'!$E11,55,9999)</f>
        <v>9999</v>
      </c>
      <c r="BX11" s="0" t="n">
        <f aca="false">IF(Presupuesto!$B$56='Flujo de Pagos'!$E11,56,9999)</f>
        <v>9999</v>
      </c>
      <c r="BY11" s="0" t="n">
        <f aca="false">IF(Presupuesto!$B$57='Flujo de Pagos'!$E11,57,9999)</f>
        <v>9999</v>
      </c>
      <c r="BZ11" s="0" t="n">
        <f aca="false">IF(Presupuesto!$B$58='Flujo de Pagos'!$E11,58,9999)</f>
        <v>9999</v>
      </c>
      <c r="CA11" s="0" t="n">
        <f aca="false">IF(Presupuesto!$B$59='Flujo de Pagos'!$E11,59,9999)</f>
        <v>9999</v>
      </c>
      <c r="CB11" s="0" t="n">
        <f aca="false">IF(Presupuesto!$B$60='Flujo de Pagos'!$E11,60,9999)</f>
        <v>9999</v>
      </c>
      <c r="CC11" s="0" t="n">
        <f aca="false">IF(Presupuesto!$B$61='Flujo de Pagos'!$E11,61,9999)</f>
        <v>9999</v>
      </c>
      <c r="CD11" s="0" t="n">
        <f aca="false">IF(Presupuesto!$B$62='Flujo de Pagos'!$E11,62,9999)</f>
        <v>9999</v>
      </c>
      <c r="CE11" s="0" t="n">
        <f aca="false">IF(Presupuesto!$B$63='Flujo de Pagos'!$E11,63,9999)</f>
        <v>9999</v>
      </c>
      <c r="CF11" s="0" t="n">
        <f aca="false">IF(Presupuesto!$B$64='Flujo de Pagos'!$E11,64,9999)</f>
        <v>9999</v>
      </c>
      <c r="CG11" s="0" t="n">
        <f aca="false">IF(Presupuesto!$B$65='Flujo de Pagos'!$E11,65,9999)</f>
        <v>9999</v>
      </c>
      <c r="CH11" s="0" t="n">
        <f aca="false">IF(Presupuesto!$B$66='Flujo de Pagos'!$E11,66,9999)</f>
        <v>9999</v>
      </c>
    </row>
    <row r="12" customFormat="false" ht="15" hidden="false" customHeight="true" outlineLevel="0" collapsed="false">
      <c r="A12" s="1" t="n">
        <f aca="false">IF(Presupuesto!B17=Carátula!$B$2,17,9999)</f>
        <v>9999</v>
      </c>
      <c r="B12" s="1" t="n">
        <f aca="false">IF(AND('Flujo de Pagos'!E17=Carátula!$B$2,'Flujo de Pagos'!F17=Carátula!$B$4,'Flujo de Pagos'!H17&lt;&gt;""),17,99999)</f>
        <v>99999</v>
      </c>
      <c r="D12" s="1" t="str">
        <f aca="false">IF(SMALL($A$2:$A$61,11)&gt;=9999,"",INDEX(Presupuesto!$C:$C,SMALL($A$2:$A$61,11)))</f>
        <v/>
      </c>
      <c r="E12" s="1" t="str">
        <f aca="false">IF(SMALL($B$2:$B$501,11)&gt;=99999,"",INDEX('Flujo de Pagos'!$H:$H,SMALL($B$2:$B$501,11)))</f>
        <v/>
      </c>
      <c r="H12" s="1" t="str">
        <f aca="false">IF(SMALL($AA12:$CH12,1)&gt;=9999,"",INDEX(Presupuesto!$C:$C,SMALL($AA12:$CH12,1)))</f>
        <v>Proyecto Alberca y Jacuzzi</v>
      </c>
      <c r="I12" s="1" t="str">
        <f aca="false">IF(SMALL($AA12:$CH12,2)&gt;=9999,"",INDEX(Presupuesto!$C:$C,SMALL($AA12:$CH12,2)))</f>
        <v/>
      </c>
      <c r="J12" s="1" t="str">
        <f aca="false">IF(SMALL($AA12:$CH12,3)&gt;=9999,"",INDEX(Presupuesto!$C:$C,SMALL($AA12:$CH12,3)))</f>
        <v/>
      </c>
      <c r="K12" s="1" t="str">
        <f aca="false">IF(SMALL($AA12:$CH12,4)&gt;=9999,"",INDEX(Presupuesto!$C:$C,SMALL($AA12:$CH12,4)))</f>
        <v/>
      </c>
      <c r="L12" s="1" t="str">
        <f aca="false">IF(SMALL($AA12:$CH12,5)&gt;=9999,"",INDEX(Presupuesto!$C:$C,SMALL($AA12:$CH12,5)))</f>
        <v/>
      </c>
      <c r="M12" s="1" t="str">
        <f aca="false">IF(SMALL($AA12:$CH12,6)&gt;=9999,"",INDEX(Presupuesto!$C:$C,SMALL($AA12:$CH12,6)))</f>
        <v/>
      </c>
      <c r="N12" s="1" t="str">
        <f aca="false">IF(SMALL($AA12:$CH12,7)&gt;=9999,"",INDEX(Presupuesto!$C:$C,SMALL($AA12:$CH12,7)))</f>
        <v/>
      </c>
      <c r="O12" s="1" t="str">
        <f aca="false">IF(SMALL($AA12:$CH12,8)&gt;=9999,"",INDEX(Presupuesto!$C:$C,SMALL($AA12:$CH12,8)))</f>
        <v/>
      </c>
      <c r="P12" s="1" t="str">
        <f aca="false">IF(SMALL($AA12:$CH12,9)&gt;=9999,"",INDEX(Presupuesto!$C:$C,SMALL($AA12:$CH12,9)))</f>
        <v/>
      </c>
      <c r="Q12" s="1" t="str">
        <f aca="false">IF(SMALL($AA12:$CH12,10)&gt;=9999,"",INDEX(Presupuesto!$C:$C,SMALL($AA12:$CH12,10)))</f>
        <v/>
      </c>
      <c r="AA12" s="0" t="n">
        <f aca="false">IF(Presupuesto!$B$7='Flujo de Pagos'!$E12,7,9999)</f>
        <v>9999</v>
      </c>
      <c r="AB12" s="0" t="n">
        <f aca="false">IF(Presupuesto!$B$8='Flujo de Pagos'!$E12,8,9999)</f>
        <v>9999</v>
      </c>
      <c r="AC12" s="0" t="n">
        <f aca="false">IF(Presupuesto!$B$9='Flujo de Pagos'!$E12,9,9999)</f>
        <v>9999</v>
      </c>
      <c r="AD12" s="0" t="n">
        <f aca="false">IF(Presupuesto!$B$10='Flujo de Pagos'!$E12,10,9999)</f>
        <v>9999</v>
      </c>
      <c r="AE12" s="0" t="n">
        <f aca="false">IF(Presupuesto!$B$11='Flujo de Pagos'!$E12,11,9999)</f>
        <v>11</v>
      </c>
      <c r="AF12" s="0" t="n">
        <f aca="false">IF(Presupuesto!$B$12='Flujo de Pagos'!$E12,12,9999)</f>
        <v>9999</v>
      </c>
      <c r="AG12" s="0" t="n">
        <f aca="false">IF(Presupuesto!$B$13='Flujo de Pagos'!$E12,13,9999)</f>
        <v>9999</v>
      </c>
      <c r="AH12" s="0" t="n">
        <f aca="false">IF(Presupuesto!$B$14='Flujo de Pagos'!$E12,14,9999)</f>
        <v>9999</v>
      </c>
      <c r="AI12" s="0" t="n">
        <f aca="false">IF(Presupuesto!$B$15='Flujo de Pagos'!$E12,15,9999)</f>
        <v>9999</v>
      </c>
      <c r="AJ12" s="0" t="n">
        <f aca="false">IF(Presupuesto!$B$16='Flujo de Pagos'!$E12,16,9999)</f>
        <v>9999</v>
      </c>
      <c r="AK12" s="0" t="n">
        <f aca="false">IF(Presupuesto!$B$17='Flujo de Pagos'!$E12,17,9999)</f>
        <v>9999</v>
      </c>
      <c r="AL12" s="0" t="n">
        <f aca="false">IF(Presupuesto!$B$18='Flujo de Pagos'!$E12,18,9999)</f>
        <v>9999</v>
      </c>
      <c r="AM12" s="0" t="n">
        <f aca="false">IF(Presupuesto!$B$19='Flujo de Pagos'!$E12,19,9999)</f>
        <v>9999</v>
      </c>
      <c r="AN12" s="0" t="n">
        <f aca="false">IF(Presupuesto!$B$20='Flujo de Pagos'!$E12,20,9999)</f>
        <v>9999</v>
      </c>
      <c r="AO12" s="0" t="n">
        <f aca="false">IF(Presupuesto!$B$21='Flujo de Pagos'!$E12,21,9999)</f>
        <v>9999</v>
      </c>
      <c r="AP12" s="0" t="n">
        <f aca="false">IF(Presupuesto!$B$22='Flujo de Pagos'!$E12,22,9999)</f>
        <v>9999</v>
      </c>
      <c r="AQ12" s="0" t="n">
        <f aca="false">IF(Presupuesto!$B$23='Flujo de Pagos'!$E12,23,9999)</f>
        <v>9999</v>
      </c>
      <c r="AR12" s="0" t="n">
        <f aca="false">IF(Presupuesto!$B$24='Flujo de Pagos'!$E12,24,9999)</f>
        <v>9999</v>
      </c>
      <c r="AS12" s="0" t="n">
        <f aca="false">IF(Presupuesto!$B$25='Flujo de Pagos'!$E12,25,9999)</f>
        <v>9999</v>
      </c>
      <c r="AT12" s="0" t="n">
        <f aca="false">IF(Presupuesto!$B$26='Flujo de Pagos'!$E12,26,9999)</f>
        <v>9999</v>
      </c>
      <c r="AU12" s="0" t="n">
        <f aca="false">IF(Presupuesto!$B$27='Flujo de Pagos'!$E12,27,9999)</f>
        <v>9999</v>
      </c>
      <c r="AV12" s="0" t="n">
        <f aca="false">IF(Presupuesto!$B$28='Flujo de Pagos'!$E12,28,9999)</f>
        <v>9999</v>
      </c>
      <c r="AW12" s="0" t="n">
        <f aca="false">IF(Presupuesto!$B$29='Flujo de Pagos'!$E12,29,9999)</f>
        <v>9999</v>
      </c>
      <c r="AX12" s="0" t="n">
        <f aca="false">IF(Presupuesto!$B$30='Flujo de Pagos'!$E12,30,9999)</f>
        <v>9999</v>
      </c>
      <c r="AY12" s="0" t="n">
        <f aca="false">IF(Presupuesto!$B$31='Flujo de Pagos'!$E12,31,9999)</f>
        <v>9999</v>
      </c>
      <c r="AZ12" s="0" t="n">
        <f aca="false">IF(Presupuesto!$B$32='Flujo de Pagos'!$E12,32,9999)</f>
        <v>9999</v>
      </c>
      <c r="BA12" s="0" t="n">
        <f aca="false">IF(Presupuesto!$B$33='Flujo de Pagos'!$E12,33,9999)</f>
        <v>9999</v>
      </c>
      <c r="BB12" s="0" t="n">
        <f aca="false">IF(Presupuesto!$B$34='Flujo de Pagos'!$E12,34,9999)</f>
        <v>9999</v>
      </c>
      <c r="BC12" s="0" t="n">
        <f aca="false">IF(Presupuesto!$B$35='Flujo de Pagos'!$E12,35,9999)</f>
        <v>9999</v>
      </c>
      <c r="BD12" s="0" t="n">
        <f aca="false">IF(Presupuesto!$B$36='Flujo de Pagos'!$E12,36,9999)</f>
        <v>9999</v>
      </c>
      <c r="BE12" s="0" t="n">
        <f aca="false">IF(Presupuesto!$B$37='Flujo de Pagos'!$E12,37,9999)</f>
        <v>9999</v>
      </c>
      <c r="BF12" s="0" t="n">
        <f aca="false">IF(Presupuesto!$B$38='Flujo de Pagos'!$E12,38,9999)</f>
        <v>9999</v>
      </c>
      <c r="BG12" s="0" t="n">
        <f aca="false">IF(Presupuesto!$B$39='Flujo de Pagos'!$E12,39,9999)</f>
        <v>9999</v>
      </c>
      <c r="BH12" s="0" t="n">
        <f aca="false">IF(Presupuesto!$B$40='Flujo de Pagos'!$E12,40,9999)</f>
        <v>9999</v>
      </c>
      <c r="BI12" s="0" t="n">
        <f aca="false">IF(Presupuesto!$B$41='Flujo de Pagos'!$E12,41,9999)</f>
        <v>9999</v>
      </c>
      <c r="BJ12" s="0" t="n">
        <f aca="false">IF(Presupuesto!$B$42='Flujo de Pagos'!$E12,42,9999)</f>
        <v>9999</v>
      </c>
      <c r="BK12" s="0" t="n">
        <f aca="false">IF(Presupuesto!$B$43='Flujo de Pagos'!$E12,43,9999)</f>
        <v>9999</v>
      </c>
      <c r="BL12" s="0" t="n">
        <f aca="false">IF(Presupuesto!$B$44='Flujo de Pagos'!$E12,44,9999)</f>
        <v>9999</v>
      </c>
      <c r="BM12" s="0" t="n">
        <f aca="false">IF(Presupuesto!$B$45='Flujo de Pagos'!$E12,45,9999)</f>
        <v>9999</v>
      </c>
      <c r="BN12" s="0" t="n">
        <f aca="false">IF(Presupuesto!$B$46='Flujo de Pagos'!$E12,46,9999)</f>
        <v>9999</v>
      </c>
      <c r="BO12" s="0" t="n">
        <f aca="false">IF(Presupuesto!$B$47='Flujo de Pagos'!$E12,47,9999)</f>
        <v>9999</v>
      </c>
      <c r="BP12" s="0" t="n">
        <f aca="false">IF(Presupuesto!$B$48='Flujo de Pagos'!$E12,48,9999)</f>
        <v>9999</v>
      </c>
      <c r="BQ12" s="0" t="n">
        <f aca="false">IF(Presupuesto!$B$49='Flujo de Pagos'!$E12,49,9999)</f>
        <v>9999</v>
      </c>
      <c r="BR12" s="0" t="n">
        <f aca="false">IF(Presupuesto!$B$50='Flujo de Pagos'!$E12,50,9999)</f>
        <v>9999</v>
      </c>
      <c r="BS12" s="0" t="n">
        <f aca="false">IF(Presupuesto!$B$51='Flujo de Pagos'!$E12,51,9999)</f>
        <v>9999</v>
      </c>
      <c r="BT12" s="0" t="n">
        <f aca="false">IF(Presupuesto!$B$52='Flujo de Pagos'!$E12,52,9999)</f>
        <v>9999</v>
      </c>
      <c r="BU12" s="0" t="n">
        <f aca="false">IF(Presupuesto!$B$53='Flujo de Pagos'!$E12,53,9999)</f>
        <v>9999</v>
      </c>
      <c r="BV12" s="0" t="n">
        <f aca="false">IF(Presupuesto!$B$54='Flujo de Pagos'!$E12,54,9999)</f>
        <v>9999</v>
      </c>
      <c r="BW12" s="0" t="n">
        <f aca="false">IF(Presupuesto!$B$55='Flujo de Pagos'!$E12,55,9999)</f>
        <v>9999</v>
      </c>
      <c r="BX12" s="0" t="n">
        <f aca="false">IF(Presupuesto!$B$56='Flujo de Pagos'!$E12,56,9999)</f>
        <v>9999</v>
      </c>
      <c r="BY12" s="0" t="n">
        <f aca="false">IF(Presupuesto!$B$57='Flujo de Pagos'!$E12,57,9999)</f>
        <v>9999</v>
      </c>
      <c r="BZ12" s="0" t="n">
        <f aca="false">IF(Presupuesto!$B$58='Flujo de Pagos'!$E12,58,9999)</f>
        <v>9999</v>
      </c>
      <c r="CA12" s="0" t="n">
        <f aca="false">IF(Presupuesto!$B$59='Flujo de Pagos'!$E12,59,9999)</f>
        <v>9999</v>
      </c>
      <c r="CB12" s="0" t="n">
        <f aca="false">IF(Presupuesto!$B$60='Flujo de Pagos'!$E12,60,9999)</f>
        <v>9999</v>
      </c>
      <c r="CC12" s="0" t="n">
        <f aca="false">IF(Presupuesto!$B$61='Flujo de Pagos'!$E12,61,9999)</f>
        <v>9999</v>
      </c>
      <c r="CD12" s="0" t="n">
        <f aca="false">IF(Presupuesto!$B$62='Flujo de Pagos'!$E12,62,9999)</f>
        <v>9999</v>
      </c>
      <c r="CE12" s="0" t="n">
        <f aca="false">IF(Presupuesto!$B$63='Flujo de Pagos'!$E12,63,9999)</f>
        <v>9999</v>
      </c>
      <c r="CF12" s="0" t="n">
        <f aca="false">IF(Presupuesto!$B$64='Flujo de Pagos'!$E12,64,9999)</f>
        <v>9999</v>
      </c>
      <c r="CG12" s="0" t="n">
        <f aca="false">IF(Presupuesto!$B$65='Flujo de Pagos'!$E12,65,9999)</f>
        <v>9999</v>
      </c>
      <c r="CH12" s="0" t="n">
        <f aca="false">IF(Presupuesto!$B$66='Flujo de Pagos'!$E12,66,9999)</f>
        <v>9999</v>
      </c>
    </row>
    <row r="13" customFormat="false" ht="15" hidden="false" customHeight="true" outlineLevel="0" collapsed="false">
      <c r="A13" s="1" t="n">
        <f aca="false">IF(Presupuesto!B18=Carátula!$B$2,18,9999)</f>
        <v>9999</v>
      </c>
      <c r="B13" s="1" t="n">
        <f aca="false">IF(AND('Flujo de Pagos'!E18=Carátula!$B$2,'Flujo de Pagos'!F18=Carátula!$B$4,'Flujo de Pagos'!H18&lt;&gt;""),18,99999)</f>
        <v>99999</v>
      </c>
      <c r="D13" s="1" t="str">
        <f aca="false">IF(SMALL($A$2:$A$61,12)&gt;=9999,"",INDEX(Presupuesto!$C:$C,SMALL($A$2:$A$61,12)))</f>
        <v/>
      </c>
      <c r="E13" s="1" t="str">
        <f aca="false">IF(SMALL($B$2:$B$501,12)&gt;=99999,"",INDEX('Flujo de Pagos'!$H:$H,SMALL($B$2:$B$501,12)))</f>
        <v/>
      </c>
      <c r="H13" s="1" t="n">
        <f aca="false">IF(SMALL($AA13:$CH13,1)&gt;=9999,"",INDEX(Presupuesto!$C:$C,SMALL($AA13:$CH13,1)))</f>
        <v>0</v>
      </c>
      <c r="I13" s="1" t="n">
        <f aca="false">IF(SMALL($AA13:$CH13,2)&gt;=9999,"",INDEX(Presupuesto!$C:$C,SMALL($AA13:$CH13,2)))</f>
        <v>0</v>
      </c>
      <c r="J13" s="1" t="n">
        <f aca="false">IF(SMALL($AA13:$CH13,3)&gt;=9999,"",INDEX(Presupuesto!$C:$C,SMALL($AA13:$CH13,3)))</f>
        <v>0</v>
      </c>
      <c r="K13" s="1" t="n">
        <f aca="false">IF(SMALL($AA13:$CH13,4)&gt;=9999,"",INDEX(Presupuesto!$C:$C,SMALL($AA13:$CH13,4)))</f>
        <v>0</v>
      </c>
      <c r="L13" s="1" t="n">
        <f aca="false">IF(SMALL($AA13:$CH13,5)&gt;=9999,"",INDEX(Presupuesto!$C:$C,SMALL($AA13:$CH13,5)))</f>
        <v>0</v>
      </c>
      <c r="M13" s="1" t="n">
        <f aca="false">IF(SMALL($AA13:$CH13,6)&gt;=9999,"",INDEX(Presupuesto!$C:$C,SMALL($AA13:$CH13,6)))</f>
        <v>0</v>
      </c>
      <c r="N13" s="1" t="n">
        <f aca="false">IF(SMALL($AA13:$CH13,7)&gt;=9999,"",INDEX(Presupuesto!$C:$C,SMALL($AA13:$CH13,7)))</f>
        <v>0</v>
      </c>
      <c r="O13" s="1" t="n">
        <f aca="false">IF(SMALL($AA13:$CH13,8)&gt;=9999,"",INDEX(Presupuesto!$C:$C,SMALL($AA13:$CH13,8)))</f>
        <v>0</v>
      </c>
      <c r="P13" s="1" t="n">
        <f aca="false">IF(SMALL($AA13:$CH13,9)&gt;=9999,"",INDEX(Presupuesto!$C:$C,SMALL($AA13:$CH13,9)))</f>
        <v>0</v>
      </c>
      <c r="Q13" s="1" t="n">
        <f aca="false">IF(SMALL($AA13:$CH13,10)&gt;=9999,"",INDEX(Presupuesto!$C:$C,SMALL($AA13:$CH13,10)))</f>
        <v>0</v>
      </c>
      <c r="AA13" s="0" t="n">
        <f aca="false">IF(Presupuesto!$B$7='Flujo de Pagos'!$E13,7,9999)</f>
        <v>9999</v>
      </c>
      <c r="AB13" s="0" t="n">
        <f aca="false">IF(Presupuesto!$B$8='Flujo de Pagos'!$E13,8,9999)</f>
        <v>9999</v>
      </c>
      <c r="AC13" s="0" t="n">
        <f aca="false">IF(Presupuesto!$B$9='Flujo de Pagos'!$E13,9,9999)</f>
        <v>9999</v>
      </c>
      <c r="AD13" s="0" t="n">
        <f aca="false">IF(Presupuesto!$B$10='Flujo de Pagos'!$E13,10,9999)</f>
        <v>9999</v>
      </c>
      <c r="AE13" s="0" t="n">
        <f aca="false">IF(Presupuesto!$B$11='Flujo de Pagos'!$E13,11,9999)</f>
        <v>9999</v>
      </c>
      <c r="AF13" s="0" t="n">
        <f aca="false">IF(Presupuesto!$B$12='Flujo de Pagos'!$E13,12,9999)</f>
        <v>12</v>
      </c>
      <c r="AG13" s="0" t="n">
        <f aca="false">IF(Presupuesto!$B$13='Flujo de Pagos'!$E13,13,9999)</f>
        <v>13</v>
      </c>
      <c r="AH13" s="0" t="n">
        <f aca="false">IF(Presupuesto!$B$14='Flujo de Pagos'!$E13,14,9999)</f>
        <v>14</v>
      </c>
      <c r="AI13" s="0" t="n">
        <f aca="false">IF(Presupuesto!$B$15='Flujo de Pagos'!$E13,15,9999)</f>
        <v>15</v>
      </c>
      <c r="AJ13" s="0" t="n">
        <f aca="false">IF(Presupuesto!$B$16='Flujo de Pagos'!$E13,16,9999)</f>
        <v>16</v>
      </c>
      <c r="AK13" s="0" t="n">
        <f aca="false">IF(Presupuesto!$B$17='Flujo de Pagos'!$E13,17,9999)</f>
        <v>17</v>
      </c>
      <c r="AL13" s="0" t="n">
        <f aca="false">IF(Presupuesto!$B$18='Flujo de Pagos'!$E13,18,9999)</f>
        <v>18</v>
      </c>
      <c r="AM13" s="0" t="n">
        <f aca="false">IF(Presupuesto!$B$19='Flujo de Pagos'!$E13,19,9999)</f>
        <v>19</v>
      </c>
      <c r="AN13" s="0" t="n">
        <f aca="false">IF(Presupuesto!$B$20='Flujo de Pagos'!$E13,20,9999)</f>
        <v>20</v>
      </c>
      <c r="AO13" s="0" t="n">
        <f aca="false">IF(Presupuesto!$B$21='Flujo de Pagos'!$E13,21,9999)</f>
        <v>21</v>
      </c>
      <c r="AP13" s="0" t="n">
        <f aca="false">IF(Presupuesto!$B$22='Flujo de Pagos'!$E13,22,9999)</f>
        <v>22</v>
      </c>
      <c r="AQ13" s="0" t="n">
        <f aca="false">IF(Presupuesto!$B$23='Flujo de Pagos'!$E13,23,9999)</f>
        <v>23</v>
      </c>
      <c r="AR13" s="0" t="n">
        <f aca="false">IF(Presupuesto!$B$24='Flujo de Pagos'!$E13,24,9999)</f>
        <v>24</v>
      </c>
      <c r="AS13" s="0" t="n">
        <f aca="false">IF(Presupuesto!$B$25='Flujo de Pagos'!$E13,25,9999)</f>
        <v>25</v>
      </c>
      <c r="AT13" s="0" t="n">
        <f aca="false">IF(Presupuesto!$B$26='Flujo de Pagos'!$E13,26,9999)</f>
        <v>26</v>
      </c>
      <c r="AU13" s="0" t="n">
        <f aca="false">IF(Presupuesto!$B$27='Flujo de Pagos'!$E13,27,9999)</f>
        <v>27</v>
      </c>
      <c r="AV13" s="0" t="n">
        <f aca="false">IF(Presupuesto!$B$28='Flujo de Pagos'!$E13,28,9999)</f>
        <v>28</v>
      </c>
      <c r="AW13" s="0" t="n">
        <f aca="false">IF(Presupuesto!$B$29='Flujo de Pagos'!$E13,29,9999)</f>
        <v>29</v>
      </c>
      <c r="AX13" s="0" t="n">
        <f aca="false">IF(Presupuesto!$B$30='Flujo de Pagos'!$E13,30,9999)</f>
        <v>30</v>
      </c>
      <c r="AY13" s="0" t="n">
        <f aca="false">IF(Presupuesto!$B$31='Flujo de Pagos'!$E13,31,9999)</f>
        <v>31</v>
      </c>
      <c r="AZ13" s="0" t="n">
        <f aca="false">IF(Presupuesto!$B$32='Flujo de Pagos'!$E13,32,9999)</f>
        <v>32</v>
      </c>
      <c r="BA13" s="0" t="n">
        <f aca="false">IF(Presupuesto!$B$33='Flujo de Pagos'!$E13,33,9999)</f>
        <v>33</v>
      </c>
      <c r="BB13" s="0" t="n">
        <f aca="false">IF(Presupuesto!$B$34='Flujo de Pagos'!$E13,34,9999)</f>
        <v>34</v>
      </c>
      <c r="BC13" s="0" t="n">
        <f aca="false">IF(Presupuesto!$B$35='Flujo de Pagos'!$E13,35,9999)</f>
        <v>35</v>
      </c>
      <c r="BD13" s="0" t="n">
        <f aca="false">IF(Presupuesto!$B$36='Flujo de Pagos'!$E13,36,9999)</f>
        <v>36</v>
      </c>
      <c r="BE13" s="0" t="n">
        <f aca="false">IF(Presupuesto!$B$37='Flujo de Pagos'!$E13,37,9999)</f>
        <v>37</v>
      </c>
      <c r="BF13" s="0" t="n">
        <f aca="false">IF(Presupuesto!$B$38='Flujo de Pagos'!$E13,38,9999)</f>
        <v>38</v>
      </c>
      <c r="BG13" s="0" t="n">
        <f aca="false">IF(Presupuesto!$B$39='Flujo de Pagos'!$E13,39,9999)</f>
        <v>39</v>
      </c>
      <c r="BH13" s="0" t="n">
        <f aca="false">IF(Presupuesto!$B$40='Flujo de Pagos'!$E13,40,9999)</f>
        <v>40</v>
      </c>
      <c r="BI13" s="0" t="n">
        <f aca="false">IF(Presupuesto!$B$41='Flujo de Pagos'!$E13,41,9999)</f>
        <v>41</v>
      </c>
      <c r="BJ13" s="0" t="n">
        <f aca="false">IF(Presupuesto!$B$42='Flujo de Pagos'!$E13,42,9999)</f>
        <v>42</v>
      </c>
      <c r="BK13" s="0" t="n">
        <f aca="false">IF(Presupuesto!$B$43='Flujo de Pagos'!$E13,43,9999)</f>
        <v>43</v>
      </c>
      <c r="BL13" s="0" t="n">
        <f aca="false">IF(Presupuesto!$B$44='Flujo de Pagos'!$E13,44,9999)</f>
        <v>44</v>
      </c>
      <c r="BM13" s="0" t="n">
        <f aca="false">IF(Presupuesto!$B$45='Flujo de Pagos'!$E13,45,9999)</f>
        <v>45</v>
      </c>
      <c r="BN13" s="0" t="n">
        <f aca="false">IF(Presupuesto!$B$46='Flujo de Pagos'!$E13,46,9999)</f>
        <v>46</v>
      </c>
      <c r="BO13" s="0" t="n">
        <f aca="false">IF(Presupuesto!$B$47='Flujo de Pagos'!$E13,47,9999)</f>
        <v>47</v>
      </c>
      <c r="BP13" s="0" t="n">
        <f aca="false">IF(Presupuesto!$B$48='Flujo de Pagos'!$E13,48,9999)</f>
        <v>48</v>
      </c>
      <c r="BQ13" s="0" t="n">
        <f aca="false">IF(Presupuesto!$B$49='Flujo de Pagos'!$E13,49,9999)</f>
        <v>49</v>
      </c>
      <c r="BR13" s="0" t="n">
        <f aca="false">IF(Presupuesto!$B$50='Flujo de Pagos'!$E13,50,9999)</f>
        <v>50</v>
      </c>
      <c r="BS13" s="0" t="n">
        <f aca="false">IF(Presupuesto!$B$51='Flujo de Pagos'!$E13,51,9999)</f>
        <v>51</v>
      </c>
      <c r="BT13" s="0" t="n">
        <f aca="false">IF(Presupuesto!$B$52='Flujo de Pagos'!$E13,52,9999)</f>
        <v>52</v>
      </c>
      <c r="BU13" s="0" t="n">
        <f aca="false">IF(Presupuesto!$B$53='Flujo de Pagos'!$E13,53,9999)</f>
        <v>53</v>
      </c>
      <c r="BV13" s="0" t="n">
        <f aca="false">IF(Presupuesto!$B$54='Flujo de Pagos'!$E13,54,9999)</f>
        <v>54</v>
      </c>
      <c r="BW13" s="0" t="n">
        <f aca="false">IF(Presupuesto!$B$55='Flujo de Pagos'!$E13,55,9999)</f>
        <v>55</v>
      </c>
      <c r="BX13" s="0" t="n">
        <f aca="false">IF(Presupuesto!$B$56='Flujo de Pagos'!$E13,56,9999)</f>
        <v>56</v>
      </c>
      <c r="BY13" s="0" t="n">
        <f aca="false">IF(Presupuesto!$B$57='Flujo de Pagos'!$E13,57,9999)</f>
        <v>57</v>
      </c>
      <c r="BZ13" s="0" t="n">
        <f aca="false">IF(Presupuesto!$B$58='Flujo de Pagos'!$E13,58,9999)</f>
        <v>58</v>
      </c>
      <c r="CA13" s="0" t="n">
        <f aca="false">IF(Presupuesto!$B$59='Flujo de Pagos'!$E13,59,9999)</f>
        <v>59</v>
      </c>
      <c r="CB13" s="0" t="n">
        <f aca="false">IF(Presupuesto!$B$60='Flujo de Pagos'!$E13,60,9999)</f>
        <v>60</v>
      </c>
      <c r="CC13" s="0" t="n">
        <f aca="false">IF(Presupuesto!$B$61='Flujo de Pagos'!$E13,61,9999)</f>
        <v>61</v>
      </c>
      <c r="CD13" s="0" t="n">
        <f aca="false">IF(Presupuesto!$B$62='Flujo de Pagos'!$E13,62,9999)</f>
        <v>62</v>
      </c>
      <c r="CE13" s="0" t="n">
        <f aca="false">IF(Presupuesto!$B$63='Flujo de Pagos'!$E13,63,9999)</f>
        <v>63</v>
      </c>
      <c r="CF13" s="0" t="n">
        <f aca="false">IF(Presupuesto!$B$64='Flujo de Pagos'!$E13,64,9999)</f>
        <v>64</v>
      </c>
      <c r="CG13" s="0" t="n">
        <f aca="false">IF(Presupuesto!$B$65='Flujo de Pagos'!$E13,65,9999)</f>
        <v>65</v>
      </c>
      <c r="CH13" s="0" t="n">
        <f aca="false">IF(Presupuesto!$B$66='Flujo de Pagos'!$E13,66,9999)</f>
        <v>66</v>
      </c>
    </row>
    <row r="14" customFormat="false" ht="15" hidden="false" customHeight="true" outlineLevel="0" collapsed="false">
      <c r="A14" s="1" t="n">
        <f aca="false">IF(Presupuesto!B19=Carátula!$B$2,19,9999)</f>
        <v>9999</v>
      </c>
      <c r="B14" s="1" t="n">
        <f aca="false">IF(AND('Flujo de Pagos'!E19=Carátula!$B$2,'Flujo de Pagos'!F19=Carátula!$B$4,'Flujo de Pagos'!H19&lt;&gt;""),19,99999)</f>
        <v>99999</v>
      </c>
      <c r="D14" s="1" t="str">
        <f aca="false">IF(SMALL($A$2:$A$61,13)&gt;=9999,"",INDEX(Presupuesto!$C:$C,SMALL($A$2:$A$61,13)))</f>
        <v/>
      </c>
      <c r="E14" s="1" t="str">
        <f aca="false">IF(SMALL($B$2:$B$501,13)&gt;=99999,"",INDEX('Flujo de Pagos'!$H:$H,SMALL($B$2:$B$501,13)))</f>
        <v/>
      </c>
      <c r="H14" s="1" t="n">
        <f aca="false">IF(SMALL($AA14:$CH14,1)&gt;=9999,"",INDEX(Presupuesto!$C:$C,SMALL($AA14:$CH14,1)))</f>
        <v>0</v>
      </c>
      <c r="I14" s="1" t="n">
        <f aca="false">IF(SMALL($AA14:$CH14,2)&gt;=9999,"",INDEX(Presupuesto!$C:$C,SMALL($AA14:$CH14,2)))</f>
        <v>0</v>
      </c>
      <c r="J14" s="1" t="n">
        <f aca="false">IF(SMALL($AA14:$CH14,3)&gt;=9999,"",INDEX(Presupuesto!$C:$C,SMALL($AA14:$CH14,3)))</f>
        <v>0</v>
      </c>
      <c r="K14" s="1" t="n">
        <f aca="false">IF(SMALL($AA14:$CH14,4)&gt;=9999,"",INDEX(Presupuesto!$C:$C,SMALL($AA14:$CH14,4)))</f>
        <v>0</v>
      </c>
      <c r="L14" s="1" t="n">
        <f aca="false">IF(SMALL($AA14:$CH14,5)&gt;=9999,"",INDEX(Presupuesto!$C:$C,SMALL($AA14:$CH14,5)))</f>
        <v>0</v>
      </c>
      <c r="M14" s="1" t="n">
        <f aca="false">IF(SMALL($AA14:$CH14,6)&gt;=9999,"",INDEX(Presupuesto!$C:$C,SMALL($AA14:$CH14,6)))</f>
        <v>0</v>
      </c>
      <c r="N14" s="1" t="n">
        <f aca="false">IF(SMALL($AA14:$CH14,7)&gt;=9999,"",INDEX(Presupuesto!$C:$C,SMALL($AA14:$CH14,7)))</f>
        <v>0</v>
      </c>
      <c r="O14" s="1" t="n">
        <f aca="false">IF(SMALL($AA14:$CH14,8)&gt;=9999,"",INDEX(Presupuesto!$C:$C,SMALL($AA14:$CH14,8)))</f>
        <v>0</v>
      </c>
      <c r="P14" s="1" t="n">
        <f aca="false">IF(SMALL($AA14:$CH14,9)&gt;=9999,"",INDEX(Presupuesto!$C:$C,SMALL($AA14:$CH14,9)))</f>
        <v>0</v>
      </c>
      <c r="Q14" s="1" t="n">
        <f aca="false">IF(SMALL($AA14:$CH14,10)&gt;=9999,"",INDEX(Presupuesto!$C:$C,SMALL($AA14:$CH14,10)))</f>
        <v>0</v>
      </c>
      <c r="AA14" s="0" t="n">
        <f aca="false">IF(Presupuesto!$B$7='Flujo de Pagos'!$E14,7,9999)</f>
        <v>9999</v>
      </c>
      <c r="AB14" s="0" t="n">
        <f aca="false">IF(Presupuesto!$B$8='Flujo de Pagos'!$E14,8,9999)</f>
        <v>9999</v>
      </c>
      <c r="AC14" s="0" t="n">
        <f aca="false">IF(Presupuesto!$B$9='Flujo de Pagos'!$E14,9,9999)</f>
        <v>9999</v>
      </c>
      <c r="AD14" s="0" t="n">
        <f aca="false">IF(Presupuesto!$B$10='Flujo de Pagos'!$E14,10,9999)</f>
        <v>9999</v>
      </c>
      <c r="AE14" s="0" t="n">
        <f aca="false">IF(Presupuesto!$B$11='Flujo de Pagos'!$E14,11,9999)</f>
        <v>9999</v>
      </c>
      <c r="AF14" s="0" t="n">
        <f aca="false">IF(Presupuesto!$B$12='Flujo de Pagos'!$E14,12,9999)</f>
        <v>12</v>
      </c>
      <c r="AG14" s="0" t="n">
        <f aca="false">IF(Presupuesto!$B$13='Flujo de Pagos'!$E14,13,9999)</f>
        <v>13</v>
      </c>
      <c r="AH14" s="0" t="n">
        <f aca="false">IF(Presupuesto!$B$14='Flujo de Pagos'!$E14,14,9999)</f>
        <v>14</v>
      </c>
      <c r="AI14" s="0" t="n">
        <f aca="false">IF(Presupuesto!$B$15='Flujo de Pagos'!$E14,15,9999)</f>
        <v>15</v>
      </c>
      <c r="AJ14" s="0" t="n">
        <f aca="false">IF(Presupuesto!$B$16='Flujo de Pagos'!$E14,16,9999)</f>
        <v>16</v>
      </c>
      <c r="AK14" s="0" t="n">
        <f aca="false">IF(Presupuesto!$B$17='Flujo de Pagos'!$E14,17,9999)</f>
        <v>17</v>
      </c>
      <c r="AL14" s="0" t="n">
        <f aca="false">IF(Presupuesto!$B$18='Flujo de Pagos'!$E14,18,9999)</f>
        <v>18</v>
      </c>
      <c r="AM14" s="0" t="n">
        <f aca="false">IF(Presupuesto!$B$19='Flujo de Pagos'!$E14,19,9999)</f>
        <v>19</v>
      </c>
      <c r="AN14" s="0" t="n">
        <f aca="false">IF(Presupuesto!$B$20='Flujo de Pagos'!$E14,20,9999)</f>
        <v>20</v>
      </c>
      <c r="AO14" s="0" t="n">
        <f aca="false">IF(Presupuesto!$B$21='Flujo de Pagos'!$E14,21,9999)</f>
        <v>21</v>
      </c>
      <c r="AP14" s="0" t="n">
        <f aca="false">IF(Presupuesto!$B$22='Flujo de Pagos'!$E14,22,9999)</f>
        <v>22</v>
      </c>
      <c r="AQ14" s="0" t="n">
        <f aca="false">IF(Presupuesto!$B$23='Flujo de Pagos'!$E14,23,9999)</f>
        <v>23</v>
      </c>
      <c r="AR14" s="0" t="n">
        <f aca="false">IF(Presupuesto!$B$24='Flujo de Pagos'!$E14,24,9999)</f>
        <v>24</v>
      </c>
      <c r="AS14" s="0" t="n">
        <f aca="false">IF(Presupuesto!$B$25='Flujo de Pagos'!$E14,25,9999)</f>
        <v>25</v>
      </c>
      <c r="AT14" s="0" t="n">
        <f aca="false">IF(Presupuesto!$B$26='Flujo de Pagos'!$E14,26,9999)</f>
        <v>26</v>
      </c>
      <c r="AU14" s="0" t="n">
        <f aca="false">IF(Presupuesto!$B$27='Flujo de Pagos'!$E14,27,9999)</f>
        <v>27</v>
      </c>
      <c r="AV14" s="0" t="n">
        <f aca="false">IF(Presupuesto!$B$28='Flujo de Pagos'!$E14,28,9999)</f>
        <v>28</v>
      </c>
      <c r="AW14" s="0" t="n">
        <f aca="false">IF(Presupuesto!$B$29='Flujo de Pagos'!$E14,29,9999)</f>
        <v>29</v>
      </c>
      <c r="AX14" s="0" t="n">
        <f aca="false">IF(Presupuesto!$B$30='Flujo de Pagos'!$E14,30,9999)</f>
        <v>30</v>
      </c>
      <c r="AY14" s="0" t="n">
        <f aca="false">IF(Presupuesto!$B$31='Flujo de Pagos'!$E14,31,9999)</f>
        <v>31</v>
      </c>
      <c r="AZ14" s="0" t="n">
        <f aca="false">IF(Presupuesto!$B$32='Flujo de Pagos'!$E14,32,9999)</f>
        <v>32</v>
      </c>
      <c r="BA14" s="0" t="n">
        <f aca="false">IF(Presupuesto!$B$33='Flujo de Pagos'!$E14,33,9999)</f>
        <v>33</v>
      </c>
      <c r="BB14" s="0" t="n">
        <f aca="false">IF(Presupuesto!$B$34='Flujo de Pagos'!$E14,34,9999)</f>
        <v>34</v>
      </c>
      <c r="BC14" s="0" t="n">
        <f aca="false">IF(Presupuesto!$B$35='Flujo de Pagos'!$E14,35,9999)</f>
        <v>35</v>
      </c>
      <c r="BD14" s="0" t="n">
        <f aca="false">IF(Presupuesto!$B$36='Flujo de Pagos'!$E14,36,9999)</f>
        <v>36</v>
      </c>
      <c r="BE14" s="0" t="n">
        <f aca="false">IF(Presupuesto!$B$37='Flujo de Pagos'!$E14,37,9999)</f>
        <v>37</v>
      </c>
      <c r="BF14" s="0" t="n">
        <f aca="false">IF(Presupuesto!$B$38='Flujo de Pagos'!$E14,38,9999)</f>
        <v>38</v>
      </c>
      <c r="BG14" s="0" t="n">
        <f aca="false">IF(Presupuesto!$B$39='Flujo de Pagos'!$E14,39,9999)</f>
        <v>39</v>
      </c>
      <c r="BH14" s="0" t="n">
        <f aca="false">IF(Presupuesto!$B$40='Flujo de Pagos'!$E14,40,9999)</f>
        <v>40</v>
      </c>
      <c r="BI14" s="0" t="n">
        <f aca="false">IF(Presupuesto!$B$41='Flujo de Pagos'!$E14,41,9999)</f>
        <v>41</v>
      </c>
      <c r="BJ14" s="0" t="n">
        <f aca="false">IF(Presupuesto!$B$42='Flujo de Pagos'!$E14,42,9999)</f>
        <v>42</v>
      </c>
      <c r="BK14" s="0" t="n">
        <f aca="false">IF(Presupuesto!$B$43='Flujo de Pagos'!$E14,43,9999)</f>
        <v>43</v>
      </c>
      <c r="BL14" s="0" t="n">
        <f aca="false">IF(Presupuesto!$B$44='Flujo de Pagos'!$E14,44,9999)</f>
        <v>44</v>
      </c>
      <c r="BM14" s="0" t="n">
        <f aca="false">IF(Presupuesto!$B$45='Flujo de Pagos'!$E14,45,9999)</f>
        <v>45</v>
      </c>
      <c r="BN14" s="0" t="n">
        <f aca="false">IF(Presupuesto!$B$46='Flujo de Pagos'!$E14,46,9999)</f>
        <v>46</v>
      </c>
      <c r="BO14" s="0" t="n">
        <f aca="false">IF(Presupuesto!$B$47='Flujo de Pagos'!$E14,47,9999)</f>
        <v>47</v>
      </c>
      <c r="BP14" s="0" t="n">
        <f aca="false">IF(Presupuesto!$B$48='Flujo de Pagos'!$E14,48,9999)</f>
        <v>48</v>
      </c>
      <c r="BQ14" s="0" t="n">
        <f aca="false">IF(Presupuesto!$B$49='Flujo de Pagos'!$E14,49,9999)</f>
        <v>49</v>
      </c>
      <c r="BR14" s="0" t="n">
        <f aca="false">IF(Presupuesto!$B$50='Flujo de Pagos'!$E14,50,9999)</f>
        <v>50</v>
      </c>
      <c r="BS14" s="0" t="n">
        <f aca="false">IF(Presupuesto!$B$51='Flujo de Pagos'!$E14,51,9999)</f>
        <v>51</v>
      </c>
      <c r="BT14" s="0" t="n">
        <f aca="false">IF(Presupuesto!$B$52='Flujo de Pagos'!$E14,52,9999)</f>
        <v>52</v>
      </c>
      <c r="BU14" s="0" t="n">
        <f aca="false">IF(Presupuesto!$B$53='Flujo de Pagos'!$E14,53,9999)</f>
        <v>53</v>
      </c>
      <c r="BV14" s="0" t="n">
        <f aca="false">IF(Presupuesto!$B$54='Flujo de Pagos'!$E14,54,9999)</f>
        <v>54</v>
      </c>
      <c r="BW14" s="0" t="n">
        <f aca="false">IF(Presupuesto!$B$55='Flujo de Pagos'!$E14,55,9999)</f>
        <v>55</v>
      </c>
      <c r="BX14" s="0" t="n">
        <f aca="false">IF(Presupuesto!$B$56='Flujo de Pagos'!$E14,56,9999)</f>
        <v>56</v>
      </c>
      <c r="BY14" s="0" t="n">
        <f aca="false">IF(Presupuesto!$B$57='Flujo de Pagos'!$E14,57,9999)</f>
        <v>57</v>
      </c>
      <c r="BZ14" s="0" t="n">
        <f aca="false">IF(Presupuesto!$B$58='Flujo de Pagos'!$E14,58,9999)</f>
        <v>58</v>
      </c>
      <c r="CA14" s="0" t="n">
        <f aca="false">IF(Presupuesto!$B$59='Flujo de Pagos'!$E14,59,9999)</f>
        <v>59</v>
      </c>
      <c r="CB14" s="0" t="n">
        <f aca="false">IF(Presupuesto!$B$60='Flujo de Pagos'!$E14,60,9999)</f>
        <v>60</v>
      </c>
      <c r="CC14" s="0" t="n">
        <f aca="false">IF(Presupuesto!$B$61='Flujo de Pagos'!$E14,61,9999)</f>
        <v>61</v>
      </c>
      <c r="CD14" s="0" t="n">
        <f aca="false">IF(Presupuesto!$B$62='Flujo de Pagos'!$E14,62,9999)</f>
        <v>62</v>
      </c>
      <c r="CE14" s="0" t="n">
        <f aca="false">IF(Presupuesto!$B$63='Flujo de Pagos'!$E14,63,9999)</f>
        <v>63</v>
      </c>
      <c r="CF14" s="0" t="n">
        <f aca="false">IF(Presupuesto!$B$64='Flujo de Pagos'!$E14,64,9999)</f>
        <v>64</v>
      </c>
      <c r="CG14" s="0" t="n">
        <f aca="false">IF(Presupuesto!$B$65='Flujo de Pagos'!$E14,65,9999)</f>
        <v>65</v>
      </c>
      <c r="CH14" s="0" t="n">
        <f aca="false">IF(Presupuesto!$B$66='Flujo de Pagos'!$E14,66,9999)</f>
        <v>66</v>
      </c>
    </row>
    <row r="15" customFormat="false" ht="15" hidden="false" customHeight="true" outlineLevel="0" collapsed="false">
      <c r="A15" s="1" t="n">
        <f aca="false">IF(Presupuesto!B20=Carátula!$B$2,20,9999)</f>
        <v>9999</v>
      </c>
      <c r="B15" s="1" t="n">
        <f aca="false">IF(AND('Flujo de Pagos'!E20=Carátula!$B$2,'Flujo de Pagos'!F20=Carátula!$B$4,'Flujo de Pagos'!H20&lt;&gt;""),20,99999)</f>
        <v>99999</v>
      </c>
      <c r="D15" s="1" t="str">
        <f aca="false">IF(SMALL($A$2:$A$61,14)&gt;=9999,"",INDEX(Presupuesto!$C:$C,SMALL($A$2:$A$61,14)))</f>
        <v/>
      </c>
      <c r="E15" s="1" t="str">
        <f aca="false">IF(SMALL($B$2:$B$501,14)&gt;=99999,"",INDEX('Flujo de Pagos'!$H:$H,SMALL($B$2:$B$501,14)))</f>
        <v/>
      </c>
      <c r="H15" s="1" t="n">
        <f aca="false">IF(SMALL($AA15:$CH15,1)&gt;=9999,"",INDEX(Presupuesto!$C:$C,SMALL($AA15:$CH15,1)))</f>
        <v>0</v>
      </c>
      <c r="I15" s="1" t="n">
        <f aca="false">IF(SMALL($AA15:$CH15,2)&gt;=9999,"",INDEX(Presupuesto!$C:$C,SMALL($AA15:$CH15,2)))</f>
        <v>0</v>
      </c>
      <c r="J15" s="1" t="n">
        <f aca="false">IF(SMALL($AA15:$CH15,3)&gt;=9999,"",INDEX(Presupuesto!$C:$C,SMALL($AA15:$CH15,3)))</f>
        <v>0</v>
      </c>
      <c r="K15" s="1" t="n">
        <f aca="false">IF(SMALL($AA15:$CH15,4)&gt;=9999,"",INDEX(Presupuesto!$C:$C,SMALL($AA15:$CH15,4)))</f>
        <v>0</v>
      </c>
      <c r="L15" s="1" t="n">
        <f aca="false">IF(SMALL($AA15:$CH15,5)&gt;=9999,"",INDEX(Presupuesto!$C:$C,SMALL($AA15:$CH15,5)))</f>
        <v>0</v>
      </c>
      <c r="M15" s="1" t="n">
        <f aca="false">IF(SMALL($AA15:$CH15,6)&gt;=9999,"",INDEX(Presupuesto!$C:$C,SMALL($AA15:$CH15,6)))</f>
        <v>0</v>
      </c>
      <c r="N15" s="1" t="n">
        <f aca="false">IF(SMALL($AA15:$CH15,7)&gt;=9999,"",INDEX(Presupuesto!$C:$C,SMALL($AA15:$CH15,7)))</f>
        <v>0</v>
      </c>
      <c r="O15" s="1" t="n">
        <f aca="false">IF(SMALL($AA15:$CH15,8)&gt;=9999,"",INDEX(Presupuesto!$C:$C,SMALL($AA15:$CH15,8)))</f>
        <v>0</v>
      </c>
      <c r="P15" s="1" t="n">
        <f aca="false">IF(SMALL($AA15:$CH15,9)&gt;=9999,"",INDEX(Presupuesto!$C:$C,SMALL($AA15:$CH15,9)))</f>
        <v>0</v>
      </c>
      <c r="Q15" s="1" t="n">
        <f aca="false">IF(SMALL($AA15:$CH15,10)&gt;=9999,"",INDEX(Presupuesto!$C:$C,SMALL($AA15:$CH15,10)))</f>
        <v>0</v>
      </c>
      <c r="AA15" s="0" t="n">
        <f aca="false">IF(Presupuesto!$B$7='Flujo de Pagos'!$E15,7,9999)</f>
        <v>9999</v>
      </c>
      <c r="AB15" s="0" t="n">
        <f aca="false">IF(Presupuesto!$B$8='Flujo de Pagos'!$E15,8,9999)</f>
        <v>9999</v>
      </c>
      <c r="AC15" s="0" t="n">
        <f aca="false">IF(Presupuesto!$B$9='Flujo de Pagos'!$E15,9,9999)</f>
        <v>9999</v>
      </c>
      <c r="AD15" s="0" t="n">
        <f aca="false">IF(Presupuesto!$B$10='Flujo de Pagos'!$E15,10,9999)</f>
        <v>9999</v>
      </c>
      <c r="AE15" s="0" t="n">
        <f aca="false">IF(Presupuesto!$B$11='Flujo de Pagos'!$E15,11,9999)</f>
        <v>9999</v>
      </c>
      <c r="AF15" s="0" t="n">
        <f aca="false">IF(Presupuesto!$B$12='Flujo de Pagos'!$E15,12,9999)</f>
        <v>12</v>
      </c>
      <c r="AG15" s="0" t="n">
        <f aca="false">IF(Presupuesto!$B$13='Flujo de Pagos'!$E15,13,9999)</f>
        <v>13</v>
      </c>
      <c r="AH15" s="0" t="n">
        <f aca="false">IF(Presupuesto!$B$14='Flujo de Pagos'!$E15,14,9999)</f>
        <v>14</v>
      </c>
      <c r="AI15" s="0" t="n">
        <f aca="false">IF(Presupuesto!$B$15='Flujo de Pagos'!$E15,15,9999)</f>
        <v>15</v>
      </c>
      <c r="AJ15" s="0" t="n">
        <f aca="false">IF(Presupuesto!$B$16='Flujo de Pagos'!$E15,16,9999)</f>
        <v>16</v>
      </c>
      <c r="AK15" s="0" t="n">
        <f aca="false">IF(Presupuesto!$B$17='Flujo de Pagos'!$E15,17,9999)</f>
        <v>17</v>
      </c>
      <c r="AL15" s="0" t="n">
        <f aca="false">IF(Presupuesto!$B$18='Flujo de Pagos'!$E15,18,9999)</f>
        <v>18</v>
      </c>
      <c r="AM15" s="0" t="n">
        <f aca="false">IF(Presupuesto!$B$19='Flujo de Pagos'!$E15,19,9999)</f>
        <v>19</v>
      </c>
      <c r="AN15" s="0" t="n">
        <f aca="false">IF(Presupuesto!$B$20='Flujo de Pagos'!$E15,20,9999)</f>
        <v>20</v>
      </c>
      <c r="AO15" s="0" t="n">
        <f aca="false">IF(Presupuesto!$B$21='Flujo de Pagos'!$E15,21,9999)</f>
        <v>21</v>
      </c>
      <c r="AP15" s="0" t="n">
        <f aca="false">IF(Presupuesto!$B$22='Flujo de Pagos'!$E15,22,9999)</f>
        <v>22</v>
      </c>
      <c r="AQ15" s="0" t="n">
        <f aca="false">IF(Presupuesto!$B$23='Flujo de Pagos'!$E15,23,9999)</f>
        <v>23</v>
      </c>
      <c r="AR15" s="0" t="n">
        <f aca="false">IF(Presupuesto!$B$24='Flujo de Pagos'!$E15,24,9999)</f>
        <v>24</v>
      </c>
      <c r="AS15" s="0" t="n">
        <f aca="false">IF(Presupuesto!$B$25='Flujo de Pagos'!$E15,25,9999)</f>
        <v>25</v>
      </c>
      <c r="AT15" s="0" t="n">
        <f aca="false">IF(Presupuesto!$B$26='Flujo de Pagos'!$E15,26,9999)</f>
        <v>26</v>
      </c>
      <c r="AU15" s="0" t="n">
        <f aca="false">IF(Presupuesto!$B$27='Flujo de Pagos'!$E15,27,9999)</f>
        <v>27</v>
      </c>
      <c r="AV15" s="0" t="n">
        <f aca="false">IF(Presupuesto!$B$28='Flujo de Pagos'!$E15,28,9999)</f>
        <v>28</v>
      </c>
      <c r="AW15" s="0" t="n">
        <f aca="false">IF(Presupuesto!$B$29='Flujo de Pagos'!$E15,29,9999)</f>
        <v>29</v>
      </c>
      <c r="AX15" s="0" t="n">
        <f aca="false">IF(Presupuesto!$B$30='Flujo de Pagos'!$E15,30,9999)</f>
        <v>30</v>
      </c>
      <c r="AY15" s="0" t="n">
        <f aca="false">IF(Presupuesto!$B$31='Flujo de Pagos'!$E15,31,9999)</f>
        <v>31</v>
      </c>
      <c r="AZ15" s="0" t="n">
        <f aca="false">IF(Presupuesto!$B$32='Flujo de Pagos'!$E15,32,9999)</f>
        <v>32</v>
      </c>
      <c r="BA15" s="0" t="n">
        <f aca="false">IF(Presupuesto!$B$33='Flujo de Pagos'!$E15,33,9999)</f>
        <v>33</v>
      </c>
      <c r="BB15" s="0" t="n">
        <f aca="false">IF(Presupuesto!$B$34='Flujo de Pagos'!$E15,34,9999)</f>
        <v>34</v>
      </c>
      <c r="BC15" s="0" t="n">
        <f aca="false">IF(Presupuesto!$B$35='Flujo de Pagos'!$E15,35,9999)</f>
        <v>35</v>
      </c>
      <c r="BD15" s="0" t="n">
        <f aca="false">IF(Presupuesto!$B$36='Flujo de Pagos'!$E15,36,9999)</f>
        <v>36</v>
      </c>
      <c r="BE15" s="0" t="n">
        <f aca="false">IF(Presupuesto!$B$37='Flujo de Pagos'!$E15,37,9999)</f>
        <v>37</v>
      </c>
      <c r="BF15" s="0" t="n">
        <f aca="false">IF(Presupuesto!$B$38='Flujo de Pagos'!$E15,38,9999)</f>
        <v>38</v>
      </c>
      <c r="BG15" s="0" t="n">
        <f aca="false">IF(Presupuesto!$B$39='Flujo de Pagos'!$E15,39,9999)</f>
        <v>39</v>
      </c>
      <c r="BH15" s="0" t="n">
        <f aca="false">IF(Presupuesto!$B$40='Flujo de Pagos'!$E15,40,9999)</f>
        <v>40</v>
      </c>
      <c r="BI15" s="0" t="n">
        <f aca="false">IF(Presupuesto!$B$41='Flujo de Pagos'!$E15,41,9999)</f>
        <v>41</v>
      </c>
      <c r="BJ15" s="0" t="n">
        <f aca="false">IF(Presupuesto!$B$42='Flujo de Pagos'!$E15,42,9999)</f>
        <v>42</v>
      </c>
      <c r="BK15" s="0" t="n">
        <f aca="false">IF(Presupuesto!$B$43='Flujo de Pagos'!$E15,43,9999)</f>
        <v>43</v>
      </c>
      <c r="BL15" s="0" t="n">
        <f aca="false">IF(Presupuesto!$B$44='Flujo de Pagos'!$E15,44,9999)</f>
        <v>44</v>
      </c>
      <c r="BM15" s="0" t="n">
        <f aca="false">IF(Presupuesto!$B$45='Flujo de Pagos'!$E15,45,9999)</f>
        <v>45</v>
      </c>
      <c r="BN15" s="0" t="n">
        <f aca="false">IF(Presupuesto!$B$46='Flujo de Pagos'!$E15,46,9999)</f>
        <v>46</v>
      </c>
      <c r="BO15" s="0" t="n">
        <f aca="false">IF(Presupuesto!$B$47='Flujo de Pagos'!$E15,47,9999)</f>
        <v>47</v>
      </c>
      <c r="BP15" s="0" t="n">
        <f aca="false">IF(Presupuesto!$B$48='Flujo de Pagos'!$E15,48,9999)</f>
        <v>48</v>
      </c>
      <c r="BQ15" s="0" t="n">
        <f aca="false">IF(Presupuesto!$B$49='Flujo de Pagos'!$E15,49,9999)</f>
        <v>49</v>
      </c>
      <c r="BR15" s="0" t="n">
        <f aca="false">IF(Presupuesto!$B$50='Flujo de Pagos'!$E15,50,9999)</f>
        <v>50</v>
      </c>
      <c r="BS15" s="0" t="n">
        <f aca="false">IF(Presupuesto!$B$51='Flujo de Pagos'!$E15,51,9999)</f>
        <v>51</v>
      </c>
      <c r="BT15" s="0" t="n">
        <f aca="false">IF(Presupuesto!$B$52='Flujo de Pagos'!$E15,52,9999)</f>
        <v>52</v>
      </c>
      <c r="BU15" s="0" t="n">
        <f aca="false">IF(Presupuesto!$B$53='Flujo de Pagos'!$E15,53,9999)</f>
        <v>53</v>
      </c>
      <c r="BV15" s="0" t="n">
        <f aca="false">IF(Presupuesto!$B$54='Flujo de Pagos'!$E15,54,9999)</f>
        <v>54</v>
      </c>
      <c r="BW15" s="0" t="n">
        <f aca="false">IF(Presupuesto!$B$55='Flujo de Pagos'!$E15,55,9999)</f>
        <v>55</v>
      </c>
      <c r="BX15" s="0" t="n">
        <f aca="false">IF(Presupuesto!$B$56='Flujo de Pagos'!$E15,56,9999)</f>
        <v>56</v>
      </c>
      <c r="BY15" s="0" t="n">
        <f aca="false">IF(Presupuesto!$B$57='Flujo de Pagos'!$E15,57,9999)</f>
        <v>57</v>
      </c>
      <c r="BZ15" s="0" t="n">
        <f aca="false">IF(Presupuesto!$B$58='Flujo de Pagos'!$E15,58,9999)</f>
        <v>58</v>
      </c>
      <c r="CA15" s="0" t="n">
        <f aca="false">IF(Presupuesto!$B$59='Flujo de Pagos'!$E15,59,9999)</f>
        <v>59</v>
      </c>
      <c r="CB15" s="0" t="n">
        <f aca="false">IF(Presupuesto!$B$60='Flujo de Pagos'!$E15,60,9999)</f>
        <v>60</v>
      </c>
      <c r="CC15" s="0" t="n">
        <f aca="false">IF(Presupuesto!$B$61='Flujo de Pagos'!$E15,61,9999)</f>
        <v>61</v>
      </c>
      <c r="CD15" s="0" t="n">
        <f aca="false">IF(Presupuesto!$B$62='Flujo de Pagos'!$E15,62,9999)</f>
        <v>62</v>
      </c>
      <c r="CE15" s="0" t="n">
        <f aca="false">IF(Presupuesto!$B$63='Flujo de Pagos'!$E15,63,9999)</f>
        <v>63</v>
      </c>
      <c r="CF15" s="0" t="n">
        <f aca="false">IF(Presupuesto!$B$64='Flujo de Pagos'!$E15,64,9999)</f>
        <v>64</v>
      </c>
      <c r="CG15" s="0" t="n">
        <f aca="false">IF(Presupuesto!$B$65='Flujo de Pagos'!$E15,65,9999)</f>
        <v>65</v>
      </c>
      <c r="CH15" s="0" t="n">
        <f aca="false">IF(Presupuesto!$B$66='Flujo de Pagos'!$E15,66,9999)</f>
        <v>66</v>
      </c>
    </row>
    <row r="16" customFormat="false" ht="15" hidden="false" customHeight="true" outlineLevel="0" collapsed="false">
      <c r="A16" s="1" t="n">
        <f aca="false">IF(Presupuesto!B21=Carátula!$B$2,21,9999)</f>
        <v>9999</v>
      </c>
      <c r="B16" s="1" t="n">
        <f aca="false">IF(AND('Flujo de Pagos'!E21=Carátula!$B$2,'Flujo de Pagos'!F21=Carátula!$B$4,'Flujo de Pagos'!H21&lt;&gt;""),21,99999)</f>
        <v>99999</v>
      </c>
      <c r="D16" s="1" t="str">
        <f aca="false">IF(SMALL($A$2:$A$61,15)&gt;=9999,"",INDEX(Presupuesto!$C:$C,SMALL($A$2:$A$61,15)))</f>
        <v/>
      </c>
      <c r="E16" s="1" t="str">
        <f aca="false">IF(SMALL($B$2:$B$501,15)&gt;=99999,"",INDEX('Flujo de Pagos'!$H:$H,SMALL($B$2:$B$501,15)))</f>
        <v/>
      </c>
      <c r="H16" s="1" t="n">
        <f aca="false">IF(SMALL($AA16:$CH16,1)&gt;=9999,"",INDEX(Presupuesto!$C:$C,SMALL($AA16:$CH16,1)))</f>
        <v>0</v>
      </c>
      <c r="I16" s="1" t="n">
        <f aca="false">IF(SMALL($AA16:$CH16,2)&gt;=9999,"",INDEX(Presupuesto!$C:$C,SMALL($AA16:$CH16,2)))</f>
        <v>0</v>
      </c>
      <c r="J16" s="1" t="n">
        <f aca="false">IF(SMALL($AA16:$CH16,3)&gt;=9999,"",INDEX(Presupuesto!$C:$C,SMALL($AA16:$CH16,3)))</f>
        <v>0</v>
      </c>
      <c r="K16" s="1" t="n">
        <f aca="false">IF(SMALL($AA16:$CH16,4)&gt;=9999,"",INDEX(Presupuesto!$C:$C,SMALL($AA16:$CH16,4)))</f>
        <v>0</v>
      </c>
      <c r="L16" s="1" t="n">
        <f aca="false">IF(SMALL($AA16:$CH16,5)&gt;=9999,"",INDEX(Presupuesto!$C:$C,SMALL($AA16:$CH16,5)))</f>
        <v>0</v>
      </c>
      <c r="M16" s="1" t="n">
        <f aca="false">IF(SMALL($AA16:$CH16,6)&gt;=9999,"",INDEX(Presupuesto!$C:$C,SMALL($AA16:$CH16,6)))</f>
        <v>0</v>
      </c>
      <c r="N16" s="1" t="n">
        <f aca="false">IF(SMALL($AA16:$CH16,7)&gt;=9999,"",INDEX(Presupuesto!$C:$C,SMALL($AA16:$CH16,7)))</f>
        <v>0</v>
      </c>
      <c r="O16" s="1" t="n">
        <f aca="false">IF(SMALL($AA16:$CH16,8)&gt;=9999,"",INDEX(Presupuesto!$C:$C,SMALL($AA16:$CH16,8)))</f>
        <v>0</v>
      </c>
      <c r="P16" s="1" t="n">
        <f aca="false">IF(SMALL($AA16:$CH16,9)&gt;=9999,"",INDEX(Presupuesto!$C:$C,SMALL($AA16:$CH16,9)))</f>
        <v>0</v>
      </c>
      <c r="Q16" s="1" t="n">
        <f aca="false">IF(SMALL($AA16:$CH16,10)&gt;=9999,"",INDEX(Presupuesto!$C:$C,SMALL($AA16:$CH16,10)))</f>
        <v>0</v>
      </c>
      <c r="AA16" s="0" t="n">
        <f aca="false">IF(Presupuesto!$B$7='Flujo de Pagos'!$E16,7,9999)</f>
        <v>9999</v>
      </c>
      <c r="AB16" s="0" t="n">
        <f aca="false">IF(Presupuesto!$B$8='Flujo de Pagos'!$E16,8,9999)</f>
        <v>9999</v>
      </c>
      <c r="AC16" s="0" t="n">
        <f aca="false">IF(Presupuesto!$B$9='Flujo de Pagos'!$E16,9,9999)</f>
        <v>9999</v>
      </c>
      <c r="AD16" s="0" t="n">
        <f aca="false">IF(Presupuesto!$B$10='Flujo de Pagos'!$E16,10,9999)</f>
        <v>9999</v>
      </c>
      <c r="AE16" s="0" t="n">
        <f aca="false">IF(Presupuesto!$B$11='Flujo de Pagos'!$E16,11,9999)</f>
        <v>9999</v>
      </c>
      <c r="AF16" s="0" t="n">
        <f aca="false">IF(Presupuesto!$B$12='Flujo de Pagos'!$E16,12,9999)</f>
        <v>12</v>
      </c>
      <c r="AG16" s="0" t="n">
        <f aca="false">IF(Presupuesto!$B$13='Flujo de Pagos'!$E16,13,9999)</f>
        <v>13</v>
      </c>
      <c r="AH16" s="0" t="n">
        <f aca="false">IF(Presupuesto!$B$14='Flujo de Pagos'!$E16,14,9999)</f>
        <v>14</v>
      </c>
      <c r="AI16" s="0" t="n">
        <f aca="false">IF(Presupuesto!$B$15='Flujo de Pagos'!$E16,15,9999)</f>
        <v>15</v>
      </c>
      <c r="AJ16" s="0" t="n">
        <f aca="false">IF(Presupuesto!$B$16='Flujo de Pagos'!$E16,16,9999)</f>
        <v>16</v>
      </c>
      <c r="AK16" s="0" t="n">
        <f aca="false">IF(Presupuesto!$B$17='Flujo de Pagos'!$E16,17,9999)</f>
        <v>17</v>
      </c>
      <c r="AL16" s="0" t="n">
        <f aca="false">IF(Presupuesto!$B$18='Flujo de Pagos'!$E16,18,9999)</f>
        <v>18</v>
      </c>
      <c r="AM16" s="0" t="n">
        <f aca="false">IF(Presupuesto!$B$19='Flujo de Pagos'!$E16,19,9999)</f>
        <v>19</v>
      </c>
      <c r="AN16" s="0" t="n">
        <f aca="false">IF(Presupuesto!$B$20='Flujo de Pagos'!$E16,20,9999)</f>
        <v>20</v>
      </c>
      <c r="AO16" s="0" t="n">
        <f aca="false">IF(Presupuesto!$B$21='Flujo de Pagos'!$E16,21,9999)</f>
        <v>21</v>
      </c>
      <c r="AP16" s="0" t="n">
        <f aca="false">IF(Presupuesto!$B$22='Flujo de Pagos'!$E16,22,9999)</f>
        <v>22</v>
      </c>
      <c r="AQ16" s="0" t="n">
        <f aca="false">IF(Presupuesto!$B$23='Flujo de Pagos'!$E16,23,9999)</f>
        <v>23</v>
      </c>
      <c r="AR16" s="0" t="n">
        <f aca="false">IF(Presupuesto!$B$24='Flujo de Pagos'!$E16,24,9999)</f>
        <v>24</v>
      </c>
      <c r="AS16" s="0" t="n">
        <f aca="false">IF(Presupuesto!$B$25='Flujo de Pagos'!$E16,25,9999)</f>
        <v>25</v>
      </c>
      <c r="AT16" s="0" t="n">
        <f aca="false">IF(Presupuesto!$B$26='Flujo de Pagos'!$E16,26,9999)</f>
        <v>26</v>
      </c>
      <c r="AU16" s="0" t="n">
        <f aca="false">IF(Presupuesto!$B$27='Flujo de Pagos'!$E16,27,9999)</f>
        <v>27</v>
      </c>
      <c r="AV16" s="0" t="n">
        <f aca="false">IF(Presupuesto!$B$28='Flujo de Pagos'!$E16,28,9999)</f>
        <v>28</v>
      </c>
      <c r="AW16" s="0" t="n">
        <f aca="false">IF(Presupuesto!$B$29='Flujo de Pagos'!$E16,29,9999)</f>
        <v>29</v>
      </c>
      <c r="AX16" s="0" t="n">
        <f aca="false">IF(Presupuesto!$B$30='Flujo de Pagos'!$E16,30,9999)</f>
        <v>30</v>
      </c>
      <c r="AY16" s="0" t="n">
        <f aca="false">IF(Presupuesto!$B$31='Flujo de Pagos'!$E16,31,9999)</f>
        <v>31</v>
      </c>
      <c r="AZ16" s="0" t="n">
        <f aca="false">IF(Presupuesto!$B$32='Flujo de Pagos'!$E16,32,9999)</f>
        <v>32</v>
      </c>
      <c r="BA16" s="0" t="n">
        <f aca="false">IF(Presupuesto!$B$33='Flujo de Pagos'!$E16,33,9999)</f>
        <v>33</v>
      </c>
      <c r="BB16" s="0" t="n">
        <f aca="false">IF(Presupuesto!$B$34='Flujo de Pagos'!$E16,34,9999)</f>
        <v>34</v>
      </c>
      <c r="BC16" s="0" t="n">
        <f aca="false">IF(Presupuesto!$B$35='Flujo de Pagos'!$E16,35,9999)</f>
        <v>35</v>
      </c>
      <c r="BD16" s="0" t="n">
        <f aca="false">IF(Presupuesto!$B$36='Flujo de Pagos'!$E16,36,9999)</f>
        <v>36</v>
      </c>
      <c r="BE16" s="0" t="n">
        <f aca="false">IF(Presupuesto!$B$37='Flujo de Pagos'!$E16,37,9999)</f>
        <v>37</v>
      </c>
      <c r="BF16" s="0" t="n">
        <f aca="false">IF(Presupuesto!$B$38='Flujo de Pagos'!$E16,38,9999)</f>
        <v>38</v>
      </c>
      <c r="BG16" s="0" t="n">
        <f aca="false">IF(Presupuesto!$B$39='Flujo de Pagos'!$E16,39,9999)</f>
        <v>39</v>
      </c>
      <c r="BH16" s="0" t="n">
        <f aca="false">IF(Presupuesto!$B$40='Flujo de Pagos'!$E16,40,9999)</f>
        <v>40</v>
      </c>
      <c r="BI16" s="0" t="n">
        <f aca="false">IF(Presupuesto!$B$41='Flujo de Pagos'!$E16,41,9999)</f>
        <v>41</v>
      </c>
      <c r="BJ16" s="0" t="n">
        <f aca="false">IF(Presupuesto!$B$42='Flujo de Pagos'!$E16,42,9999)</f>
        <v>42</v>
      </c>
      <c r="BK16" s="0" t="n">
        <f aca="false">IF(Presupuesto!$B$43='Flujo de Pagos'!$E16,43,9999)</f>
        <v>43</v>
      </c>
      <c r="BL16" s="0" t="n">
        <f aca="false">IF(Presupuesto!$B$44='Flujo de Pagos'!$E16,44,9999)</f>
        <v>44</v>
      </c>
      <c r="BM16" s="0" t="n">
        <f aca="false">IF(Presupuesto!$B$45='Flujo de Pagos'!$E16,45,9999)</f>
        <v>45</v>
      </c>
      <c r="BN16" s="0" t="n">
        <f aca="false">IF(Presupuesto!$B$46='Flujo de Pagos'!$E16,46,9999)</f>
        <v>46</v>
      </c>
      <c r="BO16" s="0" t="n">
        <f aca="false">IF(Presupuesto!$B$47='Flujo de Pagos'!$E16,47,9999)</f>
        <v>47</v>
      </c>
      <c r="BP16" s="0" t="n">
        <f aca="false">IF(Presupuesto!$B$48='Flujo de Pagos'!$E16,48,9999)</f>
        <v>48</v>
      </c>
      <c r="BQ16" s="0" t="n">
        <f aca="false">IF(Presupuesto!$B$49='Flujo de Pagos'!$E16,49,9999)</f>
        <v>49</v>
      </c>
      <c r="BR16" s="0" t="n">
        <f aca="false">IF(Presupuesto!$B$50='Flujo de Pagos'!$E16,50,9999)</f>
        <v>50</v>
      </c>
      <c r="BS16" s="0" t="n">
        <f aca="false">IF(Presupuesto!$B$51='Flujo de Pagos'!$E16,51,9999)</f>
        <v>51</v>
      </c>
      <c r="BT16" s="0" t="n">
        <f aca="false">IF(Presupuesto!$B$52='Flujo de Pagos'!$E16,52,9999)</f>
        <v>52</v>
      </c>
      <c r="BU16" s="0" t="n">
        <f aca="false">IF(Presupuesto!$B$53='Flujo de Pagos'!$E16,53,9999)</f>
        <v>53</v>
      </c>
      <c r="BV16" s="0" t="n">
        <f aca="false">IF(Presupuesto!$B$54='Flujo de Pagos'!$E16,54,9999)</f>
        <v>54</v>
      </c>
      <c r="BW16" s="0" t="n">
        <f aca="false">IF(Presupuesto!$B$55='Flujo de Pagos'!$E16,55,9999)</f>
        <v>55</v>
      </c>
      <c r="BX16" s="0" t="n">
        <f aca="false">IF(Presupuesto!$B$56='Flujo de Pagos'!$E16,56,9999)</f>
        <v>56</v>
      </c>
      <c r="BY16" s="0" t="n">
        <f aca="false">IF(Presupuesto!$B$57='Flujo de Pagos'!$E16,57,9999)</f>
        <v>57</v>
      </c>
      <c r="BZ16" s="0" t="n">
        <f aca="false">IF(Presupuesto!$B$58='Flujo de Pagos'!$E16,58,9999)</f>
        <v>58</v>
      </c>
      <c r="CA16" s="0" t="n">
        <f aca="false">IF(Presupuesto!$B$59='Flujo de Pagos'!$E16,59,9999)</f>
        <v>59</v>
      </c>
      <c r="CB16" s="0" t="n">
        <f aca="false">IF(Presupuesto!$B$60='Flujo de Pagos'!$E16,60,9999)</f>
        <v>60</v>
      </c>
      <c r="CC16" s="0" t="n">
        <f aca="false">IF(Presupuesto!$B$61='Flujo de Pagos'!$E16,61,9999)</f>
        <v>61</v>
      </c>
      <c r="CD16" s="0" t="n">
        <f aca="false">IF(Presupuesto!$B$62='Flujo de Pagos'!$E16,62,9999)</f>
        <v>62</v>
      </c>
      <c r="CE16" s="0" t="n">
        <f aca="false">IF(Presupuesto!$B$63='Flujo de Pagos'!$E16,63,9999)</f>
        <v>63</v>
      </c>
      <c r="CF16" s="0" t="n">
        <f aca="false">IF(Presupuesto!$B$64='Flujo de Pagos'!$E16,64,9999)</f>
        <v>64</v>
      </c>
      <c r="CG16" s="0" t="n">
        <f aca="false">IF(Presupuesto!$B$65='Flujo de Pagos'!$E16,65,9999)</f>
        <v>65</v>
      </c>
      <c r="CH16" s="0" t="n">
        <f aca="false">IF(Presupuesto!$B$66='Flujo de Pagos'!$E16,66,9999)</f>
        <v>66</v>
      </c>
    </row>
    <row r="17" customFormat="false" ht="15" hidden="false" customHeight="true" outlineLevel="0" collapsed="false">
      <c r="A17" s="1" t="n">
        <f aca="false">IF(Presupuesto!B22=Carátula!$B$2,22,9999)</f>
        <v>9999</v>
      </c>
      <c r="B17" s="1" t="n">
        <f aca="false">IF(AND('Flujo de Pagos'!E22=Carátula!$B$2,'Flujo de Pagos'!F22=Carátula!$B$4,'Flujo de Pagos'!H22&lt;&gt;""),22,99999)</f>
        <v>99999</v>
      </c>
      <c r="D17" s="1" t="str">
        <f aca="false">IF(SMALL($A$2:$A$61,16)&gt;=9999,"",INDEX(Presupuesto!$C:$C,SMALL($A$2:$A$61,16)))</f>
        <v/>
      </c>
      <c r="E17" s="1" t="str">
        <f aca="false">IF(SMALL($B$2:$B$501,16)&gt;=99999,"",INDEX('Flujo de Pagos'!$H:$H,SMALL($B$2:$B$501,16)))</f>
        <v/>
      </c>
      <c r="H17" s="1" t="n">
        <f aca="false">IF(SMALL($AA17:$CH17,1)&gt;=9999,"",INDEX(Presupuesto!$C:$C,SMALL($AA17:$CH17,1)))</f>
        <v>0</v>
      </c>
      <c r="I17" s="1" t="n">
        <f aca="false">IF(SMALL($AA17:$CH17,2)&gt;=9999,"",INDEX(Presupuesto!$C:$C,SMALL($AA17:$CH17,2)))</f>
        <v>0</v>
      </c>
      <c r="J17" s="1" t="n">
        <f aca="false">IF(SMALL($AA17:$CH17,3)&gt;=9999,"",INDEX(Presupuesto!$C:$C,SMALL($AA17:$CH17,3)))</f>
        <v>0</v>
      </c>
      <c r="K17" s="1" t="n">
        <f aca="false">IF(SMALL($AA17:$CH17,4)&gt;=9999,"",INDEX(Presupuesto!$C:$C,SMALL($AA17:$CH17,4)))</f>
        <v>0</v>
      </c>
      <c r="L17" s="1" t="n">
        <f aca="false">IF(SMALL($AA17:$CH17,5)&gt;=9999,"",INDEX(Presupuesto!$C:$C,SMALL($AA17:$CH17,5)))</f>
        <v>0</v>
      </c>
      <c r="M17" s="1" t="n">
        <f aca="false">IF(SMALL($AA17:$CH17,6)&gt;=9999,"",INDEX(Presupuesto!$C:$C,SMALL($AA17:$CH17,6)))</f>
        <v>0</v>
      </c>
      <c r="N17" s="1" t="n">
        <f aca="false">IF(SMALL($AA17:$CH17,7)&gt;=9999,"",INDEX(Presupuesto!$C:$C,SMALL($AA17:$CH17,7)))</f>
        <v>0</v>
      </c>
      <c r="O17" s="1" t="n">
        <f aca="false">IF(SMALL($AA17:$CH17,8)&gt;=9999,"",INDEX(Presupuesto!$C:$C,SMALL($AA17:$CH17,8)))</f>
        <v>0</v>
      </c>
      <c r="P17" s="1" t="n">
        <f aca="false">IF(SMALL($AA17:$CH17,9)&gt;=9999,"",INDEX(Presupuesto!$C:$C,SMALL($AA17:$CH17,9)))</f>
        <v>0</v>
      </c>
      <c r="Q17" s="1" t="n">
        <f aca="false">IF(SMALL($AA17:$CH17,10)&gt;=9999,"",INDEX(Presupuesto!$C:$C,SMALL($AA17:$CH17,10)))</f>
        <v>0</v>
      </c>
      <c r="AA17" s="0" t="n">
        <f aca="false">IF(Presupuesto!$B$7='Flujo de Pagos'!$E17,7,9999)</f>
        <v>9999</v>
      </c>
      <c r="AB17" s="0" t="n">
        <f aca="false">IF(Presupuesto!$B$8='Flujo de Pagos'!$E17,8,9999)</f>
        <v>9999</v>
      </c>
      <c r="AC17" s="0" t="n">
        <f aca="false">IF(Presupuesto!$B$9='Flujo de Pagos'!$E17,9,9999)</f>
        <v>9999</v>
      </c>
      <c r="AD17" s="0" t="n">
        <f aca="false">IF(Presupuesto!$B$10='Flujo de Pagos'!$E17,10,9999)</f>
        <v>9999</v>
      </c>
      <c r="AE17" s="0" t="n">
        <f aca="false">IF(Presupuesto!$B$11='Flujo de Pagos'!$E17,11,9999)</f>
        <v>9999</v>
      </c>
      <c r="AF17" s="0" t="n">
        <f aca="false">IF(Presupuesto!$B$12='Flujo de Pagos'!$E17,12,9999)</f>
        <v>12</v>
      </c>
      <c r="AG17" s="0" t="n">
        <f aca="false">IF(Presupuesto!$B$13='Flujo de Pagos'!$E17,13,9999)</f>
        <v>13</v>
      </c>
      <c r="AH17" s="0" t="n">
        <f aca="false">IF(Presupuesto!$B$14='Flujo de Pagos'!$E17,14,9999)</f>
        <v>14</v>
      </c>
      <c r="AI17" s="0" t="n">
        <f aca="false">IF(Presupuesto!$B$15='Flujo de Pagos'!$E17,15,9999)</f>
        <v>15</v>
      </c>
      <c r="AJ17" s="0" t="n">
        <f aca="false">IF(Presupuesto!$B$16='Flujo de Pagos'!$E17,16,9999)</f>
        <v>16</v>
      </c>
      <c r="AK17" s="0" t="n">
        <f aca="false">IF(Presupuesto!$B$17='Flujo de Pagos'!$E17,17,9999)</f>
        <v>17</v>
      </c>
      <c r="AL17" s="0" t="n">
        <f aca="false">IF(Presupuesto!$B$18='Flujo de Pagos'!$E17,18,9999)</f>
        <v>18</v>
      </c>
      <c r="AM17" s="0" t="n">
        <f aca="false">IF(Presupuesto!$B$19='Flujo de Pagos'!$E17,19,9999)</f>
        <v>19</v>
      </c>
      <c r="AN17" s="0" t="n">
        <f aca="false">IF(Presupuesto!$B$20='Flujo de Pagos'!$E17,20,9999)</f>
        <v>20</v>
      </c>
      <c r="AO17" s="0" t="n">
        <f aca="false">IF(Presupuesto!$B$21='Flujo de Pagos'!$E17,21,9999)</f>
        <v>21</v>
      </c>
      <c r="AP17" s="0" t="n">
        <f aca="false">IF(Presupuesto!$B$22='Flujo de Pagos'!$E17,22,9999)</f>
        <v>22</v>
      </c>
      <c r="AQ17" s="0" t="n">
        <f aca="false">IF(Presupuesto!$B$23='Flujo de Pagos'!$E17,23,9999)</f>
        <v>23</v>
      </c>
      <c r="AR17" s="0" t="n">
        <f aca="false">IF(Presupuesto!$B$24='Flujo de Pagos'!$E17,24,9999)</f>
        <v>24</v>
      </c>
      <c r="AS17" s="0" t="n">
        <f aca="false">IF(Presupuesto!$B$25='Flujo de Pagos'!$E17,25,9999)</f>
        <v>25</v>
      </c>
      <c r="AT17" s="0" t="n">
        <f aca="false">IF(Presupuesto!$B$26='Flujo de Pagos'!$E17,26,9999)</f>
        <v>26</v>
      </c>
      <c r="AU17" s="0" t="n">
        <f aca="false">IF(Presupuesto!$B$27='Flujo de Pagos'!$E17,27,9999)</f>
        <v>27</v>
      </c>
      <c r="AV17" s="0" t="n">
        <f aca="false">IF(Presupuesto!$B$28='Flujo de Pagos'!$E17,28,9999)</f>
        <v>28</v>
      </c>
      <c r="AW17" s="0" t="n">
        <f aca="false">IF(Presupuesto!$B$29='Flujo de Pagos'!$E17,29,9999)</f>
        <v>29</v>
      </c>
      <c r="AX17" s="0" t="n">
        <f aca="false">IF(Presupuesto!$B$30='Flujo de Pagos'!$E17,30,9999)</f>
        <v>30</v>
      </c>
      <c r="AY17" s="0" t="n">
        <f aca="false">IF(Presupuesto!$B$31='Flujo de Pagos'!$E17,31,9999)</f>
        <v>31</v>
      </c>
      <c r="AZ17" s="0" t="n">
        <f aca="false">IF(Presupuesto!$B$32='Flujo de Pagos'!$E17,32,9999)</f>
        <v>32</v>
      </c>
      <c r="BA17" s="0" t="n">
        <f aca="false">IF(Presupuesto!$B$33='Flujo de Pagos'!$E17,33,9999)</f>
        <v>33</v>
      </c>
      <c r="BB17" s="0" t="n">
        <f aca="false">IF(Presupuesto!$B$34='Flujo de Pagos'!$E17,34,9999)</f>
        <v>34</v>
      </c>
      <c r="BC17" s="0" t="n">
        <f aca="false">IF(Presupuesto!$B$35='Flujo de Pagos'!$E17,35,9999)</f>
        <v>35</v>
      </c>
      <c r="BD17" s="0" t="n">
        <f aca="false">IF(Presupuesto!$B$36='Flujo de Pagos'!$E17,36,9999)</f>
        <v>36</v>
      </c>
      <c r="BE17" s="0" t="n">
        <f aca="false">IF(Presupuesto!$B$37='Flujo de Pagos'!$E17,37,9999)</f>
        <v>37</v>
      </c>
      <c r="BF17" s="0" t="n">
        <f aca="false">IF(Presupuesto!$B$38='Flujo de Pagos'!$E17,38,9999)</f>
        <v>38</v>
      </c>
      <c r="BG17" s="0" t="n">
        <f aca="false">IF(Presupuesto!$B$39='Flujo de Pagos'!$E17,39,9999)</f>
        <v>39</v>
      </c>
      <c r="BH17" s="0" t="n">
        <f aca="false">IF(Presupuesto!$B$40='Flujo de Pagos'!$E17,40,9999)</f>
        <v>40</v>
      </c>
      <c r="BI17" s="0" t="n">
        <f aca="false">IF(Presupuesto!$B$41='Flujo de Pagos'!$E17,41,9999)</f>
        <v>41</v>
      </c>
      <c r="BJ17" s="0" t="n">
        <f aca="false">IF(Presupuesto!$B$42='Flujo de Pagos'!$E17,42,9999)</f>
        <v>42</v>
      </c>
      <c r="BK17" s="0" t="n">
        <f aca="false">IF(Presupuesto!$B$43='Flujo de Pagos'!$E17,43,9999)</f>
        <v>43</v>
      </c>
      <c r="BL17" s="0" t="n">
        <f aca="false">IF(Presupuesto!$B$44='Flujo de Pagos'!$E17,44,9999)</f>
        <v>44</v>
      </c>
      <c r="BM17" s="0" t="n">
        <f aca="false">IF(Presupuesto!$B$45='Flujo de Pagos'!$E17,45,9999)</f>
        <v>45</v>
      </c>
      <c r="BN17" s="0" t="n">
        <f aca="false">IF(Presupuesto!$B$46='Flujo de Pagos'!$E17,46,9999)</f>
        <v>46</v>
      </c>
      <c r="BO17" s="0" t="n">
        <f aca="false">IF(Presupuesto!$B$47='Flujo de Pagos'!$E17,47,9999)</f>
        <v>47</v>
      </c>
      <c r="BP17" s="0" t="n">
        <f aca="false">IF(Presupuesto!$B$48='Flujo de Pagos'!$E17,48,9999)</f>
        <v>48</v>
      </c>
      <c r="BQ17" s="0" t="n">
        <f aca="false">IF(Presupuesto!$B$49='Flujo de Pagos'!$E17,49,9999)</f>
        <v>49</v>
      </c>
      <c r="BR17" s="0" t="n">
        <f aca="false">IF(Presupuesto!$B$50='Flujo de Pagos'!$E17,50,9999)</f>
        <v>50</v>
      </c>
      <c r="BS17" s="0" t="n">
        <f aca="false">IF(Presupuesto!$B$51='Flujo de Pagos'!$E17,51,9999)</f>
        <v>51</v>
      </c>
      <c r="BT17" s="0" t="n">
        <f aca="false">IF(Presupuesto!$B$52='Flujo de Pagos'!$E17,52,9999)</f>
        <v>52</v>
      </c>
      <c r="BU17" s="0" t="n">
        <f aca="false">IF(Presupuesto!$B$53='Flujo de Pagos'!$E17,53,9999)</f>
        <v>53</v>
      </c>
      <c r="BV17" s="0" t="n">
        <f aca="false">IF(Presupuesto!$B$54='Flujo de Pagos'!$E17,54,9999)</f>
        <v>54</v>
      </c>
      <c r="BW17" s="0" t="n">
        <f aca="false">IF(Presupuesto!$B$55='Flujo de Pagos'!$E17,55,9999)</f>
        <v>55</v>
      </c>
      <c r="BX17" s="0" t="n">
        <f aca="false">IF(Presupuesto!$B$56='Flujo de Pagos'!$E17,56,9999)</f>
        <v>56</v>
      </c>
      <c r="BY17" s="0" t="n">
        <f aca="false">IF(Presupuesto!$B$57='Flujo de Pagos'!$E17,57,9999)</f>
        <v>57</v>
      </c>
      <c r="BZ17" s="0" t="n">
        <f aca="false">IF(Presupuesto!$B$58='Flujo de Pagos'!$E17,58,9999)</f>
        <v>58</v>
      </c>
      <c r="CA17" s="0" t="n">
        <f aca="false">IF(Presupuesto!$B$59='Flujo de Pagos'!$E17,59,9999)</f>
        <v>59</v>
      </c>
      <c r="CB17" s="0" t="n">
        <f aca="false">IF(Presupuesto!$B$60='Flujo de Pagos'!$E17,60,9999)</f>
        <v>60</v>
      </c>
      <c r="CC17" s="0" t="n">
        <f aca="false">IF(Presupuesto!$B$61='Flujo de Pagos'!$E17,61,9999)</f>
        <v>61</v>
      </c>
      <c r="CD17" s="0" t="n">
        <f aca="false">IF(Presupuesto!$B$62='Flujo de Pagos'!$E17,62,9999)</f>
        <v>62</v>
      </c>
      <c r="CE17" s="0" t="n">
        <f aca="false">IF(Presupuesto!$B$63='Flujo de Pagos'!$E17,63,9999)</f>
        <v>63</v>
      </c>
      <c r="CF17" s="0" t="n">
        <f aca="false">IF(Presupuesto!$B$64='Flujo de Pagos'!$E17,64,9999)</f>
        <v>64</v>
      </c>
      <c r="CG17" s="0" t="n">
        <f aca="false">IF(Presupuesto!$B$65='Flujo de Pagos'!$E17,65,9999)</f>
        <v>65</v>
      </c>
      <c r="CH17" s="0" t="n">
        <f aca="false">IF(Presupuesto!$B$66='Flujo de Pagos'!$E17,66,9999)</f>
        <v>66</v>
      </c>
    </row>
    <row r="18" customFormat="false" ht="15" hidden="false" customHeight="true" outlineLevel="0" collapsed="false">
      <c r="A18" s="1" t="n">
        <f aca="false">IF(Presupuesto!B23=Carátula!$B$2,23,9999)</f>
        <v>9999</v>
      </c>
      <c r="B18" s="1" t="n">
        <f aca="false">IF(AND('Flujo de Pagos'!E23=Carátula!$B$2,'Flujo de Pagos'!F23=Carátula!$B$4,'Flujo de Pagos'!H23&lt;&gt;""),23,99999)</f>
        <v>99999</v>
      </c>
      <c r="D18" s="1" t="str">
        <f aca="false">IF(SMALL($A$2:$A$61,17)&gt;=9999,"",INDEX(Presupuesto!$C:$C,SMALL($A$2:$A$61,17)))</f>
        <v/>
      </c>
      <c r="E18" s="1" t="str">
        <f aca="false">IF(SMALL($B$2:$B$501,17)&gt;=99999,"",INDEX('Flujo de Pagos'!$H:$H,SMALL($B$2:$B$501,17)))</f>
        <v/>
      </c>
      <c r="H18" s="1" t="n">
        <f aca="false">IF(SMALL($AA18:$CH18,1)&gt;=9999,"",INDEX(Presupuesto!$C:$C,SMALL($AA18:$CH18,1)))</f>
        <v>0</v>
      </c>
      <c r="I18" s="1" t="n">
        <f aca="false">IF(SMALL($AA18:$CH18,2)&gt;=9999,"",INDEX(Presupuesto!$C:$C,SMALL($AA18:$CH18,2)))</f>
        <v>0</v>
      </c>
      <c r="J18" s="1" t="n">
        <f aca="false">IF(SMALL($AA18:$CH18,3)&gt;=9999,"",INDEX(Presupuesto!$C:$C,SMALL($AA18:$CH18,3)))</f>
        <v>0</v>
      </c>
      <c r="K18" s="1" t="n">
        <f aca="false">IF(SMALL($AA18:$CH18,4)&gt;=9999,"",INDEX(Presupuesto!$C:$C,SMALL($AA18:$CH18,4)))</f>
        <v>0</v>
      </c>
      <c r="L18" s="1" t="n">
        <f aca="false">IF(SMALL($AA18:$CH18,5)&gt;=9999,"",INDEX(Presupuesto!$C:$C,SMALL($AA18:$CH18,5)))</f>
        <v>0</v>
      </c>
      <c r="M18" s="1" t="n">
        <f aca="false">IF(SMALL($AA18:$CH18,6)&gt;=9999,"",INDEX(Presupuesto!$C:$C,SMALL($AA18:$CH18,6)))</f>
        <v>0</v>
      </c>
      <c r="N18" s="1" t="n">
        <f aca="false">IF(SMALL($AA18:$CH18,7)&gt;=9999,"",INDEX(Presupuesto!$C:$C,SMALL($AA18:$CH18,7)))</f>
        <v>0</v>
      </c>
      <c r="O18" s="1" t="n">
        <f aca="false">IF(SMALL($AA18:$CH18,8)&gt;=9999,"",INDEX(Presupuesto!$C:$C,SMALL($AA18:$CH18,8)))</f>
        <v>0</v>
      </c>
      <c r="P18" s="1" t="n">
        <f aca="false">IF(SMALL($AA18:$CH18,9)&gt;=9999,"",INDEX(Presupuesto!$C:$C,SMALL($AA18:$CH18,9)))</f>
        <v>0</v>
      </c>
      <c r="Q18" s="1" t="n">
        <f aca="false">IF(SMALL($AA18:$CH18,10)&gt;=9999,"",INDEX(Presupuesto!$C:$C,SMALL($AA18:$CH18,10)))</f>
        <v>0</v>
      </c>
      <c r="AA18" s="0" t="n">
        <f aca="false">IF(Presupuesto!$B$7='Flujo de Pagos'!$E18,7,9999)</f>
        <v>9999</v>
      </c>
      <c r="AB18" s="0" t="n">
        <f aca="false">IF(Presupuesto!$B$8='Flujo de Pagos'!$E18,8,9999)</f>
        <v>9999</v>
      </c>
      <c r="AC18" s="0" t="n">
        <f aca="false">IF(Presupuesto!$B$9='Flujo de Pagos'!$E18,9,9999)</f>
        <v>9999</v>
      </c>
      <c r="AD18" s="0" t="n">
        <f aca="false">IF(Presupuesto!$B$10='Flujo de Pagos'!$E18,10,9999)</f>
        <v>9999</v>
      </c>
      <c r="AE18" s="0" t="n">
        <f aca="false">IF(Presupuesto!$B$11='Flujo de Pagos'!$E18,11,9999)</f>
        <v>9999</v>
      </c>
      <c r="AF18" s="0" t="n">
        <f aca="false">IF(Presupuesto!$B$12='Flujo de Pagos'!$E18,12,9999)</f>
        <v>12</v>
      </c>
      <c r="AG18" s="0" t="n">
        <f aca="false">IF(Presupuesto!$B$13='Flujo de Pagos'!$E18,13,9999)</f>
        <v>13</v>
      </c>
      <c r="AH18" s="0" t="n">
        <f aca="false">IF(Presupuesto!$B$14='Flujo de Pagos'!$E18,14,9999)</f>
        <v>14</v>
      </c>
      <c r="AI18" s="0" t="n">
        <f aca="false">IF(Presupuesto!$B$15='Flujo de Pagos'!$E18,15,9999)</f>
        <v>15</v>
      </c>
      <c r="AJ18" s="0" t="n">
        <f aca="false">IF(Presupuesto!$B$16='Flujo de Pagos'!$E18,16,9999)</f>
        <v>16</v>
      </c>
      <c r="AK18" s="0" t="n">
        <f aca="false">IF(Presupuesto!$B$17='Flujo de Pagos'!$E18,17,9999)</f>
        <v>17</v>
      </c>
      <c r="AL18" s="0" t="n">
        <f aca="false">IF(Presupuesto!$B$18='Flujo de Pagos'!$E18,18,9999)</f>
        <v>18</v>
      </c>
      <c r="AM18" s="0" t="n">
        <f aca="false">IF(Presupuesto!$B$19='Flujo de Pagos'!$E18,19,9999)</f>
        <v>19</v>
      </c>
      <c r="AN18" s="0" t="n">
        <f aca="false">IF(Presupuesto!$B$20='Flujo de Pagos'!$E18,20,9999)</f>
        <v>20</v>
      </c>
      <c r="AO18" s="0" t="n">
        <f aca="false">IF(Presupuesto!$B$21='Flujo de Pagos'!$E18,21,9999)</f>
        <v>21</v>
      </c>
      <c r="AP18" s="0" t="n">
        <f aca="false">IF(Presupuesto!$B$22='Flujo de Pagos'!$E18,22,9999)</f>
        <v>22</v>
      </c>
      <c r="AQ18" s="0" t="n">
        <f aca="false">IF(Presupuesto!$B$23='Flujo de Pagos'!$E18,23,9999)</f>
        <v>23</v>
      </c>
      <c r="AR18" s="0" t="n">
        <f aca="false">IF(Presupuesto!$B$24='Flujo de Pagos'!$E18,24,9999)</f>
        <v>24</v>
      </c>
      <c r="AS18" s="0" t="n">
        <f aca="false">IF(Presupuesto!$B$25='Flujo de Pagos'!$E18,25,9999)</f>
        <v>25</v>
      </c>
      <c r="AT18" s="0" t="n">
        <f aca="false">IF(Presupuesto!$B$26='Flujo de Pagos'!$E18,26,9999)</f>
        <v>26</v>
      </c>
      <c r="AU18" s="0" t="n">
        <f aca="false">IF(Presupuesto!$B$27='Flujo de Pagos'!$E18,27,9999)</f>
        <v>27</v>
      </c>
      <c r="AV18" s="0" t="n">
        <f aca="false">IF(Presupuesto!$B$28='Flujo de Pagos'!$E18,28,9999)</f>
        <v>28</v>
      </c>
      <c r="AW18" s="0" t="n">
        <f aca="false">IF(Presupuesto!$B$29='Flujo de Pagos'!$E18,29,9999)</f>
        <v>29</v>
      </c>
      <c r="AX18" s="0" t="n">
        <f aca="false">IF(Presupuesto!$B$30='Flujo de Pagos'!$E18,30,9999)</f>
        <v>30</v>
      </c>
      <c r="AY18" s="0" t="n">
        <f aca="false">IF(Presupuesto!$B$31='Flujo de Pagos'!$E18,31,9999)</f>
        <v>31</v>
      </c>
      <c r="AZ18" s="0" t="n">
        <f aca="false">IF(Presupuesto!$B$32='Flujo de Pagos'!$E18,32,9999)</f>
        <v>32</v>
      </c>
      <c r="BA18" s="0" t="n">
        <f aca="false">IF(Presupuesto!$B$33='Flujo de Pagos'!$E18,33,9999)</f>
        <v>33</v>
      </c>
      <c r="BB18" s="0" t="n">
        <f aca="false">IF(Presupuesto!$B$34='Flujo de Pagos'!$E18,34,9999)</f>
        <v>34</v>
      </c>
      <c r="BC18" s="0" t="n">
        <f aca="false">IF(Presupuesto!$B$35='Flujo de Pagos'!$E18,35,9999)</f>
        <v>35</v>
      </c>
      <c r="BD18" s="0" t="n">
        <f aca="false">IF(Presupuesto!$B$36='Flujo de Pagos'!$E18,36,9999)</f>
        <v>36</v>
      </c>
      <c r="BE18" s="0" t="n">
        <f aca="false">IF(Presupuesto!$B$37='Flujo de Pagos'!$E18,37,9999)</f>
        <v>37</v>
      </c>
      <c r="BF18" s="0" t="n">
        <f aca="false">IF(Presupuesto!$B$38='Flujo de Pagos'!$E18,38,9999)</f>
        <v>38</v>
      </c>
      <c r="BG18" s="0" t="n">
        <f aca="false">IF(Presupuesto!$B$39='Flujo de Pagos'!$E18,39,9999)</f>
        <v>39</v>
      </c>
      <c r="BH18" s="0" t="n">
        <f aca="false">IF(Presupuesto!$B$40='Flujo de Pagos'!$E18,40,9999)</f>
        <v>40</v>
      </c>
      <c r="BI18" s="0" t="n">
        <f aca="false">IF(Presupuesto!$B$41='Flujo de Pagos'!$E18,41,9999)</f>
        <v>41</v>
      </c>
      <c r="BJ18" s="0" t="n">
        <f aca="false">IF(Presupuesto!$B$42='Flujo de Pagos'!$E18,42,9999)</f>
        <v>42</v>
      </c>
      <c r="BK18" s="0" t="n">
        <f aca="false">IF(Presupuesto!$B$43='Flujo de Pagos'!$E18,43,9999)</f>
        <v>43</v>
      </c>
      <c r="BL18" s="0" t="n">
        <f aca="false">IF(Presupuesto!$B$44='Flujo de Pagos'!$E18,44,9999)</f>
        <v>44</v>
      </c>
      <c r="BM18" s="0" t="n">
        <f aca="false">IF(Presupuesto!$B$45='Flujo de Pagos'!$E18,45,9999)</f>
        <v>45</v>
      </c>
      <c r="BN18" s="0" t="n">
        <f aca="false">IF(Presupuesto!$B$46='Flujo de Pagos'!$E18,46,9999)</f>
        <v>46</v>
      </c>
      <c r="BO18" s="0" t="n">
        <f aca="false">IF(Presupuesto!$B$47='Flujo de Pagos'!$E18,47,9999)</f>
        <v>47</v>
      </c>
      <c r="BP18" s="0" t="n">
        <f aca="false">IF(Presupuesto!$B$48='Flujo de Pagos'!$E18,48,9999)</f>
        <v>48</v>
      </c>
      <c r="BQ18" s="0" t="n">
        <f aca="false">IF(Presupuesto!$B$49='Flujo de Pagos'!$E18,49,9999)</f>
        <v>49</v>
      </c>
      <c r="BR18" s="0" t="n">
        <f aca="false">IF(Presupuesto!$B$50='Flujo de Pagos'!$E18,50,9999)</f>
        <v>50</v>
      </c>
      <c r="BS18" s="0" t="n">
        <f aca="false">IF(Presupuesto!$B$51='Flujo de Pagos'!$E18,51,9999)</f>
        <v>51</v>
      </c>
      <c r="BT18" s="0" t="n">
        <f aca="false">IF(Presupuesto!$B$52='Flujo de Pagos'!$E18,52,9999)</f>
        <v>52</v>
      </c>
      <c r="BU18" s="0" t="n">
        <f aca="false">IF(Presupuesto!$B$53='Flujo de Pagos'!$E18,53,9999)</f>
        <v>53</v>
      </c>
      <c r="BV18" s="0" t="n">
        <f aca="false">IF(Presupuesto!$B$54='Flujo de Pagos'!$E18,54,9999)</f>
        <v>54</v>
      </c>
      <c r="BW18" s="0" t="n">
        <f aca="false">IF(Presupuesto!$B$55='Flujo de Pagos'!$E18,55,9999)</f>
        <v>55</v>
      </c>
      <c r="BX18" s="0" t="n">
        <f aca="false">IF(Presupuesto!$B$56='Flujo de Pagos'!$E18,56,9999)</f>
        <v>56</v>
      </c>
      <c r="BY18" s="0" t="n">
        <f aca="false">IF(Presupuesto!$B$57='Flujo de Pagos'!$E18,57,9999)</f>
        <v>57</v>
      </c>
      <c r="BZ18" s="0" t="n">
        <f aca="false">IF(Presupuesto!$B$58='Flujo de Pagos'!$E18,58,9999)</f>
        <v>58</v>
      </c>
      <c r="CA18" s="0" t="n">
        <f aca="false">IF(Presupuesto!$B$59='Flujo de Pagos'!$E18,59,9999)</f>
        <v>59</v>
      </c>
      <c r="CB18" s="0" t="n">
        <f aca="false">IF(Presupuesto!$B$60='Flujo de Pagos'!$E18,60,9999)</f>
        <v>60</v>
      </c>
      <c r="CC18" s="0" t="n">
        <f aca="false">IF(Presupuesto!$B$61='Flujo de Pagos'!$E18,61,9999)</f>
        <v>61</v>
      </c>
      <c r="CD18" s="0" t="n">
        <f aca="false">IF(Presupuesto!$B$62='Flujo de Pagos'!$E18,62,9999)</f>
        <v>62</v>
      </c>
      <c r="CE18" s="0" t="n">
        <f aca="false">IF(Presupuesto!$B$63='Flujo de Pagos'!$E18,63,9999)</f>
        <v>63</v>
      </c>
      <c r="CF18" s="0" t="n">
        <f aca="false">IF(Presupuesto!$B$64='Flujo de Pagos'!$E18,64,9999)</f>
        <v>64</v>
      </c>
      <c r="CG18" s="0" t="n">
        <f aca="false">IF(Presupuesto!$B$65='Flujo de Pagos'!$E18,65,9999)</f>
        <v>65</v>
      </c>
      <c r="CH18" s="0" t="n">
        <f aca="false">IF(Presupuesto!$B$66='Flujo de Pagos'!$E18,66,9999)</f>
        <v>66</v>
      </c>
    </row>
    <row r="19" customFormat="false" ht="15" hidden="false" customHeight="true" outlineLevel="0" collapsed="false">
      <c r="A19" s="1" t="n">
        <f aca="false">IF(Presupuesto!B24=Carátula!$B$2,24,9999)</f>
        <v>9999</v>
      </c>
      <c r="B19" s="1" t="n">
        <f aca="false">IF(AND('Flujo de Pagos'!E24=Carátula!$B$2,'Flujo de Pagos'!F24=Carátula!$B$4,'Flujo de Pagos'!H24&lt;&gt;""),24,99999)</f>
        <v>99999</v>
      </c>
      <c r="D19" s="1" t="str">
        <f aca="false">IF(SMALL($A$2:$A$61,18)&gt;=9999,"",INDEX(Presupuesto!$C:$C,SMALL($A$2:$A$61,18)))</f>
        <v/>
      </c>
      <c r="E19" s="1" t="str">
        <f aca="false">IF(SMALL($B$2:$B$501,18)&gt;=99999,"",INDEX('Flujo de Pagos'!$H:$H,SMALL($B$2:$B$501,18)))</f>
        <v/>
      </c>
      <c r="H19" s="1" t="n">
        <f aca="false">IF(SMALL($AA19:$CH19,1)&gt;=9999,"",INDEX(Presupuesto!$C:$C,SMALL($AA19:$CH19,1)))</f>
        <v>0</v>
      </c>
      <c r="I19" s="1" t="n">
        <f aca="false">IF(SMALL($AA19:$CH19,2)&gt;=9999,"",INDEX(Presupuesto!$C:$C,SMALL($AA19:$CH19,2)))</f>
        <v>0</v>
      </c>
      <c r="J19" s="1" t="n">
        <f aca="false">IF(SMALL($AA19:$CH19,3)&gt;=9999,"",INDEX(Presupuesto!$C:$C,SMALL($AA19:$CH19,3)))</f>
        <v>0</v>
      </c>
      <c r="K19" s="1" t="n">
        <f aca="false">IF(SMALL($AA19:$CH19,4)&gt;=9999,"",INDEX(Presupuesto!$C:$C,SMALL($AA19:$CH19,4)))</f>
        <v>0</v>
      </c>
      <c r="L19" s="1" t="n">
        <f aca="false">IF(SMALL($AA19:$CH19,5)&gt;=9999,"",INDEX(Presupuesto!$C:$C,SMALL($AA19:$CH19,5)))</f>
        <v>0</v>
      </c>
      <c r="M19" s="1" t="n">
        <f aca="false">IF(SMALL($AA19:$CH19,6)&gt;=9999,"",INDEX(Presupuesto!$C:$C,SMALL($AA19:$CH19,6)))</f>
        <v>0</v>
      </c>
      <c r="N19" s="1" t="n">
        <f aca="false">IF(SMALL($AA19:$CH19,7)&gt;=9999,"",INDEX(Presupuesto!$C:$C,SMALL($AA19:$CH19,7)))</f>
        <v>0</v>
      </c>
      <c r="O19" s="1" t="n">
        <f aca="false">IF(SMALL($AA19:$CH19,8)&gt;=9999,"",INDEX(Presupuesto!$C:$C,SMALL($AA19:$CH19,8)))</f>
        <v>0</v>
      </c>
      <c r="P19" s="1" t="n">
        <f aca="false">IF(SMALL($AA19:$CH19,9)&gt;=9999,"",INDEX(Presupuesto!$C:$C,SMALL($AA19:$CH19,9)))</f>
        <v>0</v>
      </c>
      <c r="Q19" s="1" t="n">
        <f aca="false">IF(SMALL($AA19:$CH19,10)&gt;=9999,"",INDEX(Presupuesto!$C:$C,SMALL($AA19:$CH19,10)))</f>
        <v>0</v>
      </c>
      <c r="AA19" s="0" t="n">
        <f aca="false">IF(Presupuesto!$B$7='Flujo de Pagos'!$E19,7,9999)</f>
        <v>9999</v>
      </c>
      <c r="AB19" s="0" t="n">
        <f aca="false">IF(Presupuesto!$B$8='Flujo de Pagos'!$E19,8,9999)</f>
        <v>9999</v>
      </c>
      <c r="AC19" s="0" t="n">
        <f aca="false">IF(Presupuesto!$B$9='Flujo de Pagos'!$E19,9,9999)</f>
        <v>9999</v>
      </c>
      <c r="AD19" s="0" t="n">
        <f aca="false">IF(Presupuesto!$B$10='Flujo de Pagos'!$E19,10,9999)</f>
        <v>9999</v>
      </c>
      <c r="AE19" s="0" t="n">
        <f aca="false">IF(Presupuesto!$B$11='Flujo de Pagos'!$E19,11,9999)</f>
        <v>9999</v>
      </c>
      <c r="AF19" s="0" t="n">
        <f aca="false">IF(Presupuesto!$B$12='Flujo de Pagos'!$E19,12,9999)</f>
        <v>12</v>
      </c>
      <c r="AG19" s="0" t="n">
        <f aca="false">IF(Presupuesto!$B$13='Flujo de Pagos'!$E19,13,9999)</f>
        <v>13</v>
      </c>
      <c r="AH19" s="0" t="n">
        <f aca="false">IF(Presupuesto!$B$14='Flujo de Pagos'!$E19,14,9999)</f>
        <v>14</v>
      </c>
      <c r="AI19" s="0" t="n">
        <f aca="false">IF(Presupuesto!$B$15='Flujo de Pagos'!$E19,15,9999)</f>
        <v>15</v>
      </c>
      <c r="AJ19" s="0" t="n">
        <f aca="false">IF(Presupuesto!$B$16='Flujo de Pagos'!$E19,16,9999)</f>
        <v>16</v>
      </c>
      <c r="AK19" s="0" t="n">
        <f aca="false">IF(Presupuesto!$B$17='Flujo de Pagos'!$E19,17,9999)</f>
        <v>17</v>
      </c>
      <c r="AL19" s="0" t="n">
        <f aca="false">IF(Presupuesto!$B$18='Flujo de Pagos'!$E19,18,9999)</f>
        <v>18</v>
      </c>
      <c r="AM19" s="0" t="n">
        <f aca="false">IF(Presupuesto!$B$19='Flujo de Pagos'!$E19,19,9999)</f>
        <v>19</v>
      </c>
      <c r="AN19" s="0" t="n">
        <f aca="false">IF(Presupuesto!$B$20='Flujo de Pagos'!$E19,20,9999)</f>
        <v>20</v>
      </c>
      <c r="AO19" s="0" t="n">
        <f aca="false">IF(Presupuesto!$B$21='Flujo de Pagos'!$E19,21,9999)</f>
        <v>21</v>
      </c>
      <c r="AP19" s="0" t="n">
        <f aca="false">IF(Presupuesto!$B$22='Flujo de Pagos'!$E19,22,9999)</f>
        <v>22</v>
      </c>
      <c r="AQ19" s="0" t="n">
        <f aca="false">IF(Presupuesto!$B$23='Flujo de Pagos'!$E19,23,9999)</f>
        <v>23</v>
      </c>
      <c r="AR19" s="0" t="n">
        <f aca="false">IF(Presupuesto!$B$24='Flujo de Pagos'!$E19,24,9999)</f>
        <v>24</v>
      </c>
      <c r="AS19" s="0" t="n">
        <f aca="false">IF(Presupuesto!$B$25='Flujo de Pagos'!$E19,25,9999)</f>
        <v>25</v>
      </c>
      <c r="AT19" s="0" t="n">
        <f aca="false">IF(Presupuesto!$B$26='Flujo de Pagos'!$E19,26,9999)</f>
        <v>26</v>
      </c>
      <c r="AU19" s="0" t="n">
        <f aca="false">IF(Presupuesto!$B$27='Flujo de Pagos'!$E19,27,9999)</f>
        <v>27</v>
      </c>
      <c r="AV19" s="0" t="n">
        <f aca="false">IF(Presupuesto!$B$28='Flujo de Pagos'!$E19,28,9999)</f>
        <v>28</v>
      </c>
      <c r="AW19" s="0" t="n">
        <f aca="false">IF(Presupuesto!$B$29='Flujo de Pagos'!$E19,29,9999)</f>
        <v>29</v>
      </c>
      <c r="AX19" s="0" t="n">
        <f aca="false">IF(Presupuesto!$B$30='Flujo de Pagos'!$E19,30,9999)</f>
        <v>30</v>
      </c>
      <c r="AY19" s="0" t="n">
        <f aca="false">IF(Presupuesto!$B$31='Flujo de Pagos'!$E19,31,9999)</f>
        <v>31</v>
      </c>
      <c r="AZ19" s="0" t="n">
        <f aca="false">IF(Presupuesto!$B$32='Flujo de Pagos'!$E19,32,9999)</f>
        <v>32</v>
      </c>
      <c r="BA19" s="0" t="n">
        <f aca="false">IF(Presupuesto!$B$33='Flujo de Pagos'!$E19,33,9999)</f>
        <v>33</v>
      </c>
      <c r="BB19" s="0" t="n">
        <f aca="false">IF(Presupuesto!$B$34='Flujo de Pagos'!$E19,34,9999)</f>
        <v>34</v>
      </c>
      <c r="BC19" s="0" t="n">
        <f aca="false">IF(Presupuesto!$B$35='Flujo de Pagos'!$E19,35,9999)</f>
        <v>35</v>
      </c>
      <c r="BD19" s="0" t="n">
        <f aca="false">IF(Presupuesto!$B$36='Flujo de Pagos'!$E19,36,9999)</f>
        <v>36</v>
      </c>
      <c r="BE19" s="0" t="n">
        <f aca="false">IF(Presupuesto!$B$37='Flujo de Pagos'!$E19,37,9999)</f>
        <v>37</v>
      </c>
      <c r="BF19" s="0" t="n">
        <f aca="false">IF(Presupuesto!$B$38='Flujo de Pagos'!$E19,38,9999)</f>
        <v>38</v>
      </c>
      <c r="BG19" s="0" t="n">
        <f aca="false">IF(Presupuesto!$B$39='Flujo de Pagos'!$E19,39,9999)</f>
        <v>39</v>
      </c>
      <c r="BH19" s="0" t="n">
        <f aca="false">IF(Presupuesto!$B$40='Flujo de Pagos'!$E19,40,9999)</f>
        <v>40</v>
      </c>
      <c r="BI19" s="0" t="n">
        <f aca="false">IF(Presupuesto!$B$41='Flujo de Pagos'!$E19,41,9999)</f>
        <v>41</v>
      </c>
      <c r="BJ19" s="0" t="n">
        <f aca="false">IF(Presupuesto!$B$42='Flujo de Pagos'!$E19,42,9999)</f>
        <v>42</v>
      </c>
      <c r="BK19" s="0" t="n">
        <f aca="false">IF(Presupuesto!$B$43='Flujo de Pagos'!$E19,43,9999)</f>
        <v>43</v>
      </c>
      <c r="BL19" s="0" t="n">
        <f aca="false">IF(Presupuesto!$B$44='Flujo de Pagos'!$E19,44,9999)</f>
        <v>44</v>
      </c>
      <c r="BM19" s="0" t="n">
        <f aca="false">IF(Presupuesto!$B$45='Flujo de Pagos'!$E19,45,9999)</f>
        <v>45</v>
      </c>
      <c r="BN19" s="0" t="n">
        <f aca="false">IF(Presupuesto!$B$46='Flujo de Pagos'!$E19,46,9999)</f>
        <v>46</v>
      </c>
      <c r="BO19" s="0" t="n">
        <f aca="false">IF(Presupuesto!$B$47='Flujo de Pagos'!$E19,47,9999)</f>
        <v>47</v>
      </c>
      <c r="BP19" s="0" t="n">
        <f aca="false">IF(Presupuesto!$B$48='Flujo de Pagos'!$E19,48,9999)</f>
        <v>48</v>
      </c>
      <c r="BQ19" s="0" t="n">
        <f aca="false">IF(Presupuesto!$B$49='Flujo de Pagos'!$E19,49,9999)</f>
        <v>49</v>
      </c>
      <c r="BR19" s="0" t="n">
        <f aca="false">IF(Presupuesto!$B$50='Flujo de Pagos'!$E19,50,9999)</f>
        <v>50</v>
      </c>
      <c r="BS19" s="0" t="n">
        <f aca="false">IF(Presupuesto!$B$51='Flujo de Pagos'!$E19,51,9999)</f>
        <v>51</v>
      </c>
      <c r="BT19" s="0" t="n">
        <f aca="false">IF(Presupuesto!$B$52='Flujo de Pagos'!$E19,52,9999)</f>
        <v>52</v>
      </c>
      <c r="BU19" s="0" t="n">
        <f aca="false">IF(Presupuesto!$B$53='Flujo de Pagos'!$E19,53,9999)</f>
        <v>53</v>
      </c>
      <c r="BV19" s="0" t="n">
        <f aca="false">IF(Presupuesto!$B$54='Flujo de Pagos'!$E19,54,9999)</f>
        <v>54</v>
      </c>
      <c r="BW19" s="0" t="n">
        <f aca="false">IF(Presupuesto!$B$55='Flujo de Pagos'!$E19,55,9999)</f>
        <v>55</v>
      </c>
      <c r="BX19" s="0" t="n">
        <f aca="false">IF(Presupuesto!$B$56='Flujo de Pagos'!$E19,56,9999)</f>
        <v>56</v>
      </c>
      <c r="BY19" s="0" t="n">
        <f aca="false">IF(Presupuesto!$B$57='Flujo de Pagos'!$E19,57,9999)</f>
        <v>57</v>
      </c>
      <c r="BZ19" s="0" t="n">
        <f aca="false">IF(Presupuesto!$B$58='Flujo de Pagos'!$E19,58,9999)</f>
        <v>58</v>
      </c>
      <c r="CA19" s="0" t="n">
        <f aca="false">IF(Presupuesto!$B$59='Flujo de Pagos'!$E19,59,9999)</f>
        <v>59</v>
      </c>
      <c r="CB19" s="0" t="n">
        <f aca="false">IF(Presupuesto!$B$60='Flujo de Pagos'!$E19,60,9999)</f>
        <v>60</v>
      </c>
      <c r="CC19" s="0" t="n">
        <f aca="false">IF(Presupuesto!$B$61='Flujo de Pagos'!$E19,61,9999)</f>
        <v>61</v>
      </c>
      <c r="CD19" s="0" t="n">
        <f aca="false">IF(Presupuesto!$B$62='Flujo de Pagos'!$E19,62,9999)</f>
        <v>62</v>
      </c>
      <c r="CE19" s="0" t="n">
        <f aca="false">IF(Presupuesto!$B$63='Flujo de Pagos'!$E19,63,9999)</f>
        <v>63</v>
      </c>
      <c r="CF19" s="0" t="n">
        <f aca="false">IF(Presupuesto!$B$64='Flujo de Pagos'!$E19,64,9999)</f>
        <v>64</v>
      </c>
      <c r="CG19" s="0" t="n">
        <f aca="false">IF(Presupuesto!$B$65='Flujo de Pagos'!$E19,65,9999)</f>
        <v>65</v>
      </c>
      <c r="CH19" s="0" t="n">
        <f aca="false">IF(Presupuesto!$B$66='Flujo de Pagos'!$E19,66,9999)</f>
        <v>66</v>
      </c>
    </row>
    <row r="20" customFormat="false" ht="15" hidden="false" customHeight="true" outlineLevel="0" collapsed="false">
      <c r="A20" s="1" t="n">
        <f aca="false">IF(Presupuesto!B25=Carátula!$B$2,25,9999)</f>
        <v>9999</v>
      </c>
      <c r="B20" s="1" t="n">
        <f aca="false">IF(AND('Flujo de Pagos'!E25=Carátula!$B$2,'Flujo de Pagos'!F25=Carátula!$B$4,'Flujo de Pagos'!H25&lt;&gt;""),25,99999)</f>
        <v>99999</v>
      </c>
      <c r="D20" s="1" t="str">
        <f aca="false">IF(SMALL($A$2:$A$61,19)&gt;=9999,"",INDEX(Presupuesto!$C:$C,SMALL($A$2:$A$61,19)))</f>
        <v/>
      </c>
      <c r="E20" s="1" t="str">
        <f aca="false">IF(SMALL($B$2:$B$501,19)&gt;=99999,"",INDEX('Flujo de Pagos'!$H:$H,SMALL($B$2:$B$501,19)))</f>
        <v/>
      </c>
      <c r="H20" s="1" t="n">
        <f aca="false">IF(SMALL($AA20:$CH20,1)&gt;=9999,"",INDEX(Presupuesto!$C:$C,SMALL($AA20:$CH20,1)))</f>
        <v>0</v>
      </c>
      <c r="I20" s="1" t="n">
        <f aca="false">IF(SMALL($AA20:$CH20,2)&gt;=9999,"",INDEX(Presupuesto!$C:$C,SMALL($AA20:$CH20,2)))</f>
        <v>0</v>
      </c>
      <c r="J20" s="1" t="n">
        <f aca="false">IF(SMALL($AA20:$CH20,3)&gt;=9999,"",INDEX(Presupuesto!$C:$C,SMALL($AA20:$CH20,3)))</f>
        <v>0</v>
      </c>
      <c r="K20" s="1" t="n">
        <f aca="false">IF(SMALL($AA20:$CH20,4)&gt;=9999,"",INDEX(Presupuesto!$C:$C,SMALL($AA20:$CH20,4)))</f>
        <v>0</v>
      </c>
      <c r="L20" s="1" t="n">
        <f aca="false">IF(SMALL($AA20:$CH20,5)&gt;=9999,"",INDEX(Presupuesto!$C:$C,SMALL($AA20:$CH20,5)))</f>
        <v>0</v>
      </c>
      <c r="M20" s="1" t="n">
        <f aca="false">IF(SMALL($AA20:$CH20,6)&gt;=9999,"",INDEX(Presupuesto!$C:$C,SMALL($AA20:$CH20,6)))</f>
        <v>0</v>
      </c>
      <c r="N20" s="1" t="n">
        <f aca="false">IF(SMALL($AA20:$CH20,7)&gt;=9999,"",INDEX(Presupuesto!$C:$C,SMALL($AA20:$CH20,7)))</f>
        <v>0</v>
      </c>
      <c r="O20" s="1" t="n">
        <f aca="false">IF(SMALL($AA20:$CH20,8)&gt;=9999,"",INDEX(Presupuesto!$C:$C,SMALL($AA20:$CH20,8)))</f>
        <v>0</v>
      </c>
      <c r="P20" s="1" t="n">
        <f aca="false">IF(SMALL($AA20:$CH20,9)&gt;=9999,"",INDEX(Presupuesto!$C:$C,SMALL($AA20:$CH20,9)))</f>
        <v>0</v>
      </c>
      <c r="Q20" s="1" t="n">
        <f aca="false">IF(SMALL($AA20:$CH20,10)&gt;=9999,"",INDEX(Presupuesto!$C:$C,SMALL($AA20:$CH20,10)))</f>
        <v>0</v>
      </c>
      <c r="AA20" s="0" t="n">
        <f aca="false">IF(Presupuesto!$B$7='Flujo de Pagos'!$E20,7,9999)</f>
        <v>9999</v>
      </c>
      <c r="AB20" s="0" t="n">
        <f aca="false">IF(Presupuesto!$B$8='Flujo de Pagos'!$E20,8,9999)</f>
        <v>9999</v>
      </c>
      <c r="AC20" s="0" t="n">
        <f aca="false">IF(Presupuesto!$B$9='Flujo de Pagos'!$E20,9,9999)</f>
        <v>9999</v>
      </c>
      <c r="AD20" s="0" t="n">
        <f aca="false">IF(Presupuesto!$B$10='Flujo de Pagos'!$E20,10,9999)</f>
        <v>9999</v>
      </c>
      <c r="AE20" s="0" t="n">
        <f aca="false">IF(Presupuesto!$B$11='Flujo de Pagos'!$E20,11,9999)</f>
        <v>9999</v>
      </c>
      <c r="AF20" s="0" t="n">
        <f aca="false">IF(Presupuesto!$B$12='Flujo de Pagos'!$E20,12,9999)</f>
        <v>12</v>
      </c>
      <c r="AG20" s="0" t="n">
        <f aca="false">IF(Presupuesto!$B$13='Flujo de Pagos'!$E20,13,9999)</f>
        <v>13</v>
      </c>
      <c r="AH20" s="0" t="n">
        <f aca="false">IF(Presupuesto!$B$14='Flujo de Pagos'!$E20,14,9999)</f>
        <v>14</v>
      </c>
      <c r="AI20" s="0" t="n">
        <f aca="false">IF(Presupuesto!$B$15='Flujo de Pagos'!$E20,15,9999)</f>
        <v>15</v>
      </c>
      <c r="AJ20" s="0" t="n">
        <f aca="false">IF(Presupuesto!$B$16='Flujo de Pagos'!$E20,16,9999)</f>
        <v>16</v>
      </c>
      <c r="AK20" s="0" t="n">
        <f aca="false">IF(Presupuesto!$B$17='Flujo de Pagos'!$E20,17,9999)</f>
        <v>17</v>
      </c>
      <c r="AL20" s="0" t="n">
        <f aca="false">IF(Presupuesto!$B$18='Flujo de Pagos'!$E20,18,9999)</f>
        <v>18</v>
      </c>
      <c r="AM20" s="0" t="n">
        <f aca="false">IF(Presupuesto!$B$19='Flujo de Pagos'!$E20,19,9999)</f>
        <v>19</v>
      </c>
      <c r="AN20" s="0" t="n">
        <f aca="false">IF(Presupuesto!$B$20='Flujo de Pagos'!$E20,20,9999)</f>
        <v>20</v>
      </c>
      <c r="AO20" s="0" t="n">
        <f aca="false">IF(Presupuesto!$B$21='Flujo de Pagos'!$E20,21,9999)</f>
        <v>21</v>
      </c>
      <c r="AP20" s="0" t="n">
        <f aca="false">IF(Presupuesto!$B$22='Flujo de Pagos'!$E20,22,9999)</f>
        <v>22</v>
      </c>
      <c r="AQ20" s="0" t="n">
        <f aca="false">IF(Presupuesto!$B$23='Flujo de Pagos'!$E20,23,9999)</f>
        <v>23</v>
      </c>
      <c r="AR20" s="0" t="n">
        <f aca="false">IF(Presupuesto!$B$24='Flujo de Pagos'!$E20,24,9999)</f>
        <v>24</v>
      </c>
      <c r="AS20" s="0" t="n">
        <f aca="false">IF(Presupuesto!$B$25='Flujo de Pagos'!$E20,25,9999)</f>
        <v>25</v>
      </c>
      <c r="AT20" s="0" t="n">
        <f aca="false">IF(Presupuesto!$B$26='Flujo de Pagos'!$E20,26,9999)</f>
        <v>26</v>
      </c>
      <c r="AU20" s="0" t="n">
        <f aca="false">IF(Presupuesto!$B$27='Flujo de Pagos'!$E20,27,9999)</f>
        <v>27</v>
      </c>
      <c r="AV20" s="0" t="n">
        <f aca="false">IF(Presupuesto!$B$28='Flujo de Pagos'!$E20,28,9999)</f>
        <v>28</v>
      </c>
      <c r="AW20" s="0" t="n">
        <f aca="false">IF(Presupuesto!$B$29='Flujo de Pagos'!$E20,29,9999)</f>
        <v>29</v>
      </c>
      <c r="AX20" s="0" t="n">
        <f aca="false">IF(Presupuesto!$B$30='Flujo de Pagos'!$E20,30,9999)</f>
        <v>30</v>
      </c>
      <c r="AY20" s="0" t="n">
        <f aca="false">IF(Presupuesto!$B$31='Flujo de Pagos'!$E20,31,9999)</f>
        <v>31</v>
      </c>
      <c r="AZ20" s="0" t="n">
        <f aca="false">IF(Presupuesto!$B$32='Flujo de Pagos'!$E20,32,9999)</f>
        <v>32</v>
      </c>
      <c r="BA20" s="0" t="n">
        <f aca="false">IF(Presupuesto!$B$33='Flujo de Pagos'!$E20,33,9999)</f>
        <v>33</v>
      </c>
      <c r="BB20" s="0" t="n">
        <f aca="false">IF(Presupuesto!$B$34='Flujo de Pagos'!$E20,34,9999)</f>
        <v>34</v>
      </c>
      <c r="BC20" s="0" t="n">
        <f aca="false">IF(Presupuesto!$B$35='Flujo de Pagos'!$E20,35,9999)</f>
        <v>35</v>
      </c>
      <c r="BD20" s="0" t="n">
        <f aca="false">IF(Presupuesto!$B$36='Flujo de Pagos'!$E20,36,9999)</f>
        <v>36</v>
      </c>
      <c r="BE20" s="0" t="n">
        <f aca="false">IF(Presupuesto!$B$37='Flujo de Pagos'!$E20,37,9999)</f>
        <v>37</v>
      </c>
      <c r="BF20" s="0" t="n">
        <f aca="false">IF(Presupuesto!$B$38='Flujo de Pagos'!$E20,38,9999)</f>
        <v>38</v>
      </c>
      <c r="BG20" s="0" t="n">
        <f aca="false">IF(Presupuesto!$B$39='Flujo de Pagos'!$E20,39,9999)</f>
        <v>39</v>
      </c>
      <c r="BH20" s="0" t="n">
        <f aca="false">IF(Presupuesto!$B$40='Flujo de Pagos'!$E20,40,9999)</f>
        <v>40</v>
      </c>
      <c r="BI20" s="0" t="n">
        <f aca="false">IF(Presupuesto!$B$41='Flujo de Pagos'!$E20,41,9999)</f>
        <v>41</v>
      </c>
      <c r="BJ20" s="0" t="n">
        <f aca="false">IF(Presupuesto!$B$42='Flujo de Pagos'!$E20,42,9999)</f>
        <v>42</v>
      </c>
      <c r="BK20" s="0" t="n">
        <f aca="false">IF(Presupuesto!$B$43='Flujo de Pagos'!$E20,43,9999)</f>
        <v>43</v>
      </c>
      <c r="BL20" s="0" t="n">
        <f aca="false">IF(Presupuesto!$B$44='Flujo de Pagos'!$E20,44,9999)</f>
        <v>44</v>
      </c>
      <c r="BM20" s="0" t="n">
        <f aca="false">IF(Presupuesto!$B$45='Flujo de Pagos'!$E20,45,9999)</f>
        <v>45</v>
      </c>
      <c r="BN20" s="0" t="n">
        <f aca="false">IF(Presupuesto!$B$46='Flujo de Pagos'!$E20,46,9999)</f>
        <v>46</v>
      </c>
      <c r="BO20" s="0" t="n">
        <f aca="false">IF(Presupuesto!$B$47='Flujo de Pagos'!$E20,47,9999)</f>
        <v>47</v>
      </c>
      <c r="BP20" s="0" t="n">
        <f aca="false">IF(Presupuesto!$B$48='Flujo de Pagos'!$E20,48,9999)</f>
        <v>48</v>
      </c>
      <c r="BQ20" s="0" t="n">
        <f aca="false">IF(Presupuesto!$B$49='Flujo de Pagos'!$E20,49,9999)</f>
        <v>49</v>
      </c>
      <c r="BR20" s="0" t="n">
        <f aca="false">IF(Presupuesto!$B$50='Flujo de Pagos'!$E20,50,9999)</f>
        <v>50</v>
      </c>
      <c r="BS20" s="0" t="n">
        <f aca="false">IF(Presupuesto!$B$51='Flujo de Pagos'!$E20,51,9999)</f>
        <v>51</v>
      </c>
      <c r="BT20" s="0" t="n">
        <f aca="false">IF(Presupuesto!$B$52='Flujo de Pagos'!$E20,52,9999)</f>
        <v>52</v>
      </c>
      <c r="BU20" s="0" t="n">
        <f aca="false">IF(Presupuesto!$B$53='Flujo de Pagos'!$E20,53,9999)</f>
        <v>53</v>
      </c>
      <c r="BV20" s="0" t="n">
        <f aca="false">IF(Presupuesto!$B$54='Flujo de Pagos'!$E20,54,9999)</f>
        <v>54</v>
      </c>
      <c r="BW20" s="0" t="n">
        <f aca="false">IF(Presupuesto!$B$55='Flujo de Pagos'!$E20,55,9999)</f>
        <v>55</v>
      </c>
      <c r="BX20" s="0" t="n">
        <f aca="false">IF(Presupuesto!$B$56='Flujo de Pagos'!$E20,56,9999)</f>
        <v>56</v>
      </c>
      <c r="BY20" s="0" t="n">
        <f aca="false">IF(Presupuesto!$B$57='Flujo de Pagos'!$E20,57,9999)</f>
        <v>57</v>
      </c>
      <c r="BZ20" s="0" t="n">
        <f aca="false">IF(Presupuesto!$B$58='Flujo de Pagos'!$E20,58,9999)</f>
        <v>58</v>
      </c>
      <c r="CA20" s="0" t="n">
        <f aca="false">IF(Presupuesto!$B$59='Flujo de Pagos'!$E20,59,9999)</f>
        <v>59</v>
      </c>
      <c r="CB20" s="0" t="n">
        <f aca="false">IF(Presupuesto!$B$60='Flujo de Pagos'!$E20,60,9999)</f>
        <v>60</v>
      </c>
      <c r="CC20" s="0" t="n">
        <f aca="false">IF(Presupuesto!$B$61='Flujo de Pagos'!$E20,61,9999)</f>
        <v>61</v>
      </c>
      <c r="CD20" s="0" t="n">
        <f aca="false">IF(Presupuesto!$B$62='Flujo de Pagos'!$E20,62,9999)</f>
        <v>62</v>
      </c>
      <c r="CE20" s="0" t="n">
        <f aca="false">IF(Presupuesto!$B$63='Flujo de Pagos'!$E20,63,9999)</f>
        <v>63</v>
      </c>
      <c r="CF20" s="0" t="n">
        <f aca="false">IF(Presupuesto!$B$64='Flujo de Pagos'!$E20,64,9999)</f>
        <v>64</v>
      </c>
      <c r="CG20" s="0" t="n">
        <f aca="false">IF(Presupuesto!$B$65='Flujo de Pagos'!$E20,65,9999)</f>
        <v>65</v>
      </c>
      <c r="CH20" s="0" t="n">
        <f aca="false">IF(Presupuesto!$B$66='Flujo de Pagos'!$E20,66,9999)</f>
        <v>66</v>
      </c>
    </row>
    <row r="21" customFormat="false" ht="15" hidden="false" customHeight="true" outlineLevel="0" collapsed="false">
      <c r="A21" s="1" t="n">
        <f aca="false">IF(Presupuesto!B26=Carátula!$B$2,26,9999)</f>
        <v>9999</v>
      </c>
      <c r="B21" s="1" t="n">
        <f aca="false">IF(AND('Flujo de Pagos'!E26=Carátula!$B$2,'Flujo de Pagos'!F26=Carátula!$B$4,'Flujo de Pagos'!H26&lt;&gt;""),26,99999)</f>
        <v>99999</v>
      </c>
      <c r="D21" s="1" t="str">
        <f aca="false">IF(SMALL($A$2:$A$61,20)&gt;=9999,"",INDEX(Presupuesto!$C:$C,SMALL($A$2:$A$61,20)))</f>
        <v/>
      </c>
      <c r="E21" s="1" t="str">
        <f aca="false">IF(SMALL($B$2:$B$501,20)&gt;=99999,"",INDEX('Flujo de Pagos'!$H:$H,SMALL($B$2:$B$501,20)))</f>
        <v/>
      </c>
      <c r="H21" s="1" t="n">
        <f aca="false">IF(SMALL($AA21:$CH21,1)&gt;=9999,"",INDEX(Presupuesto!$C:$C,SMALL($AA21:$CH21,1)))</f>
        <v>0</v>
      </c>
      <c r="I21" s="1" t="n">
        <f aca="false">IF(SMALL($AA21:$CH21,2)&gt;=9999,"",INDEX(Presupuesto!$C:$C,SMALL($AA21:$CH21,2)))</f>
        <v>0</v>
      </c>
      <c r="J21" s="1" t="n">
        <f aca="false">IF(SMALL($AA21:$CH21,3)&gt;=9999,"",INDEX(Presupuesto!$C:$C,SMALL($AA21:$CH21,3)))</f>
        <v>0</v>
      </c>
      <c r="K21" s="1" t="n">
        <f aca="false">IF(SMALL($AA21:$CH21,4)&gt;=9999,"",INDEX(Presupuesto!$C:$C,SMALL($AA21:$CH21,4)))</f>
        <v>0</v>
      </c>
      <c r="L21" s="1" t="n">
        <f aca="false">IF(SMALL($AA21:$CH21,5)&gt;=9999,"",INDEX(Presupuesto!$C:$C,SMALL($AA21:$CH21,5)))</f>
        <v>0</v>
      </c>
      <c r="M21" s="1" t="n">
        <f aca="false">IF(SMALL($AA21:$CH21,6)&gt;=9999,"",INDEX(Presupuesto!$C:$C,SMALL($AA21:$CH21,6)))</f>
        <v>0</v>
      </c>
      <c r="N21" s="1" t="n">
        <f aca="false">IF(SMALL($AA21:$CH21,7)&gt;=9999,"",INDEX(Presupuesto!$C:$C,SMALL($AA21:$CH21,7)))</f>
        <v>0</v>
      </c>
      <c r="O21" s="1" t="n">
        <f aca="false">IF(SMALL($AA21:$CH21,8)&gt;=9999,"",INDEX(Presupuesto!$C:$C,SMALL($AA21:$CH21,8)))</f>
        <v>0</v>
      </c>
      <c r="P21" s="1" t="n">
        <f aca="false">IF(SMALL($AA21:$CH21,9)&gt;=9999,"",INDEX(Presupuesto!$C:$C,SMALL($AA21:$CH21,9)))</f>
        <v>0</v>
      </c>
      <c r="Q21" s="1" t="n">
        <f aca="false">IF(SMALL($AA21:$CH21,10)&gt;=9999,"",INDEX(Presupuesto!$C:$C,SMALL($AA21:$CH21,10)))</f>
        <v>0</v>
      </c>
      <c r="AA21" s="0" t="n">
        <f aca="false">IF(Presupuesto!$B$7='Flujo de Pagos'!$E21,7,9999)</f>
        <v>9999</v>
      </c>
      <c r="AB21" s="0" t="n">
        <f aca="false">IF(Presupuesto!$B$8='Flujo de Pagos'!$E21,8,9999)</f>
        <v>9999</v>
      </c>
      <c r="AC21" s="0" t="n">
        <f aca="false">IF(Presupuesto!$B$9='Flujo de Pagos'!$E21,9,9999)</f>
        <v>9999</v>
      </c>
      <c r="AD21" s="0" t="n">
        <f aca="false">IF(Presupuesto!$B$10='Flujo de Pagos'!$E21,10,9999)</f>
        <v>9999</v>
      </c>
      <c r="AE21" s="0" t="n">
        <f aca="false">IF(Presupuesto!$B$11='Flujo de Pagos'!$E21,11,9999)</f>
        <v>9999</v>
      </c>
      <c r="AF21" s="0" t="n">
        <f aca="false">IF(Presupuesto!$B$12='Flujo de Pagos'!$E21,12,9999)</f>
        <v>12</v>
      </c>
      <c r="AG21" s="0" t="n">
        <f aca="false">IF(Presupuesto!$B$13='Flujo de Pagos'!$E21,13,9999)</f>
        <v>13</v>
      </c>
      <c r="AH21" s="0" t="n">
        <f aca="false">IF(Presupuesto!$B$14='Flujo de Pagos'!$E21,14,9999)</f>
        <v>14</v>
      </c>
      <c r="AI21" s="0" t="n">
        <f aca="false">IF(Presupuesto!$B$15='Flujo de Pagos'!$E21,15,9999)</f>
        <v>15</v>
      </c>
      <c r="AJ21" s="0" t="n">
        <f aca="false">IF(Presupuesto!$B$16='Flujo de Pagos'!$E21,16,9999)</f>
        <v>16</v>
      </c>
      <c r="AK21" s="0" t="n">
        <f aca="false">IF(Presupuesto!$B$17='Flujo de Pagos'!$E21,17,9999)</f>
        <v>17</v>
      </c>
      <c r="AL21" s="0" t="n">
        <f aca="false">IF(Presupuesto!$B$18='Flujo de Pagos'!$E21,18,9999)</f>
        <v>18</v>
      </c>
      <c r="AM21" s="0" t="n">
        <f aca="false">IF(Presupuesto!$B$19='Flujo de Pagos'!$E21,19,9999)</f>
        <v>19</v>
      </c>
      <c r="AN21" s="0" t="n">
        <f aca="false">IF(Presupuesto!$B$20='Flujo de Pagos'!$E21,20,9999)</f>
        <v>20</v>
      </c>
      <c r="AO21" s="0" t="n">
        <f aca="false">IF(Presupuesto!$B$21='Flujo de Pagos'!$E21,21,9999)</f>
        <v>21</v>
      </c>
      <c r="AP21" s="0" t="n">
        <f aca="false">IF(Presupuesto!$B$22='Flujo de Pagos'!$E21,22,9999)</f>
        <v>22</v>
      </c>
      <c r="AQ21" s="0" t="n">
        <f aca="false">IF(Presupuesto!$B$23='Flujo de Pagos'!$E21,23,9999)</f>
        <v>23</v>
      </c>
      <c r="AR21" s="0" t="n">
        <f aca="false">IF(Presupuesto!$B$24='Flujo de Pagos'!$E21,24,9999)</f>
        <v>24</v>
      </c>
      <c r="AS21" s="0" t="n">
        <f aca="false">IF(Presupuesto!$B$25='Flujo de Pagos'!$E21,25,9999)</f>
        <v>25</v>
      </c>
      <c r="AT21" s="0" t="n">
        <f aca="false">IF(Presupuesto!$B$26='Flujo de Pagos'!$E21,26,9999)</f>
        <v>26</v>
      </c>
      <c r="AU21" s="0" t="n">
        <f aca="false">IF(Presupuesto!$B$27='Flujo de Pagos'!$E21,27,9999)</f>
        <v>27</v>
      </c>
      <c r="AV21" s="0" t="n">
        <f aca="false">IF(Presupuesto!$B$28='Flujo de Pagos'!$E21,28,9999)</f>
        <v>28</v>
      </c>
      <c r="AW21" s="0" t="n">
        <f aca="false">IF(Presupuesto!$B$29='Flujo de Pagos'!$E21,29,9999)</f>
        <v>29</v>
      </c>
      <c r="AX21" s="0" t="n">
        <f aca="false">IF(Presupuesto!$B$30='Flujo de Pagos'!$E21,30,9999)</f>
        <v>30</v>
      </c>
      <c r="AY21" s="0" t="n">
        <f aca="false">IF(Presupuesto!$B$31='Flujo de Pagos'!$E21,31,9999)</f>
        <v>31</v>
      </c>
      <c r="AZ21" s="0" t="n">
        <f aca="false">IF(Presupuesto!$B$32='Flujo de Pagos'!$E21,32,9999)</f>
        <v>32</v>
      </c>
      <c r="BA21" s="0" t="n">
        <f aca="false">IF(Presupuesto!$B$33='Flujo de Pagos'!$E21,33,9999)</f>
        <v>33</v>
      </c>
      <c r="BB21" s="0" t="n">
        <f aca="false">IF(Presupuesto!$B$34='Flujo de Pagos'!$E21,34,9999)</f>
        <v>34</v>
      </c>
      <c r="BC21" s="0" t="n">
        <f aca="false">IF(Presupuesto!$B$35='Flujo de Pagos'!$E21,35,9999)</f>
        <v>35</v>
      </c>
      <c r="BD21" s="0" t="n">
        <f aca="false">IF(Presupuesto!$B$36='Flujo de Pagos'!$E21,36,9999)</f>
        <v>36</v>
      </c>
      <c r="BE21" s="0" t="n">
        <f aca="false">IF(Presupuesto!$B$37='Flujo de Pagos'!$E21,37,9999)</f>
        <v>37</v>
      </c>
      <c r="BF21" s="0" t="n">
        <f aca="false">IF(Presupuesto!$B$38='Flujo de Pagos'!$E21,38,9999)</f>
        <v>38</v>
      </c>
      <c r="BG21" s="0" t="n">
        <f aca="false">IF(Presupuesto!$B$39='Flujo de Pagos'!$E21,39,9999)</f>
        <v>39</v>
      </c>
      <c r="BH21" s="0" t="n">
        <f aca="false">IF(Presupuesto!$B$40='Flujo de Pagos'!$E21,40,9999)</f>
        <v>40</v>
      </c>
      <c r="BI21" s="0" t="n">
        <f aca="false">IF(Presupuesto!$B$41='Flujo de Pagos'!$E21,41,9999)</f>
        <v>41</v>
      </c>
      <c r="BJ21" s="0" t="n">
        <f aca="false">IF(Presupuesto!$B$42='Flujo de Pagos'!$E21,42,9999)</f>
        <v>42</v>
      </c>
      <c r="BK21" s="0" t="n">
        <f aca="false">IF(Presupuesto!$B$43='Flujo de Pagos'!$E21,43,9999)</f>
        <v>43</v>
      </c>
      <c r="BL21" s="0" t="n">
        <f aca="false">IF(Presupuesto!$B$44='Flujo de Pagos'!$E21,44,9999)</f>
        <v>44</v>
      </c>
      <c r="BM21" s="0" t="n">
        <f aca="false">IF(Presupuesto!$B$45='Flujo de Pagos'!$E21,45,9999)</f>
        <v>45</v>
      </c>
      <c r="BN21" s="0" t="n">
        <f aca="false">IF(Presupuesto!$B$46='Flujo de Pagos'!$E21,46,9999)</f>
        <v>46</v>
      </c>
      <c r="BO21" s="0" t="n">
        <f aca="false">IF(Presupuesto!$B$47='Flujo de Pagos'!$E21,47,9999)</f>
        <v>47</v>
      </c>
      <c r="BP21" s="0" t="n">
        <f aca="false">IF(Presupuesto!$B$48='Flujo de Pagos'!$E21,48,9999)</f>
        <v>48</v>
      </c>
      <c r="BQ21" s="0" t="n">
        <f aca="false">IF(Presupuesto!$B$49='Flujo de Pagos'!$E21,49,9999)</f>
        <v>49</v>
      </c>
      <c r="BR21" s="0" t="n">
        <f aca="false">IF(Presupuesto!$B$50='Flujo de Pagos'!$E21,50,9999)</f>
        <v>50</v>
      </c>
      <c r="BS21" s="0" t="n">
        <f aca="false">IF(Presupuesto!$B$51='Flujo de Pagos'!$E21,51,9999)</f>
        <v>51</v>
      </c>
      <c r="BT21" s="0" t="n">
        <f aca="false">IF(Presupuesto!$B$52='Flujo de Pagos'!$E21,52,9999)</f>
        <v>52</v>
      </c>
      <c r="BU21" s="0" t="n">
        <f aca="false">IF(Presupuesto!$B$53='Flujo de Pagos'!$E21,53,9999)</f>
        <v>53</v>
      </c>
      <c r="BV21" s="0" t="n">
        <f aca="false">IF(Presupuesto!$B$54='Flujo de Pagos'!$E21,54,9999)</f>
        <v>54</v>
      </c>
      <c r="BW21" s="0" t="n">
        <f aca="false">IF(Presupuesto!$B$55='Flujo de Pagos'!$E21,55,9999)</f>
        <v>55</v>
      </c>
      <c r="BX21" s="0" t="n">
        <f aca="false">IF(Presupuesto!$B$56='Flujo de Pagos'!$E21,56,9999)</f>
        <v>56</v>
      </c>
      <c r="BY21" s="0" t="n">
        <f aca="false">IF(Presupuesto!$B$57='Flujo de Pagos'!$E21,57,9999)</f>
        <v>57</v>
      </c>
      <c r="BZ21" s="0" t="n">
        <f aca="false">IF(Presupuesto!$B$58='Flujo de Pagos'!$E21,58,9999)</f>
        <v>58</v>
      </c>
      <c r="CA21" s="0" t="n">
        <f aca="false">IF(Presupuesto!$B$59='Flujo de Pagos'!$E21,59,9999)</f>
        <v>59</v>
      </c>
      <c r="CB21" s="0" t="n">
        <f aca="false">IF(Presupuesto!$B$60='Flujo de Pagos'!$E21,60,9999)</f>
        <v>60</v>
      </c>
      <c r="CC21" s="0" t="n">
        <f aca="false">IF(Presupuesto!$B$61='Flujo de Pagos'!$E21,61,9999)</f>
        <v>61</v>
      </c>
      <c r="CD21" s="0" t="n">
        <f aca="false">IF(Presupuesto!$B$62='Flujo de Pagos'!$E21,62,9999)</f>
        <v>62</v>
      </c>
      <c r="CE21" s="0" t="n">
        <f aca="false">IF(Presupuesto!$B$63='Flujo de Pagos'!$E21,63,9999)</f>
        <v>63</v>
      </c>
      <c r="CF21" s="0" t="n">
        <f aca="false">IF(Presupuesto!$B$64='Flujo de Pagos'!$E21,64,9999)</f>
        <v>64</v>
      </c>
      <c r="CG21" s="0" t="n">
        <f aca="false">IF(Presupuesto!$B$65='Flujo de Pagos'!$E21,65,9999)</f>
        <v>65</v>
      </c>
      <c r="CH21" s="0" t="n">
        <f aca="false">IF(Presupuesto!$B$66='Flujo de Pagos'!$E21,66,9999)</f>
        <v>66</v>
      </c>
    </row>
    <row r="22" customFormat="false" ht="15" hidden="false" customHeight="true" outlineLevel="0" collapsed="false">
      <c r="A22" s="1" t="n">
        <f aca="false">IF(Presupuesto!B27=Carátula!$B$2,27,9999)</f>
        <v>9999</v>
      </c>
      <c r="B22" s="1" t="n">
        <f aca="false">IF(AND('Flujo de Pagos'!E27=Carátula!$B$2,'Flujo de Pagos'!F27=Carátula!$B$4,'Flujo de Pagos'!H27&lt;&gt;""),27,99999)</f>
        <v>99999</v>
      </c>
      <c r="D22" s="1" t="str">
        <f aca="false">IF(SMALL($A$2:$A$61,21)&gt;=9999,"",INDEX(Presupuesto!$C:$C,SMALL($A$2:$A$61,21)))</f>
        <v/>
      </c>
      <c r="E22" s="1" t="str">
        <f aca="false">IF(SMALL($B$2:$B$501,21)&gt;=99999,"",INDEX('Flujo de Pagos'!$H:$H,SMALL($B$2:$B$501,21)))</f>
        <v/>
      </c>
      <c r="H22" s="1" t="n">
        <f aca="false">IF(SMALL($AA22:$CH22,1)&gt;=9999,"",INDEX(Presupuesto!$C:$C,SMALL($AA22:$CH22,1)))</f>
        <v>0</v>
      </c>
      <c r="I22" s="1" t="n">
        <f aca="false">IF(SMALL($AA22:$CH22,2)&gt;=9999,"",INDEX(Presupuesto!$C:$C,SMALL($AA22:$CH22,2)))</f>
        <v>0</v>
      </c>
      <c r="J22" s="1" t="n">
        <f aca="false">IF(SMALL($AA22:$CH22,3)&gt;=9999,"",INDEX(Presupuesto!$C:$C,SMALL($AA22:$CH22,3)))</f>
        <v>0</v>
      </c>
      <c r="K22" s="1" t="n">
        <f aca="false">IF(SMALL($AA22:$CH22,4)&gt;=9999,"",INDEX(Presupuesto!$C:$C,SMALL($AA22:$CH22,4)))</f>
        <v>0</v>
      </c>
      <c r="L22" s="1" t="n">
        <f aca="false">IF(SMALL($AA22:$CH22,5)&gt;=9999,"",INDEX(Presupuesto!$C:$C,SMALL($AA22:$CH22,5)))</f>
        <v>0</v>
      </c>
      <c r="M22" s="1" t="n">
        <f aca="false">IF(SMALL($AA22:$CH22,6)&gt;=9999,"",INDEX(Presupuesto!$C:$C,SMALL($AA22:$CH22,6)))</f>
        <v>0</v>
      </c>
      <c r="N22" s="1" t="n">
        <f aca="false">IF(SMALL($AA22:$CH22,7)&gt;=9999,"",INDEX(Presupuesto!$C:$C,SMALL($AA22:$CH22,7)))</f>
        <v>0</v>
      </c>
      <c r="O22" s="1" t="n">
        <f aca="false">IF(SMALL($AA22:$CH22,8)&gt;=9999,"",INDEX(Presupuesto!$C:$C,SMALL($AA22:$CH22,8)))</f>
        <v>0</v>
      </c>
      <c r="P22" s="1" t="n">
        <f aca="false">IF(SMALL($AA22:$CH22,9)&gt;=9999,"",INDEX(Presupuesto!$C:$C,SMALL($AA22:$CH22,9)))</f>
        <v>0</v>
      </c>
      <c r="Q22" s="1" t="n">
        <f aca="false">IF(SMALL($AA22:$CH22,10)&gt;=9999,"",INDEX(Presupuesto!$C:$C,SMALL($AA22:$CH22,10)))</f>
        <v>0</v>
      </c>
      <c r="AA22" s="0" t="n">
        <f aca="false">IF(Presupuesto!$B$7='Flujo de Pagos'!$E22,7,9999)</f>
        <v>9999</v>
      </c>
      <c r="AB22" s="0" t="n">
        <f aca="false">IF(Presupuesto!$B$8='Flujo de Pagos'!$E22,8,9999)</f>
        <v>9999</v>
      </c>
      <c r="AC22" s="0" t="n">
        <f aca="false">IF(Presupuesto!$B$9='Flujo de Pagos'!$E22,9,9999)</f>
        <v>9999</v>
      </c>
      <c r="AD22" s="0" t="n">
        <f aca="false">IF(Presupuesto!$B$10='Flujo de Pagos'!$E22,10,9999)</f>
        <v>9999</v>
      </c>
      <c r="AE22" s="0" t="n">
        <f aca="false">IF(Presupuesto!$B$11='Flujo de Pagos'!$E22,11,9999)</f>
        <v>9999</v>
      </c>
      <c r="AF22" s="0" t="n">
        <f aca="false">IF(Presupuesto!$B$12='Flujo de Pagos'!$E22,12,9999)</f>
        <v>12</v>
      </c>
      <c r="AG22" s="0" t="n">
        <f aca="false">IF(Presupuesto!$B$13='Flujo de Pagos'!$E22,13,9999)</f>
        <v>13</v>
      </c>
      <c r="AH22" s="0" t="n">
        <f aca="false">IF(Presupuesto!$B$14='Flujo de Pagos'!$E22,14,9999)</f>
        <v>14</v>
      </c>
      <c r="AI22" s="0" t="n">
        <f aca="false">IF(Presupuesto!$B$15='Flujo de Pagos'!$E22,15,9999)</f>
        <v>15</v>
      </c>
      <c r="AJ22" s="0" t="n">
        <f aca="false">IF(Presupuesto!$B$16='Flujo de Pagos'!$E22,16,9999)</f>
        <v>16</v>
      </c>
      <c r="AK22" s="0" t="n">
        <f aca="false">IF(Presupuesto!$B$17='Flujo de Pagos'!$E22,17,9999)</f>
        <v>17</v>
      </c>
      <c r="AL22" s="0" t="n">
        <f aca="false">IF(Presupuesto!$B$18='Flujo de Pagos'!$E22,18,9999)</f>
        <v>18</v>
      </c>
      <c r="AM22" s="0" t="n">
        <f aca="false">IF(Presupuesto!$B$19='Flujo de Pagos'!$E22,19,9999)</f>
        <v>19</v>
      </c>
      <c r="AN22" s="0" t="n">
        <f aca="false">IF(Presupuesto!$B$20='Flujo de Pagos'!$E22,20,9999)</f>
        <v>20</v>
      </c>
      <c r="AO22" s="0" t="n">
        <f aca="false">IF(Presupuesto!$B$21='Flujo de Pagos'!$E22,21,9999)</f>
        <v>21</v>
      </c>
      <c r="AP22" s="0" t="n">
        <f aca="false">IF(Presupuesto!$B$22='Flujo de Pagos'!$E22,22,9999)</f>
        <v>22</v>
      </c>
      <c r="AQ22" s="0" t="n">
        <f aca="false">IF(Presupuesto!$B$23='Flujo de Pagos'!$E22,23,9999)</f>
        <v>23</v>
      </c>
      <c r="AR22" s="0" t="n">
        <f aca="false">IF(Presupuesto!$B$24='Flujo de Pagos'!$E22,24,9999)</f>
        <v>24</v>
      </c>
      <c r="AS22" s="0" t="n">
        <f aca="false">IF(Presupuesto!$B$25='Flujo de Pagos'!$E22,25,9999)</f>
        <v>25</v>
      </c>
      <c r="AT22" s="0" t="n">
        <f aca="false">IF(Presupuesto!$B$26='Flujo de Pagos'!$E22,26,9999)</f>
        <v>26</v>
      </c>
      <c r="AU22" s="0" t="n">
        <f aca="false">IF(Presupuesto!$B$27='Flujo de Pagos'!$E22,27,9999)</f>
        <v>27</v>
      </c>
      <c r="AV22" s="0" t="n">
        <f aca="false">IF(Presupuesto!$B$28='Flujo de Pagos'!$E22,28,9999)</f>
        <v>28</v>
      </c>
      <c r="AW22" s="0" t="n">
        <f aca="false">IF(Presupuesto!$B$29='Flujo de Pagos'!$E22,29,9999)</f>
        <v>29</v>
      </c>
      <c r="AX22" s="0" t="n">
        <f aca="false">IF(Presupuesto!$B$30='Flujo de Pagos'!$E22,30,9999)</f>
        <v>30</v>
      </c>
      <c r="AY22" s="0" t="n">
        <f aca="false">IF(Presupuesto!$B$31='Flujo de Pagos'!$E22,31,9999)</f>
        <v>31</v>
      </c>
      <c r="AZ22" s="0" t="n">
        <f aca="false">IF(Presupuesto!$B$32='Flujo de Pagos'!$E22,32,9999)</f>
        <v>32</v>
      </c>
      <c r="BA22" s="0" t="n">
        <f aca="false">IF(Presupuesto!$B$33='Flujo de Pagos'!$E22,33,9999)</f>
        <v>33</v>
      </c>
      <c r="BB22" s="0" t="n">
        <f aca="false">IF(Presupuesto!$B$34='Flujo de Pagos'!$E22,34,9999)</f>
        <v>34</v>
      </c>
      <c r="BC22" s="0" t="n">
        <f aca="false">IF(Presupuesto!$B$35='Flujo de Pagos'!$E22,35,9999)</f>
        <v>35</v>
      </c>
      <c r="BD22" s="0" t="n">
        <f aca="false">IF(Presupuesto!$B$36='Flujo de Pagos'!$E22,36,9999)</f>
        <v>36</v>
      </c>
      <c r="BE22" s="0" t="n">
        <f aca="false">IF(Presupuesto!$B$37='Flujo de Pagos'!$E22,37,9999)</f>
        <v>37</v>
      </c>
      <c r="BF22" s="0" t="n">
        <f aca="false">IF(Presupuesto!$B$38='Flujo de Pagos'!$E22,38,9999)</f>
        <v>38</v>
      </c>
      <c r="BG22" s="0" t="n">
        <f aca="false">IF(Presupuesto!$B$39='Flujo de Pagos'!$E22,39,9999)</f>
        <v>39</v>
      </c>
      <c r="BH22" s="0" t="n">
        <f aca="false">IF(Presupuesto!$B$40='Flujo de Pagos'!$E22,40,9999)</f>
        <v>40</v>
      </c>
      <c r="BI22" s="0" t="n">
        <f aca="false">IF(Presupuesto!$B$41='Flujo de Pagos'!$E22,41,9999)</f>
        <v>41</v>
      </c>
      <c r="BJ22" s="0" t="n">
        <f aca="false">IF(Presupuesto!$B$42='Flujo de Pagos'!$E22,42,9999)</f>
        <v>42</v>
      </c>
      <c r="BK22" s="0" t="n">
        <f aca="false">IF(Presupuesto!$B$43='Flujo de Pagos'!$E22,43,9999)</f>
        <v>43</v>
      </c>
      <c r="BL22" s="0" t="n">
        <f aca="false">IF(Presupuesto!$B$44='Flujo de Pagos'!$E22,44,9999)</f>
        <v>44</v>
      </c>
      <c r="BM22" s="0" t="n">
        <f aca="false">IF(Presupuesto!$B$45='Flujo de Pagos'!$E22,45,9999)</f>
        <v>45</v>
      </c>
      <c r="BN22" s="0" t="n">
        <f aca="false">IF(Presupuesto!$B$46='Flujo de Pagos'!$E22,46,9999)</f>
        <v>46</v>
      </c>
      <c r="BO22" s="0" t="n">
        <f aca="false">IF(Presupuesto!$B$47='Flujo de Pagos'!$E22,47,9999)</f>
        <v>47</v>
      </c>
      <c r="BP22" s="0" t="n">
        <f aca="false">IF(Presupuesto!$B$48='Flujo de Pagos'!$E22,48,9999)</f>
        <v>48</v>
      </c>
      <c r="BQ22" s="0" t="n">
        <f aca="false">IF(Presupuesto!$B$49='Flujo de Pagos'!$E22,49,9999)</f>
        <v>49</v>
      </c>
      <c r="BR22" s="0" t="n">
        <f aca="false">IF(Presupuesto!$B$50='Flujo de Pagos'!$E22,50,9999)</f>
        <v>50</v>
      </c>
      <c r="BS22" s="0" t="n">
        <f aca="false">IF(Presupuesto!$B$51='Flujo de Pagos'!$E22,51,9999)</f>
        <v>51</v>
      </c>
      <c r="BT22" s="0" t="n">
        <f aca="false">IF(Presupuesto!$B$52='Flujo de Pagos'!$E22,52,9999)</f>
        <v>52</v>
      </c>
      <c r="BU22" s="0" t="n">
        <f aca="false">IF(Presupuesto!$B$53='Flujo de Pagos'!$E22,53,9999)</f>
        <v>53</v>
      </c>
      <c r="BV22" s="0" t="n">
        <f aca="false">IF(Presupuesto!$B$54='Flujo de Pagos'!$E22,54,9999)</f>
        <v>54</v>
      </c>
      <c r="BW22" s="0" t="n">
        <f aca="false">IF(Presupuesto!$B$55='Flujo de Pagos'!$E22,55,9999)</f>
        <v>55</v>
      </c>
      <c r="BX22" s="0" t="n">
        <f aca="false">IF(Presupuesto!$B$56='Flujo de Pagos'!$E22,56,9999)</f>
        <v>56</v>
      </c>
      <c r="BY22" s="0" t="n">
        <f aca="false">IF(Presupuesto!$B$57='Flujo de Pagos'!$E22,57,9999)</f>
        <v>57</v>
      </c>
      <c r="BZ22" s="0" t="n">
        <f aca="false">IF(Presupuesto!$B$58='Flujo de Pagos'!$E22,58,9999)</f>
        <v>58</v>
      </c>
      <c r="CA22" s="0" t="n">
        <f aca="false">IF(Presupuesto!$B$59='Flujo de Pagos'!$E22,59,9999)</f>
        <v>59</v>
      </c>
      <c r="CB22" s="0" t="n">
        <f aca="false">IF(Presupuesto!$B$60='Flujo de Pagos'!$E22,60,9999)</f>
        <v>60</v>
      </c>
      <c r="CC22" s="0" t="n">
        <f aca="false">IF(Presupuesto!$B$61='Flujo de Pagos'!$E22,61,9999)</f>
        <v>61</v>
      </c>
      <c r="CD22" s="0" t="n">
        <f aca="false">IF(Presupuesto!$B$62='Flujo de Pagos'!$E22,62,9999)</f>
        <v>62</v>
      </c>
      <c r="CE22" s="0" t="n">
        <f aca="false">IF(Presupuesto!$B$63='Flujo de Pagos'!$E22,63,9999)</f>
        <v>63</v>
      </c>
      <c r="CF22" s="0" t="n">
        <f aca="false">IF(Presupuesto!$B$64='Flujo de Pagos'!$E22,64,9999)</f>
        <v>64</v>
      </c>
      <c r="CG22" s="0" t="n">
        <f aca="false">IF(Presupuesto!$B$65='Flujo de Pagos'!$E22,65,9999)</f>
        <v>65</v>
      </c>
      <c r="CH22" s="0" t="n">
        <f aca="false">IF(Presupuesto!$B$66='Flujo de Pagos'!$E22,66,9999)</f>
        <v>66</v>
      </c>
    </row>
    <row r="23" customFormat="false" ht="15" hidden="false" customHeight="true" outlineLevel="0" collapsed="false">
      <c r="A23" s="1" t="n">
        <f aca="false">IF(Presupuesto!B28=Carátula!$B$2,28,9999)</f>
        <v>9999</v>
      </c>
      <c r="B23" s="1" t="n">
        <f aca="false">IF(AND('Flujo de Pagos'!E28=Carátula!$B$2,'Flujo de Pagos'!F28=Carátula!$B$4,'Flujo de Pagos'!H28&lt;&gt;""),28,99999)</f>
        <v>99999</v>
      </c>
      <c r="D23" s="1" t="str">
        <f aca="false">IF(SMALL($A$2:$A$61,22)&gt;=9999,"",INDEX(Presupuesto!$C:$C,SMALL($A$2:$A$61,22)))</f>
        <v/>
      </c>
      <c r="E23" s="1" t="str">
        <f aca="false">IF(SMALL($B$2:$B$501,22)&gt;=99999,"",INDEX('Flujo de Pagos'!$H:$H,SMALL($B$2:$B$501,22)))</f>
        <v/>
      </c>
      <c r="H23" s="1" t="n">
        <f aca="false">IF(SMALL($AA23:$CH23,1)&gt;=9999,"",INDEX(Presupuesto!$C:$C,SMALL($AA23:$CH23,1)))</f>
        <v>0</v>
      </c>
      <c r="I23" s="1" t="n">
        <f aca="false">IF(SMALL($AA23:$CH23,2)&gt;=9999,"",INDEX(Presupuesto!$C:$C,SMALL($AA23:$CH23,2)))</f>
        <v>0</v>
      </c>
      <c r="J23" s="1" t="n">
        <f aca="false">IF(SMALL($AA23:$CH23,3)&gt;=9999,"",INDEX(Presupuesto!$C:$C,SMALL($AA23:$CH23,3)))</f>
        <v>0</v>
      </c>
      <c r="K23" s="1" t="n">
        <f aca="false">IF(SMALL($AA23:$CH23,4)&gt;=9999,"",INDEX(Presupuesto!$C:$C,SMALL($AA23:$CH23,4)))</f>
        <v>0</v>
      </c>
      <c r="L23" s="1" t="n">
        <f aca="false">IF(SMALL($AA23:$CH23,5)&gt;=9999,"",INDEX(Presupuesto!$C:$C,SMALL($AA23:$CH23,5)))</f>
        <v>0</v>
      </c>
      <c r="M23" s="1" t="n">
        <f aca="false">IF(SMALL($AA23:$CH23,6)&gt;=9999,"",INDEX(Presupuesto!$C:$C,SMALL($AA23:$CH23,6)))</f>
        <v>0</v>
      </c>
      <c r="N23" s="1" t="n">
        <f aca="false">IF(SMALL($AA23:$CH23,7)&gt;=9999,"",INDEX(Presupuesto!$C:$C,SMALL($AA23:$CH23,7)))</f>
        <v>0</v>
      </c>
      <c r="O23" s="1" t="n">
        <f aca="false">IF(SMALL($AA23:$CH23,8)&gt;=9999,"",INDEX(Presupuesto!$C:$C,SMALL($AA23:$CH23,8)))</f>
        <v>0</v>
      </c>
      <c r="P23" s="1" t="n">
        <f aca="false">IF(SMALL($AA23:$CH23,9)&gt;=9999,"",INDEX(Presupuesto!$C:$C,SMALL($AA23:$CH23,9)))</f>
        <v>0</v>
      </c>
      <c r="Q23" s="1" t="n">
        <f aca="false">IF(SMALL($AA23:$CH23,10)&gt;=9999,"",INDEX(Presupuesto!$C:$C,SMALL($AA23:$CH23,10)))</f>
        <v>0</v>
      </c>
      <c r="AA23" s="0" t="n">
        <f aca="false">IF(Presupuesto!$B$7='Flujo de Pagos'!$E23,7,9999)</f>
        <v>9999</v>
      </c>
      <c r="AB23" s="0" t="n">
        <f aca="false">IF(Presupuesto!$B$8='Flujo de Pagos'!$E23,8,9999)</f>
        <v>9999</v>
      </c>
      <c r="AC23" s="0" t="n">
        <f aca="false">IF(Presupuesto!$B$9='Flujo de Pagos'!$E23,9,9999)</f>
        <v>9999</v>
      </c>
      <c r="AD23" s="0" t="n">
        <f aca="false">IF(Presupuesto!$B$10='Flujo de Pagos'!$E23,10,9999)</f>
        <v>9999</v>
      </c>
      <c r="AE23" s="0" t="n">
        <f aca="false">IF(Presupuesto!$B$11='Flujo de Pagos'!$E23,11,9999)</f>
        <v>9999</v>
      </c>
      <c r="AF23" s="0" t="n">
        <f aca="false">IF(Presupuesto!$B$12='Flujo de Pagos'!$E23,12,9999)</f>
        <v>12</v>
      </c>
      <c r="AG23" s="0" t="n">
        <f aca="false">IF(Presupuesto!$B$13='Flujo de Pagos'!$E23,13,9999)</f>
        <v>13</v>
      </c>
      <c r="AH23" s="0" t="n">
        <f aca="false">IF(Presupuesto!$B$14='Flujo de Pagos'!$E23,14,9999)</f>
        <v>14</v>
      </c>
      <c r="AI23" s="0" t="n">
        <f aca="false">IF(Presupuesto!$B$15='Flujo de Pagos'!$E23,15,9999)</f>
        <v>15</v>
      </c>
      <c r="AJ23" s="0" t="n">
        <f aca="false">IF(Presupuesto!$B$16='Flujo de Pagos'!$E23,16,9999)</f>
        <v>16</v>
      </c>
      <c r="AK23" s="0" t="n">
        <f aca="false">IF(Presupuesto!$B$17='Flujo de Pagos'!$E23,17,9999)</f>
        <v>17</v>
      </c>
      <c r="AL23" s="0" t="n">
        <f aca="false">IF(Presupuesto!$B$18='Flujo de Pagos'!$E23,18,9999)</f>
        <v>18</v>
      </c>
      <c r="AM23" s="0" t="n">
        <f aca="false">IF(Presupuesto!$B$19='Flujo de Pagos'!$E23,19,9999)</f>
        <v>19</v>
      </c>
      <c r="AN23" s="0" t="n">
        <f aca="false">IF(Presupuesto!$B$20='Flujo de Pagos'!$E23,20,9999)</f>
        <v>20</v>
      </c>
      <c r="AO23" s="0" t="n">
        <f aca="false">IF(Presupuesto!$B$21='Flujo de Pagos'!$E23,21,9999)</f>
        <v>21</v>
      </c>
      <c r="AP23" s="0" t="n">
        <f aca="false">IF(Presupuesto!$B$22='Flujo de Pagos'!$E23,22,9999)</f>
        <v>22</v>
      </c>
      <c r="AQ23" s="0" t="n">
        <f aca="false">IF(Presupuesto!$B$23='Flujo de Pagos'!$E23,23,9999)</f>
        <v>23</v>
      </c>
      <c r="AR23" s="0" t="n">
        <f aca="false">IF(Presupuesto!$B$24='Flujo de Pagos'!$E23,24,9999)</f>
        <v>24</v>
      </c>
      <c r="AS23" s="0" t="n">
        <f aca="false">IF(Presupuesto!$B$25='Flujo de Pagos'!$E23,25,9999)</f>
        <v>25</v>
      </c>
      <c r="AT23" s="0" t="n">
        <f aca="false">IF(Presupuesto!$B$26='Flujo de Pagos'!$E23,26,9999)</f>
        <v>26</v>
      </c>
      <c r="AU23" s="0" t="n">
        <f aca="false">IF(Presupuesto!$B$27='Flujo de Pagos'!$E23,27,9999)</f>
        <v>27</v>
      </c>
      <c r="AV23" s="0" t="n">
        <f aca="false">IF(Presupuesto!$B$28='Flujo de Pagos'!$E23,28,9999)</f>
        <v>28</v>
      </c>
      <c r="AW23" s="0" t="n">
        <f aca="false">IF(Presupuesto!$B$29='Flujo de Pagos'!$E23,29,9999)</f>
        <v>29</v>
      </c>
      <c r="AX23" s="0" t="n">
        <f aca="false">IF(Presupuesto!$B$30='Flujo de Pagos'!$E23,30,9999)</f>
        <v>30</v>
      </c>
      <c r="AY23" s="0" t="n">
        <f aca="false">IF(Presupuesto!$B$31='Flujo de Pagos'!$E23,31,9999)</f>
        <v>31</v>
      </c>
      <c r="AZ23" s="0" t="n">
        <f aca="false">IF(Presupuesto!$B$32='Flujo de Pagos'!$E23,32,9999)</f>
        <v>32</v>
      </c>
      <c r="BA23" s="0" t="n">
        <f aca="false">IF(Presupuesto!$B$33='Flujo de Pagos'!$E23,33,9999)</f>
        <v>33</v>
      </c>
      <c r="BB23" s="0" t="n">
        <f aca="false">IF(Presupuesto!$B$34='Flujo de Pagos'!$E23,34,9999)</f>
        <v>34</v>
      </c>
      <c r="BC23" s="0" t="n">
        <f aca="false">IF(Presupuesto!$B$35='Flujo de Pagos'!$E23,35,9999)</f>
        <v>35</v>
      </c>
      <c r="BD23" s="0" t="n">
        <f aca="false">IF(Presupuesto!$B$36='Flujo de Pagos'!$E23,36,9999)</f>
        <v>36</v>
      </c>
      <c r="BE23" s="0" t="n">
        <f aca="false">IF(Presupuesto!$B$37='Flujo de Pagos'!$E23,37,9999)</f>
        <v>37</v>
      </c>
      <c r="BF23" s="0" t="n">
        <f aca="false">IF(Presupuesto!$B$38='Flujo de Pagos'!$E23,38,9999)</f>
        <v>38</v>
      </c>
      <c r="BG23" s="0" t="n">
        <f aca="false">IF(Presupuesto!$B$39='Flujo de Pagos'!$E23,39,9999)</f>
        <v>39</v>
      </c>
      <c r="BH23" s="0" t="n">
        <f aca="false">IF(Presupuesto!$B$40='Flujo de Pagos'!$E23,40,9999)</f>
        <v>40</v>
      </c>
      <c r="BI23" s="0" t="n">
        <f aca="false">IF(Presupuesto!$B$41='Flujo de Pagos'!$E23,41,9999)</f>
        <v>41</v>
      </c>
      <c r="BJ23" s="0" t="n">
        <f aca="false">IF(Presupuesto!$B$42='Flujo de Pagos'!$E23,42,9999)</f>
        <v>42</v>
      </c>
      <c r="BK23" s="0" t="n">
        <f aca="false">IF(Presupuesto!$B$43='Flujo de Pagos'!$E23,43,9999)</f>
        <v>43</v>
      </c>
      <c r="BL23" s="0" t="n">
        <f aca="false">IF(Presupuesto!$B$44='Flujo de Pagos'!$E23,44,9999)</f>
        <v>44</v>
      </c>
      <c r="BM23" s="0" t="n">
        <f aca="false">IF(Presupuesto!$B$45='Flujo de Pagos'!$E23,45,9999)</f>
        <v>45</v>
      </c>
      <c r="BN23" s="0" t="n">
        <f aca="false">IF(Presupuesto!$B$46='Flujo de Pagos'!$E23,46,9999)</f>
        <v>46</v>
      </c>
      <c r="BO23" s="0" t="n">
        <f aca="false">IF(Presupuesto!$B$47='Flujo de Pagos'!$E23,47,9999)</f>
        <v>47</v>
      </c>
      <c r="BP23" s="0" t="n">
        <f aca="false">IF(Presupuesto!$B$48='Flujo de Pagos'!$E23,48,9999)</f>
        <v>48</v>
      </c>
      <c r="BQ23" s="0" t="n">
        <f aca="false">IF(Presupuesto!$B$49='Flujo de Pagos'!$E23,49,9999)</f>
        <v>49</v>
      </c>
      <c r="BR23" s="0" t="n">
        <f aca="false">IF(Presupuesto!$B$50='Flujo de Pagos'!$E23,50,9999)</f>
        <v>50</v>
      </c>
      <c r="BS23" s="0" t="n">
        <f aca="false">IF(Presupuesto!$B$51='Flujo de Pagos'!$E23,51,9999)</f>
        <v>51</v>
      </c>
      <c r="BT23" s="0" t="n">
        <f aca="false">IF(Presupuesto!$B$52='Flujo de Pagos'!$E23,52,9999)</f>
        <v>52</v>
      </c>
      <c r="BU23" s="0" t="n">
        <f aca="false">IF(Presupuesto!$B$53='Flujo de Pagos'!$E23,53,9999)</f>
        <v>53</v>
      </c>
      <c r="BV23" s="0" t="n">
        <f aca="false">IF(Presupuesto!$B$54='Flujo de Pagos'!$E23,54,9999)</f>
        <v>54</v>
      </c>
      <c r="BW23" s="0" t="n">
        <f aca="false">IF(Presupuesto!$B$55='Flujo de Pagos'!$E23,55,9999)</f>
        <v>55</v>
      </c>
      <c r="BX23" s="0" t="n">
        <f aca="false">IF(Presupuesto!$B$56='Flujo de Pagos'!$E23,56,9999)</f>
        <v>56</v>
      </c>
      <c r="BY23" s="0" t="n">
        <f aca="false">IF(Presupuesto!$B$57='Flujo de Pagos'!$E23,57,9999)</f>
        <v>57</v>
      </c>
      <c r="BZ23" s="0" t="n">
        <f aca="false">IF(Presupuesto!$B$58='Flujo de Pagos'!$E23,58,9999)</f>
        <v>58</v>
      </c>
      <c r="CA23" s="0" t="n">
        <f aca="false">IF(Presupuesto!$B$59='Flujo de Pagos'!$E23,59,9999)</f>
        <v>59</v>
      </c>
      <c r="CB23" s="0" t="n">
        <f aca="false">IF(Presupuesto!$B$60='Flujo de Pagos'!$E23,60,9999)</f>
        <v>60</v>
      </c>
      <c r="CC23" s="0" t="n">
        <f aca="false">IF(Presupuesto!$B$61='Flujo de Pagos'!$E23,61,9999)</f>
        <v>61</v>
      </c>
      <c r="CD23" s="0" t="n">
        <f aca="false">IF(Presupuesto!$B$62='Flujo de Pagos'!$E23,62,9999)</f>
        <v>62</v>
      </c>
      <c r="CE23" s="0" t="n">
        <f aca="false">IF(Presupuesto!$B$63='Flujo de Pagos'!$E23,63,9999)</f>
        <v>63</v>
      </c>
      <c r="CF23" s="0" t="n">
        <f aca="false">IF(Presupuesto!$B$64='Flujo de Pagos'!$E23,64,9999)</f>
        <v>64</v>
      </c>
      <c r="CG23" s="0" t="n">
        <f aca="false">IF(Presupuesto!$B$65='Flujo de Pagos'!$E23,65,9999)</f>
        <v>65</v>
      </c>
      <c r="CH23" s="0" t="n">
        <f aca="false">IF(Presupuesto!$B$66='Flujo de Pagos'!$E23,66,9999)</f>
        <v>66</v>
      </c>
    </row>
    <row r="24" customFormat="false" ht="15" hidden="false" customHeight="true" outlineLevel="0" collapsed="false">
      <c r="A24" s="1" t="n">
        <f aca="false">IF(Presupuesto!B29=Carátula!$B$2,29,9999)</f>
        <v>9999</v>
      </c>
      <c r="B24" s="1" t="n">
        <f aca="false">IF(AND('Flujo de Pagos'!E29=Carátula!$B$2,'Flujo de Pagos'!F29=Carátula!$B$4,'Flujo de Pagos'!H29&lt;&gt;""),29,99999)</f>
        <v>99999</v>
      </c>
      <c r="D24" s="1" t="str">
        <f aca="false">IF(SMALL($A$2:$A$61,23)&gt;=9999,"",INDEX(Presupuesto!$C:$C,SMALL($A$2:$A$61,23)))</f>
        <v/>
      </c>
      <c r="E24" s="1" t="str">
        <f aca="false">IF(SMALL($B$2:$B$501,23)&gt;=99999,"",INDEX('Flujo de Pagos'!$H:$H,SMALL($B$2:$B$501,23)))</f>
        <v/>
      </c>
      <c r="H24" s="1" t="n">
        <f aca="false">IF(SMALL($AA24:$CH24,1)&gt;=9999,"",INDEX(Presupuesto!$C:$C,SMALL($AA24:$CH24,1)))</f>
        <v>0</v>
      </c>
      <c r="I24" s="1" t="n">
        <f aca="false">IF(SMALL($AA24:$CH24,2)&gt;=9999,"",INDEX(Presupuesto!$C:$C,SMALL($AA24:$CH24,2)))</f>
        <v>0</v>
      </c>
      <c r="J24" s="1" t="n">
        <f aca="false">IF(SMALL($AA24:$CH24,3)&gt;=9999,"",INDEX(Presupuesto!$C:$C,SMALL($AA24:$CH24,3)))</f>
        <v>0</v>
      </c>
      <c r="K24" s="1" t="n">
        <f aca="false">IF(SMALL($AA24:$CH24,4)&gt;=9999,"",INDEX(Presupuesto!$C:$C,SMALL($AA24:$CH24,4)))</f>
        <v>0</v>
      </c>
      <c r="L24" s="1" t="n">
        <f aca="false">IF(SMALL($AA24:$CH24,5)&gt;=9999,"",INDEX(Presupuesto!$C:$C,SMALL($AA24:$CH24,5)))</f>
        <v>0</v>
      </c>
      <c r="M24" s="1" t="n">
        <f aca="false">IF(SMALL($AA24:$CH24,6)&gt;=9999,"",INDEX(Presupuesto!$C:$C,SMALL($AA24:$CH24,6)))</f>
        <v>0</v>
      </c>
      <c r="N24" s="1" t="n">
        <f aca="false">IF(SMALL($AA24:$CH24,7)&gt;=9999,"",INDEX(Presupuesto!$C:$C,SMALL($AA24:$CH24,7)))</f>
        <v>0</v>
      </c>
      <c r="O24" s="1" t="n">
        <f aca="false">IF(SMALL($AA24:$CH24,8)&gt;=9999,"",INDEX(Presupuesto!$C:$C,SMALL($AA24:$CH24,8)))</f>
        <v>0</v>
      </c>
      <c r="P24" s="1" t="n">
        <f aca="false">IF(SMALL($AA24:$CH24,9)&gt;=9999,"",INDEX(Presupuesto!$C:$C,SMALL($AA24:$CH24,9)))</f>
        <v>0</v>
      </c>
      <c r="Q24" s="1" t="n">
        <f aca="false">IF(SMALL($AA24:$CH24,10)&gt;=9999,"",INDEX(Presupuesto!$C:$C,SMALL($AA24:$CH24,10)))</f>
        <v>0</v>
      </c>
      <c r="AA24" s="0" t="n">
        <f aca="false">IF(Presupuesto!$B$7='Flujo de Pagos'!$E24,7,9999)</f>
        <v>9999</v>
      </c>
      <c r="AB24" s="0" t="n">
        <f aca="false">IF(Presupuesto!$B$8='Flujo de Pagos'!$E24,8,9999)</f>
        <v>9999</v>
      </c>
      <c r="AC24" s="0" t="n">
        <f aca="false">IF(Presupuesto!$B$9='Flujo de Pagos'!$E24,9,9999)</f>
        <v>9999</v>
      </c>
      <c r="AD24" s="0" t="n">
        <f aca="false">IF(Presupuesto!$B$10='Flujo de Pagos'!$E24,10,9999)</f>
        <v>9999</v>
      </c>
      <c r="AE24" s="0" t="n">
        <f aca="false">IF(Presupuesto!$B$11='Flujo de Pagos'!$E24,11,9999)</f>
        <v>9999</v>
      </c>
      <c r="AF24" s="0" t="n">
        <f aca="false">IF(Presupuesto!$B$12='Flujo de Pagos'!$E24,12,9999)</f>
        <v>12</v>
      </c>
      <c r="AG24" s="0" t="n">
        <f aca="false">IF(Presupuesto!$B$13='Flujo de Pagos'!$E24,13,9999)</f>
        <v>13</v>
      </c>
      <c r="AH24" s="0" t="n">
        <f aca="false">IF(Presupuesto!$B$14='Flujo de Pagos'!$E24,14,9999)</f>
        <v>14</v>
      </c>
      <c r="AI24" s="0" t="n">
        <f aca="false">IF(Presupuesto!$B$15='Flujo de Pagos'!$E24,15,9999)</f>
        <v>15</v>
      </c>
      <c r="AJ24" s="0" t="n">
        <f aca="false">IF(Presupuesto!$B$16='Flujo de Pagos'!$E24,16,9999)</f>
        <v>16</v>
      </c>
      <c r="AK24" s="0" t="n">
        <f aca="false">IF(Presupuesto!$B$17='Flujo de Pagos'!$E24,17,9999)</f>
        <v>17</v>
      </c>
      <c r="AL24" s="0" t="n">
        <f aca="false">IF(Presupuesto!$B$18='Flujo de Pagos'!$E24,18,9999)</f>
        <v>18</v>
      </c>
      <c r="AM24" s="0" t="n">
        <f aca="false">IF(Presupuesto!$B$19='Flujo de Pagos'!$E24,19,9999)</f>
        <v>19</v>
      </c>
      <c r="AN24" s="0" t="n">
        <f aca="false">IF(Presupuesto!$B$20='Flujo de Pagos'!$E24,20,9999)</f>
        <v>20</v>
      </c>
      <c r="AO24" s="0" t="n">
        <f aca="false">IF(Presupuesto!$B$21='Flujo de Pagos'!$E24,21,9999)</f>
        <v>21</v>
      </c>
      <c r="AP24" s="0" t="n">
        <f aca="false">IF(Presupuesto!$B$22='Flujo de Pagos'!$E24,22,9999)</f>
        <v>22</v>
      </c>
      <c r="AQ24" s="0" t="n">
        <f aca="false">IF(Presupuesto!$B$23='Flujo de Pagos'!$E24,23,9999)</f>
        <v>23</v>
      </c>
      <c r="AR24" s="0" t="n">
        <f aca="false">IF(Presupuesto!$B$24='Flujo de Pagos'!$E24,24,9999)</f>
        <v>24</v>
      </c>
      <c r="AS24" s="0" t="n">
        <f aca="false">IF(Presupuesto!$B$25='Flujo de Pagos'!$E24,25,9999)</f>
        <v>25</v>
      </c>
      <c r="AT24" s="0" t="n">
        <f aca="false">IF(Presupuesto!$B$26='Flujo de Pagos'!$E24,26,9999)</f>
        <v>26</v>
      </c>
      <c r="AU24" s="0" t="n">
        <f aca="false">IF(Presupuesto!$B$27='Flujo de Pagos'!$E24,27,9999)</f>
        <v>27</v>
      </c>
      <c r="AV24" s="0" t="n">
        <f aca="false">IF(Presupuesto!$B$28='Flujo de Pagos'!$E24,28,9999)</f>
        <v>28</v>
      </c>
      <c r="AW24" s="0" t="n">
        <f aca="false">IF(Presupuesto!$B$29='Flujo de Pagos'!$E24,29,9999)</f>
        <v>29</v>
      </c>
      <c r="AX24" s="0" t="n">
        <f aca="false">IF(Presupuesto!$B$30='Flujo de Pagos'!$E24,30,9999)</f>
        <v>30</v>
      </c>
      <c r="AY24" s="0" t="n">
        <f aca="false">IF(Presupuesto!$B$31='Flujo de Pagos'!$E24,31,9999)</f>
        <v>31</v>
      </c>
      <c r="AZ24" s="0" t="n">
        <f aca="false">IF(Presupuesto!$B$32='Flujo de Pagos'!$E24,32,9999)</f>
        <v>32</v>
      </c>
      <c r="BA24" s="0" t="n">
        <f aca="false">IF(Presupuesto!$B$33='Flujo de Pagos'!$E24,33,9999)</f>
        <v>33</v>
      </c>
      <c r="BB24" s="0" t="n">
        <f aca="false">IF(Presupuesto!$B$34='Flujo de Pagos'!$E24,34,9999)</f>
        <v>34</v>
      </c>
      <c r="BC24" s="0" t="n">
        <f aca="false">IF(Presupuesto!$B$35='Flujo de Pagos'!$E24,35,9999)</f>
        <v>35</v>
      </c>
      <c r="BD24" s="0" t="n">
        <f aca="false">IF(Presupuesto!$B$36='Flujo de Pagos'!$E24,36,9999)</f>
        <v>36</v>
      </c>
      <c r="BE24" s="0" t="n">
        <f aca="false">IF(Presupuesto!$B$37='Flujo de Pagos'!$E24,37,9999)</f>
        <v>37</v>
      </c>
      <c r="BF24" s="0" t="n">
        <f aca="false">IF(Presupuesto!$B$38='Flujo de Pagos'!$E24,38,9999)</f>
        <v>38</v>
      </c>
      <c r="BG24" s="0" t="n">
        <f aca="false">IF(Presupuesto!$B$39='Flujo de Pagos'!$E24,39,9999)</f>
        <v>39</v>
      </c>
      <c r="BH24" s="0" t="n">
        <f aca="false">IF(Presupuesto!$B$40='Flujo de Pagos'!$E24,40,9999)</f>
        <v>40</v>
      </c>
      <c r="BI24" s="0" t="n">
        <f aca="false">IF(Presupuesto!$B$41='Flujo de Pagos'!$E24,41,9999)</f>
        <v>41</v>
      </c>
      <c r="BJ24" s="0" t="n">
        <f aca="false">IF(Presupuesto!$B$42='Flujo de Pagos'!$E24,42,9999)</f>
        <v>42</v>
      </c>
      <c r="BK24" s="0" t="n">
        <f aca="false">IF(Presupuesto!$B$43='Flujo de Pagos'!$E24,43,9999)</f>
        <v>43</v>
      </c>
      <c r="BL24" s="0" t="n">
        <f aca="false">IF(Presupuesto!$B$44='Flujo de Pagos'!$E24,44,9999)</f>
        <v>44</v>
      </c>
      <c r="BM24" s="0" t="n">
        <f aca="false">IF(Presupuesto!$B$45='Flujo de Pagos'!$E24,45,9999)</f>
        <v>45</v>
      </c>
      <c r="BN24" s="0" t="n">
        <f aca="false">IF(Presupuesto!$B$46='Flujo de Pagos'!$E24,46,9999)</f>
        <v>46</v>
      </c>
      <c r="BO24" s="0" t="n">
        <f aca="false">IF(Presupuesto!$B$47='Flujo de Pagos'!$E24,47,9999)</f>
        <v>47</v>
      </c>
      <c r="BP24" s="0" t="n">
        <f aca="false">IF(Presupuesto!$B$48='Flujo de Pagos'!$E24,48,9999)</f>
        <v>48</v>
      </c>
      <c r="BQ24" s="0" t="n">
        <f aca="false">IF(Presupuesto!$B$49='Flujo de Pagos'!$E24,49,9999)</f>
        <v>49</v>
      </c>
      <c r="BR24" s="0" t="n">
        <f aca="false">IF(Presupuesto!$B$50='Flujo de Pagos'!$E24,50,9999)</f>
        <v>50</v>
      </c>
      <c r="BS24" s="0" t="n">
        <f aca="false">IF(Presupuesto!$B$51='Flujo de Pagos'!$E24,51,9999)</f>
        <v>51</v>
      </c>
      <c r="BT24" s="0" t="n">
        <f aca="false">IF(Presupuesto!$B$52='Flujo de Pagos'!$E24,52,9999)</f>
        <v>52</v>
      </c>
      <c r="BU24" s="0" t="n">
        <f aca="false">IF(Presupuesto!$B$53='Flujo de Pagos'!$E24,53,9999)</f>
        <v>53</v>
      </c>
      <c r="BV24" s="0" t="n">
        <f aca="false">IF(Presupuesto!$B$54='Flujo de Pagos'!$E24,54,9999)</f>
        <v>54</v>
      </c>
      <c r="BW24" s="0" t="n">
        <f aca="false">IF(Presupuesto!$B$55='Flujo de Pagos'!$E24,55,9999)</f>
        <v>55</v>
      </c>
      <c r="BX24" s="0" t="n">
        <f aca="false">IF(Presupuesto!$B$56='Flujo de Pagos'!$E24,56,9999)</f>
        <v>56</v>
      </c>
      <c r="BY24" s="0" t="n">
        <f aca="false">IF(Presupuesto!$B$57='Flujo de Pagos'!$E24,57,9999)</f>
        <v>57</v>
      </c>
      <c r="BZ24" s="0" t="n">
        <f aca="false">IF(Presupuesto!$B$58='Flujo de Pagos'!$E24,58,9999)</f>
        <v>58</v>
      </c>
      <c r="CA24" s="0" t="n">
        <f aca="false">IF(Presupuesto!$B$59='Flujo de Pagos'!$E24,59,9999)</f>
        <v>59</v>
      </c>
      <c r="CB24" s="0" t="n">
        <f aca="false">IF(Presupuesto!$B$60='Flujo de Pagos'!$E24,60,9999)</f>
        <v>60</v>
      </c>
      <c r="CC24" s="0" t="n">
        <f aca="false">IF(Presupuesto!$B$61='Flujo de Pagos'!$E24,61,9999)</f>
        <v>61</v>
      </c>
      <c r="CD24" s="0" t="n">
        <f aca="false">IF(Presupuesto!$B$62='Flujo de Pagos'!$E24,62,9999)</f>
        <v>62</v>
      </c>
      <c r="CE24" s="0" t="n">
        <f aca="false">IF(Presupuesto!$B$63='Flujo de Pagos'!$E24,63,9999)</f>
        <v>63</v>
      </c>
      <c r="CF24" s="0" t="n">
        <f aca="false">IF(Presupuesto!$B$64='Flujo de Pagos'!$E24,64,9999)</f>
        <v>64</v>
      </c>
      <c r="CG24" s="0" t="n">
        <f aca="false">IF(Presupuesto!$B$65='Flujo de Pagos'!$E24,65,9999)</f>
        <v>65</v>
      </c>
      <c r="CH24" s="0" t="n">
        <f aca="false">IF(Presupuesto!$B$66='Flujo de Pagos'!$E24,66,9999)</f>
        <v>66</v>
      </c>
    </row>
    <row r="25" customFormat="false" ht="15" hidden="false" customHeight="true" outlineLevel="0" collapsed="false">
      <c r="A25" s="1" t="n">
        <f aca="false">IF(Presupuesto!B30=Carátula!$B$2,30,9999)</f>
        <v>9999</v>
      </c>
      <c r="B25" s="1" t="n">
        <f aca="false">IF(AND('Flujo de Pagos'!E30=Carátula!$B$2,'Flujo de Pagos'!F30=Carátula!$B$4,'Flujo de Pagos'!H30&lt;&gt;""),30,99999)</f>
        <v>99999</v>
      </c>
      <c r="D25" s="1" t="str">
        <f aca="false">IF(SMALL($A$2:$A$61,24)&gt;=9999,"",INDEX(Presupuesto!$C:$C,SMALL($A$2:$A$61,24)))</f>
        <v/>
      </c>
      <c r="E25" s="1" t="str">
        <f aca="false">IF(SMALL($B$2:$B$501,24)&gt;=99999,"",INDEX('Flujo de Pagos'!$H:$H,SMALL($B$2:$B$501,24)))</f>
        <v/>
      </c>
      <c r="H25" s="1" t="n">
        <f aca="false">IF(SMALL($AA25:$CH25,1)&gt;=9999,"",INDEX(Presupuesto!$C:$C,SMALL($AA25:$CH25,1)))</f>
        <v>0</v>
      </c>
      <c r="I25" s="1" t="n">
        <f aca="false">IF(SMALL($AA25:$CH25,2)&gt;=9999,"",INDEX(Presupuesto!$C:$C,SMALL($AA25:$CH25,2)))</f>
        <v>0</v>
      </c>
      <c r="J25" s="1" t="n">
        <f aca="false">IF(SMALL($AA25:$CH25,3)&gt;=9999,"",INDEX(Presupuesto!$C:$C,SMALL($AA25:$CH25,3)))</f>
        <v>0</v>
      </c>
      <c r="K25" s="1" t="n">
        <f aca="false">IF(SMALL($AA25:$CH25,4)&gt;=9999,"",INDEX(Presupuesto!$C:$C,SMALL($AA25:$CH25,4)))</f>
        <v>0</v>
      </c>
      <c r="L25" s="1" t="n">
        <f aca="false">IF(SMALL($AA25:$CH25,5)&gt;=9999,"",INDEX(Presupuesto!$C:$C,SMALL($AA25:$CH25,5)))</f>
        <v>0</v>
      </c>
      <c r="M25" s="1" t="n">
        <f aca="false">IF(SMALL($AA25:$CH25,6)&gt;=9999,"",INDEX(Presupuesto!$C:$C,SMALL($AA25:$CH25,6)))</f>
        <v>0</v>
      </c>
      <c r="N25" s="1" t="n">
        <f aca="false">IF(SMALL($AA25:$CH25,7)&gt;=9999,"",INDEX(Presupuesto!$C:$C,SMALL($AA25:$CH25,7)))</f>
        <v>0</v>
      </c>
      <c r="O25" s="1" t="n">
        <f aca="false">IF(SMALL($AA25:$CH25,8)&gt;=9999,"",INDEX(Presupuesto!$C:$C,SMALL($AA25:$CH25,8)))</f>
        <v>0</v>
      </c>
      <c r="P25" s="1" t="n">
        <f aca="false">IF(SMALL($AA25:$CH25,9)&gt;=9999,"",INDEX(Presupuesto!$C:$C,SMALL($AA25:$CH25,9)))</f>
        <v>0</v>
      </c>
      <c r="Q25" s="1" t="n">
        <f aca="false">IF(SMALL($AA25:$CH25,10)&gt;=9999,"",INDEX(Presupuesto!$C:$C,SMALL($AA25:$CH25,10)))</f>
        <v>0</v>
      </c>
      <c r="AA25" s="0" t="n">
        <f aca="false">IF(Presupuesto!$B$7='Flujo de Pagos'!$E25,7,9999)</f>
        <v>9999</v>
      </c>
      <c r="AB25" s="0" t="n">
        <f aca="false">IF(Presupuesto!$B$8='Flujo de Pagos'!$E25,8,9999)</f>
        <v>9999</v>
      </c>
      <c r="AC25" s="0" t="n">
        <f aca="false">IF(Presupuesto!$B$9='Flujo de Pagos'!$E25,9,9999)</f>
        <v>9999</v>
      </c>
      <c r="AD25" s="0" t="n">
        <f aca="false">IF(Presupuesto!$B$10='Flujo de Pagos'!$E25,10,9999)</f>
        <v>9999</v>
      </c>
      <c r="AE25" s="0" t="n">
        <f aca="false">IF(Presupuesto!$B$11='Flujo de Pagos'!$E25,11,9999)</f>
        <v>9999</v>
      </c>
      <c r="AF25" s="0" t="n">
        <f aca="false">IF(Presupuesto!$B$12='Flujo de Pagos'!$E25,12,9999)</f>
        <v>12</v>
      </c>
      <c r="AG25" s="0" t="n">
        <f aca="false">IF(Presupuesto!$B$13='Flujo de Pagos'!$E25,13,9999)</f>
        <v>13</v>
      </c>
      <c r="AH25" s="0" t="n">
        <f aca="false">IF(Presupuesto!$B$14='Flujo de Pagos'!$E25,14,9999)</f>
        <v>14</v>
      </c>
      <c r="AI25" s="0" t="n">
        <f aca="false">IF(Presupuesto!$B$15='Flujo de Pagos'!$E25,15,9999)</f>
        <v>15</v>
      </c>
      <c r="AJ25" s="0" t="n">
        <f aca="false">IF(Presupuesto!$B$16='Flujo de Pagos'!$E25,16,9999)</f>
        <v>16</v>
      </c>
      <c r="AK25" s="0" t="n">
        <f aca="false">IF(Presupuesto!$B$17='Flujo de Pagos'!$E25,17,9999)</f>
        <v>17</v>
      </c>
      <c r="AL25" s="0" t="n">
        <f aca="false">IF(Presupuesto!$B$18='Flujo de Pagos'!$E25,18,9999)</f>
        <v>18</v>
      </c>
      <c r="AM25" s="0" t="n">
        <f aca="false">IF(Presupuesto!$B$19='Flujo de Pagos'!$E25,19,9999)</f>
        <v>19</v>
      </c>
      <c r="AN25" s="0" t="n">
        <f aca="false">IF(Presupuesto!$B$20='Flujo de Pagos'!$E25,20,9999)</f>
        <v>20</v>
      </c>
      <c r="AO25" s="0" t="n">
        <f aca="false">IF(Presupuesto!$B$21='Flujo de Pagos'!$E25,21,9999)</f>
        <v>21</v>
      </c>
      <c r="AP25" s="0" t="n">
        <f aca="false">IF(Presupuesto!$B$22='Flujo de Pagos'!$E25,22,9999)</f>
        <v>22</v>
      </c>
      <c r="AQ25" s="0" t="n">
        <f aca="false">IF(Presupuesto!$B$23='Flujo de Pagos'!$E25,23,9999)</f>
        <v>23</v>
      </c>
      <c r="AR25" s="0" t="n">
        <f aca="false">IF(Presupuesto!$B$24='Flujo de Pagos'!$E25,24,9999)</f>
        <v>24</v>
      </c>
      <c r="AS25" s="0" t="n">
        <f aca="false">IF(Presupuesto!$B$25='Flujo de Pagos'!$E25,25,9999)</f>
        <v>25</v>
      </c>
      <c r="AT25" s="0" t="n">
        <f aca="false">IF(Presupuesto!$B$26='Flujo de Pagos'!$E25,26,9999)</f>
        <v>26</v>
      </c>
      <c r="AU25" s="0" t="n">
        <f aca="false">IF(Presupuesto!$B$27='Flujo de Pagos'!$E25,27,9999)</f>
        <v>27</v>
      </c>
      <c r="AV25" s="0" t="n">
        <f aca="false">IF(Presupuesto!$B$28='Flujo de Pagos'!$E25,28,9999)</f>
        <v>28</v>
      </c>
      <c r="AW25" s="0" t="n">
        <f aca="false">IF(Presupuesto!$B$29='Flujo de Pagos'!$E25,29,9999)</f>
        <v>29</v>
      </c>
      <c r="AX25" s="0" t="n">
        <f aca="false">IF(Presupuesto!$B$30='Flujo de Pagos'!$E25,30,9999)</f>
        <v>30</v>
      </c>
      <c r="AY25" s="0" t="n">
        <f aca="false">IF(Presupuesto!$B$31='Flujo de Pagos'!$E25,31,9999)</f>
        <v>31</v>
      </c>
      <c r="AZ25" s="0" t="n">
        <f aca="false">IF(Presupuesto!$B$32='Flujo de Pagos'!$E25,32,9999)</f>
        <v>32</v>
      </c>
      <c r="BA25" s="0" t="n">
        <f aca="false">IF(Presupuesto!$B$33='Flujo de Pagos'!$E25,33,9999)</f>
        <v>33</v>
      </c>
      <c r="BB25" s="0" t="n">
        <f aca="false">IF(Presupuesto!$B$34='Flujo de Pagos'!$E25,34,9999)</f>
        <v>34</v>
      </c>
      <c r="BC25" s="0" t="n">
        <f aca="false">IF(Presupuesto!$B$35='Flujo de Pagos'!$E25,35,9999)</f>
        <v>35</v>
      </c>
      <c r="BD25" s="0" t="n">
        <f aca="false">IF(Presupuesto!$B$36='Flujo de Pagos'!$E25,36,9999)</f>
        <v>36</v>
      </c>
      <c r="BE25" s="0" t="n">
        <f aca="false">IF(Presupuesto!$B$37='Flujo de Pagos'!$E25,37,9999)</f>
        <v>37</v>
      </c>
      <c r="BF25" s="0" t="n">
        <f aca="false">IF(Presupuesto!$B$38='Flujo de Pagos'!$E25,38,9999)</f>
        <v>38</v>
      </c>
      <c r="BG25" s="0" t="n">
        <f aca="false">IF(Presupuesto!$B$39='Flujo de Pagos'!$E25,39,9999)</f>
        <v>39</v>
      </c>
      <c r="BH25" s="0" t="n">
        <f aca="false">IF(Presupuesto!$B$40='Flujo de Pagos'!$E25,40,9999)</f>
        <v>40</v>
      </c>
      <c r="BI25" s="0" t="n">
        <f aca="false">IF(Presupuesto!$B$41='Flujo de Pagos'!$E25,41,9999)</f>
        <v>41</v>
      </c>
      <c r="BJ25" s="0" t="n">
        <f aca="false">IF(Presupuesto!$B$42='Flujo de Pagos'!$E25,42,9999)</f>
        <v>42</v>
      </c>
      <c r="BK25" s="0" t="n">
        <f aca="false">IF(Presupuesto!$B$43='Flujo de Pagos'!$E25,43,9999)</f>
        <v>43</v>
      </c>
      <c r="BL25" s="0" t="n">
        <f aca="false">IF(Presupuesto!$B$44='Flujo de Pagos'!$E25,44,9999)</f>
        <v>44</v>
      </c>
      <c r="BM25" s="0" t="n">
        <f aca="false">IF(Presupuesto!$B$45='Flujo de Pagos'!$E25,45,9999)</f>
        <v>45</v>
      </c>
      <c r="BN25" s="0" t="n">
        <f aca="false">IF(Presupuesto!$B$46='Flujo de Pagos'!$E25,46,9999)</f>
        <v>46</v>
      </c>
      <c r="BO25" s="0" t="n">
        <f aca="false">IF(Presupuesto!$B$47='Flujo de Pagos'!$E25,47,9999)</f>
        <v>47</v>
      </c>
      <c r="BP25" s="0" t="n">
        <f aca="false">IF(Presupuesto!$B$48='Flujo de Pagos'!$E25,48,9999)</f>
        <v>48</v>
      </c>
      <c r="BQ25" s="0" t="n">
        <f aca="false">IF(Presupuesto!$B$49='Flujo de Pagos'!$E25,49,9999)</f>
        <v>49</v>
      </c>
      <c r="BR25" s="0" t="n">
        <f aca="false">IF(Presupuesto!$B$50='Flujo de Pagos'!$E25,50,9999)</f>
        <v>50</v>
      </c>
      <c r="BS25" s="0" t="n">
        <f aca="false">IF(Presupuesto!$B$51='Flujo de Pagos'!$E25,51,9999)</f>
        <v>51</v>
      </c>
      <c r="BT25" s="0" t="n">
        <f aca="false">IF(Presupuesto!$B$52='Flujo de Pagos'!$E25,52,9999)</f>
        <v>52</v>
      </c>
      <c r="BU25" s="0" t="n">
        <f aca="false">IF(Presupuesto!$B$53='Flujo de Pagos'!$E25,53,9999)</f>
        <v>53</v>
      </c>
      <c r="BV25" s="0" t="n">
        <f aca="false">IF(Presupuesto!$B$54='Flujo de Pagos'!$E25,54,9999)</f>
        <v>54</v>
      </c>
      <c r="BW25" s="0" t="n">
        <f aca="false">IF(Presupuesto!$B$55='Flujo de Pagos'!$E25,55,9999)</f>
        <v>55</v>
      </c>
      <c r="BX25" s="0" t="n">
        <f aca="false">IF(Presupuesto!$B$56='Flujo de Pagos'!$E25,56,9999)</f>
        <v>56</v>
      </c>
      <c r="BY25" s="0" t="n">
        <f aca="false">IF(Presupuesto!$B$57='Flujo de Pagos'!$E25,57,9999)</f>
        <v>57</v>
      </c>
      <c r="BZ25" s="0" t="n">
        <f aca="false">IF(Presupuesto!$B$58='Flujo de Pagos'!$E25,58,9999)</f>
        <v>58</v>
      </c>
      <c r="CA25" s="0" t="n">
        <f aca="false">IF(Presupuesto!$B$59='Flujo de Pagos'!$E25,59,9999)</f>
        <v>59</v>
      </c>
      <c r="CB25" s="0" t="n">
        <f aca="false">IF(Presupuesto!$B$60='Flujo de Pagos'!$E25,60,9999)</f>
        <v>60</v>
      </c>
      <c r="CC25" s="0" t="n">
        <f aca="false">IF(Presupuesto!$B$61='Flujo de Pagos'!$E25,61,9999)</f>
        <v>61</v>
      </c>
      <c r="CD25" s="0" t="n">
        <f aca="false">IF(Presupuesto!$B$62='Flujo de Pagos'!$E25,62,9999)</f>
        <v>62</v>
      </c>
      <c r="CE25" s="0" t="n">
        <f aca="false">IF(Presupuesto!$B$63='Flujo de Pagos'!$E25,63,9999)</f>
        <v>63</v>
      </c>
      <c r="CF25" s="0" t="n">
        <f aca="false">IF(Presupuesto!$B$64='Flujo de Pagos'!$E25,64,9999)</f>
        <v>64</v>
      </c>
      <c r="CG25" s="0" t="n">
        <f aca="false">IF(Presupuesto!$B$65='Flujo de Pagos'!$E25,65,9999)</f>
        <v>65</v>
      </c>
      <c r="CH25" s="0" t="n">
        <f aca="false">IF(Presupuesto!$B$66='Flujo de Pagos'!$E25,66,9999)</f>
        <v>66</v>
      </c>
    </row>
    <row r="26" customFormat="false" ht="15" hidden="false" customHeight="true" outlineLevel="0" collapsed="false">
      <c r="A26" s="1" t="n">
        <f aca="false">IF(Presupuesto!B31=Carátula!$B$2,31,9999)</f>
        <v>9999</v>
      </c>
      <c r="B26" s="1" t="n">
        <f aca="false">IF(AND('Flujo de Pagos'!E31=Carátula!$B$2,'Flujo de Pagos'!F31=Carátula!$B$4,'Flujo de Pagos'!H31&lt;&gt;""),31,99999)</f>
        <v>99999</v>
      </c>
      <c r="D26" s="1" t="str">
        <f aca="false">IF(SMALL($A$2:$A$61,25)&gt;=9999,"",INDEX(Presupuesto!$C:$C,SMALL($A$2:$A$61,25)))</f>
        <v/>
      </c>
      <c r="E26" s="1" t="str">
        <f aca="false">IF(SMALL($B$2:$B$501,25)&gt;=99999,"",INDEX('Flujo de Pagos'!$H:$H,SMALL($B$2:$B$501,25)))</f>
        <v/>
      </c>
      <c r="H26" s="1" t="n">
        <f aca="false">IF(SMALL($AA26:$CH26,1)&gt;=9999,"",INDEX(Presupuesto!$C:$C,SMALL($AA26:$CH26,1)))</f>
        <v>0</v>
      </c>
      <c r="I26" s="1" t="n">
        <f aca="false">IF(SMALL($AA26:$CH26,2)&gt;=9999,"",INDEX(Presupuesto!$C:$C,SMALL($AA26:$CH26,2)))</f>
        <v>0</v>
      </c>
      <c r="J26" s="1" t="n">
        <f aca="false">IF(SMALL($AA26:$CH26,3)&gt;=9999,"",INDEX(Presupuesto!$C:$C,SMALL($AA26:$CH26,3)))</f>
        <v>0</v>
      </c>
      <c r="K26" s="1" t="n">
        <f aca="false">IF(SMALL($AA26:$CH26,4)&gt;=9999,"",INDEX(Presupuesto!$C:$C,SMALL($AA26:$CH26,4)))</f>
        <v>0</v>
      </c>
      <c r="L26" s="1" t="n">
        <f aca="false">IF(SMALL($AA26:$CH26,5)&gt;=9999,"",INDEX(Presupuesto!$C:$C,SMALL($AA26:$CH26,5)))</f>
        <v>0</v>
      </c>
      <c r="M26" s="1" t="n">
        <f aca="false">IF(SMALL($AA26:$CH26,6)&gt;=9999,"",INDEX(Presupuesto!$C:$C,SMALL($AA26:$CH26,6)))</f>
        <v>0</v>
      </c>
      <c r="N26" s="1" t="n">
        <f aca="false">IF(SMALL($AA26:$CH26,7)&gt;=9999,"",INDEX(Presupuesto!$C:$C,SMALL($AA26:$CH26,7)))</f>
        <v>0</v>
      </c>
      <c r="O26" s="1" t="n">
        <f aca="false">IF(SMALL($AA26:$CH26,8)&gt;=9999,"",INDEX(Presupuesto!$C:$C,SMALL($AA26:$CH26,8)))</f>
        <v>0</v>
      </c>
      <c r="P26" s="1" t="n">
        <f aca="false">IF(SMALL($AA26:$CH26,9)&gt;=9999,"",INDEX(Presupuesto!$C:$C,SMALL($AA26:$CH26,9)))</f>
        <v>0</v>
      </c>
      <c r="Q26" s="1" t="n">
        <f aca="false">IF(SMALL($AA26:$CH26,10)&gt;=9999,"",INDEX(Presupuesto!$C:$C,SMALL($AA26:$CH26,10)))</f>
        <v>0</v>
      </c>
      <c r="AA26" s="0" t="n">
        <f aca="false">IF(Presupuesto!$B$7='Flujo de Pagos'!$E26,7,9999)</f>
        <v>9999</v>
      </c>
      <c r="AB26" s="0" t="n">
        <f aca="false">IF(Presupuesto!$B$8='Flujo de Pagos'!$E26,8,9999)</f>
        <v>9999</v>
      </c>
      <c r="AC26" s="0" t="n">
        <f aca="false">IF(Presupuesto!$B$9='Flujo de Pagos'!$E26,9,9999)</f>
        <v>9999</v>
      </c>
      <c r="AD26" s="0" t="n">
        <f aca="false">IF(Presupuesto!$B$10='Flujo de Pagos'!$E26,10,9999)</f>
        <v>9999</v>
      </c>
      <c r="AE26" s="0" t="n">
        <f aca="false">IF(Presupuesto!$B$11='Flujo de Pagos'!$E26,11,9999)</f>
        <v>9999</v>
      </c>
      <c r="AF26" s="0" t="n">
        <f aca="false">IF(Presupuesto!$B$12='Flujo de Pagos'!$E26,12,9999)</f>
        <v>12</v>
      </c>
      <c r="AG26" s="0" t="n">
        <f aca="false">IF(Presupuesto!$B$13='Flujo de Pagos'!$E26,13,9999)</f>
        <v>13</v>
      </c>
      <c r="AH26" s="0" t="n">
        <f aca="false">IF(Presupuesto!$B$14='Flujo de Pagos'!$E26,14,9999)</f>
        <v>14</v>
      </c>
      <c r="AI26" s="0" t="n">
        <f aca="false">IF(Presupuesto!$B$15='Flujo de Pagos'!$E26,15,9999)</f>
        <v>15</v>
      </c>
      <c r="AJ26" s="0" t="n">
        <f aca="false">IF(Presupuesto!$B$16='Flujo de Pagos'!$E26,16,9999)</f>
        <v>16</v>
      </c>
      <c r="AK26" s="0" t="n">
        <f aca="false">IF(Presupuesto!$B$17='Flujo de Pagos'!$E26,17,9999)</f>
        <v>17</v>
      </c>
      <c r="AL26" s="0" t="n">
        <f aca="false">IF(Presupuesto!$B$18='Flujo de Pagos'!$E26,18,9999)</f>
        <v>18</v>
      </c>
      <c r="AM26" s="0" t="n">
        <f aca="false">IF(Presupuesto!$B$19='Flujo de Pagos'!$E26,19,9999)</f>
        <v>19</v>
      </c>
      <c r="AN26" s="0" t="n">
        <f aca="false">IF(Presupuesto!$B$20='Flujo de Pagos'!$E26,20,9999)</f>
        <v>20</v>
      </c>
      <c r="AO26" s="0" t="n">
        <f aca="false">IF(Presupuesto!$B$21='Flujo de Pagos'!$E26,21,9999)</f>
        <v>21</v>
      </c>
      <c r="AP26" s="0" t="n">
        <f aca="false">IF(Presupuesto!$B$22='Flujo de Pagos'!$E26,22,9999)</f>
        <v>22</v>
      </c>
      <c r="AQ26" s="0" t="n">
        <f aca="false">IF(Presupuesto!$B$23='Flujo de Pagos'!$E26,23,9999)</f>
        <v>23</v>
      </c>
      <c r="AR26" s="0" t="n">
        <f aca="false">IF(Presupuesto!$B$24='Flujo de Pagos'!$E26,24,9999)</f>
        <v>24</v>
      </c>
      <c r="AS26" s="0" t="n">
        <f aca="false">IF(Presupuesto!$B$25='Flujo de Pagos'!$E26,25,9999)</f>
        <v>25</v>
      </c>
      <c r="AT26" s="0" t="n">
        <f aca="false">IF(Presupuesto!$B$26='Flujo de Pagos'!$E26,26,9999)</f>
        <v>26</v>
      </c>
      <c r="AU26" s="0" t="n">
        <f aca="false">IF(Presupuesto!$B$27='Flujo de Pagos'!$E26,27,9999)</f>
        <v>27</v>
      </c>
      <c r="AV26" s="0" t="n">
        <f aca="false">IF(Presupuesto!$B$28='Flujo de Pagos'!$E26,28,9999)</f>
        <v>28</v>
      </c>
      <c r="AW26" s="0" t="n">
        <f aca="false">IF(Presupuesto!$B$29='Flujo de Pagos'!$E26,29,9999)</f>
        <v>29</v>
      </c>
      <c r="AX26" s="0" t="n">
        <f aca="false">IF(Presupuesto!$B$30='Flujo de Pagos'!$E26,30,9999)</f>
        <v>30</v>
      </c>
      <c r="AY26" s="0" t="n">
        <f aca="false">IF(Presupuesto!$B$31='Flujo de Pagos'!$E26,31,9999)</f>
        <v>31</v>
      </c>
      <c r="AZ26" s="0" t="n">
        <f aca="false">IF(Presupuesto!$B$32='Flujo de Pagos'!$E26,32,9999)</f>
        <v>32</v>
      </c>
      <c r="BA26" s="0" t="n">
        <f aca="false">IF(Presupuesto!$B$33='Flujo de Pagos'!$E26,33,9999)</f>
        <v>33</v>
      </c>
      <c r="BB26" s="0" t="n">
        <f aca="false">IF(Presupuesto!$B$34='Flujo de Pagos'!$E26,34,9999)</f>
        <v>34</v>
      </c>
      <c r="BC26" s="0" t="n">
        <f aca="false">IF(Presupuesto!$B$35='Flujo de Pagos'!$E26,35,9999)</f>
        <v>35</v>
      </c>
      <c r="BD26" s="0" t="n">
        <f aca="false">IF(Presupuesto!$B$36='Flujo de Pagos'!$E26,36,9999)</f>
        <v>36</v>
      </c>
      <c r="BE26" s="0" t="n">
        <f aca="false">IF(Presupuesto!$B$37='Flujo de Pagos'!$E26,37,9999)</f>
        <v>37</v>
      </c>
      <c r="BF26" s="0" t="n">
        <f aca="false">IF(Presupuesto!$B$38='Flujo de Pagos'!$E26,38,9999)</f>
        <v>38</v>
      </c>
      <c r="BG26" s="0" t="n">
        <f aca="false">IF(Presupuesto!$B$39='Flujo de Pagos'!$E26,39,9999)</f>
        <v>39</v>
      </c>
      <c r="BH26" s="0" t="n">
        <f aca="false">IF(Presupuesto!$B$40='Flujo de Pagos'!$E26,40,9999)</f>
        <v>40</v>
      </c>
      <c r="BI26" s="0" t="n">
        <f aca="false">IF(Presupuesto!$B$41='Flujo de Pagos'!$E26,41,9999)</f>
        <v>41</v>
      </c>
      <c r="BJ26" s="0" t="n">
        <f aca="false">IF(Presupuesto!$B$42='Flujo de Pagos'!$E26,42,9999)</f>
        <v>42</v>
      </c>
      <c r="BK26" s="0" t="n">
        <f aca="false">IF(Presupuesto!$B$43='Flujo de Pagos'!$E26,43,9999)</f>
        <v>43</v>
      </c>
      <c r="BL26" s="0" t="n">
        <f aca="false">IF(Presupuesto!$B$44='Flujo de Pagos'!$E26,44,9999)</f>
        <v>44</v>
      </c>
      <c r="BM26" s="0" t="n">
        <f aca="false">IF(Presupuesto!$B$45='Flujo de Pagos'!$E26,45,9999)</f>
        <v>45</v>
      </c>
      <c r="BN26" s="0" t="n">
        <f aca="false">IF(Presupuesto!$B$46='Flujo de Pagos'!$E26,46,9999)</f>
        <v>46</v>
      </c>
      <c r="BO26" s="0" t="n">
        <f aca="false">IF(Presupuesto!$B$47='Flujo de Pagos'!$E26,47,9999)</f>
        <v>47</v>
      </c>
      <c r="BP26" s="0" t="n">
        <f aca="false">IF(Presupuesto!$B$48='Flujo de Pagos'!$E26,48,9999)</f>
        <v>48</v>
      </c>
      <c r="BQ26" s="0" t="n">
        <f aca="false">IF(Presupuesto!$B$49='Flujo de Pagos'!$E26,49,9999)</f>
        <v>49</v>
      </c>
      <c r="BR26" s="0" t="n">
        <f aca="false">IF(Presupuesto!$B$50='Flujo de Pagos'!$E26,50,9999)</f>
        <v>50</v>
      </c>
      <c r="BS26" s="0" t="n">
        <f aca="false">IF(Presupuesto!$B$51='Flujo de Pagos'!$E26,51,9999)</f>
        <v>51</v>
      </c>
      <c r="BT26" s="0" t="n">
        <f aca="false">IF(Presupuesto!$B$52='Flujo de Pagos'!$E26,52,9999)</f>
        <v>52</v>
      </c>
      <c r="BU26" s="0" t="n">
        <f aca="false">IF(Presupuesto!$B$53='Flujo de Pagos'!$E26,53,9999)</f>
        <v>53</v>
      </c>
      <c r="BV26" s="0" t="n">
        <f aca="false">IF(Presupuesto!$B$54='Flujo de Pagos'!$E26,54,9999)</f>
        <v>54</v>
      </c>
      <c r="BW26" s="0" t="n">
        <f aca="false">IF(Presupuesto!$B$55='Flujo de Pagos'!$E26,55,9999)</f>
        <v>55</v>
      </c>
      <c r="BX26" s="0" t="n">
        <f aca="false">IF(Presupuesto!$B$56='Flujo de Pagos'!$E26,56,9999)</f>
        <v>56</v>
      </c>
      <c r="BY26" s="0" t="n">
        <f aca="false">IF(Presupuesto!$B$57='Flujo de Pagos'!$E26,57,9999)</f>
        <v>57</v>
      </c>
      <c r="BZ26" s="0" t="n">
        <f aca="false">IF(Presupuesto!$B$58='Flujo de Pagos'!$E26,58,9999)</f>
        <v>58</v>
      </c>
      <c r="CA26" s="0" t="n">
        <f aca="false">IF(Presupuesto!$B$59='Flujo de Pagos'!$E26,59,9999)</f>
        <v>59</v>
      </c>
      <c r="CB26" s="0" t="n">
        <f aca="false">IF(Presupuesto!$B$60='Flujo de Pagos'!$E26,60,9999)</f>
        <v>60</v>
      </c>
      <c r="CC26" s="0" t="n">
        <f aca="false">IF(Presupuesto!$B$61='Flujo de Pagos'!$E26,61,9999)</f>
        <v>61</v>
      </c>
      <c r="CD26" s="0" t="n">
        <f aca="false">IF(Presupuesto!$B$62='Flujo de Pagos'!$E26,62,9999)</f>
        <v>62</v>
      </c>
      <c r="CE26" s="0" t="n">
        <f aca="false">IF(Presupuesto!$B$63='Flujo de Pagos'!$E26,63,9999)</f>
        <v>63</v>
      </c>
      <c r="CF26" s="0" t="n">
        <f aca="false">IF(Presupuesto!$B$64='Flujo de Pagos'!$E26,64,9999)</f>
        <v>64</v>
      </c>
      <c r="CG26" s="0" t="n">
        <f aca="false">IF(Presupuesto!$B$65='Flujo de Pagos'!$E26,65,9999)</f>
        <v>65</v>
      </c>
      <c r="CH26" s="0" t="n">
        <f aca="false">IF(Presupuesto!$B$66='Flujo de Pagos'!$E26,66,9999)</f>
        <v>66</v>
      </c>
    </row>
    <row r="27" customFormat="false" ht="15" hidden="false" customHeight="true" outlineLevel="0" collapsed="false">
      <c r="A27" s="1" t="n">
        <f aca="false">IF(Presupuesto!B32=Carátula!$B$2,32,9999)</f>
        <v>9999</v>
      </c>
      <c r="B27" s="1" t="n">
        <f aca="false">IF(AND('Flujo de Pagos'!E32=Carátula!$B$2,'Flujo de Pagos'!F32=Carátula!$B$4,'Flujo de Pagos'!H32&lt;&gt;""),32,99999)</f>
        <v>99999</v>
      </c>
      <c r="D27" s="1" t="str">
        <f aca="false">IF(SMALL($A$2:$A$61,26)&gt;=9999,"",INDEX(Presupuesto!$C:$C,SMALL($A$2:$A$61,26)))</f>
        <v/>
      </c>
      <c r="E27" s="1" t="str">
        <f aca="false">IF(SMALL($B$2:$B$501,26)&gt;=99999,"",INDEX('Flujo de Pagos'!$H:$H,SMALL($B$2:$B$501,26)))</f>
        <v/>
      </c>
      <c r="H27" s="1" t="n">
        <f aca="false">IF(SMALL($AA27:$CH27,1)&gt;=9999,"",INDEX(Presupuesto!$C:$C,SMALL($AA27:$CH27,1)))</f>
        <v>0</v>
      </c>
      <c r="I27" s="1" t="n">
        <f aca="false">IF(SMALL($AA27:$CH27,2)&gt;=9999,"",INDEX(Presupuesto!$C:$C,SMALL($AA27:$CH27,2)))</f>
        <v>0</v>
      </c>
      <c r="J27" s="1" t="n">
        <f aca="false">IF(SMALL($AA27:$CH27,3)&gt;=9999,"",INDEX(Presupuesto!$C:$C,SMALL($AA27:$CH27,3)))</f>
        <v>0</v>
      </c>
      <c r="K27" s="1" t="n">
        <f aca="false">IF(SMALL($AA27:$CH27,4)&gt;=9999,"",INDEX(Presupuesto!$C:$C,SMALL($AA27:$CH27,4)))</f>
        <v>0</v>
      </c>
      <c r="L27" s="1" t="n">
        <f aca="false">IF(SMALL($AA27:$CH27,5)&gt;=9999,"",INDEX(Presupuesto!$C:$C,SMALL($AA27:$CH27,5)))</f>
        <v>0</v>
      </c>
      <c r="M27" s="1" t="n">
        <f aca="false">IF(SMALL($AA27:$CH27,6)&gt;=9999,"",INDEX(Presupuesto!$C:$C,SMALL($AA27:$CH27,6)))</f>
        <v>0</v>
      </c>
      <c r="N27" s="1" t="n">
        <f aca="false">IF(SMALL($AA27:$CH27,7)&gt;=9999,"",INDEX(Presupuesto!$C:$C,SMALL($AA27:$CH27,7)))</f>
        <v>0</v>
      </c>
      <c r="O27" s="1" t="n">
        <f aca="false">IF(SMALL($AA27:$CH27,8)&gt;=9999,"",INDEX(Presupuesto!$C:$C,SMALL($AA27:$CH27,8)))</f>
        <v>0</v>
      </c>
      <c r="P27" s="1" t="n">
        <f aca="false">IF(SMALL($AA27:$CH27,9)&gt;=9999,"",INDEX(Presupuesto!$C:$C,SMALL($AA27:$CH27,9)))</f>
        <v>0</v>
      </c>
      <c r="Q27" s="1" t="n">
        <f aca="false">IF(SMALL($AA27:$CH27,10)&gt;=9999,"",INDEX(Presupuesto!$C:$C,SMALL($AA27:$CH27,10)))</f>
        <v>0</v>
      </c>
      <c r="AA27" s="0" t="n">
        <f aca="false">IF(Presupuesto!$B$7='Flujo de Pagos'!$E27,7,9999)</f>
        <v>9999</v>
      </c>
      <c r="AB27" s="0" t="n">
        <f aca="false">IF(Presupuesto!$B$8='Flujo de Pagos'!$E27,8,9999)</f>
        <v>9999</v>
      </c>
      <c r="AC27" s="0" t="n">
        <f aca="false">IF(Presupuesto!$B$9='Flujo de Pagos'!$E27,9,9999)</f>
        <v>9999</v>
      </c>
      <c r="AD27" s="0" t="n">
        <f aca="false">IF(Presupuesto!$B$10='Flujo de Pagos'!$E27,10,9999)</f>
        <v>9999</v>
      </c>
      <c r="AE27" s="0" t="n">
        <f aca="false">IF(Presupuesto!$B$11='Flujo de Pagos'!$E27,11,9999)</f>
        <v>9999</v>
      </c>
      <c r="AF27" s="0" t="n">
        <f aca="false">IF(Presupuesto!$B$12='Flujo de Pagos'!$E27,12,9999)</f>
        <v>12</v>
      </c>
      <c r="AG27" s="0" t="n">
        <f aca="false">IF(Presupuesto!$B$13='Flujo de Pagos'!$E27,13,9999)</f>
        <v>13</v>
      </c>
      <c r="AH27" s="0" t="n">
        <f aca="false">IF(Presupuesto!$B$14='Flujo de Pagos'!$E27,14,9999)</f>
        <v>14</v>
      </c>
      <c r="AI27" s="0" t="n">
        <f aca="false">IF(Presupuesto!$B$15='Flujo de Pagos'!$E27,15,9999)</f>
        <v>15</v>
      </c>
      <c r="AJ27" s="0" t="n">
        <f aca="false">IF(Presupuesto!$B$16='Flujo de Pagos'!$E27,16,9999)</f>
        <v>16</v>
      </c>
      <c r="AK27" s="0" t="n">
        <f aca="false">IF(Presupuesto!$B$17='Flujo de Pagos'!$E27,17,9999)</f>
        <v>17</v>
      </c>
      <c r="AL27" s="0" t="n">
        <f aca="false">IF(Presupuesto!$B$18='Flujo de Pagos'!$E27,18,9999)</f>
        <v>18</v>
      </c>
      <c r="AM27" s="0" t="n">
        <f aca="false">IF(Presupuesto!$B$19='Flujo de Pagos'!$E27,19,9999)</f>
        <v>19</v>
      </c>
      <c r="AN27" s="0" t="n">
        <f aca="false">IF(Presupuesto!$B$20='Flujo de Pagos'!$E27,20,9999)</f>
        <v>20</v>
      </c>
      <c r="AO27" s="0" t="n">
        <f aca="false">IF(Presupuesto!$B$21='Flujo de Pagos'!$E27,21,9999)</f>
        <v>21</v>
      </c>
      <c r="AP27" s="0" t="n">
        <f aca="false">IF(Presupuesto!$B$22='Flujo de Pagos'!$E27,22,9999)</f>
        <v>22</v>
      </c>
      <c r="AQ27" s="0" t="n">
        <f aca="false">IF(Presupuesto!$B$23='Flujo de Pagos'!$E27,23,9999)</f>
        <v>23</v>
      </c>
      <c r="AR27" s="0" t="n">
        <f aca="false">IF(Presupuesto!$B$24='Flujo de Pagos'!$E27,24,9999)</f>
        <v>24</v>
      </c>
      <c r="AS27" s="0" t="n">
        <f aca="false">IF(Presupuesto!$B$25='Flujo de Pagos'!$E27,25,9999)</f>
        <v>25</v>
      </c>
      <c r="AT27" s="0" t="n">
        <f aca="false">IF(Presupuesto!$B$26='Flujo de Pagos'!$E27,26,9999)</f>
        <v>26</v>
      </c>
      <c r="AU27" s="0" t="n">
        <f aca="false">IF(Presupuesto!$B$27='Flujo de Pagos'!$E27,27,9999)</f>
        <v>27</v>
      </c>
      <c r="AV27" s="0" t="n">
        <f aca="false">IF(Presupuesto!$B$28='Flujo de Pagos'!$E27,28,9999)</f>
        <v>28</v>
      </c>
      <c r="AW27" s="0" t="n">
        <f aca="false">IF(Presupuesto!$B$29='Flujo de Pagos'!$E27,29,9999)</f>
        <v>29</v>
      </c>
      <c r="AX27" s="0" t="n">
        <f aca="false">IF(Presupuesto!$B$30='Flujo de Pagos'!$E27,30,9999)</f>
        <v>30</v>
      </c>
      <c r="AY27" s="0" t="n">
        <f aca="false">IF(Presupuesto!$B$31='Flujo de Pagos'!$E27,31,9999)</f>
        <v>31</v>
      </c>
      <c r="AZ27" s="0" t="n">
        <f aca="false">IF(Presupuesto!$B$32='Flujo de Pagos'!$E27,32,9999)</f>
        <v>32</v>
      </c>
      <c r="BA27" s="0" t="n">
        <f aca="false">IF(Presupuesto!$B$33='Flujo de Pagos'!$E27,33,9999)</f>
        <v>33</v>
      </c>
      <c r="BB27" s="0" t="n">
        <f aca="false">IF(Presupuesto!$B$34='Flujo de Pagos'!$E27,34,9999)</f>
        <v>34</v>
      </c>
      <c r="BC27" s="0" t="n">
        <f aca="false">IF(Presupuesto!$B$35='Flujo de Pagos'!$E27,35,9999)</f>
        <v>35</v>
      </c>
      <c r="BD27" s="0" t="n">
        <f aca="false">IF(Presupuesto!$B$36='Flujo de Pagos'!$E27,36,9999)</f>
        <v>36</v>
      </c>
      <c r="BE27" s="0" t="n">
        <f aca="false">IF(Presupuesto!$B$37='Flujo de Pagos'!$E27,37,9999)</f>
        <v>37</v>
      </c>
      <c r="BF27" s="0" t="n">
        <f aca="false">IF(Presupuesto!$B$38='Flujo de Pagos'!$E27,38,9999)</f>
        <v>38</v>
      </c>
      <c r="BG27" s="0" t="n">
        <f aca="false">IF(Presupuesto!$B$39='Flujo de Pagos'!$E27,39,9999)</f>
        <v>39</v>
      </c>
      <c r="BH27" s="0" t="n">
        <f aca="false">IF(Presupuesto!$B$40='Flujo de Pagos'!$E27,40,9999)</f>
        <v>40</v>
      </c>
      <c r="BI27" s="0" t="n">
        <f aca="false">IF(Presupuesto!$B$41='Flujo de Pagos'!$E27,41,9999)</f>
        <v>41</v>
      </c>
      <c r="BJ27" s="0" t="n">
        <f aca="false">IF(Presupuesto!$B$42='Flujo de Pagos'!$E27,42,9999)</f>
        <v>42</v>
      </c>
      <c r="BK27" s="0" t="n">
        <f aca="false">IF(Presupuesto!$B$43='Flujo de Pagos'!$E27,43,9999)</f>
        <v>43</v>
      </c>
      <c r="BL27" s="0" t="n">
        <f aca="false">IF(Presupuesto!$B$44='Flujo de Pagos'!$E27,44,9999)</f>
        <v>44</v>
      </c>
      <c r="BM27" s="0" t="n">
        <f aca="false">IF(Presupuesto!$B$45='Flujo de Pagos'!$E27,45,9999)</f>
        <v>45</v>
      </c>
      <c r="BN27" s="0" t="n">
        <f aca="false">IF(Presupuesto!$B$46='Flujo de Pagos'!$E27,46,9999)</f>
        <v>46</v>
      </c>
      <c r="BO27" s="0" t="n">
        <f aca="false">IF(Presupuesto!$B$47='Flujo de Pagos'!$E27,47,9999)</f>
        <v>47</v>
      </c>
      <c r="BP27" s="0" t="n">
        <f aca="false">IF(Presupuesto!$B$48='Flujo de Pagos'!$E27,48,9999)</f>
        <v>48</v>
      </c>
      <c r="BQ27" s="0" t="n">
        <f aca="false">IF(Presupuesto!$B$49='Flujo de Pagos'!$E27,49,9999)</f>
        <v>49</v>
      </c>
      <c r="BR27" s="0" t="n">
        <f aca="false">IF(Presupuesto!$B$50='Flujo de Pagos'!$E27,50,9999)</f>
        <v>50</v>
      </c>
      <c r="BS27" s="0" t="n">
        <f aca="false">IF(Presupuesto!$B$51='Flujo de Pagos'!$E27,51,9999)</f>
        <v>51</v>
      </c>
      <c r="BT27" s="0" t="n">
        <f aca="false">IF(Presupuesto!$B$52='Flujo de Pagos'!$E27,52,9999)</f>
        <v>52</v>
      </c>
      <c r="BU27" s="0" t="n">
        <f aca="false">IF(Presupuesto!$B$53='Flujo de Pagos'!$E27,53,9999)</f>
        <v>53</v>
      </c>
      <c r="BV27" s="0" t="n">
        <f aca="false">IF(Presupuesto!$B$54='Flujo de Pagos'!$E27,54,9999)</f>
        <v>54</v>
      </c>
      <c r="BW27" s="0" t="n">
        <f aca="false">IF(Presupuesto!$B$55='Flujo de Pagos'!$E27,55,9999)</f>
        <v>55</v>
      </c>
      <c r="BX27" s="0" t="n">
        <f aca="false">IF(Presupuesto!$B$56='Flujo de Pagos'!$E27,56,9999)</f>
        <v>56</v>
      </c>
      <c r="BY27" s="0" t="n">
        <f aca="false">IF(Presupuesto!$B$57='Flujo de Pagos'!$E27,57,9999)</f>
        <v>57</v>
      </c>
      <c r="BZ27" s="0" t="n">
        <f aca="false">IF(Presupuesto!$B$58='Flujo de Pagos'!$E27,58,9999)</f>
        <v>58</v>
      </c>
      <c r="CA27" s="0" t="n">
        <f aca="false">IF(Presupuesto!$B$59='Flujo de Pagos'!$E27,59,9999)</f>
        <v>59</v>
      </c>
      <c r="CB27" s="0" t="n">
        <f aca="false">IF(Presupuesto!$B$60='Flujo de Pagos'!$E27,60,9999)</f>
        <v>60</v>
      </c>
      <c r="CC27" s="0" t="n">
        <f aca="false">IF(Presupuesto!$B$61='Flujo de Pagos'!$E27,61,9999)</f>
        <v>61</v>
      </c>
      <c r="CD27" s="0" t="n">
        <f aca="false">IF(Presupuesto!$B$62='Flujo de Pagos'!$E27,62,9999)</f>
        <v>62</v>
      </c>
      <c r="CE27" s="0" t="n">
        <f aca="false">IF(Presupuesto!$B$63='Flujo de Pagos'!$E27,63,9999)</f>
        <v>63</v>
      </c>
      <c r="CF27" s="0" t="n">
        <f aca="false">IF(Presupuesto!$B$64='Flujo de Pagos'!$E27,64,9999)</f>
        <v>64</v>
      </c>
      <c r="CG27" s="0" t="n">
        <f aca="false">IF(Presupuesto!$B$65='Flujo de Pagos'!$E27,65,9999)</f>
        <v>65</v>
      </c>
      <c r="CH27" s="0" t="n">
        <f aca="false">IF(Presupuesto!$B$66='Flujo de Pagos'!$E27,66,9999)</f>
        <v>66</v>
      </c>
    </row>
    <row r="28" customFormat="false" ht="15" hidden="false" customHeight="true" outlineLevel="0" collapsed="false">
      <c r="A28" s="1" t="n">
        <f aca="false">IF(Presupuesto!B33=Carátula!$B$2,33,9999)</f>
        <v>9999</v>
      </c>
      <c r="B28" s="1" t="n">
        <f aca="false">IF(AND('Flujo de Pagos'!E33=Carátula!$B$2,'Flujo de Pagos'!F33=Carátula!$B$4,'Flujo de Pagos'!H33&lt;&gt;""),33,99999)</f>
        <v>99999</v>
      </c>
      <c r="D28" s="1" t="str">
        <f aca="false">IF(SMALL($A$2:$A$61,27)&gt;=9999,"",INDEX(Presupuesto!$C:$C,SMALL($A$2:$A$61,27)))</f>
        <v/>
      </c>
      <c r="E28" s="1" t="str">
        <f aca="false">IF(SMALL($B$2:$B$501,27)&gt;=99999,"",INDEX('Flujo de Pagos'!$H:$H,SMALL($B$2:$B$501,27)))</f>
        <v/>
      </c>
      <c r="H28" s="1" t="n">
        <f aca="false">IF(SMALL($AA28:$CH28,1)&gt;=9999,"",INDEX(Presupuesto!$C:$C,SMALL($AA28:$CH28,1)))</f>
        <v>0</v>
      </c>
      <c r="I28" s="1" t="n">
        <f aca="false">IF(SMALL($AA28:$CH28,2)&gt;=9999,"",INDEX(Presupuesto!$C:$C,SMALL($AA28:$CH28,2)))</f>
        <v>0</v>
      </c>
      <c r="J28" s="1" t="n">
        <f aca="false">IF(SMALL($AA28:$CH28,3)&gt;=9999,"",INDEX(Presupuesto!$C:$C,SMALL($AA28:$CH28,3)))</f>
        <v>0</v>
      </c>
      <c r="K28" s="1" t="n">
        <f aca="false">IF(SMALL($AA28:$CH28,4)&gt;=9999,"",INDEX(Presupuesto!$C:$C,SMALL($AA28:$CH28,4)))</f>
        <v>0</v>
      </c>
      <c r="L28" s="1" t="n">
        <f aca="false">IF(SMALL($AA28:$CH28,5)&gt;=9999,"",INDEX(Presupuesto!$C:$C,SMALL($AA28:$CH28,5)))</f>
        <v>0</v>
      </c>
      <c r="M28" s="1" t="n">
        <f aca="false">IF(SMALL($AA28:$CH28,6)&gt;=9999,"",INDEX(Presupuesto!$C:$C,SMALL($AA28:$CH28,6)))</f>
        <v>0</v>
      </c>
      <c r="N28" s="1" t="n">
        <f aca="false">IF(SMALL($AA28:$CH28,7)&gt;=9999,"",INDEX(Presupuesto!$C:$C,SMALL($AA28:$CH28,7)))</f>
        <v>0</v>
      </c>
      <c r="O28" s="1" t="n">
        <f aca="false">IF(SMALL($AA28:$CH28,8)&gt;=9999,"",INDEX(Presupuesto!$C:$C,SMALL($AA28:$CH28,8)))</f>
        <v>0</v>
      </c>
      <c r="P28" s="1" t="n">
        <f aca="false">IF(SMALL($AA28:$CH28,9)&gt;=9999,"",INDEX(Presupuesto!$C:$C,SMALL($AA28:$CH28,9)))</f>
        <v>0</v>
      </c>
      <c r="Q28" s="1" t="n">
        <f aca="false">IF(SMALL($AA28:$CH28,10)&gt;=9999,"",INDEX(Presupuesto!$C:$C,SMALL($AA28:$CH28,10)))</f>
        <v>0</v>
      </c>
      <c r="AA28" s="0" t="n">
        <f aca="false">IF(Presupuesto!$B$7='Flujo de Pagos'!$E28,7,9999)</f>
        <v>9999</v>
      </c>
      <c r="AB28" s="0" t="n">
        <f aca="false">IF(Presupuesto!$B$8='Flujo de Pagos'!$E28,8,9999)</f>
        <v>9999</v>
      </c>
      <c r="AC28" s="0" t="n">
        <f aca="false">IF(Presupuesto!$B$9='Flujo de Pagos'!$E28,9,9999)</f>
        <v>9999</v>
      </c>
      <c r="AD28" s="0" t="n">
        <f aca="false">IF(Presupuesto!$B$10='Flujo de Pagos'!$E28,10,9999)</f>
        <v>9999</v>
      </c>
      <c r="AE28" s="0" t="n">
        <f aca="false">IF(Presupuesto!$B$11='Flujo de Pagos'!$E28,11,9999)</f>
        <v>9999</v>
      </c>
      <c r="AF28" s="0" t="n">
        <f aca="false">IF(Presupuesto!$B$12='Flujo de Pagos'!$E28,12,9999)</f>
        <v>12</v>
      </c>
      <c r="AG28" s="0" t="n">
        <f aca="false">IF(Presupuesto!$B$13='Flujo de Pagos'!$E28,13,9999)</f>
        <v>13</v>
      </c>
      <c r="AH28" s="0" t="n">
        <f aca="false">IF(Presupuesto!$B$14='Flujo de Pagos'!$E28,14,9999)</f>
        <v>14</v>
      </c>
      <c r="AI28" s="0" t="n">
        <f aca="false">IF(Presupuesto!$B$15='Flujo de Pagos'!$E28,15,9999)</f>
        <v>15</v>
      </c>
      <c r="AJ28" s="0" t="n">
        <f aca="false">IF(Presupuesto!$B$16='Flujo de Pagos'!$E28,16,9999)</f>
        <v>16</v>
      </c>
      <c r="AK28" s="0" t="n">
        <f aca="false">IF(Presupuesto!$B$17='Flujo de Pagos'!$E28,17,9999)</f>
        <v>17</v>
      </c>
      <c r="AL28" s="0" t="n">
        <f aca="false">IF(Presupuesto!$B$18='Flujo de Pagos'!$E28,18,9999)</f>
        <v>18</v>
      </c>
      <c r="AM28" s="0" t="n">
        <f aca="false">IF(Presupuesto!$B$19='Flujo de Pagos'!$E28,19,9999)</f>
        <v>19</v>
      </c>
      <c r="AN28" s="0" t="n">
        <f aca="false">IF(Presupuesto!$B$20='Flujo de Pagos'!$E28,20,9999)</f>
        <v>20</v>
      </c>
      <c r="AO28" s="0" t="n">
        <f aca="false">IF(Presupuesto!$B$21='Flujo de Pagos'!$E28,21,9999)</f>
        <v>21</v>
      </c>
      <c r="AP28" s="0" t="n">
        <f aca="false">IF(Presupuesto!$B$22='Flujo de Pagos'!$E28,22,9999)</f>
        <v>22</v>
      </c>
      <c r="AQ28" s="0" t="n">
        <f aca="false">IF(Presupuesto!$B$23='Flujo de Pagos'!$E28,23,9999)</f>
        <v>23</v>
      </c>
      <c r="AR28" s="0" t="n">
        <f aca="false">IF(Presupuesto!$B$24='Flujo de Pagos'!$E28,24,9999)</f>
        <v>24</v>
      </c>
      <c r="AS28" s="0" t="n">
        <f aca="false">IF(Presupuesto!$B$25='Flujo de Pagos'!$E28,25,9999)</f>
        <v>25</v>
      </c>
      <c r="AT28" s="0" t="n">
        <f aca="false">IF(Presupuesto!$B$26='Flujo de Pagos'!$E28,26,9999)</f>
        <v>26</v>
      </c>
      <c r="AU28" s="0" t="n">
        <f aca="false">IF(Presupuesto!$B$27='Flujo de Pagos'!$E28,27,9999)</f>
        <v>27</v>
      </c>
      <c r="AV28" s="0" t="n">
        <f aca="false">IF(Presupuesto!$B$28='Flujo de Pagos'!$E28,28,9999)</f>
        <v>28</v>
      </c>
      <c r="AW28" s="0" t="n">
        <f aca="false">IF(Presupuesto!$B$29='Flujo de Pagos'!$E28,29,9999)</f>
        <v>29</v>
      </c>
      <c r="AX28" s="0" t="n">
        <f aca="false">IF(Presupuesto!$B$30='Flujo de Pagos'!$E28,30,9999)</f>
        <v>30</v>
      </c>
      <c r="AY28" s="0" t="n">
        <f aca="false">IF(Presupuesto!$B$31='Flujo de Pagos'!$E28,31,9999)</f>
        <v>31</v>
      </c>
      <c r="AZ28" s="0" t="n">
        <f aca="false">IF(Presupuesto!$B$32='Flujo de Pagos'!$E28,32,9999)</f>
        <v>32</v>
      </c>
      <c r="BA28" s="0" t="n">
        <f aca="false">IF(Presupuesto!$B$33='Flujo de Pagos'!$E28,33,9999)</f>
        <v>33</v>
      </c>
      <c r="BB28" s="0" t="n">
        <f aca="false">IF(Presupuesto!$B$34='Flujo de Pagos'!$E28,34,9999)</f>
        <v>34</v>
      </c>
      <c r="BC28" s="0" t="n">
        <f aca="false">IF(Presupuesto!$B$35='Flujo de Pagos'!$E28,35,9999)</f>
        <v>35</v>
      </c>
      <c r="BD28" s="0" t="n">
        <f aca="false">IF(Presupuesto!$B$36='Flujo de Pagos'!$E28,36,9999)</f>
        <v>36</v>
      </c>
      <c r="BE28" s="0" t="n">
        <f aca="false">IF(Presupuesto!$B$37='Flujo de Pagos'!$E28,37,9999)</f>
        <v>37</v>
      </c>
      <c r="BF28" s="0" t="n">
        <f aca="false">IF(Presupuesto!$B$38='Flujo de Pagos'!$E28,38,9999)</f>
        <v>38</v>
      </c>
      <c r="BG28" s="0" t="n">
        <f aca="false">IF(Presupuesto!$B$39='Flujo de Pagos'!$E28,39,9999)</f>
        <v>39</v>
      </c>
      <c r="BH28" s="0" t="n">
        <f aca="false">IF(Presupuesto!$B$40='Flujo de Pagos'!$E28,40,9999)</f>
        <v>40</v>
      </c>
      <c r="BI28" s="0" t="n">
        <f aca="false">IF(Presupuesto!$B$41='Flujo de Pagos'!$E28,41,9999)</f>
        <v>41</v>
      </c>
      <c r="BJ28" s="0" t="n">
        <f aca="false">IF(Presupuesto!$B$42='Flujo de Pagos'!$E28,42,9999)</f>
        <v>42</v>
      </c>
      <c r="BK28" s="0" t="n">
        <f aca="false">IF(Presupuesto!$B$43='Flujo de Pagos'!$E28,43,9999)</f>
        <v>43</v>
      </c>
      <c r="BL28" s="0" t="n">
        <f aca="false">IF(Presupuesto!$B$44='Flujo de Pagos'!$E28,44,9999)</f>
        <v>44</v>
      </c>
      <c r="BM28" s="0" t="n">
        <f aca="false">IF(Presupuesto!$B$45='Flujo de Pagos'!$E28,45,9999)</f>
        <v>45</v>
      </c>
      <c r="BN28" s="0" t="n">
        <f aca="false">IF(Presupuesto!$B$46='Flujo de Pagos'!$E28,46,9999)</f>
        <v>46</v>
      </c>
      <c r="BO28" s="0" t="n">
        <f aca="false">IF(Presupuesto!$B$47='Flujo de Pagos'!$E28,47,9999)</f>
        <v>47</v>
      </c>
      <c r="BP28" s="0" t="n">
        <f aca="false">IF(Presupuesto!$B$48='Flujo de Pagos'!$E28,48,9999)</f>
        <v>48</v>
      </c>
      <c r="BQ28" s="0" t="n">
        <f aca="false">IF(Presupuesto!$B$49='Flujo de Pagos'!$E28,49,9999)</f>
        <v>49</v>
      </c>
      <c r="BR28" s="0" t="n">
        <f aca="false">IF(Presupuesto!$B$50='Flujo de Pagos'!$E28,50,9999)</f>
        <v>50</v>
      </c>
      <c r="BS28" s="0" t="n">
        <f aca="false">IF(Presupuesto!$B$51='Flujo de Pagos'!$E28,51,9999)</f>
        <v>51</v>
      </c>
      <c r="BT28" s="0" t="n">
        <f aca="false">IF(Presupuesto!$B$52='Flujo de Pagos'!$E28,52,9999)</f>
        <v>52</v>
      </c>
      <c r="BU28" s="0" t="n">
        <f aca="false">IF(Presupuesto!$B$53='Flujo de Pagos'!$E28,53,9999)</f>
        <v>53</v>
      </c>
      <c r="BV28" s="0" t="n">
        <f aca="false">IF(Presupuesto!$B$54='Flujo de Pagos'!$E28,54,9999)</f>
        <v>54</v>
      </c>
      <c r="BW28" s="0" t="n">
        <f aca="false">IF(Presupuesto!$B$55='Flujo de Pagos'!$E28,55,9999)</f>
        <v>55</v>
      </c>
      <c r="BX28" s="0" t="n">
        <f aca="false">IF(Presupuesto!$B$56='Flujo de Pagos'!$E28,56,9999)</f>
        <v>56</v>
      </c>
      <c r="BY28" s="0" t="n">
        <f aca="false">IF(Presupuesto!$B$57='Flujo de Pagos'!$E28,57,9999)</f>
        <v>57</v>
      </c>
      <c r="BZ28" s="0" t="n">
        <f aca="false">IF(Presupuesto!$B$58='Flujo de Pagos'!$E28,58,9999)</f>
        <v>58</v>
      </c>
      <c r="CA28" s="0" t="n">
        <f aca="false">IF(Presupuesto!$B$59='Flujo de Pagos'!$E28,59,9999)</f>
        <v>59</v>
      </c>
      <c r="CB28" s="0" t="n">
        <f aca="false">IF(Presupuesto!$B$60='Flujo de Pagos'!$E28,60,9999)</f>
        <v>60</v>
      </c>
      <c r="CC28" s="0" t="n">
        <f aca="false">IF(Presupuesto!$B$61='Flujo de Pagos'!$E28,61,9999)</f>
        <v>61</v>
      </c>
      <c r="CD28" s="0" t="n">
        <f aca="false">IF(Presupuesto!$B$62='Flujo de Pagos'!$E28,62,9999)</f>
        <v>62</v>
      </c>
      <c r="CE28" s="0" t="n">
        <f aca="false">IF(Presupuesto!$B$63='Flujo de Pagos'!$E28,63,9999)</f>
        <v>63</v>
      </c>
      <c r="CF28" s="0" t="n">
        <f aca="false">IF(Presupuesto!$B$64='Flujo de Pagos'!$E28,64,9999)</f>
        <v>64</v>
      </c>
      <c r="CG28" s="0" t="n">
        <f aca="false">IF(Presupuesto!$B$65='Flujo de Pagos'!$E28,65,9999)</f>
        <v>65</v>
      </c>
      <c r="CH28" s="0" t="n">
        <f aca="false">IF(Presupuesto!$B$66='Flujo de Pagos'!$E28,66,9999)</f>
        <v>66</v>
      </c>
    </row>
    <row r="29" customFormat="false" ht="15" hidden="false" customHeight="true" outlineLevel="0" collapsed="false">
      <c r="A29" s="1" t="n">
        <f aca="false">IF(Presupuesto!B34=Carátula!$B$2,34,9999)</f>
        <v>9999</v>
      </c>
      <c r="B29" s="1" t="n">
        <f aca="false">IF(AND('Flujo de Pagos'!E34=Carátula!$B$2,'Flujo de Pagos'!F34=Carátula!$B$4,'Flujo de Pagos'!H34&lt;&gt;""),34,99999)</f>
        <v>99999</v>
      </c>
      <c r="D29" s="1" t="str">
        <f aca="false">IF(SMALL($A$2:$A$61,28)&gt;=9999,"",INDEX(Presupuesto!$C:$C,SMALL($A$2:$A$61,28)))</f>
        <v/>
      </c>
      <c r="E29" s="1" t="str">
        <f aca="false">IF(SMALL($B$2:$B$501,28)&gt;=99999,"",INDEX('Flujo de Pagos'!$H:$H,SMALL($B$2:$B$501,28)))</f>
        <v/>
      </c>
      <c r="H29" s="1" t="n">
        <f aca="false">IF(SMALL($AA29:$CH29,1)&gt;=9999,"",INDEX(Presupuesto!$C:$C,SMALL($AA29:$CH29,1)))</f>
        <v>0</v>
      </c>
      <c r="I29" s="1" t="n">
        <f aca="false">IF(SMALL($AA29:$CH29,2)&gt;=9999,"",INDEX(Presupuesto!$C:$C,SMALL($AA29:$CH29,2)))</f>
        <v>0</v>
      </c>
      <c r="J29" s="1" t="n">
        <f aca="false">IF(SMALL($AA29:$CH29,3)&gt;=9999,"",INDEX(Presupuesto!$C:$C,SMALL($AA29:$CH29,3)))</f>
        <v>0</v>
      </c>
      <c r="K29" s="1" t="n">
        <f aca="false">IF(SMALL($AA29:$CH29,4)&gt;=9999,"",INDEX(Presupuesto!$C:$C,SMALL($AA29:$CH29,4)))</f>
        <v>0</v>
      </c>
      <c r="L29" s="1" t="n">
        <f aca="false">IF(SMALL($AA29:$CH29,5)&gt;=9999,"",INDEX(Presupuesto!$C:$C,SMALL($AA29:$CH29,5)))</f>
        <v>0</v>
      </c>
      <c r="M29" s="1" t="n">
        <f aca="false">IF(SMALL($AA29:$CH29,6)&gt;=9999,"",INDEX(Presupuesto!$C:$C,SMALL($AA29:$CH29,6)))</f>
        <v>0</v>
      </c>
      <c r="N29" s="1" t="n">
        <f aca="false">IF(SMALL($AA29:$CH29,7)&gt;=9999,"",INDEX(Presupuesto!$C:$C,SMALL($AA29:$CH29,7)))</f>
        <v>0</v>
      </c>
      <c r="O29" s="1" t="n">
        <f aca="false">IF(SMALL($AA29:$CH29,8)&gt;=9999,"",INDEX(Presupuesto!$C:$C,SMALL($AA29:$CH29,8)))</f>
        <v>0</v>
      </c>
      <c r="P29" s="1" t="n">
        <f aca="false">IF(SMALL($AA29:$CH29,9)&gt;=9999,"",INDEX(Presupuesto!$C:$C,SMALL($AA29:$CH29,9)))</f>
        <v>0</v>
      </c>
      <c r="Q29" s="1" t="n">
        <f aca="false">IF(SMALL($AA29:$CH29,10)&gt;=9999,"",INDEX(Presupuesto!$C:$C,SMALL($AA29:$CH29,10)))</f>
        <v>0</v>
      </c>
      <c r="AA29" s="0" t="n">
        <f aca="false">IF(Presupuesto!$B$7='Flujo de Pagos'!$E29,7,9999)</f>
        <v>9999</v>
      </c>
      <c r="AB29" s="0" t="n">
        <f aca="false">IF(Presupuesto!$B$8='Flujo de Pagos'!$E29,8,9999)</f>
        <v>9999</v>
      </c>
      <c r="AC29" s="0" t="n">
        <f aca="false">IF(Presupuesto!$B$9='Flujo de Pagos'!$E29,9,9999)</f>
        <v>9999</v>
      </c>
      <c r="AD29" s="0" t="n">
        <f aca="false">IF(Presupuesto!$B$10='Flujo de Pagos'!$E29,10,9999)</f>
        <v>9999</v>
      </c>
      <c r="AE29" s="0" t="n">
        <f aca="false">IF(Presupuesto!$B$11='Flujo de Pagos'!$E29,11,9999)</f>
        <v>9999</v>
      </c>
      <c r="AF29" s="0" t="n">
        <f aca="false">IF(Presupuesto!$B$12='Flujo de Pagos'!$E29,12,9999)</f>
        <v>12</v>
      </c>
      <c r="AG29" s="0" t="n">
        <f aca="false">IF(Presupuesto!$B$13='Flujo de Pagos'!$E29,13,9999)</f>
        <v>13</v>
      </c>
      <c r="AH29" s="0" t="n">
        <f aca="false">IF(Presupuesto!$B$14='Flujo de Pagos'!$E29,14,9999)</f>
        <v>14</v>
      </c>
      <c r="AI29" s="0" t="n">
        <f aca="false">IF(Presupuesto!$B$15='Flujo de Pagos'!$E29,15,9999)</f>
        <v>15</v>
      </c>
      <c r="AJ29" s="0" t="n">
        <f aca="false">IF(Presupuesto!$B$16='Flujo de Pagos'!$E29,16,9999)</f>
        <v>16</v>
      </c>
      <c r="AK29" s="0" t="n">
        <f aca="false">IF(Presupuesto!$B$17='Flujo de Pagos'!$E29,17,9999)</f>
        <v>17</v>
      </c>
      <c r="AL29" s="0" t="n">
        <f aca="false">IF(Presupuesto!$B$18='Flujo de Pagos'!$E29,18,9999)</f>
        <v>18</v>
      </c>
      <c r="AM29" s="0" t="n">
        <f aca="false">IF(Presupuesto!$B$19='Flujo de Pagos'!$E29,19,9999)</f>
        <v>19</v>
      </c>
      <c r="AN29" s="0" t="n">
        <f aca="false">IF(Presupuesto!$B$20='Flujo de Pagos'!$E29,20,9999)</f>
        <v>20</v>
      </c>
      <c r="AO29" s="0" t="n">
        <f aca="false">IF(Presupuesto!$B$21='Flujo de Pagos'!$E29,21,9999)</f>
        <v>21</v>
      </c>
      <c r="AP29" s="0" t="n">
        <f aca="false">IF(Presupuesto!$B$22='Flujo de Pagos'!$E29,22,9999)</f>
        <v>22</v>
      </c>
      <c r="AQ29" s="0" t="n">
        <f aca="false">IF(Presupuesto!$B$23='Flujo de Pagos'!$E29,23,9999)</f>
        <v>23</v>
      </c>
      <c r="AR29" s="0" t="n">
        <f aca="false">IF(Presupuesto!$B$24='Flujo de Pagos'!$E29,24,9999)</f>
        <v>24</v>
      </c>
      <c r="AS29" s="0" t="n">
        <f aca="false">IF(Presupuesto!$B$25='Flujo de Pagos'!$E29,25,9999)</f>
        <v>25</v>
      </c>
      <c r="AT29" s="0" t="n">
        <f aca="false">IF(Presupuesto!$B$26='Flujo de Pagos'!$E29,26,9999)</f>
        <v>26</v>
      </c>
      <c r="AU29" s="0" t="n">
        <f aca="false">IF(Presupuesto!$B$27='Flujo de Pagos'!$E29,27,9999)</f>
        <v>27</v>
      </c>
      <c r="AV29" s="0" t="n">
        <f aca="false">IF(Presupuesto!$B$28='Flujo de Pagos'!$E29,28,9999)</f>
        <v>28</v>
      </c>
      <c r="AW29" s="0" t="n">
        <f aca="false">IF(Presupuesto!$B$29='Flujo de Pagos'!$E29,29,9999)</f>
        <v>29</v>
      </c>
      <c r="AX29" s="0" t="n">
        <f aca="false">IF(Presupuesto!$B$30='Flujo de Pagos'!$E29,30,9999)</f>
        <v>30</v>
      </c>
      <c r="AY29" s="0" t="n">
        <f aca="false">IF(Presupuesto!$B$31='Flujo de Pagos'!$E29,31,9999)</f>
        <v>31</v>
      </c>
      <c r="AZ29" s="0" t="n">
        <f aca="false">IF(Presupuesto!$B$32='Flujo de Pagos'!$E29,32,9999)</f>
        <v>32</v>
      </c>
      <c r="BA29" s="0" t="n">
        <f aca="false">IF(Presupuesto!$B$33='Flujo de Pagos'!$E29,33,9999)</f>
        <v>33</v>
      </c>
      <c r="BB29" s="0" t="n">
        <f aca="false">IF(Presupuesto!$B$34='Flujo de Pagos'!$E29,34,9999)</f>
        <v>34</v>
      </c>
      <c r="BC29" s="0" t="n">
        <f aca="false">IF(Presupuesto!$B$35='Flujo de Pagos'!$E29,35,9999)</f>
        <v>35</v>
      </c>
      <c r="BD29" s="0" t="n">
        <f aca="false">IF(Presupuesto!$B$36='Flujo de Pagos'!$E29,36,9999)</f>
        <v>36</v>
      </c>
      <c r="BE29" s="0" t="n">
        <f aca="false">IF(Presupuesto!$B$37='Flujo de Pagos'!$E29,37,9999)</f>
        <v>37</v>
      </c>
      <c r="BF29" s="0" t="n">
        <f aca="false">IF(Presupuesto!$B$38='Flujo de Pagos'!$E29,38,9999)</f>
        <v>38</v>
      </c>
      <c r="BG29" s="0" t="n">
        <f aca="false">IF(Presupuesto!$B$39='Flujo de Pagos'!$E29,39,9999)</f>
        <v>39</v>
      </c>
      <c r="BH29" s="0" t="n">
        <f aca="false">IF(Presupuesto!$B$40='Flujo de Pagos'!$E29,40,9999)</f>
        <v>40</v>
      </c>
      <c r="BI29" s="0" t="n">
        <f aca="false">IF(Presupuesto!$B$41='Flujo de Pagos'!$E29,41,9999)</f>
        <v>41</v>
      </c>
      <c r="BJ29" s="0" t="n">
        <f aca="false">IF(Presupuesto!$B$42='Flujo de Pagos'!$E29,42,9999)</f>
        <v>42</v>
      </c>
      <c r="BK29" s="0" t="n">
        <f aca="false">IF(Presupuesto!$B$43='Flujo de Pagos'!$E29,43,9999)</f>
        <v>43</v>
      </c>
      <c r="BL29" s="0" t="n">
        <f aca="false">IF(Presupuesto!$B$44='Flujo de Pagos'!$E29,44,9999)</f>
        <v>44</v>
      </c>
      <c r="BM29" s="0" t="n">
        <f aca="false">IF(Presupuesto!$B$45='Flujo de Pagos'!$E29,45,9999)</f>
        <v>45</v>
      </c>
      <c r="BN29" s="0" t="n">
        <f aca="false">IF(Presupuesto!$B$46='Flujo de Pagos'!$E29,46,9999)</f>
        <v>46</v>
      </c>
      <c r="BO29" s="0" t="n">
        <f aca="false">IF(Presupuesto!$B$47='Flujo de Pagos'!$E29,47,9999)</f>
        <v>47</v>
      </c>
      <c r="BP29" s="0" t="n">
        <f aca="false">IF(Presupuesto!$B$48='Flujo de Pagos'!$E29,48,9999)</f>
        <v>48</v>
      </c>
      <c r="BQ29" s="0" t="n">
        <f aca="false">IF(Presupuesto!$B$49='Flujo de Pagos'!$E29,49,9999)</f>
        <v>49</v>
      </c>
      <c r="BR29" s="0" t="n">
        <f aca="false">IF(Presupuesto!$B$50='Flujo de Pagos'!$E29,50,9999)</f>
        <v>50</v>
      </c>
      <c r="BS29" s="0" t="n">
        <f aca="false">IF(Presupuesto!$B$51='Flujo de Pagos'!$E29,51,9999)</f>
        <v>51</v>
      </c>
      <c r="BT29" s="0" t="n">
        <f aca="false">IF(Presupuesto!$B$52='Flujo de Pagos'!$E29,52,9999)</f>
        <v>52</v>
      </c>
      <c r="BU29" s="0" t="n">
        <f aca="false">IF(Presupuesto!$B$53='Flujo de Pagos'!$E29,53,9999)</f>
        <v>53</v>
      </c>
      <c r="BV29" s="0" t="n">
        <f aca="false">IF(Presupuesto!$B$54='Flujo de Pagos'!$E29,54,9999)</f>
        <v>54</v>
      </c>
      <c r="BW29" s="0" t="n">
        <f aca="false">IF(Presupuesto!$B$55='Flujo de Pagos'!$E29,55,9999)</f>
        <v>55</v>
      </c>
      <c r="BX29" s="0" t="n">
        <f aca="false">IF(Presupuesto!$B$56='Flujo de Pagos'!$E29,56,9999)</f>
        <v>56</v>
      </c>
      <c r="BY29" s="0" t="n">
        <f aca="false">IF(Presupuesto!$B$57='Flujo de Pagos'!$E29,57,9999)</f>
        <v>57</v>
      </c>
      <c r="BZ29" s="0" t="n">
        <f aca="false">IF(Presupuesto!$B$58='Flujo de Pagos'!$E29,58,9999)</f>
        <v>58</v>
      </c>
      <c r="CA29" s="0" t="n">
        <f aca="false">IF(Presupuesto!$B$59='Flujo de Pagos'!$E29,59,9999)</f>
        <v>59</v>
      </c>
      <c r="CB29" s="0" t="n">
        <f aca="false">IF(Presupuesto!$B$60='Flujo de Pagos'!$E29,60,9999)</f>
        <v>60</v>
      </c>
      <c r="CC29" s="0" t="n">
        <f aca="false">IF(Presupuesto!$B$61='Flujo de Pagos'!$E29,61,9999)</f>
        <v>61</v>
      </c>
      <c r="CD29" s="0" t="n">
        <f aca="false">IF(Presupuesto!$B$62='Flujo de Pagos'!$E29,62,9999)</f>
        <v>62</v>
      </c>
      <c r="CE29" s="0" t="n">
        <f aca="false">IF(Presupuesto!$B$63='Flujo de Pagos'!$E29,63,9999)</f>
        <v>63</v>
      </c>
      <c r="CF29" s="0" t="n">
        <f aca="false">IF(Presupuesto!$B$64='Flujo de Pagos'!$E29,64,9999)</f>
        <v>64</v>
      </c>
      <c r="CG29" s="0" t="n">
        <f aca="false">IF(Presupuesto!$B$65='Flujo de Pagos'!$E29,65,9999)</f>
        <v>65</v>
      </c>
      <c r="CH29" s="0" t="n">
        <f aca="false">IF(Presupuesto!$B$66='Flujo de Pagos'!$E29,66,9999)</f>
        <v>66</v>
      </c>
    </row>
    <row r="30" customFormat="false" ht="15" hidden="false" customHeight="true" outlineLevel="0" collapsed="false">
      <c r="A30" s="1" t="n">
        <f aca="false">IF(Presupuesto!B35=Carátula!$B$2,35,9999)</f>
        <v>9999</v>
      </c>
      <c r="B30" s="1" t="n">
        <f aca="false">IF(AND('Flujo de Pagos'!E35=Carátula!$B$2,'Flujo de Pagos'!F35=Carátula!$B$4,'Flujo de Pagos'!H35&lt;&gt;""),35,99999)</f>
        <v>99999</v>
      </c>
      <c r="D30" s="1" t="str">
        <f aca="false">IF(SMALL($A$2:$A$61,29)&gt;=9999,"",INDEX(Presupuesto!$C:$C,SMALL($A$2:$A$61,29)))</f>
        <v/>
      </c>
      <c r="E30" s="1" t="str">
        <f aca="false">IF(SMALL($B$2:$B$501,29)&gt;=99999,"",INDEX('Flujo de Pagos'!$H:$H,SMALL($B$2:$B$501,29)))</f>
        <v/>
      </c>
      <c r="H30" s="1" t="n">
        <f aca="false">IF(SMALL($AA30:$CH30,1)&gt;=9999,"",INDEX(Presupuesto!$C:$C,SMALL($AA30:$CH30,1)))</f>
        <v>0</v>
      </c>
      <c r="I30" s="1" t="n">
        <f aca="false">IF(SMALL($AA30:$CH30,2)&gt;=9999,"",INDEX(Presupuesto!$C:$C,SMALL($AA30:$CH30,2)))</f>
        <v>0</v>
      </c>
      <c r="J30" s="1" t="n">
        <f aca="false">IF(SMALL($AA30:$CH30,3)&gt;=9999,"",INDEX(Presupuesto!$C:$C,SMALL($AA30:$CH30,3)))</f>
        <v>0</v>
      </c>
      <c r="K30" s="1" t="n">
        <f aca="false">IF(SMALL($AA30:$CH30,4)&gt;=9999,"",INDEX(Presupuesto!$C:$C,SMALL($AA30:$CH30,4)))</f>
        <v>0</v>
      </c>
      <c r="L30" s="1" t="n">
        <f aca="false">IF(SMALL($AA30:$CH30,5)&gt;=9999,"",INDEX(Presupuesto!$C:$C,SMALL($AA30:$CH30,5)))</f>
        <v>0</v>
      </c>
      <c r="M30" s="1" t="n">
        <f aca="false">IF(SMALL($AA30:$CH30,6)&gt;=9999,"",INDEX(Presupuesto!$C:$C,SMALL($AA30:$CH30,6)))</f>
        <v>0</v>
      </c>
      <c r="N30" s="1" t="n">
        <f aca="false">IF(SMALL($AA30:$CH30,7)&gt;=9999,"",INDEX(Presupuesto!$C:$C,SMALL($AA30:$CH30,7)))</f>
        <v>0</v>
      </c>
      <c r="O30" s="1" t="n">
        <f aca="false">IF(SMALL($AA30:$CH30,8)&gt;=9999,"",INDEX(Presupuesto!$C:$C,SMALL($AA30:$CH30,8)))</f>
        <v>0</v>
      </c>
      <c r="P30" s="1" t="n">
        <f aca="false">IF(SMALL($AA30:$CH30,9)&gt;=9999,"",INDEX(Presupuesto!$C:$C,SMALL($AA30:$CH30,9)))</f>
        <v>0</v>
      </c>
      <c r="Q30" s="1" t="n">
        <f aca="false">IF(SMALL($AA30:$CH30,10)&gt;=9999,"",INDEX(Presupuesto!$C:$C,SMALL($AA30:$CH30,10)))</f>
        <v>0</v>
      </c>
      <c r="AA30" s="0" t="n">
        <f aca="false">IF(Presupuesto!$B$7='Flujo de Pagos'!$E30,7,9999)</f>
        <v>9999</v>
      </c>
      <c r="AB30" s="0" t="n">
        <f aca="false">IF(Presupuesto!$B$8='Flujo de Pagos'!$E30,8,9999)</f>
        <v>9999</v>
      </c>
      <c r="AC30" s="0" t="n">
        <f aca="false">IF(Presupuesto!$B$9='Flujo de Pagos'!$E30,9,9999)</f>
        <v>9999</v>
      </c>
      <c r="AD30" s="0" t="n">
        <f aca="false">IF(Presupuesto!$B$10='Flujo de Pagos'!$E30,10,9999)</f>
        <v>9999</v>
      </c>
      <c r="AE30" s="0" t="n">
        <f aca="false">IF(Presupuesto!$B$11='Flujo de Pagos'!$E30,11,9999)</f>
        <v>9999</v>
      </c>
      <c r="AF30" s="0" t="n">
        <f aca="false">IF(Presupuesto!$B$12='Flujo de Pagos'!$E30,12,9999)</f>
        <v>12</v>
      </c>
      <c r="AG30" s="0" t="n">
        <f aca="false">IF(Presupuesto!$B$13='Flujo de Pagos'!$E30,13,9999)</f>
        <v>13</v>
      </c>
      <c r="AH30" s="0" t="n">
        <f aca="false">IF(Presupuesto!$B$14='Flujo de Pagos'!$E30,14,9999)</f>
        <v>14</v>
      </c>
      <c r="AI30" s="0" t="n">
        <f aca="false">IF(Presupuesto!$B$15='Flujo de Pagos'!$E30,15,9999)</f>
        <v>15</v>
      </c>
      <c r="AJ30" s="0" t="n">
        <f aca="false">IF(Presupuesto!$B$16='Flujo de Pagos'!$E30,16,9999)</f>
        <v>16</v>
      </c>
      <c r="AK30" s="0" t="n">
        <f aca="false">IF(Presupuesto!$B$17='Flujo de Pagos'!$E30,17,9999)</f>
        <v>17</v>
      </c>
      <c r="AL30" s="0" t="n">
        <f aca="false">IF(Presupuesto!$B$18='Flujo de Pagos'!$E30,18,9999)</f>
        <v>18</v>
      </c>
      <c r="AM30" s="0" t="n">
        <f aca="false">IF(Presupuesto!$B$19='Flujo de Pagos'!$E30,19,9999)</f>
        <v>19</v>
      </c>
      <c r="AN30" s="0" t="n">
        <f aca="false">IF(Presupuesto!$B$20='Flujo de Pagos'!$E30,20,9999)</f>
        <v>20</v>
      </c>
      <c r="AO30" s="0" t="n">
        <f aca="false">IF(Presupuesto!$B$21='Flujo de Pagos'!$E30,21,9999)</f>
        <v>21</v>
      </c>
      <c r="AP30" s="0" t="n">
        <f aca="false">IF(Presupuesto!$B$22='Flujo de Pagos'!$E30,22,9999)</f>
        <v>22</v>
      </c>
      <c r="AQ30" s="0" t="n">
        <f aca="false">IF(Presupuesto!$B$23='Flujo de Pagos'!$E30,23,9999)</f>
        <v>23</v>
      </c>
      <c r="AR30" s="0" t="n">
        <f aca="false">IF(Presupuesto!$B$24='Flujo de Pagos'!$E30,24,9999)</f>
        <v>24</v>
      </c>
      <c r="AS30" s="0" t="n">
        <f aca="false">IF(Presupuesto!$B$25='Flujo de Pagos'!$E30,25,9999)</f>
        <v>25</v>
      </c>
      <c r="AT30" s="0" t="n">
        <f aca="false">IF(Presupuesto!$B$26='Flujo de Pagos'!$E30,26,9999)</f>
        <v>26</v>
      </c>
      <c r="AU30" s="0" t="n">
        <f aca="false">IF(Presupuesto!$B$27='Flujo de Pagos'!$E30,27,9999)</f>
        <v>27</v>
      </c>
      <c r="AV30" s="0" t="n">
        <f aca="false">IF(Presupuesto!$B$28='Flujo de Pagos'!$E30,28,9999)</f>
        <v>28</v>
      </c>
      <c r="AW30" s="0" t="n">
        <f aca="false">IF(Presupuesto!$B$29='Flujo de Pagos'!$E30,29,9999)</f>
        <v>29</v>
      </c>
      <c r="AX30" s="0" t="n">
        <f aca="false">IF(Presupuesto!$B$30='Flujo de Pagos'!$E30,30,9999)</f>
        <v>30</v>
      </c>
      <c r="AY30" s="0" t="n">
        <f aca="false">IF(Presupuesto!$B$31='Flujo de Pagos'!$E30,31,9999)</f>
        <v>31</v>
      </c>
      <c r="AZ30" s="0" t="n">
        <f aca="false">IF(Presupuesto!$B$32='Flujo de Pagos'!$E30,32,9999)</f>
        <v>32</v>
      </c>
      <c r="BA30" s="0" t="n">
        <f aca="false">IF(Presupuesto!$B$33='Flujo de Pagos'!$E30,33,9999)</f>
        <v>33</v>
      </c>
      <c r="BB30" s="0" t="n">
        <f aca="false">IF(Presupuesto!$B$34='Flujo de Pagos'!$E30,34,9999)</f>
        <v>34</v>
      </c>
      <c r="BC30" s="0" t="n">
        <f aca="false">IF(Presupuesto!$B$35='Flujo de Pagos'!$E30,35,9999)</f>
        <v>35</v>
      </c>
      <c r="BD30" s="0" t="n">
        <f aca="false">IF(Presupuesto!$B$36='Flujo de Pagos'!$E30,36,9999)</f>
        <v>36</v>
      </c>
      <c r="BE30" s="0" t="n">
        <f aca="false">IF(Presupuesto!$B$37='Flujo de Pagos'!$E30,37,9999)</f>
        <v>37</v>
      </c>
      <c r="BF30" s="0" t="n">
        <f aca="false">IF(Presupuesto!$B$38='Flujo de Pagos'!$E30,38,9999)</f>
        <v>38</v>
      </c>
      <c r="BG30" s="0" t="n">
        <f aca="false">IF(Presupuesto!$B$39='Flujo de Pagos'!$E30,39,9999)</f>
        <v>39</v>
      </c>
      <c r="BH30" s="0" t="n">
        <f aca="false">IF(Presupuesto!$B$40='Flujo de Pagos'!$E30,40,9999)</f>
        <v>40</v>
      </c>
      <c r="BI30" s="0" t="n">
        <f aca="false">IF(Presupuesto!$B$41='Flujo de Pagos'!$E30,41,9999)</f>
        <v>41</v>
      </c>
      <c r="BJ30" s="0" t="n">
        <f aca="false">IF(Presupuesto!$B$42='Flujo de Pagos'!$E30,42,9999)</f>
        <v>42</v>
      </c>
      <c r="BK30" s="0" t="n">
        <f aca="false">IF(Presupuesto!$B$43='Flujo de Pagos'!$E30,43,9999)</f>
        <v>43</v>
      </c>
      <c r="BL30" s="0" t="n">
        <f aca="false">IF(Presupuesto!$B$44='Flujo de Pagos'!$E30,44,9999)</f>
        <v>44</v>
      </c>
      <c r="BM30" s="0" t="n">
        <f aca="false">IF(Presupuesto!$B$45='Flujo de Pagos'!$E30,45,9999)</f>
        <v>45</v>
      </c>
      <c r="BN30" s="0" t="n">
        <f aca="false">IF(Presupuesto!$B$46='Flujo de Pagos'!$E30,46,9999)</f>
        <v>46</v>
      </c>
      <c r="BO30" s="0" t="n">
        <f aca="false">IF(Presupuesto!$B$47='Flujo de Pagos'!$E30,47,9999)</f>
        <v>47</v>
      </c>
      <c r="BP30" s="0" t="n">
        <f aca="false">IF(Presupuesto!$B$48='Flujo de Pagos'!$E30,48,9999)</f>
        <v>48</v>
      </c>
      <c r="BQ30" s="0" t="n">
        <f aca="false">IF(Presupuesto!$B$49='Flujo de Pagos'!$E30,49,9999)</f>
        <v>49</v>
      </c>
      <c r="BR30" s="0" t="n">
        <f aca="false">IF(Presupuesto!$B$50='Flujo de Pagos'!$E30,50,9999)</f>
        <v>50</v>
      </c>
      <c r="BS30" s="0" t="n">
        <f aca="false">IF(Presupuesto!$B$51='Flujo de Pagos'!$E30,51,9999)</f>
        <v>51</v>
      </c>
      <c r="BT30" s="0" t="n">
        <f aca="false">IF(Presupuesto!$B$52='Flujo de Pagos'!$E30,52,9999)</f>
        <v>52</v>
      </c>
      <c r="BU30" s="0" t="n">
        <f aca="false">IF(Presupuesto!$B$53='Flujo de Pagos'!$E30,53,9999)</f>
        <v>53</v>
      </c>
      <c r="BV30" s="0" t="n">
        <f aca="false">IF(Presupuesto!$B$54='Flujo de Pagos'!$E30,54,9999)</f>
        <v>54</v>
      </c>
      <c r="BW30" s="0" t="n">
        <f aca="false">IF(Presupuesto!$B$55='Flujo de Pagos'!$E30,55,9999)</f>
        <v>55</v>
      </c>
      <c r="BX30" s="0" t="n">
        <f aca="false">IF(Presupuesto!$B$56='Flujo de Pagos'!$E30,56,9999)</f>
        <v>56</v>
      </c>
      <c r="BY30" s="0" t="n">
        <f aca="false">IF(Presupuesto!$B$57='Flujo de Pagos'!$E30,57,9999)</f>
        <v>57</v>
      </c>
      <c r="BZ30" s="0" t="n">
        <f aca="false">IF(Presupuesto!$B$58='Flujo de Pagos'!$E30,58,9999)</f>
        <v>58</v>
      </c>
      <c r="CA30" s="0" t="n">
        <f aca="false">IF(Presupuesto!$B$59='Flujo de Pagos'!$E30,59,9999)</f>
        <v>59</v>
      </c>
      <c r="CB30" s="0" t="n">
        <f aca="false">IF(Presupuesto!$B$60='Flujo de Pagos'!$E30,60,9999)</f>
        <v>60</v>
      </c>
      <c r="CC30" s="0" t="n">
        <f aca="false">IF(Presupuesto!$B$61='Flujo de Pagos'!$E30,61,9999)</f>
        <v>61</v>
      </c>
      <c r="CD30" s="0" t="n">
        <f aca="false">IF(Presupuesto!$B$62='Flujo de Pagos'!$E30,62,9999)</f>
        <v>62</v>
      </c>
      <c r="CE30" s="0" t="n">
        <f aca="false">IF(Presupuesto!$B$63='Flujo de Pagos'!$E30,63,9999)</f>
        <v>63</v>
      </c>
      <c r="CF30" s="0" t="n">
        <f aca="false">IF(Presupuesto!$B$64='Flujo de Pagos'!$E30,64,9999)</f>
        <v>64</v>
      </c>
      <c r="CG30" s="0" t="n">
        <f aca="false">IF(Presupuesto!$B$65='Flujo de Pagos'!$E30,65,9999)</f>
        <v>65</v>
      </c>
      <c r="CH30" s="0" t="n">
        <f aca="false">IF(Presupuesto!$B$66='Flujo de Pagos'!$E30,66,9999)</f>
        <v>66</v>
      </c>
    </row>
    <row r="31" customFormat="false" ht="15" hidden="false" customHeight="true" outlineLevel="0" collapsed="false">
      <c r="A31" s="1" t="n">
        <f aca="false">IF(Presupuesto!B36=Carátula!$B$2,36,9999)</f>
        <v>9999</v>
      </c>
      <c r="B31" s="1" t="n">
        <f aca="false">IF(AND('Flujo de Pagos'!E36=Carátula!$B$2,'Flujo de Pagos'!F36=Carátula!$B$4,'Flujo de Pagos'!H36&lt;&gt;""),36,99999)</f>
        <v>99999</v>
      </c>
      <c r="D31" s="1" t="str">
        <f aca="false">IF(SMALL($A$2:$A$61,30)&gt;=9999,"",INDEX(Presupuesto!$C:$C,SMALL($A$2:$A$61,30)))</f>
        <v/>
      </c>
      <c r="E31" s="1" t="str">
        <f aca="false">IF(SMALL($B$2:$B$501,30)&gt;=99999,"",INDEX('Flujo de Pagos'!$H:$H,SMALL($B$2:$B$501,30)))</f>
        <v/>
      </c>
      <c r="H31" s="1" t="n">
        <f aca="false">IF(SMALL($AA31:$CH31,1)&gt;=9999,"",INDEX(Presupuesto!$C:$C,SMALL($AA31:$CH31,1)))</f>
        <v>0</v>
      </c>
      <c r="I31" s="1" t="n">
        <f aca="false">IF(SMALL($AA31:$CH31,2)&gt;=9999,"",INDEX(Presupuesto!$C:$C,SMALL($AA31:$CH31,2)))</f>
        <v>0</v>
      </c>
      <c r="J31" s="1" t="n">
        <f aca="false">IF(SMALL($AA31:$CH31,3)&gt;=9999,"",INDEX(Presupuesto!$C:$C,SMALL($AA31:$CH31,3)))</f>
        <v>0</v>
      </c>
      <c r="K31" s="1" t="n">
        <f aca="false">IF(SMALL($AA31:$CH31,4)&gt;=9999,"",INDEX(Presupuesto!$C:$C,SMALL($AA31:$CH31,4)))</f>
        <v>0</v>
      </c>
      <c r="L31" s="1" t="n">
        <f aca="false">IF(SMALL($AA31:$CH31,5)&gt;=9999,"",INDEX(Presupuesto!$C:$C,SMALL($AA31:$CH31,5)))</f>
        <v>0</v>
      </c>
      <c r="M31" s="1" t="n">
        <f aca="false">IF(SMALL($AA31:$CH31,6)&gt;=9999,"",INDEX(Presupuesto!$C:$C,SMALL($AA31:$CH31,6)))</f>
        <v>0</v>
      </c>
      <c r="N31" s="1" t="n">
        <f aca="false">IF(SMALL($AA31:$CH31,7)&gt;=9999,"",INDEX(Presupuesto!$C:$C,SMALL($AA31:$CH31,7)))</f>
        <v>0</v>
      </c>
      <c r="O31" s="1" t="n">
        <f aca="false">IF(SMALL($AA31:$CH31,8)&gt;=9999,"",INDEX(Presupuesto!$C:$C,SMALL($AA31:$CH31,8)))</f>
        <v>0</v>
      </c>
      <c r="P31" s="1" t="n">
        <f aca="false">IF(SMALL($AA31:$CH31,9)&gt;=9999,"",INDEX(Presupuesto!$C:$C,SMALL($AA31:$CH31,9)))</f>
        <v>0</v>
      </c>
      <c r="Q31" s="1" t="n">
        <f aca="false">IF(SMALL($AA31:$CH31,10)&gt;=9999,"",INDEX(Presupuesto!$C:$C,SMALL($AA31:$CH31,10)))</f>
        <v>0</v>
      </c>
      <c r="AA31" s="0" t="n">
        <f aca="false">IF(Presupuesto!$B$7='Flujo de Pagos'!$E31,7,9999)</f>
        <v>9999</v>
      </c>
      <c r="AB31" s="0" t="n">
        <f aca="false">IF(Presupuesto!$B$8='Flujo de Pagos'!$E31,8,9999)</f>
        <v>9999</v>
      </c>
      <c r="AC31" s="0" t="n">
        <f aca="false">IF(Presupuesto!$B$9='Flujo de Pagos'!$E31,9,9999)</f>
        <v>9999</v>
      </c>
      <c r="AD31" s="0" t="n">
        <f aca="false">IF(Presupuesto!$B$10='Flujo de Pagos'!$E31,10,9999)</f>
        <v>9999</v>
      </c>
      <c r="AE31" s="0" t="n">
        <f aca="false">IF(Presupuesto!$B$11='Flujo de Pagos'!$E31,11,9999)</f>
        <v>9999</v>
      </c>
      <c r="AF31" s="0" t="n">
        <f aca="false">IF(Presupuesto!$B$12='Flujo de Pagos'!$E31,12,9999)</f>
        <v>12</v>
      </c>
      <c r="AG31" s="0" t="n">
        <f aca="false">IF(Presupuesto!$B$13='Flujo de Pagos'!$E31,13,9999)</f>
        <v>13</v>
      </c>
      <c r="AH31" s="0" t="n">
        <f aca="false">IF(Presupuesto!$B$14='Flujo de Pagos'!$E31,14,9999)</f>
        <v>14</v>
      </c>
      <c r="AI31" s="0" t="n">
        <f aca="false">IF(Presupuesto!$B$15='Flujo de Pagos'!$E31,15,9999)</f>
        <v>15</v>
      </c>
      <c r="AJ31" s="0" t="n">
        <f aca="false">IF(Presupuesto!$B$16='Flujo de Pagos'!$E31,16,9999)</f>
        <v>16</v>
      </c>
      <c r="AK31" s="0" t="n">
        <f aca="false">IF(Presupuesto!$B$17='Flujo de Pagos'!$E31,17,9999)</f>
        <v>17</v>
      </c>
      <c r="AL31" s="0" t="n">
        <f aca="false">IF(Presupuesto!$B$18='Flujo de Pagos'!$E31,18,9999)</f>
        <v>18</v>
      </c>
      <c r="AM31" s="0" t="n">
        <f aca="false">IF(Presupuesto!$B$19='Flujo de Pagos'!$E31,19,9999)</f>
        <v>19</v>
      </c>
      <c r="AN31" s="0" t="n">
        <f aca="false">IF(Presupuesto!$B$20='Flujo de Pagos'!$E31,20,9999)</f>
        <v>20</v>
      </c>
      <c r="AO31" s="0" t="n">
        <f aca="false">IF(Presupuesto!$B$21='Flujo de Pagos'!$E31,21,9999)</f>
        <v>21</v>
      </c>
      <c r="AP31" s="0" t="n">
        <f aca="false">IF(Presupuesto!$B$22='Flujo de Pagos'!$E31,22,9999)</f>
        <v>22</v>
      </c>
      <c r="AQ31" s="0" t="n">
        <f aca="false">IF(Presupuesto!$B$23='Flujo de Pagos'!$E31,23,9999)</f>
        <v>23</v>
      </c>
      <c r="AR31" s="0" t="n">
        <f aca="false">IF(Presupuesto!$B$24='Flujo de Pagos'!$E31,24,9999)</f>
        <v>24</v>
      </c>
      <c r="AS31" s="0" t="n">
        <f aca="false">IF(Presupuesto!$B$25='Flujo de Pagos'!$E31,25,9999)</f>
        <v>25</v>
      </c>
      <c r="AT31" s="0" t="n">
        <f aca="false">IF(Presupuesto!$B$26='Flujo de Pagos'!$E31,26,9999)</f>
        <v>26</v>
      </c>
      <c r="AU31" s="0" t="n">
        <f aca="false">IF(Presupuesto!$B$27='Flujo de Pagos'!$E31,27,9999)</f>
        <v>27</v>
      </c>
      <c r="AV31" s="0" t="n">
        <f aca="false">IF(Presupuesto!$B$28='Flujo de Pagos'!$E31,28,9999)</f>
        <v>28</v>
      </c>
      <c r="AW31" s="0" t="n">
        <f aca="false">IF(Presupuesto!$B$29='Flujo de Pagos'!$E31,29,9999)</f>
        <v>29</v>
      </c>
      <c r="AX31" s="0" t="n">
        <f aca="false">IF(Presupuesto!$B$30='Flujo de Pagos'!$E31,30,9999)</f>
        <v>30</v>
      </c>
      <c r="AY31" s="0" t="n">
        <f aca="false">IF(Presupuesto!$B$31='Flujo de Pagos'!$E31,31,9999)</f>
        <v>31</v>
      </c>
      <c r="AZ31" s="0" t="n">
        <f aca="false">IF(Presupuesto!$B$32='Flujo de Pagos'!$E31,32,9999)</f>
        <v>32</v>
      </c>
      <c r="BA31" s="0" t="n">
        <f aca="false">IF(Presupuesto!$B$33='Flujo de Pagos'!$E31,33,9999)</f>
        <v>33</v>
      </c>
      <c r="BB31" s="0" t="n">
        <f aca="false">IF(Presupuesto!$B$34='Flujo de Pagos'!$E31,34,9999)</f>
        <v>34</v>
      </c>
      <c r="BC31" s="0" t="n">
        <f aca="false">IF(Presupuesto!$B$35='Flujo de Pagos'!$E31,35,9999)</f>
        <v>35</v>
      </c>
      <c r="BD31" s="0" t="n">
        <f aca="false">IF(Presupuesto!$B$36='Flujo de Pagos'!$E31,36,9999)</f>
        <v>36</v>
      </c>
      <c r="BE31" s="0" t="n">
        <f aca="false">IF(Presupuesto!$B$37='Flujo de Pagos'!$E31,37,9999)</f>
        <v>37</v>
      </c>
      <c r="BF31" s="0" t="n">
        <f aca="false">IF(Presupuesto!$B$38='Flujo de Pagos'!$E31,38,9999)</f>
        <v>38</v>
      </c>
      <c r="BG31" s="0" t="n">
        <f aca="false">IF(Presupuesto!$B$39='Flujo de Pagos'!$E31,39,9999)</f>
        <v>39</v>
      </c>
      <c r="BH31" s="0" t="n">
        <f aca="false">IF(Presupuesto!$B$40='Flujo de Pagos'!$E31,40,9999)</f>
        <v>40</v>
      </c>
      <c r="BI31" s="0" t="n">
        <f aca="false">IF(Presupuesto!$B$41='Flujo de Pagos'!$E31,41,9999)</f>
        <v>41</v>
      </c>
      <c r="BJ31" s="0" t="n">
        <f aca="false">IF(Presupuesto!$B$42='Flujo de Pagos'!$E31,42,9999)</f>
        <v>42</v>
      </c>
      <c r="BK31" s="0" t="n">
        <f aca="false">IF(Presupuesto!$B$43='Flujo de Pagos'!$E31,43,9999)</f>
        <v>43</v>
      </c>
      <c r="BL31" s="0" t="n">
        <f aca="false">IF(Presupuesto!$B$44='Flujo de Pagos'!$E31,44,9999)</f>
        <v>44</v>
      </c>
      <c r="BM31" s="0" t="n">
        <f aca="false">IF(Presupuesto!$B$45='Flujo de Pagos'!$E31,45,9999)</f>
        <v>45</v>
      </c>
      <c r="BN31" s="0" t="n">
        <f aca="false">IF(Presupuesto!$B$46='Flujo de Pagos'!$E31,46,9999)</f>
        <v>46</v>
      </c>
      <c r="BO31" s="0" t="n">
        <f aca="false">IF(Presupuesto!$B$47='Flujo de Pagos'!$E31,47,9999)</f>
        <v>47</v>
      </c>
      <c r="BP31" s="0" t="n">
        <f aca="false">IF(Presupuesto!$B$48='Flujo de Pagos'!$E31,48,9999)</f>
        <v>48</v>
      </c>
      <c r="BQ31" s="0" t="n">
        <f aca="false">IF(Presupuesto!$B$49='Flujo de Pagos'!$E31,49,9999)</f>
        <v>49</v>
      </c>
      <c r="BR31" s="0" t="n">
        <f aca="false">IF(Presupuesto!$B$50='Flujo de Pagos'!$E31,50,9999)</f>
        <v>50</v>
      </c>
      <c r="BS31" s="0" t="n">
        <f aca="false">IF(Presupuesto!$B$51='Flujo de Pagos'!$E31,51,9999)</f>
        <v>51</v>
      </c>
      <c r="BT31" s="0" t="n">
        <f aca="false">IF(Presupuesto!$B$52='Flujo de Pagos'!$E31,52,9999)</f>
        <v>52</v>
      </c>
      <c r="BU31" s="0" t="n">
        <f aca="false">IF(Presupuesto!$B$53='Flujo de Pagos'!$E31,53,9999)</f>
        <v>53</v>
      </c>
      <c r="BV31" s="0" t="n">
        <f aca="false">IF(Presupuesto!$B$54='Flujo de Pagos'!$E31,54,9999)</f>
        <v>54</v>
      </c>
      <c r="BW31" s="0" t="n">
        <f aca="false">IF(Presupuesto!$B$55='Flujo de Pagos'!$E31,55,9999)</f>
        <v>55</v>
      </c>
      <c r="BX31" s="0" t="n">
        <f aca="false">IF(Presupuesto!$B$56='Flujo de Pagos'!$E31,56,9999)</f>
        <v>56</v>
      </c>
      <c r="BY31" s="0" t="n">
        <f aca="false">IF(Presupuesto!$B$57='Flujo de Pagos'!$E31,57,9999)</f>
        <v>57</v>
      </c>
      <c r="BZ31" s="0" t="n">
        <f aca="false">IF(Presupuesto!$B$58='Flujo de Pagos'!$E31,58,9999)</f>
        <v>58</v>
      </c>
      <c r="CA31" s="0" t="n">
        <f aca="false">IF(Presupuesto!$B$59='Flujo de Pagos'!$E31,59,9999)</f>
        <v>59</v>
      </c>
      <c r="CB31" s="0" t="n">
        <f aca="false">IF(Presupuesto!$B$60='Flujo de Pagos'!$E31,60,9999)</f>
        <v>60</v>
      </c>
      <c r="CC31" s="0" t="n">
        <f aca="false">IF(Presupuesto!$B$61='Flujo de Pagos'!$E31,61,9999)</f>
        <v>61</v>
      </c>
      <c r="CD31" s="0" t="n">
        <f aca="false">IF(Presupuesto!$B$62='Flujo de Pagos'!$E31,62,9999)</f>
        <v>62</v>
      </c>
      <c r="CE31" s="0" t="n">
        <f aca="false">IF(Presupuesto!$B$63='Flujo de Pagos'!$E31,63,9999)</f>
        <v>63</v>
      </c>
      <c r="CF31" s="0" t="n">
        <f aca="false">IF(Presupuesto!$B$64='Flujo de Pagos'!$E31,64,9999)</f>
        <v>64</v>
      </c>
      <c r="CG31" s="0" t="n">
        <f aca="false">IF(Presupuesto!$B$65='Flujo de Pagos'!$E31,65,9999)</f>
        <v>65</v>
      </c>
      <c r="CH31" s="0" t="n">
        <f aca="false">IF(Presupuesto!$B$66='Flujo de Pagos'!$E31,66,9999)</f>
        <v>66</v>
      </c>
    </row>
    <row r="32" customFormat="false" ht="15" hidden="false" customHeight="true" outlineLevel="0" collapsed="false">
      <c r="A32" s="1" t="n">
        <f aca="false">IF(Presupuesto!B37=Carátula!$B$2,37,9999)</f>
        <v>9999</v>
      </c>
      <c r="B32" s="1" t="n">
        <f aca="false">IF(AND('Flujo de Pagos'!E37=Carátula!$B$2,'Flujo de Pagos'!F37=Carátula!$B$4,'Flujo de Pagos'!H37&lt;&gt;""),37,99999)</f>
        <v>99999</v>
      </c>
      <c r="D32" s="1" t="str">
        <f aca="false">IF(SMALL($A$2:$A$61,31)&gt;=9999,"",INDEX(Presupuesto!$C:$C,SMALL($A$2:$A$61,31)))</f>
        <v/>
      </c>
      <c r="E32" s="1" t="str">
        <f aca="false">IF(SMALL($B$2:$B$501,31)&gt;=99999,"",INDEX('Flujo de Pagos'!$H:$H,SMALL($B$2:$B$501,31)))</f>
        <v/>
      </c>
      <c r="H32" s="1" t="n">
        <f aca="false">IF(SMALL($AA32:$CH32,1)&gt;=9999,"",INDEX(Presupuesto!$C:$C,SMALL($AA32:$CH32,1)))</f>
        <v>0</v>
      </c>
      <c r="I32" s="1" t="n">
        <f aca="false">IF(SMALL($AA32:$CH32,2)&gt;=9999,"",INDEX(Presupuesto!$C:$C,SMALL($AA32:$CH32,2)))</f>
        <v>0</v>
      </c>
      <c r="J32" s="1" t="n">
        <f aca="false">IF(SMALL($AA32:$CH32,3)&gt;=9999,"",INDEX(Presupuesto!$C:$C,SMALL($AA32:$CH32,3)))</f>
        <v>0</v>
      </c>
      <c r="K32" s="1" t="n">
        <f aca="false">IF(SMALL($AA32:$CH32,4)&gt;=9999,"",INDEX(Presupuesto!$C:$C,SMALL($AA32:$CH32,4)))</f>
        <v>0</v>
      </c>
      <c r="L32" s="1" t="n">
        <f aca="false">IF(SMALL($AA32:$CH32,5)&gt;=9999,"",INDEX(Presupuesto!$C:$C,SMALL($AA32:$CH32,5)))</f>
        <v>0</v>
      </c>
      <c r="M32" s="1" t="n">
        <f aca="false">IF(SMALL($AA32:$CH32,6)&gt;=9999,"",INDEX(Presupuesto!$C:$C,SMALL($AA32:$CH32,6)))</f>
        <v>0</v>
      </c>
      <c r="N32" s="1" t="n">
        <f aca="false">IF(SMALL($AA32:$CH32,7)&gt;=9999,"",INDEX(Presupuesto!$C:$C,SMALL($AA32:$CH32,7)))</f>
        <v>0</v>
      </c>
      <c r="O32" s="1" t="n">
        <f aca="false">IF(SMALL($AA32:$CH32,8)&gt;=9999,"",INDEX(Presupuesto!$C:$C,SMALL($AA32:$CH32,8)))</f>
        <v>0</v>
      </c>
      <c r="P32" s="1" t="n">
        <f aca="false">IF(SMALL($AA32:$CH32,9)&gt;=9999,"",INDEX(Presupuesto!$C:$C,SMALL($AA32:$CH32,9)))</f>
        <v>0</v>
      </c>
      <c r="Q32" s="1" t="n">
        <f aca="false">IF(SMALL($AA32:$CH32,10)&gt;=9999,"",INDEX(Presupuesto!$C:$C,SMALL($AA32:$CH32,10)))</f>
        <v>0</v>
      </c>
      <c r="AA32" s="0" t="n">
        <f aca="false">IF(Presupuesto!$B$7='Flujo de Pagos'!$E32,7,9999)</f>
        <v>9999</v>
      </c>
      <c r="AB32" s="0" t="n">
        <f aca="false">IF(Presupuesto!$B$8='Flujo de Pagos'!$E32,8,9999)</f>
        <v>9999</v>
      </c>
      <c r="AC32" s="0" t="n">
        <f aca="false">IF(Presupuesto!$B$9='Flujo de Pagos'!$E32,9,9999)</f>
        <v>9999</v>
      </c>
      <c r="AD32" s="0" t="n">
        <f aca="false">IF(Presupuesto!$B$10='Flujo de Pagos'!$E32,10,9999)</f>
        <v>9999</v>
      </c>
      <c r="AE32" s="0" t="n">
        <f aca="false">IF(Presupuesto!$B$11='Flujo de Pagos'!$E32,11,9999)</f>
        <v>9999</v>
      </c>
      <c r="AF32" s="0" t="n">
        <f aca="false">IF(Presupuesto!$B$12='Flujo de Pagos'!$E32,12,9999)</f>
        <v>12</v>
      </c>
      <c r="AG32" s="0" t="n">
        <f aca="false">IF(Presupuesto!$B$13='Flujo de Pagos'!$E32,13,9999)</f>
        <v>13</v>
      </c>
      <c r="AH32" s="0" t="n">
        <f aca="false">IF(Presupuesto!$B$14='Flujo de Pagos'!$E32,14,9999)</f>
        <v>14</v>
      </c>
      <c r="AI32" s="0" t="n">
        <f aca="false">IF(Presupuesto!$B$15='Flujo de Pagos'!$E32,15,9999)</f>
        <v>15</v>
      </c>
      <c r="AJ32" s="0" t="n">
        <f aca="false">IF(Presupuesto!$B$16='Flujo de Pagos'!$E32,16,9999)</f>
        <v>16</v>
      </c>
      <c r="AK32" s="0" t="n">
        <f aca="false">IF(Presupuesto!$B$17='Flujo de Pagos'!$E32,17,9999)</f>
        <v>17</v>
      </c>
      <c r="AL32" s="0" t="n">
        <f aca="false">IF(Presupuesto!$B$18='Flujo de Pagos'!$E32,18,9999)</f>
        <v>18</v>
      </c>
      <c r="AM32" s="0" t="n">
        <f aca="false">IF(Presupuesto!$B$19='Flujo de Pagos'!$E32,19,9999)</f>
        <v>19</v>
      </c>
      <c r="AN32" s="0" t="n">
        <f aca="false">IF(Presupuesto!$B$20='Flujo de Pagos'!$E32,20,9999)</f>
        <v>20</v>
      </c>
      <c r="AO32" s="0" t="n">
        <f aca="false">IF(Presupuesto!$B$21='Flujo de Pagos'!$E32,21,9999)</f>
        <v>21</v>
      </c>
      <c r="AP32" s="0" t="n">
        <f aca="false">IF(Presupuesto!$B$22='Flujo de Pagos'!$E32,22,9999)</f>
        <v>22</v>
      </c>
      <c r="AQ32" s="0" t="n">
        <f aca="false">IF(Presupuesto!$B$23='Flujo de Pagos'!$E32,23,9999)</f>
        <v>23</v>
      </c>
      <c r="AR32" s="0" t="n">
        <f aca="false">IF(Presupuesto!$B$24='Flujo de Pagos'!$E32,24,9999)</f>
        <v>24</v>
      </c>
      <c r="AS32" s="0" t="n">
        <f aca="false">IF(Presupuesto!$B$25='Flujo de Pagos'!$E32,25,9999)</f>
        <v>25</v>
      </c>
      <c r="AT32" s="0" t="n">
        <f aca="false">IF(Presupuesto!$B$26='Flujo de Pagos'!$E32,26,9999)</f>
        <v>26</v>
      </c>
      <c r="AU32" s="0" t="n">
        <f aca="false">IF(Presupuesto!$B$27='Flujo de Pagos'!$E32,27,9999)</f>
        <v>27</v>
      </c>
      <c r="AV32" s="0" t="n">
        <f aca="false">IF(Presupuesto!$B$28='Flujo de Pagos'!$E32,28,9999)</f>
        <v>28</v>
      </c>
      <c r="AW32" s="0" t="n">
        <f aca="false">IF(Presupuesto!$B$29='Flujo de Pagos'!$E32,29,9999)</f>
        <v>29</v>
      </c>
      <c r="AX32" s="0" t="n">
        <f aca="false">IF(Presupuesto!$B$30='Flujo de Pagos'!$E32,30,9999)</f>
        <v>30</v>
      </c>
      <c r="AY32" s="0" t="n">
        <f aca="false">IF(Presupuesto!$B$31='Flujo de Pagos'!$E32,31,9999)</f>
        <v>31</v>
      </c>
      <c r="AZ32" s="0" t="n">
        <f aca="false">IF(Presupuesto!$B$32='Flujo de Pagos'!$E32,32,9999)</f>
        <v>32</v>
      </c>
      <c r="BA32" s="0" t="n">
        <f aca="false">IF(Presupuesto!$B$33='Flujo de Pagos'!$E32,33,9999)</f>
        <v>33</v>
      </c>
      <c r="BB32" s="0" t="n">
        <f aca="false">IF(Presupuesto!$B$34='Flujo de Pagos'!$E32,34,9999)</f>
        <v>34</v>
      </c>
      <c r="BC32" s="0" t="n">
        <f aca="false">IF(Presupuesto!$B$35='Flujo de Pagos'!$E32,35,9999)</f>
        <v>35</v>
      </c>
      <c r="BD32" s="0" t="n">
        <f aca="false">IF(Presupuesto!$B$36='Flujo de Pagos'!$E32,36,9999)</f>
        <v>36</v>
      </c>
      <c r="BE32" s="0" t="n">
        <f aca="false">IF(Presupuesto!$B$37='Flujo de Pagos'!$E32,37,9999)</f>
        <v>37</v>
      </c>
      <c r="BF32" s="0" t="n">
        <f aca="false">IF(Presupuesto!$B$38='Flujo de Pagos'!$E32,38,9999)</f>
        <v>38</v>
      </c>
      <c r="BG32" s="0" t="n">
        <f aca="false">IF(Presupuesto!$B$39='Flujo de Pagos'!$E32,39,9999)</f>
        <v>39</v>
      </c>
      <c r="BH32" s="0" t="n">
        <f aca="false">IF(Presupuesto!$B$40='Flujo de Pagos'!$E32,40,9999)</f>
        <v>40</v>
      </c>
      <c r="BI32" s="0" t="n">
        <f aca="false">IF(Presupuesto!$B$41='Flujo de Pagos'!$E32,41,9999)</f>
        <v>41</v>
      </c>
      <c r="BJ32" s="0" t="n">
        <f aca="false">IF(Presupuesto!$B$42='Flujo de Pagos'!$E32,42,9999)</f>
        <v>42</v>
      </c>
      <c r="BK32" s="0" t="n">
        <f aca="false">IF(Presupuesto!$B$43='Flujo de Pagos'!$E32,43,9999)</f>
        <v>43</v>
      </c>
      <c r="BL32" s="0" t="n">
        <f aca="false">IF(Presupuesto!$B$44='Flujo de Pagos'!$E32,44,9999)</f>
        <v>44</v>
      </c>
      <c r="BM32" s="0" t="n">
        <f aca="false">IF(Presupuesto!$B$45='Flujo de Pagos'!$E32,45,9999)</f>
        <v>45</v>
      </c>
      <c r="BN32" s="0" t="n">
        <f aca="false">IF(Presupuesto!$B$46='Flujo de Pagos'!$E32,46,9999)</f>
        <v>46</v>
      </c>
      <c r="BO32" s="0" t="n">
        <f aca="false">IF(Presupuesto!$B$47='Flujo de Pagos'!$E32,47,9999)</f>
        <v>47</v>
      </c>
      <c r="BP32" s="0" t="n">
        <f aca="false">IF(Presupuesto!$B$48='Flujo de Pagos'!$E32,48,9999)</f>
        <v>48</v>
      </c>
      <c r="BQ32" s="0" t="n">
        <f aca="false">IF(Presupuesto!$B$49='Flujo de Pagos'!$E32,49,9999)</f>
        <v>49</v>
      </c>
      <c r="BR32" s="0" t="n">
        <f aca="false">IF(Presupuesto!$B$50='Flujo de Pagos'!$E32,50,9999)</f>
        <v>50</v>
      </c>
      <c r="BS32" s="0" t="n">
        <f aca="false">IF(Presupuesto!$B$51='Flujo de Pagos'!$E32,51,9999)</f>
        <v>51</v>
      </c>
      <c r="BT32" s="0" t="n">
        <f aca="false">IF(Presupuesto!$B$52='Flujo de Pagos'!$E32,52,9999)</f>
        <v>52</v>
      </c>
      <c r="BU32" s="0" t="n">
        <f aca="false">IF(Presupuesto!$B$53='Flujo de Pagos'!$E32,53,9999)</f>
        <v>53</v>
      </c>
      <c r="BV32" s="0" t="n">
        <f aca="false">IF(Presupuesto!$B$54='Flujo de Pagos'!$E32,54,9999)</f>
        <v>54</v>
      </c>
      <c r="BW32" s="0" t="n">
        <f aca="false">IF(Presupuesto!$B$55='Flujo de Pagos'!$E32,55,9999)</f>
        <v>55</v>
      </c>
      <c r="BX32" s="0" t="n">
        <f aca="false">IF(Presupuesto!$B$56='Flujo de Pagos'!$E32,56,9999)</f>
        <v>56</v>
      </c>
      <c r="BY32" s="0" t="n">
        <f aca="false">IF(Presupuesto!$B$57='Flujo de Pagos'!$E32,57,9999)</f>
        <v>57</v>
      </c>
      <c r="BZ32" s="0" t="n">
        <f aca="false">IF(Presupuesto!$B$58='Flujo de Pagos'!$E32,58,9999)</f>
        <v>58</v>
      </c>
      <c r="CA32" s="0" t="n">
        <f aca="false">IF(Presupuesto!$B$59='Flujo de Pagos'!$E32,59,9999)</f>
        <v>59</v>
      </c>
      <c r="CB32" s="0" t="n">
        <f aca="false">IF(Presupuesto!$B$60='Flujo de Pagos'!$E32,60,9999)</f>
        <v>60</v>
      </c>
      <c r="CC32" s="0" t="n">
        <f aca="false">IF(Presupuesto!$B$61='Flujo de Pagos'!$E32,61,9999)</f>
        <v>61</v>
      </c>
      <c r="CD32" s="0" t="n">
        <f aca="false">IF(Presupuesto!$B$62='Flujo de Pagos'!$E32,62,9999)</f>
        <v>62</v>
      </c>
      <c r="CE32" s="0" t="n">
        <f aca="false">IF(Presupuesto!$B$63='Flujo de Pagos'!$E32,63,9999)</f>
        <v>63</v>
      </c>
      <c r="CF32" s="0" t="n">
        <f aca="false">IF(Presupuesto!$B$64='Flujo de Pagos'!$E32,64,9999)</f>
        <v>64</v>
      </c>
      <c r="CG32" s="0" t="n">
        <f aca="false">IF(Presupuesto!$B$65='Flujo de Pagos'!$E32,65,9999)</f>
        <v>65</v>
      </c>
      <c r="CH32" s="0" t="n">
        <f aca="false">IF(Presupuesto!$B$66='Flujo de Pagos'!$E32,66,9999)</f>
        <v>66</v>
      </c>
    </row>
    <row r="33" customFormat="false" ht="15" hidden="false" customHeight="true" outlineLevel="0" collapsed="false">
      <c r="A33" s="1" t="n">
        <f aca="false">IF(Presupuesto!B38=Carátula!$B$2,38,9999)</f>
        <v>9999</v>
      </c>
      <c r="B33" s="1" t="n">
        <f aca="false">IF(AND('Flujo de Pagos'!E38=Carátula!$B$2,'Flujo de Pagos'!F38=Carátula!$B$4,'Flujo de Pagos'!H38&lt;&gt;""),38,99999)</f>
        <v>99999</v>
      </c>
      <c r="D33" s="1" t="str">
        <f aca="false">IF(SMALL($A$2:$A$61,32)&gt;=9999,"",INDEX(Presupuesto!$C:$C,SMALL($A$2:$A$61,32)))</f>
        <v/>
      </c>
      <c r="E33" s="1" t="str">
        <f aca="false">IF(SMALL($B$2:$B$501,32)&gt;=99999,"",INDEX('Flujo de Pagos'!$H:$H,SMALL($B$2:$B$501,32)))</f>
        <v/>
      </c>
      <c r="H33" s="1" t="n">
        <f aca="false">IF(SMALL($AA33:$CH33,1)&gt;=9999,"",INDEX(Presupuesto!$C:$C,SMALL($AA33:$CH33,1)))</f>
        <v>0</v>
      </c>
      <c r="I33" s="1" t="n">
        <f aca="false">IF(SMALL($AA33:$CH33,2)&gt;=9999,"",INDEX(Presupuesto!$C:$C,SMALL($AA33:$CH33,2)))</f>
        <v>0</v>
      </c>
      <c r="J33" s="1" t="n">
        <f aca="false">IF(SMALL($AA33:$CH33,3)&gt;=9999,"",INDEX(Presupuesto!$C:$C,SMALL($AA33:$CH33,3)))</f>
        <v>0</v>
      </c>
      <c r="K33" s="1" t="n">
        <f aca="false">IF(SMALL($AA33:$CH33,4)&gt;=9999,"",INDEX(Presupuesto!$C:$C,SMALL($AA33:$CH33,4)))</f>
        <v>0</v>
      </c>
      <c r="L33" s="1" t="n">
        <f aca="false">IF(SMALL($AA33:$CH33,5)&gt;=9999,"",INDEX(Presupuesto!$C:$C,SMALL($AA33:$CH33,5)))</f>
        <v>0</v>
      </c>
      <c r="M33" s="1" t="n">
        <f aca="false">IF(SMALL($AA33:$CH33,6)&gt;=9999,"",INDEX(Presupuesto!$C:$C,SMALL($AA33:$CH33,6)))</f>
        <v>0</v>
      </c>
      <c r="N33" s="1" t="n">
        <f aca="false">IF(SMALL($AA33:$CH33,7)&gt;=9999,"",INDEX(Presupuesto!$C:$C,SMALL($AA33:$CH33,7)))</f>
        <v>0</v>
      </c>
      <c r="O33" s="1" t="n">
        <f aca="false">IF(SMALL($AA33:$CH33,8)&gt;=9999,"",INDEX(Presupuesto!$C:$C,SMALL($AA33:$CH33,8)))</f>
        <v>0</v>
      </c>
      <c r="P33" s="1" t="n">
        <f aca="false">IF(SMALL($AA33:$CH33,9)&gt;=9999,"",INDEX(Presupuesto!$C:$C,SMALL($AA33:$CH33,9)))</f>
        <v>0</v>
      </c>
      <c r="Q33" s="1" t="n">
        <f aca="false">IF(SMALL($AA33:$CH33,10)&gt;=9999,"",INDEX(Presupuesto!$C:$C,SMALL($AA33:$CH33,10)))</f>
        <v>0</v>
      </c>
      <c r="AA33" s="0" t="n">
        <f aca="false">IF(Presupuesto!$B$7='Flujo de Pagos'!$E33,7,9999)</f>
        <v>9999</v>
      </c>
      <c r="AB33" s="0" t="n">
        <f aca="false">IF(Presupuesto!$B$8='Flujo de Pagos'!$E33,8,9999)</f>
        <v>9999</v>
      </c>
      <c r="AC33" s="0" t="n">
        <f aca="false">IF(Presupuesto!$B$9='Flujo de Pagos'!$E33,9,9999)</f>
        <v>9999</v>
      </c>
      <c r="AD33" s="0" t="n">
        <f aca="false">IF(Presupuesto!$B$10='Flujo de Pagos'!$E33,10,9999)</f>
        <v>9999</v>
      </c>
      <c r="AE33" s="0" t="n">
        <f aca="false">IF(Presupuesto!$B$11='Flujo de Pagos'!$E33,11,9999)</f>
        <v>9999</v>
      </c>
      <c r="AF33" s="0" t="n">
        <f aca="false">IF(Presupuesto!$B$12='Flujo de Pagos'!$E33,12,9999)</f>
        <v>12</v>
      </c>
      <c r="AG33" s="0" t="n">
        <f aca="false">IF(Presupuesto!$B$13='Flujo de Pagos'!$E33,13,9999)</f>
        <v>13</v>
      </c>
      <c r="AH33" s="0" t="n">
        <f aca="false">IF(Presupuesto!$B$14='Flujo de Pagos'!$E33,14,9999)</f>
        <v>14</v>
      </c>
      <c r="AI33" s="0" t="n">
        <f aca="false">IF(Presupuesto!$B$15='Flujo de Pagos'!$E33,15,9999)</f>
        <v>15</v>
      </c>
      <c r="AJ33" s="0" t="n">
        <f aca="false">IF(Presupuesto!$B$16='Flujo de Pagos'!$E33,16,9999)</f>
        <v>16</v>
      </c>
      <c r="AK33" s="0" t="n">
        <f aca="false">IF(Presupuesto!$B$17='Flujo de Pagos'!$E33,17,9999)</f>
        <v>17</v>
      </c>
      <c r="AL33" s="0" t="n">
        <f aca="false">IF(Presupuesto!$B$18='Flujo de Pagos'!$E33,18,9999)</f>
        <v>18</v>
      </c>
      <c r="AM33" s="0" t="n">
        <f aca="false">IF(Presupuesto!$B$19='Flujo de Pagos'!$E33,19,9999)</f>
        <v>19</v>
      </c>
      <c r="AN33" s="0" t="n">
        <f aca="false">IF(Presupuesto!$B$20='Flujo de Pagos'!$E33,20,9999)</f>
        <v>20</v>
      </c>
      <c r="AO33" s="0" t="n">
        <f aca="false">IF(Presupuesto!$B$21='Flujo de Pagos'!$E33,21,9999)</f>
        <v>21</v>
      </c>
      <c r="AP33" s="0" t="n">
        <f aca="false">IF(Presupuesto!$B$22='Flujo de Pagos'!$E33,22,9999)</f>
        <v>22</v>
      </c>
      <c r="AQ33" s="0" t="n">
        <f aca="false">IF(Presupuesto!$B$23='Flujo de Pagos'!$E33,23,9999)</f>
        <v>23</v>
      </c>
      <c r="AR33" s="0" t="n">
        <f aca="false">IF(Presupuesto!$B$24='Flujo de Pagos'!$E33,24,9999)</f>
        <v>24</v>
      </c>
      <c r="AS33" s="0" t="n">
        <f aca="false">IF(Presupuesto!$B$25='Flujo de Pagos'!$E33,25,9999)</f>
        <v>25</v>
      </c>
      <c r="AT33" s="0" t="n">
        <f aca="false">IF(Presupuesto!$B$26='Flujo de Pagos'!$E33,26,9999)</f>
        <v>26</v>
      </c>
      <c r="AU33" s="0" t="n">
        <f aca="false">IF(Presupuesto!$B$27='Flujo de Pagos'!$E33,27,9999)</f>
        <v>27</v>
      </c>
      <c r="AV33" s="0" t="n">
        <f aca="false">IF(Presupuesto!$B$28='Flujo de Pagos'!$E33,28,9999)</f>
        <v>28</v>
      </c>
      <c r="AW33" s="0" t="n">
        <f aca="false">IF(Presupuesto!$B$29='Flujo de Pagos'!$E33,29,9999)</f>
        <v>29</v>
      </c>
      <c r="AX33" s="0" t="n">
        <f aca="false">IF(Presupuesto!$B$30='Flujo de Pagos'!$E33,30,9999)</f>
        <v>30</v>
      </c>
      <c r="AY33" s="0" t="n">
        <f aca="false">IF(Presupuesto!$B$31='Flujo de Pagos'!$E33,31,9999)</f>
        <v>31</v>
      </c>
      <c r="AZ33" s="0" t="n">
        <f aca="false">IF(Presupuesto!$B$32='Flujo de Pagos'!$E33,32,9999)</f>
        <v>32</v>
      </c>
      <c r="BA33" s="0" t="n">
        <f aca="false">IF(Presupuesto!$B$33='Flujo de Pagos'!$E33,33,9999)</f>
        <v>33</v>
      </c>
      <c r="BB33" s="0" t="n">
        <f aca="false">IF(Presupuesto!$B$34='Flujo de Pagos'!$E33,34,9999)</f>
        <v>34</v>
      </c>
      <c r="BC33" s="0" t="n">
        <f aca="false">IF(Presupuesto!$B$35='Flujo de Pagos'!$E33,35,9999)</f>
        <v>35</v>
      </c>
      <c r="BD33" s="0" t="n">
        <f aca="false">IF(Presupuesto!$B$36='Flujo de Pagos'!$E33,36,9999)</f>
        <v>36</v>
      </c>
      <c r="BE33" s="0" t="n">
        <f aca="false">IF(Presupuesto!$B$37='Flujo de Pagos'!$E33,37,9999)</f>
        <v>37</v>
      </c>
      <c r="BF33" s="0" t="n">
        <f aca="false">IF(Presupuesto!$B$38='Flujo de Pagos'!$E33,38,9999)</f>
        <v>38</v>
      </c>
      <c r="BG33" s="0" t="n">
        <f aca="false">IF(Presupuesto!$B$39='Flujo de Pagos'!$E33,39,9999)</f>
        <v>39</v>
      </c>
      <c r="BH33" s="0" t="n">
        <f aca="false">IF(Presupuesto!$B$40='Flujo de Pagos'!$E33,40,9999)</f>
        <v>40</v>
      </c>
      <c r="BI33" s="0" t="n">
        <f aca="false">IF(Presupuesto!$B$41='Flujo de Pagos'!$E33,41,9999)</f>
        <v>41</v>
      </c>
      <c r="BJ33" s="0" t="n">
        <f aca="false">IF(Presupuesto!$B$42='Flujo de Pagos'!$E33,42,9999)</f>
        <v>42</v>
      </c>
      <c r="BK33" s="0" t="n">
        <f aca="false">IF(Presupuesto!$B$43='Flujo de Pagos'!$E33,43,9999)</f>
        <v>43</v>
      </c>
      <c r="BL33" s="0" t="n">
        <f aca="false">IF(Presupuesto!$B$44='Flujo de Pagos'!$E33,44,9999)</f>
        <v>44</v>
      </c>
      <c r="BM33" s="0" t="n">
        <f aca="false">IF(Presupuesto!$B$45='Flujo de Pagos'!$E33,45,9999)</f>
        <v>45</v>
      </c>
      <c r="BN33" s="0" t="n">
        <f aca="false">IF(Presupuesto!$B$46='Flujo de Pagos'!$E33,46,9999)</f>
        <v>46</v>
      </c>
      <c r="BO33" s="0" t="n">
        <f aca="false">IF(Presupuesto!$B$47='Flujo de Pagos'!$E33,47,9999)</f>
        <v>47</v>
      </c>
      <c r="BP33" s="0" t="n">
        <f aca="false">IF(Presupuesto!$B$48='Flujo de Pagos'!$E33,48,9999)</f>
        <v>48</v>
      </c>
      <c r="BQ33" s="0" t="n">
        <f aca="false">IF(Presupuesto!$B$49='Flujo de Pagos'!$E33,49,9999)</f>
        <v>49</v>
      </c>
      <c r="BR33" s="0" t="n">
        <f aca="false">IF(Presupuesto!$B$50='Flujo de Pagos'!$E33,50,9999)</f>
        <v>50</v>
      </c>
      <c r="BS33" s="0" t="n">
        <f aca="false">IF(Presupuesto!$B$51='Flujo de Pagos'!$E33,51,9999)</f>
        <v>51</v>
      </c>
      <c r="BT33" s="0" t="n">
        <f aca="false">IF(Presupuesto!$B$52='Flujo de Pagos'!$E33,52,9999)</f>
        <v>52</v>
      </c>
      <c r="BU33" s="0" t="n">
        <f aca="false">IF(Presupuesto!$B$53='Flujo de Pagos'!$E33,53,9999)</f>
        <v>53</v>
      </c>
      <c r="BV33" s="0" t="n">
        <f aca="false">IF(Presupuesto!$B$54='Flujo de Pagos'!$E33,54,9999)</f>
        <v>54</v>
      </c>
      <c r="BW33" s="0" t="n">
        <f aca="false">IF(Presupuesto!$B$55='Flujo de Pagos'!$E33,55,9999)</f>
        <v>55</v>
      </c>
      <c r="BX33" s="0" t="n">
        <f aca="false">IF(Presupuesto!$B$56='Flujo de Pagos'!$E33,56,9999)</f>
        <v>56</v>
      </c>
      <c r="BY33" s="0" t="n">
        <f aca="false">IF(Presupuesto!$B$57='Flujo de Pagos'!$E33,57,9999)</f>
        <v>57</v>
      </c>
      <c r="BZ33" s="0" t="n">
        <f aca="false">IF(Presupuesto!$B$58='Flujo de Pagos'!$E33,58,9999)</f>
        <v>58</v>
      </c>
      <c r="CA33" s="0" t="n">
        <f aca="false">IF(Presupuesto!$B$59='Flujo de Pagos'!$E33,59,9999)</f>
        <v>59</v>
      </c>
      <c r="CB33" s="0" t="n">
        <f aca="false">IF(Presupuesto!$B$60='Flujo de Pagos'!$E33,60,9999)</f>
        <v>60</v>
      </c>
      <c r="CC33" s="0" t="n">
        <f aca="false">IF(Presupuesto!$B$61='Flujo de Pagos'!$E33,61,9999)</f>
        <v>61</v>
      </c>
      <c r="CD33" s="0" t="n">
        <f aca="false">IF(Presupuesto!$B$62='Flujo de Pagos'!$E33,62,9999)</f>
        <v>62</v>
      </c>
      <c r="CE33" s="0" t="n">
        <f aca="false">IF(Presupuesto!$B$63='Flujo de Pagos'!$E33,63,9999)</f>
        <v>63</v>
      </c>
      <c r="CF33" s="0" t="n">
        <f aca="false">IF(Presupuesto!$B$64='Flujo de Pagos'!$E33,64,9999)</f>
        <v>64</v>
      </c>
      <c r="CG33" s="0" t="n">
        <f aca="false">IF(Presupuesto!$B$65='Flujo de Pagos'!$E33,65,9999)</f>
        <v>65</v>
      </c>
      <c r="CH33" s="0" t="n">
        <f aca="false">IF(Presupuesto!$B$66='Flujo de Pagos'!$E33,66,9999)</f>
        <v>66</v>
      </c>
    </row>
    <row r="34" customFormat="false" ht="15" hidden="false" customHeight="true" outlineLevel="0" collapsed="false">
      <c r="A34" s="1" t="n">
        <f aca="false">IF(Presupuesto!B39=Carátula!$B$2,39,9999)</f>
        <v>9999</v>
      </c>
      <c r="B34" s="1" t="n">
        <f aca="false">IF(AND('Flujo de Pagos'!E39=Carátula!$B$2,'Flujo de Pagos'!F39=Carátula!$B$4,'Flujo de Pagos'!H39&lt;&gt;""),39,99999)</f>
        <v>99999</v>
      </c>
      <c r="D34" s="1" t="str">
        <f aca="false">IF(SMALL($A$2:$A$61,33)&gt;=9999,"",INDEX(Presupuesto!$C:$C,SMALL($A$2:$A$61,33)))</f>
        <v/>
      </c>
      <c r="E34" s="1" t="str">
        <f aca="false">IF(SMALL($B$2:$B$501,33)&gt;=99999,"",INDEX('Flujo de Pagos'!$H:$H,SMALL($B$2:$B$501,33)))</f>
        <v/>
      </c>
      <c r="H34" s="1" t="n">
        <f aca="false">IF(SMALL($AA34:$CH34,1)&gt;=9999,"",INDEX(Presupuesto!$C:$C,SMALL($AA34:$CH34,1)))</f>
        <v>0</v>
      </c>
      <c r="I34" s="1" t="n">
        <f aca="false">IF(SMALL($AA34:$CH34,2)&gt;=9999,"",INDEX(Presupuesto!$C:$C,SMALL($AA34:$CH34,2)))</f>
        <v>0</v>
      </c>
      <c r="J34" s="1" t="n">
        <f aca="false">IF(SMALL($AA34:$CH34,3)&gt;=9999,"",INDEX(Presupuesto!$C:$C,SMALL($AA34:$CH34,3)))</f>
        <v>0</v>
      </c>
      <c r="K34" s="1" t="n">
        <f aca="false">IF(SMALL($AA34:$CH34,4)&gt;=9999,"",INDEX(Presupuesto!$C:$C,SMALL($AA34:$CH34,4)))</f>
        <v>0</v>
      </c>
      <c r="L34" s="1" t="n">
        <f aca="false">IF(SMALL($AA34:$CH34,5)&gt;=9999,"",INDEX(Presupuesto!$C:$C,SMALL($AA34:$CH34,5)))</f>
        <v>0</v>
      </c>
      <c r="M34" s="1" t="n">
        <f aca="false">IF(SMALL($AA34:$CH34,6)&gt;=9999,"",INDEX(Presupuesto!$C:$C,SMALL($AA34:$CH34,6)))</f>
        <v>0</v>
      </c>
      <c r="N34" s="1" t="n">
        <f aca="false">IF(SMALL($AA34:$CH34,7)&gt;=9999,"",INDEX(Presupuesto!$C:$C,SMALL($AA34:$CH34,7)))</f>
        <v>0</v>
      </c>
      <c r="O34" s="1" t="n">
        <f aca="false">IF(SMALL($AA34:$CH34,8)&gt;=9999,"",INDEX(Presupuesto!$C:$C,SMALL($AA34:$CH34,8)))</f>
        <v>0</v>
      </c>
      <c r="P34" s="1" t="n">
        <f aca="false">IF(SMALL($AA34:$CH34,9)&gt;=9999,"",INDEX(Presupuesto!$C:$C,SMALL($AA34:$CH34,9)))</f>
        <v>0</v>
      </c>
      <c r="Q34" s="1" t="n">
        <f aca="false">IF(SMALL($AA34:$CH34,10)&gt;=9999,"",INDEX(Presupuesto!$C:$C,SMALL($AA34:$CH34,10)))</f>
        <v>0</v>
      </c>
      <c r="AA34" s="0" t="n">
        <f aca="false">IF(Presupuesto!$B$7='Flujo de Pagos'!$E34,7,9999)</f>
        <v>9999</v>
      </c>
      <c r="AB34" s="0" t="n">
        <f aca="false">IF(Presupuesto!$B$8='Flujo de Pagos'!$E34,8,9999)</f>
        <v>9999</v>
      </c>
      <c r="AC34" s="0" t="n">
        <f aca="false">IF(Presupuesto!$B$9='Flujo de Pagos'!$E34,9,9999)</f>
        <v>9999</v>
      </c>
      <c r="AD34" s="0" t="n">
        <f aca="false">IF(Presupuesto!$B$10='Flujo de Pagos'!$E34,10,9999)</f>
        <v>9999</v>
      </c>
      <c r="AE34" s="0" t="n">
        <f aca="false">IF(Presupuesto!$B$11='Flujo de Pagos'!$E34,11,9999)</f>
        <v>9999</v>
      </c>
      <c r="AF34" s="0" t="n">
        <f aca="false">IF(Presupuesto!$B$12='Flujo de Pagos'!$E34,12,9999)</f>
        <v>12</v>
      </c>
      <c r="AG34" s="0" t="n">
        <f aca="false">IF(Presupuesto!$B$13='Flujo de Pagos'!$E34,13,9999)</f>
        <v>13</v>
      </c>
      <c r="AH34" s="0" t="n">
        <f aca="false">IF(Presupuesto!$B$14='Flujo de Pagos'!$E34,14,9999)</f>
        <v>14</v>
      </c>
      <c r="AI34" s="0" t="n">
        <f aca="false">IF(Presupuesto!$B$15='Flujo de Pagos'!$E34,15,9999)</f>
        <v>15</v>
      </c>
      <c r="AJ34" s="0" t="n">
        <f aca="false">IF(Presupuesto!$B$16='Flujo de Pagos'!$E34,16,9999)</f>
        <v>16</v>
      </c>
      <c r="AK34" s="0" t="n">
        <f aca="false">IF(Presupuesto!$B$17='Flujo de Pagos'!$E34,17,9999)</f>
        <v>17</v>
      </c>
      <c r="AL34" s="0" t="n">
        <f aca="false">IF(Presupuesto!$B$18='Flujo de Pagos'!$E34,18,9999)</f>
        <v>18</v>
      </c>
      <c r="AM34" s="0" t="n">
        <f aca="false">IF(Presupuesto!$B$19='Flujo de Pagos'!$E34,19,9999)</f>
        <v>19</v>
      </c>
      <c r="AN34" s="0" t="n">
        <f aca="false">IF(Presupuesto!$B$20='Flujo de Pagos'!$E34,20,9999)</f>
        <v>20</v>
      </c>
      <c r="AO34" s="0" t="n">
        <f aca="false">IF(Presupuesto!$B$21='Flujo de Pagos'!$E34,21,9999)</f>
        <v>21</v>
      </c>
      <c r="AP34" s="0" t="n">
        <f aca="false">IF(Presupuesto!$B$22='Flujo de Pagos'!$E34,22,9999)</f>
        <v>22</v>
      </c>
      <c r="AQ34" s="0" t="n">
        <f aca="false">IF(Presupuesto!$B$23='Flujo de Pagos'!$E34,23,9999)</f>
        <v>23</v>
      </c>
      <c r="AR34" s="0" t="n">
        <f aca="false">IF(Presupuesto!$B$24='Flujo de Pagos'!$E34,24,9999)</f>
        <v>24</v>
      </c>
      <c r="AS34" s="0" t="n">
        <f aca="false">IF(Presupuesto!$B$25='Flujo de Pagos'!$E34,25,9999)</f>
        <v>25</v>
      </c>
      <c r="AT34" s="0" t="n">
        <f aca="false">IF(Presupuesto!$B$26='Flujo de Pagos'!$E34,26,9999)</f>
        <v>26</v>
      </c>
      <c r="AU34" s="0" t="n">
        <f aca="false">IF(Presupuesto!$B$27='Flujo de Pagos'!$E34,27,9999)</f>
        <v>27</v>
      </c>
      <c r="AV34" s="0" t="n">
        <f aca="false">IF(Presupuesto!$B$28='Flujo de Pagos'!$E34,28,9999)</f>
        <v>28</v>
      </c>
      <c r="AW34" s="0" t="n">
        <f aca="false">IF(Presupuesto!$B$29='Flujo de Pagos'!$E34,29,9999)</f>
        <v>29</v>
      </c>
      <c r="AX34" s="0" t="n">
        <f aca="false">IF(Presupuesto!$B$30='Flujo de Pagos'!$E34,30,9999)</f>
        <v>30</v>
      </c>
      <c r="AY34" s="0" t="n">
        <f aca="false">IF(Presupuesto!$B$31='Flujo de Pagos'!$E34,31,9999)</f>
        <v>31</v>
      </c>
      <c r="AZ34" s="0" t="n">
        <f aca="false">IF(Presupuesto!$B$32='Flujo de Pagos'!$E34,32,9999)</f>
        <v>32</v>
      </c>
      <c r="BA34" s="0" t="n">
        <f aca="false">IF(Presupuesto!$B$33='Flujo de Pagos'!$E34,33,9999)</f>
        <v>33</v>
      </c>
      <c r="BB34" s="0" t="n">
        <f aca="false">IF(Presupuesto!$B$34='Flujo de Pagos'!$E34,34,9999)</f>
        <v>34</v>
      </c>
      <c r="BC34" s="0" t="n">
        <f aca="false">IF(Presupuesto!$B$35='Flujo de Pagos'!$E34,35,9999)</f>
        <v>35</v>
      </c>
      <c r="BD34" s="0" t="n">
        <f aca="false">IF(Presupuesto!$B$36='Flujo de Pagos'!$E34,36,9999)</f>
        <v>36</v>
      </c>
      <c r="BE34" s="0" t="n">
        <f aca="false">IF(Presupuesto!$B$37='Flujo de Pagos'!$E34,37,9999)</f>
        <v>37</v>
      </c>
      <c r="BF34" s="0" t="n">
        <f aca="false">IF(Presupuesto!$B$38='Flujo de Pagos'!$E34,38,9999)</f>
        <v>38</v>
      </c>
      <c r="BG34" s="0" t="n">
        <f aca="false">IF(Presupuesto!$B$39='Flujo de Pagos'!$E34,39,9999)</f>
        <v>39</v>
      </c>
      <c r="BH34" s="0" t="n">
        <f aca="false">IF(Presupuesto!$B$40='Flujo de Pagos'!$E34,40,9999)</f>
        <v>40</v>
      </c>
      <c r="BI34" s="0" t="n">
        <f aca="false">IF(Presupuesto!$B$41='Flujo de Pagos'!$E34,41,9999)</f>
        <v>41</v>
      </c>
      <c r="BJ34" s="0" t="n">
        <f aca="false">IF(Presupuesto!$B$42='Flujo de Pagos'!$E34,42,9999)</f>
        <v>42</v>
      </c>
      <c r="BK34" s="0" t="n">
        <f aca="false">IF(Presupuesto!$B$43='Flujo de Pagos'!$E34,43,9999)</f>
        <v>43</v>
      </c>
      <c r="BL34" s="0" t="n">
        <f aca="false">IF(Presupuesto!$B$44='Flujo de Pagos'!$E34,44,9999)</f>
        <v>44</v>
      </c>
      <c r="BM34" s="0" t="n">
        <f aca="false">IF(Presupuesto!$B$45='Flujo de Pagos'!$E34,45,9999)</f>
        <v>45</v>
      </c>
      <c r="BN34" s="0" t="n">
        <f aca="false">IF(Presupuesto!$B$46='Flujo de Pagos'!$E34,46,9999)</f>
        <v>46</v>
      </c>
      <c r="BO34" s="0" t="n">
        <f aca="false">IF(Presupuesto!$B$47='Flujo de Pagos'!$E34,47,9999)</f>
        <v>47</v>
      </c>
      <c r="BP34" s="0" t="n">
        <f aca="false">IF(Presupuesto!$B$48='Flujo de Pagos'!$E34,48,9999)</f>
        <v>48</v>
      </c>
      <c r="BQ34" s="0" t="n">
        <f aca="false">IF(Presupuesto!$B$49='Flujo de Pagos'!$E34,49,9999)</f>
        <v>49</v>
      </c>
      <c r="BR34" s="0" t="n">
        <f aca="false">IF(Presupuesto!$B$50='Flujo de Pagos'!$E34,50,9999)</f>
        <v>50</v>
      </c>
      <c r="BS34" s="0" t="n">
        <f aca="false">IF(Presupuesto!$B$51='Flujo de Pagos'!$E34,51,9999)</f>
        <v>51</v>
      </c>
      <c r="BT34" s="0" t="n">
        <f aca="false">IF(Presupuesto!$B$52='Flujo de Pagos'!$E34,52,9999)</f>
        <v>52</v>
      </c>
      <c r="BU34" s="0" t="n">
        <f aca="false">IF(Presupuesto!$B$53='Flujo de Pagos'!$E34,53,9999)</f>
        <v>53</v>
      </c>
      <c r="BV34" s="0" t="n">
        <f aca="false">IF(Presupuesto!$B$54='Flujo de Pagos'!$E34,54,9999)</f>
        <v>54</v>
      </c>
      <c r="BW34" s="0" t="n">
        <f aca="false">IF(Presupuesto!$B$55='Flujo de Pagos'!$E34,55,9999)</f>
        <v>55</v>
      </c>
      <c r="BX34" s="0" t="n">
        <f aca="false">IF(Presupuesto!$B$56='Flujo de Pagos'!$E34,56,9999)</f>
        <v>56</v>
      </c>
      <c r="BY34" s="0" t="n">
        <f aca="false">IF(Presupuesto!$B$57='Flujo de Pagos'!$E34,57,9999)</f>
        <v>57</v>
      </c>
      <c r="BZ34" s="0" t="n">
        <f aca="false">IF(Presupuesto!$B$58='Flujo de Pagos'!$E34,58,9999)</f>
        <v>58</v>
      </c>
      <c r="CA34" s="0" t="n">
        <f aca="false">IF(Presupuesto!$B$59='Flujo de Pagos'!$E34,59,9999)</f>
        <v>59</v>
      </c>
      <c r="CB34" s="0" t="n">
        <f aca="false">IF(Presupuesto!$B$60='Flujo de Pagos'!$E34,60,9999)</f>
        <v>60</v>
      </c>
      <c r="CC34" s="0" t="n">
        <f aca="false">IF(Presupuesto!$B$61='Flujo de Pagos'!$E34,61,9999)</f>
        <v>61</v>
      </c>
      <c r="CD34" s="0" t="n">
        <f aca="false">IF(Presupuesto!$B$62='Flujo de Pagos'!$E34,62,9999)</f>
        <v>62</v>
      </c>
      <c r="CE34" s="0" t="n">
        <f aca="false">IF(Presupuesto!$B$63='Flujo de Pagos'!$E34,63,9999)</f>
        <v>63</v>
      </c>
      <c r="CF34" s="0" t="n">
        <f aca="false">IF(Presupuesto!$B$64='Flujo de Pagos'!$E34,64,9999)</f>
        <v>64</v>
      </c>
      <c r="CG34" s="0" t="n">
        <f aca="false">IF(Presupuesto!$B$65='Flujo de Pagos'!$E34,65,9999)</f>
        <v>65</v>
      </c>
      <c r="CH34" s="0" t="n">
        <f aca="false">IF(Presupuesto!$B$66='Flujo de Pagos'!$E34,66,9999)</f>
        <v>66</v>
      </c>
    </row>
    <row r="35" customFormat="false" ht="15" hidden="false" customHeight="true" outlineLevel="0" collapsed="false">
      <c r="A35" s="1" t="n">
        <f aca="false">IF(Presupuesto!B40=Carátula!$B$2,40,9999)</f>
        <v>9999</v>
      </c>
      <c r="B35" s="1" t="n">
        <f aca="false">IF(AND('Flujo de Pagos'!E40=Carátula!$B$2,'Flujo de Pagos'!F40=Carátula!$B$4,'Flujo de Pagos'!H40&lt;&gt;""),40,99999)</f>
        <v>99999</v>
      </c>
      <c r="D35" s="1" t="str">
        <f aca="false">IF(SMALL($A$2:$A$61,34)&gt;=9999,"",INDEX(Presupuesto!$C:$C,SMALL($A$2:$A$61,34)))</f>
        <v/>
      </c>
      <c r="E35" s="1" t="str">
        <f aca="false">IF(SMALL($B$2:$B$501,34)&gt;=99999,"",INDEX('Flujo de Pagos'!$H:$H,SMALL($B$2:$B$501,34)))</f>
        <v/>
      </c>
      <c r="H35" s="1" t="n">
        <f aca="false">IF(SMALL($AA35:$CH35,1)&gt;=9999,"",INDEX(Presupuesto!$C:$C,SMALL($AA35:$CH35,1)))</f>
        <v>0</v>
      </c>
      <c r="I35" s="1" t="n">
        <f aca="false">IF(SMALL($AA35:$CH35,2)&gt;=9999,"",INDEX(Presupuesto!$C:$C,SMALL($AA35:$CH35,2)))</f>
        <v>0</v>
      </c>
      <c r="J35" s="1" t="n">
        <f aca="false">IF(SMALL($AA35:$CH35,3)&gt;=9999,"",INDEX(Presupuesto!$C:$C,SMALL($AA35:$CH35,3)))</f>
        <v>0</v>
      </c>
      <c r="K35" s="1" t="n">
        <f aca="false">IF(SMALL($AA35:$CH35,4)&gt;=9999,"",INDEX(Presupuesto!$C:$C,SMALL($AA35:$CH35,4)))</f>
        <v>0</v>
      </c>
      <c r="L35" s="1" t="n">
        <f aca="false">IF(SMALL($AA35:$CH35,5)&gt;=9999,"",INDEX(Presupuesto!$C:$C,SMALL($AA35:$CH35,5)))</f>
        <v>0</v>
      </c>
      <c r="M35" s="1" t="n">
        <f aca="false">IF(SMALL($AA35:$CH35,6)&gt;=9999,"",INDEX(Presupuesto!$C:$C,SMALL($AA35:$CH35,6)))</f>
        <v>0</v>
      </c>
      <c r="N35" s="1" t="n">
        <f aca="false">IF(SMALL($AA35:$CH35,7)&gt;=9999,"",INDEX(Presupuesto!$C:$C,SMALL($AA35:$CH35,7)))</f>
        <v>0</v>
      </c>
      <c r="O35" s="1" t="n">
        <f aca="false">IF(SMALL($AA35:$CH35,8)&gt;=9999,"",INDEX(Presupuesto!$C:$C,SMALL($AA35:$CH35,8)))</f>
        <v>0</v>
      </c>
      <c r="P35" s="1" t="n">
        <f aca="false">IF(SMALL($AA35:$CH35,9)&gt;=9999,"",INDEX(Presupuesto!$C:$C,SMALL($AA35:$CH35,9)))</f>
        <v>0</v>
      </c>
      <c r="Q35" s="1" t="n">
        <f aca="false">IF(SMALL($AA35:$CH35,10)&gt;=9999,"",INDEX(Presupuesto!$C:$C,SMALL($AA35:$CH35,10)))</f>
        <v>0</v>
      </c>
      <c r="AA35" s="0" t="n">
        <f aca="false">IF(Presupuesto!$B$7='Flujo de Pagos'!$E35,7,9999)</f>
        <v>9999</v>
      </c>
      <c r="AB35" s="0" t="n">
        <f aca="false">IF(Presupuesto!$B$8='Flujo de Pagos'!$E35,8,9999)</f>
        <v>9999</v>
      </c>
      <c r="AC35" s="0" t="n">
        <f aca="false">IF(Presupuesto!$B$9='Flujo de Pagos'!$E35,9,9999)</f>
        <v>9999</v>
      </c>
      <c r="AD35" s="0" t="n">
        <f aca="false">IF(Presupuesto!$B$10='Flujo de Pagos'!$E35,10,9999)</f>
        <v>9999</v>
      </c>
      <c r="AE35" s="0" t="n">
        <f aca="false">IF(Presupuesto!$B$11='Flujo de Pagos'!$E35,11,9999)</f>
        <v>9999</v>
      </c>
      <c r="AF35" s="0" t="n">
        <f aca="false">IF(Presupuesto!$B$12='Flujo de Pagos'!$E35,12,9999)</f>
        <v>12</v>
      </c>
      <c r="AG35" s="0" t="n">
        <f aca="false">IF(Presupuesto!$B$13='Flujo de Pagos'!$E35,13,9999)</f>
        <v>13</v>
      </c>
      <c r="AH35" s="0" t="n">
        <f aca="false">IF(Presupuesto!$B$14='Flujo de Pagos'!$E35,14,9999)</f>
        <v>14</v>
      </c>
      <c r="AI35" s="0" t="n">
        <f aca="false">IF(Presupuesto!$B$15='Flujo de Pagos'!$E35,15,9999)</f>
        <v>15</v>
      </c>
      <c r="AJ35" s="0" t="n">
        <f aca="false">IF(Presupuesto!$B$16='Flujo de Pagos'!$E35,16,9999)</f>
        <v>16</v>
      </c>
      <c r="AK35" s="0" t="n">
        <f aca="false">IF(Presupuesto!$B$17='Flujo de Pagos'!$E35,17,9999)</f>
        <v>17</v>
      </c>
      <c r="AL35" s="0" t="n">
        <f aca="false">IF(Presupuesto!$B$18='Flujo de Pagos'!$E35,18,9999)</f>
        <v>18</v>
      </c>
      <c r="AM35" s="0" t="n">
        <f aca="false">IF(Presupuesto!$B$19='Flujo de Pagos'!$E35,19,9999)</f>
        <v>19</v>
      </c>
      <c r="AN35" s="0" t="n">
        <f aca="false">IF(Presupuesto!$B$20='Flujo de Pagos'!$E35,20,9999)</f>
        <v>20</v>
      </c>
      <c r="AO35" s="0" t="n">
        <f aca="false">IF(Presupuesto!$B$21='Flujo de Pagos'!$E35,21,9999)</f>
        <v>21</v>
      </c>
      <c r="AP35" s="0" t="n">
        <f aca="false">IF(Presupuesto!$B$22='Flujo de Pagos'!$E35,22,9999)</f>
        <v>22</v>
      </c>
      <c r="AQ35" s="0" t="n">
        <f aca="false">IF(Presupuesto!$B$23='Flujo de Pagos'!$E35,23,9999)</f>
        <v>23</v>
      </c>
      <c r="AR35" s="0" t="n">
        <f aca="false">IF(Presupuesto!$B$24='Flujo de Pagos'!$E35,24,9999)</f>
        <v>24</v>
      </c>
      <c r="AS35" s="0" t="n">
        <f aca="false">IF(Presupuesto!$B$25='Flujo de Pagos'!$E35,25,9999)</f>
        <v>25</v>
      </c>
      <c r="AT35" s="0" t="n">
        <f aca="false">IF(Presupuesto!$B$26='Flujo de Pagos'!$E35,26,9999)</f>
        <v>26</v>
      </c>
      <c r="AU35" s="0" t="n">
        <f aca="false">IF(Presupuesto!$B$27='Flujo de Pagos'!$E35,27,9999)</f>
        <v>27</v>
      </c>
      <c r="AV35" s="0" t="n">
        <f aca="false">IF(Presupuesto!$B$28='Flujo de Pagos'!$E35,28,9999)</f>
        <v>28</v>
      </c>
      <c r="AW35" s="0" t="n">
        <f aca="false">IF(Presupuesto!$B$29='Flujo de Pagos'!$E35,29,9999)</f>
        <v>29</v>
      </c>
      <c r="AX35" s="0" t="n">
        <f aca="false">IF(Presupuesto!$B$30='Flujo de Pagos'!$E35,30,9999)</f>
        <v>30</v>
      </c>
      <c r="AY35" s="0" t="n">
        <f aca="false">IF(Presupuesto!$B$31='Flujo de Pagos'!$E35,31,9999)</f>
        <v>31</v>
      </c>
      <c r="AZ35" s="0" t="n">
        <f aca="false">IF(Presupuesto!$B$32='Flujo de Pagos'!$E35,32,9999)</f>
        <v>32</v>
      </c>
      <c r="BA35" s="0" t="n">
        <f aca="false">IF(Presupuesto!$B$33='Flujo de Pagos'!$E35,33,9999)</f>
        <v>33</v>
      </c>
      <c r="BB35" s="0" t="n">
        <f aca="false">IF(Presupuesto!$B$34='Flujo de Pagos'!$E35,34,9999)</f>
        <v>34</v>
      </c>
      <c r="BC35" s="0" t="n">
        <f aca="false">IF(Presupuesto!$B$35='Flujo de Pagos'!$E35,35,9999)</f>
        <v>35</v>
      </c>
      <c r="BD35" s="0" t="n">
        <f aca="false">IF(Presupuesto!$B$36='Flujo de Pagos'!$E35,36,9999)</f>
        <v>36</v>
      </c>
      <c r="BE35" s="0" t="n">
        <f aca="false">IF(Presupuesto!$B$37='Flujo de Pagos'!$E35,37,9999)</f>
        <v>37</v>
      </c>
      <c r="BF35" s="0" t="n">
        <f aca="false">IF(Presupuesto!$B$38='Flujo de Pagos'!$E35,38,9999)</f>
        <v>38</v>
      </c>
      <c r="BG35" s="0" t="n">
        <f aca="false">IF(Presupuesto!$B$39='Flujo de Pagos'!$E35,39,9999)</f>
        <v>39</v>
      </c>
      <c r="BH35" s="0" t="n">
        <f aca="false">IF(Presupuesto!$B$40='Flujo de Pagos'!$E35,40,9999)</f>
        <v>40</v>
      </c>
      <c r="BI35" s="0" t="n">
        <f aca="false">IF(Presupuesto!$B$41='Flujo de Pagos'!$E35,41,9999)</f>
        <v>41</v>
      </c>
      <c r="BJ35" s="0" t="n">
        <f aca="false">IF(Presupuesto!$B$42='Flujo de Pagos'!$E35,42,9999)</f>
        <v>42</v>
      </c>
      <c r="BK35" s="0" t="n">
        <f aca="false">IF(Presupuesto!$B$43='Flujo de Pagos'!$E35,43,9999)</f>
        <v>43</v>
      </c>
      <c r="BL35" s="0" t="n">
        <f aca="false">IF(Presupuesto!$B$44='Flujo de Pagos'!$E35,44,9999)</f>
        <v>44</v>
      </c>
      <c r="BM35" s="0" t="n">
        <f aca="false">IF(Presupuesto!$B$45='Flujo de Pagos'!$E35,45,9999)</f>
        <v>45</v>
      </c>
      <c r="BN35" s="0" t="n">
        <f aca="false">IF(Presupuesto!$B$46='Flujo de Pagos'!$E35,46,9999)</f>
        <v>46</v>
      </c>
      <c r="BO35" s="0" t="n">
        <f aca="false">IF(Presupuesto!$B$47='Flujo de Pagos'!$E35,47,9999)</f>
        <v>47</v>
      </c>
      <c r="BP35" s="0" t="n">
        <f aca="false">IF(Presupuesto!$B$48='Flujo de Pagos'!$E35,48,9999)</f>
        <v>48</v>
      </c>
      <c r="BQ35" s="0" t="n">
        <f aca="false">IF(Presupuesto!$B$49='Flujo de Pagos'!$E35,49,9999)</f>
        <v>49</v>
      </c>
      <c r="BR35" s="0" t="n">
        <f aca="false">IF(Presupuesto!$B$50='Flujo de Pagos'!$E35,50,9999)</f>
        <v>50</v>
      </c>
      <c r="BS35" s="0" t="n">
        <f aca="false">IF(Presupuesto!$B$51='Flujo de Pagos'!$E35,51,9999)</f>
        <v>51</v>
      </c>
      <c r="BT35" s="0" t="n">
        <f aca="false">IF(Presupuesto!$B$52='Flujo de Pagos'!$E35,52,9999)</f>
        <v>52</v>
      </c>
      <c r="BU35" s="0" t="n">
        <f aca="false">IF(Presupuesto!$B$53='Flujo de Pagos'!$E35,53,9999)</f>
        <v>53</v>
      </c>
      <c r="BV35" s="0" t="n">
        <f aca="false">IF(Presupuesto!$B$54='Flujo de Pagos'!$E35,54,9999)</f>
        <v>54</v>
      </c>
      <c r="BW35" s="0" t="n">
        <f aca="false">IF(Presupuesto!$B$55='Flujo de Pagos'!$E35,55,9999)</f>
        <v>55</v>
      </c>
      <c r="BX35" s="0" t="n">
        <f aca="false">IF(Presupuesto!$B$56='Flujo de Pagos'!$E35,56,9999)</f>
        <v>56</v>
      </c>
      <c r="BY35" s="0" t="n">
        <f aca="false">IF(Presupuesto!$B$57='Flujo de Pagos'!$E35,57,9999)</f>
        <v>57</v>
      </c>
      <c r="BZ35" s="0" t="n">
        <f aca="false">IF(Presupuesto!$B$58='Flujo de Pagos'!$E35,58,9999)</f>
        <v>58</v>
      </c>
      <c r="CA35" s="0" t="n">
        <f aca="false">IF(Presupuesto!$B$59='Flujo de Pagos'!$E35,59,9999)</f>
        <v>59</v>
      </c>
      <c r="CB35" s="0" t="n">
        <f aca="false">IF(Presupuesto!$B$60='Flujo de Pagos'!$E35,60,9999)</f>
        <v>60</v>
      </c>
      <c r="CC35" s="0" t="n">
        <f aca="false">IF(Presupuesto!$B$61='Flujo de Pagos'!$E35,61,9999)</f>
        <v>61</v>
      </c>
      <c r="CD35" s="0" t="n">
        <f aca="false">IF(Presupuesto!$B$62='Flujo de Pagos'!$E35,62,9999)</f>
        <v>62</v>
      </c>
      <c r="CE35" s="0" t="n">
        <f aca="false">IF(Presupuesto!$B$63='Flujo de Pagos'!$E35,63,9999)</f>
        <v>63</v>
      </c>
      <c r="CF35" s="0" t="n">
        <f aca="false">IF(Presupuesto!$B$64='Flujo de Pagos'!$E35,64,9999)</f>
        <v>64</v>
      </c>
      <c r="CG35" s="0" t="n">
        <f aca="false">IF(Presupuesto!$B$65='Flujo de Pagos'!$E35,65,9999)</f>
        <v>65</v>
      </c>
      <c r="CH35" s="0" t="n">
        <f aca="false">IF(Presupuesto!$B$66='Flujo de Pagos'!$E35,66,9999)</f>
        <v>66</v>
      </c>
    </row>
    <row r="36" customFormat="false" ht="15" hidden="false" customHeight="true" outlineLevel="0" collapsed="false">
      <c r="A36" s="1" t="n">
        <f aca="false">IF(Presupuesto!B41=Carátula!$B$2,41,9999)</f>
        <v>9999</v>
      </c>
      <c r="B36" s="1" t="n">
        <f aca="false">IF(AND('Flujo de Pagos'!E41=Carátula!$B$2,'Flujo de Pagos'!F41=Carátula!$B$4,'Flujo de Pagos'!H41&lt;&gt;""),41,99999)</f>
        <v>99999</v>
      </c>
      <c r="D36" s="1" t="str">
        <f aca="false">IF(SMALL($A$2:$A$61,35)&gt;=9999,"",INDEX(Presupuesto!$C:$C,SMALL($A$2:$A$61,35)))</f>
        <v/>
      </c>
      <c r="E36" s="1" t="str">
        <f aca="false">IF(SMALL($B$2:$B$501,35)&gt;=99999,"",INDEX('Flujo de Pagos'!$H:$H,SMALL($B$2:$B$501,35)))</f>
        <v/>
      </c>
      <c r="H36" s="1" t="n">
        <f aca="false">IF(SMALL($AA36:$CH36,1)&gt;=9999,"",INDEX(Presupuesto!$C:$C,SMALL($AA36:$CH36,1)))</f>
        <v>0</v>
      </c>
      <c r="I36" s="1" t="n">
        <f aca="false">IF(SMALL($AA36:$CH36,2)&gt;=9999,"",INDEX(Presupuesto!$C:$C,SMALL($AA36:$CH36,2)))</f>
        <v>0</v>
      </c>
      <c r="J36" s="1" t="n">
        <f aca="false">IF(SMALL($AA36:$CH36,3)&gt;=9999,"",INDEX(Presupuesto!$C:$C,SMALL($AA36:$CH36,3)))</f>
        <v>0</v>
      </c>
      <c r="K36" s="1" t="n">
        <f aca="false">IF(SMALL($AA36:$CH36,4)&gt;=9999,"",INDEX(Presupuesto!$C:$C,SMALL($AA36:$CH36,4)))</f>
        <v>0</v>
      </c>
      <c r="L36" s="1" t="n">
        <f aca="false">IF(SMALL($AA36:$CH36,5)&gt;=9999,"",INDEX(Presupuesto!$C:$C,SMALL($AA36:$CH36,5)))</f>
        <v>0</v>
      </c>
      <c r="M36" s="1" t="n">
        <f aca="false">IF(SMALL($AA36:$CH36,6)&gt;=9999,"",INDEX(Presupuesto!$C:$C,SMALL($AA36:$CH36,6)))</f>
        <v>0</v>
      </c>
      <c r="N36" s="1" t="n">
        <f aca="false">IF(SMALL($AA36:$CH36,7)&gt;=9999,"",INDEX(Presupuesto!$C:$C,SMALL($AA36:$CH36,7)))</f>
        <v>0</v>
      </c>
      <c r="O36" s="1" t="n">
        <f aca="false">IF(SMALL($AA36:$CH36,8)&gt;=9999,"",INDEX(Presupuesto!$C:$C,SMALL($AA36:$CH36,8)))</f>
        <v>0</v>
      </c>
      <c r="P36" s="1" t="n">
        <f aca="false">IF(SMALL($AA36:$CH36,9)&gt;=9999,"",INDEX(Presupuesto!$C:$C,SMALL($AA36:$CH36,9)))</f>
        <v>0</v>
      </c>
      <c r="Q36" s="1" t="n">
        <f aca="false">IF(SMALL($AA36:$CH36,10)&gt;=9999,"",INDEX(Presupuesto!$C:$C,SMALL($AA36:$CH36,10)))</f>
        <v>0</v>
      </c>
      <c r="AA36" s="0" t="n">
        <f aca="false">IF(Presupuesto!$B$7='Flujo de Pagos'!$E36,7,9999)</f>
        <v>9999</v>
      </c>
      <c r="AB36" s="0" t="n">
        <f aca="false">IF(Presupuesto!$B$8='Flujo de Pagos'!$E36,8,9999)</f>
        <v>9999</v>
      </c>
      <c r="AC36" s="0" t="n">
        <f aca="false">IF(Presupuesto!$B$9='Flujo de Pagos'!$E36,9,9999)</f>
        <v>9999</v>
      </c>
      <c r="AD36" s="0" t="n">
        <f aca="false">IF(Presupuesto!$B$10='Flujo de Pagos'!$E36,10,9999)</f>
        <v>9999</v>
      </c>
      <c r="AE36" s="0" t="n">
        <f aca="false">IF(Presupuesto!$B$11='Flujo de Pagos'!$E36,11,9999)</f>
        <v>9999</v>
      </c>
      <c r="AF36" s="0" t="n">
        <f aca="false">IF(Presupuesto!$B$12='Flujo de Pagos'!$E36,12,9999)</f>
        <v>12</v>
      </c>
      <c r="AG36" s="0" t="n">
        <f aca="false">IF(Presupuesto!$B$13='Flujo de Pagos'!$E36,13,9999)</f>
        <v>13</v>
      </c>
      <c r="AH36" s="0" t="n">
        <f aca="false">IF(Presupuesto!$B$14='Flujo de Pagos'!$E36,14,9999)</f>
        <v>14</v>
      </c>
      <c r="AI36" s="0" t="n">
        <f aca="false">IF(Presupuesto!$B$15='Flujo de Pagos'!$E36,15,9999)</f>
        <v>15</v>
      </c>
      <c r="AJ36" s="0" t="n">
        <f aca="false">IF(Presupuesto!$B$16='Flujo de Pagos'!$E36,16,9999)</f>
        <v>16</v>
      </c>
      <c r="AK36" s="0" t="n">
        <f aca="false">IF(Presupuesto!$B$17='Flujo de Pagos'!$E36,17,9999)</f>
        <v>17</v>
      </c>
      <c r="AL36" s="0" t="n">
        <f aca="false">IF(Presupuesto!$B$18='Flujo de Pagos'!$E36,18,9999)</f>
        <v>18</v>
      </c>
      <c r="AM36" s="0" t="n">
        <f aca="false">IF(Presupuesto!$B$19='Flujo de Pagos'!$E36,19,9999)</f>
        <v>19</v>
      </c>
      <c r="AN36" s="0" t="n">
        <f aca="false">IF(Presupuesto!$B$20='Flujo de Pagos'!$E36,20,9999)</f>
        <v>20</v>
      </c>
      <c r="AO36" s="0" t="n">
        <f aca="false">IF(Presupuesto!$B$21='Flujo de Pagos'!$E36,21,9999)</f>
        <v>21</v>
      </c>
      <c r="AP36" s="0" t="n">
        <f aca="false">IF(Presupuesto!$B$22='Flujo de Pagos'!$E36,22,9999)</f>
        <v>22</v>
      </c>
      <c r="AQ36" s="0" t="n">
        <f aca="false">IF(Presupuesto!$B$23='Flujo de Pagos'!$E36,23,9999)</f>
        <v>23</v>
      </c>
      <c r="AR36" s="0" t="n">
        <f aca="false">IF(Presupuesto!$B$24='Flujo de Pagos'!$E36,24,9999)</f>
        <v>24</v>
      </c>
      <c r="AS36" s="0" t="n">
        <f aca="false">IF(Presupuesto!$B$25='Flujo de Pagos'!$E36,25,9999)</f>
        <v>25</v>
      </c>
      <c r="AT36" s="0" t="n">
        <f aca="false">IF(Presupuesto!$B$26='Flujo de Pagos'!$E36,26,9999)</f>
        <v>26</v>
      </c>
      <c r="AU36" s="0" t="n">
        <f aca="false">IF(Presupuesto!$B$27='Flujo de Pagos'!$E36,27,9999)</f>
        <v>27</v>
      </c>
      <c r="AV36" s="0" t="n">
        <f aca="false">IF(Presupuesto!$B$28='Flujo de Pagos'!$E36,28,9999)</f>
        <v>28</v>
      </c>
      <c r="AW36" s="0" t="n">
        <f aca="false">IF(Presupuesto!$B$29='Flujo de Pagos'!$E36,29,9999)</f>
        <v>29</v>
      </c>
      <c r="AX36" s="0" t="n">
        <f aca="false">IF(Presupuesto!$B$30='Flujo de Pagos'!$E36,30,9999)</f>
        <v>30</v>
      </c>
      <c r="AY36" s="0" t="n">
        <f aca="false">IF(Presupuesto!$B$31='Flujo de Pagos'!$E36,31,9999)</f>
        <v>31</v>
      </c>
      <c r="AZ36" s="0" t="n">
        <f aca="false">IF(Presupuesto!$B$32='Flujo de Pagos'!$E36,32,9999)</f>
        <v>32</v>
      </c>
      <c r="BA36" s="0" t="n">
        <f aca="false">IF(Presupuesto!$B$33='Flujo de Pagos'!$E36,33,9999)</f>
        <v>33</v>
      </c>
      <c r="BB36" s="0" t="n">
        <f aca="false">IF(Presupuesto!$B$34='Flujo de Pagos'!$E36,34,9999)</f>
        <v>34</v>
      </c>
      <c r="BC36" s="0" t="n">
        <f aca="false">IF(Presupuesto!$B$35='Flujo de Pagos'!$E36,35,9999)</f>
        <v>35</v>
      </c>
      <c r="BD36" s="0" t="n">
        <f aca="false">IF(Presupuesto!$B$36='Flujo de Pagos'!$E36,36,9999)</f>
        <v>36</v>
      </c>
      <c r="BE36" s="0" t="n">
        <f aca="false">IF(Presupuesto!$B$37='Flujo de Pagos'!$E36,37,9999)</f>
        <v>37</v>
      </c>
      <c r="BF36" s="0" t="n">
        <f aca="false">IF(Presupuesto!$B$38='Flujo de Pagos'!$E36,38,9999)</f>
        <v>38</v>
      </c>
      <c r="BG36" s="0" t="n">
        <f aca="false">IF(Presupuesto!$B$39='Flujo de Pagos'!$E36,39,9999)</f>
        <v>39</v>
      </c>
      <c r="BH36" s="0" t="n">
        <f aca="false">IF(Presupuesto!$B$40='Flujo de Pagos'!$E36,40,9999)</f>
        <v>40</v>
      </c>
      <c r="BI36" s="0" t="n">
        <f aca="false">IF(Presupuesto!$B$41='Flujo de Pagos'!$E36,41,9999)</f>
        <v>41</v>
      </c>
      <c r="BJ36" s="0" t="n">
        <f aca="false">IF(Presupuesto!$B$42='Flujo de Pagos'!$E36,42,9999)</f>
        <v>42</v>
      </c>
      <c r="BK36" s="0" t="n">
        <f aca="false">IF(Presupuesto!$B$43='Flujo de Pagos'!$E36,43,9999)</f>
        <v>43</v>
      </c>
      <c r="BL36" s="0" t="n">
        <f aca="false">IF(Presupuesto!$B$44='Flujo de Pagos'!$E36,44,9999)</f>
        <v>44</v>
      </c>
      <c r="BM36" s="0" t="n">
        <f aca="false">IF(Presupuesto!$B$45='Flujo de Pagos'!$E36,45,9999)</f>
        <v>45</v>
      </c>
      <c r="BN36" s="0" t="n">
        <f aca="false">IF(Presupuesto!$B$46='Flujo de Pagos'!$E36,46,9999)</f>
        <v>46</v>
      </c>
      <c r="BO36" s="0" t="n">
        <f aca="false">IF(Presupuesto!$B$47='Flujo de Pagos'!$E36,47,9999)</f>
        <v>47</v>
      </c>
      <c r="BP36" s="0" t="n">
        <f aca="false">IF(Presupuesto!$B$48='Flujo de Pagos'!$E36,48,9999)</f>
        <v>48</v>
      </c>
      <c r="BQ36" s="0" t="n">
        <f aca="false">IF(Presupuesto!$B$49='Flujo de Pagos'!$E36,49,9999)</f>
        <v>49</v>
      </c>
      <c r="BR36" s="0" t="n">
        <f aca="false">IF(Presupuesto!$B$50='Flujo de Pagos'!$E36,50,9999)</f>
        <v>50</v>
      </c>
      <c r="BS36" s="0" t="n">
        <f aca="false">IF(Presupuesto!$B$51='Flujo de Pagos'!$E36,51,9999)</f>
        <v>51</v>
      </c>
      <c r="BT36" s="0" t="n">
        <f aca="false">IF(Presupuesto!$B$52='Flujo de Pagos'!$E36,52,9999)</f>
        <v>52</v>
      </c>
      <c r="BU36" s="0" t="n">
        <f aca="false">IF(Presupuesto!$B$53='Flujo de Pagos'!$E36,53,9999)</f>
        <v>53</v>
      </c>
      <c r="BV36" s="0" t="n">
        <f aca="false">IF(Presupuesto!$B$54='Flujo de Pagos'!$E36,54,9999)</f>
        <v>54</v>
      </c>
      <c r="BW36" s="0" t="n">
        <f aca="false">IF(Presupuesto!$B$55='Flujo de Pagos'!$E36,55,9999)</f>
        <v>55</v>
      </c>
      <c r="BX36" s="0" t="n">
        <f aca="false">IF(Presupuesto!$B$56='Flujo de Pagos'!$E36,56,9999)</f>
        <v>56</v>
      </c>
      <c r="BY36" s="0" t="n">
        <f aca="false">IF(Presupuesto!$B$57='Flujo de Pagos'!$E36,57,9999)</f>
        <v>57</v>
      </c>
      <c r="BZ36" s="0" t="n">
        <f aca="false">IF(Presupuesto!$B$58='Flujo de Pagos'!$E36,58,9999)</f>
        <v>58</v>
      </c>
      <c r="CA36" s="0" t="n">
        <f aca="false">IF(Presupuesto!$B$59='Flujo de Pagos'!$E36,59,9999)</f>
        <v>59</v>
      </c>
      <c r="CB36" s="0" t="n">
        <f aca="false">IF(Presupuesto!$B$60='Flujo de Pagos'!$E36,60,9999)</f>
        <v>60</v>
      </c>
      <c r="CC36" s="0" t="n">
        <f aca="false">IF(Presupuesto!$B$61='Flujo de Pagos'!$E36,61,9999)</f>
        <v>61</v>
      </c>
      <c r="CD36" s="0" t="n">
        <f aca="false">IF(Presupuesto!$B$62='Flujo de Pagos'!$E36,62,9999)</f>
        <v>62</v>
      </c>
      <c r="CE36" s="0" t="n">
        <f aca="false">IF(Presupuesto!$B$63='Flujo de Pagos'!$E36,63,9999)</f>
        <v>63</v>
      </c>
      <c r="CF36" s="0" t="n">
        <f aca="false">IF(Presupuesto!$B$64='Flujo de Pagos'!$E36,64,9999)</f>
        <v>64</v>
      </c>
      <c r="CG36" s="0" t="n">
        <f aca="false">IF(Presupuesto!$B$65='Flujo de Pagos'!$E36,65,9999)</f>
        <v>65</v>
      </c>
      <c r="CH36" s="0" t="n">
        <f aca="false">IF(Presupuesto!$B$66='Flujo de Pagos'!$E36,66,9999)</f>
        <v>66</v>
      </c>
    </row>
    <row r="37" customFormat="false" ht="15" hidden="false" customHeight="true" outlineLevel="0" collapsed="false">
      <c r="A37" s="1" t="n">
        <f aca="false">IF(Presupuesto!B42=Carátula!$B$2,42,9999)</f>
        <v>9999</v>
      </c>
      <c r="B37" s="1" t="n">
        <f aca="false">IF(AND('Flujo de Pagos'!E42=Carátula!$B$2,'Flujo de Pagos'!F42=Carátula!$B$4,'Flujo de Pagos'!H42&lt;&gt;""),42,99999)</f>
        <v>99999</v>
      </c>
      <c r="D37" s="1" t="str">
        <f aca="false">IF(SMALL($A$2:$A$61,36)&gt;=9999,"",INDEX(Presupuesto!$C:$C,SMALL($A$2:$A$61,36)))</f>
        <v/>
      </c>
      <c r="E37" s="1" t="str">
        <f aca="false">IF(SMALL($B$2:$B$501,36)&gt;=99999,"",INDEX('Flujo de Pagos'!$H:$H,SMALL($B$2:$B$501,36)))</f>
        <v/>
      </c>
      <c r="H37" s="1" t="n">
        <f aca="false">IF(SMALL($AA37:$CH37,1)&gt;=9999,"",INDEX(Presupuesto!$C:$C,SMALL($AA37:$CH37,1)))</f>
        <v>0</v>
      </c>
      <c r="I37" s="1" t="n">
        <f aca="false">IF(SMALL($AA37:$CH37,2)&gt;=9999,"",INDEX(Presupuesto!$C:$C,SMALL($AA37:$CH37,2)))</f>
        <v>0</v>
      </c>
      <c r="J37" s="1" t="n">
        <f aca="false">IF(SMALL($AA37:$CH37,3)&gt;=9999,"",INDEX(Presupuesto!$C:$C,SMALL($AA37:$CH37,3)))</f>
        <v>0</v>
      </c>
      <c r="K37" s="1" t="n">
        <f aca="false">IF(SMALL($AA37:$CH37,4)&gt;=9999,"",INDEX(Presupuesto!$C:$C,SMALL($AA37:$CH37,4)))</f>
        <v>0</v>
      </c>
      <c r="L37" s="1" t="n">
        <f aca="false">IF(SMALL($AA37:$CH37,5)&gt;=9999,"",INDEX(Presupuesto!$C:$C,SMALL($AA37:$CH37,5)))</f>
        <v>0</v>
      </c>
      <c r="M37" s="1" t="n">
        <f aca="false">IF(SMALL($AA37:$CH37,6)&gt;=9999,"",INDEX(Presupuesto!$C:$C,SMALL($AA37:$CH37,6)))</f>
        <v>0</v>
      </c>
      <c r="N37" s="1" t="n">
        <f aca="false">IF(SMALL($AA37:$CH37,7)&gt;=9999,"",INDEX(Presupuesto!$C:$C,SMALL($AA37:$CH37,7)))</f>
        <v>0</v>
      </c>
      <c r="O37" s="1" t="n">
        <f aca="false">IF(SMALL($AA37:$CH37,8)&gt;=9999,"",INDEX(Presupuesto!$C:$C,SMALL($AA37:$CH37,8)))</f>
        <v>0</v>
      </c>
      <c r="P37" s="1" t="n">
        <f aca="false">IF(SMALL($AA37:$CH37,9)&gt;=9999,"",INDEX(Presupuesto!$C:$C,SMALL($AA37:$CH37,9)))</f>
        <v>0</v>
      </c>
      <c r="Q37" s="1" t="n">
        <f aca="false">IF(SMALL($AA37:$CH37,10)&gt;=9999,"",INDEX(Presupuesto!$C:$C,SMALL($AA37:$CH37,10)))</f>
        <v>0</v>
      </c>
      <c r="AA37" s="0" t="n">
        <f aca="false">IF(Presupuesto!$B$7='Flujo de Pagos'!$E37,7,9999)</f>
        <v>9999</v>
      </c>
      <c r="AB37" s="0" t="n">
        <f aca="false">IF(Presupuesto!$B$8='Flujo de Pagos'!$E37,8,9999)</f>
        <v>9999</v>
      </c>
      <c r="AC37" s="0" t="n">
        <f aca="false">IF(Presupuesto!$B$9='Flujo de Pagos'!$E37,9,9999)</f>
        <v>9999</v>
      </c>
      <c r="AD37" s="0" t="n">
        <f aca="false">IF(Presupuesto!$B$10='Flujo de Pagos'!$E37,10,9999)</f>
        <v>9999</v>
      </c>
      <c r="AE37" s="0" t="n">
        <f aca="false">IF(Presupuesto!$B$11='Flujo de Pagos'!$E37,11,9999)</f>
        <v>9999</v>
      </c>
      <c r="AF37" s="0" t="n">
        <f aca="false">IF(Presupuesto!$B$12='Flujo de Pagos'!$E37,12,9999)</f>
        <v>12</v>
      </c>
      <c r="AG37" s="0" t="n">
        <f aca="false">IF(Presupuesto!$B$13='Flujo de Pagos'!$E37,13,9999)</f>
        <v>13</v>
      </c>
      <c r="AH37" s="0" t="n">
        <f aca="false">IF(Presupuesto!$B$14='Flujo de Pagos'!$E37,14,9999)</f>
        <v>14</v>
      </c>
      <c r="AI37" s="0" t="n">
        <f aca="false">IF(Presupuesto!$B$15='Flujo de Pagos'!$E37,15,9999)</f>
        <v>15</v>
      </c>
      <c r="AJ37" s="0" t="n">
        <f aca="false">IF(Presupuesto!$B$16='Flujo de Pagos'!$E37,16,9999)</f>
        <v>16</v>
      </c>
      <c r="AK37" s="0" t="n">
        <f aca="false">IF(Presupuesto!$B$17='Flujo de Pagos'!$E37,17,9999)</f>
        <v>17</v>
      </c>
      <c r="AL37" s="0" t="n">
        <f aca="false">IF(Presupuesto!$B$18='Flujo de Pagos'!$E37,18,9999)</f>
        <v>18</v>
      </c>
      <c r="AM37" s="0" t="n">
        <f aca="false">IF(Presupuesto!$B$19='Flujo de Pagos'!$E37,19,9999)</f>
        <v>19</v>
      </c>
      <c r="AN37" s="0" t="n">
        <f aca="false">IF(Presupuesto!$B$20='Flujo de Pagos'!$E37,20,9999)</f>
        <v>20</v>
      </c>
      <c r="AO37" s="0" t="n">
        <f aca="false">IF(Presupuesto!$B$21='Flujo de Pagos'!$E37,21,9999)</f>
        <v>21</v>
      </c>
      <c r="AP37" s="0" t="n">
        <f aca="false">IF(Presupuesto!$B$22='Flujo de Pagos'!$E37,22,9999)</f>
        <v>22</v>
      </c>
      <c r="AQ37" s="0" t="n">
        <f aca="false">IF(Presupuesto!$B$23='Flujo de Pagos'!$E37,23,9999)</f>
        <v>23</v>
      </c>
      <c r="AR37" s="0" t="n">
        <f aca="false">IF(Presupuesto!$B$24='Flujo de Pagos'!$E37,24,9999)</f>
        <v>24</v>
      </c>
      <c r="AS37" s="0" t="n">
        <f aca="false">IF(Presupuesto!$B$25='Flujo de Pagos'!$E37,25,9999)</f>
        <v>25</v>
      </c>
      <c r="AT37" s="0" t="n">
        <f aca="false">IF(Presupuesto!$B$26='Flujo de Pagos'!$E37,26,9999)</f>
        <v>26</v>
      </c>
      <c r="AU37" s="0" t="n">
        <f aca="false">IF(Presupuesto!$B$27='Flujo de Pagos'!$E37,27,9999)</f>
        <v>27</v>
      </c>
      <c r="AV37" s="0" t="n">
        <f aca="false">IF(Presupuesto!$B$28='Flujo de Pagos'!$E37,28,9999)</f>
        <v>28</v>
      </c>
      <c r="AW37" s="0" t="n">
        <f aca="false">IF(Presupuesto!$B$29='Flujo de Pagos'!$E37,29,9999)</f>
        <v>29</v>
      </c>
      <c r="AX37" s="0" t="n">
        <f aca="false">IF(Presupuesto!$B$30='Flujo de Pagos'!$E37,30,9999)</f>
        <v>30</v>
      </c>
      <c r="AY37" s="0" t="n">
        <f aca="false">IF(Presupuesto!$B$31='Flujo de Pagos'!$E37,31,9999)</f>
        <v>31</v>
      </c>
      <c r="AZ37" s="0" t="n">
        <f aca="false">IF(Presupuesto!$B$32='Flujo de Pagos'!$E37,32,9999)</f>
        <v>32</v>
      </c>
      <c r="BA37" s="0" t="n">
        <f aca="false">IF(Presupuesto!$B$33='Flujo de Pagos'!$E37,33,9999)</f>
        <v>33</v>
      </c>
      <c r="BB37" s="0" t="n">
        <f aca="false">IF(Presupuesto!$B$34='Flujo de Pagos'!$E37,34,9999)</f>
        <v>34</v>
      </c>
      <c r="BC37" s="0" t="n">
        <f aca="false">IF(Presupuesto!$B$35='Flujo de Pagos'!$E37,35,9999)</f>
        <v>35</v>
      </c>
      <c r="BD37" s="0" t="n">
        <f aca="false">IF(Presupuesto!$B$36='Flujo de Pagos'!$E37,36,9999)</f>
        <v>36</v>
      </c>
      <c r="BE37" s="0" t="n">
        <f aca="false">IF(Presupuesto!$B$37='Flujo de Pagos'!$E37,37,9999)</f>
        <v>37</v>
      </c>
      <c r="BF37" s="0" t="n">
        <f aca="false">IF(Presupuesto!$B$38='Flujo de Pagos'!$E37,38,9999)</f>
        <v>38</v>
      </c>
      <c r="BG37" s="0" t="n">
        <f aca="false">IF(Presupuesto!$B$39='Flujo de Pagos'!$E37,39,9999)</f>
        <v>39</v>
      </c>
      <c r="BH37" s="0" t="n">
        <f aca="false">IF(Presupuesto!$B$40='Flujo de Pagos'!$E37,40,9999)</f>
        <v>40</v>
      </c>
      <c r="BI37" s="0" t="n">
        <f aca="false">IF(Presupuesto!$B$41='Flujo de Pagos'!$E37,41,9999)</f>
        <v>41</v>
      </c>
      <c r="BJ37" s="0" t="n">
        <f aca="false">IF(Presupuesto!$B$42='Flujo de Pagos'!$E37,42,9999)</f>
        <v>42</v>
      </c>
      <c r="BK37" s="0" t="n">
        <f aca="false">IF(Presupuesto!$B$43='Flujo de Pagos'!$E37,43,9999)</f>
        <v>43</v>
      </c>
      <c r="BL37" s="0" t="n">
        <f aca="false">IF(Presupuesto!$B$44='Flujo de Pagos'!$E37,44,9999)</f>
        <v>44</v>
      </c>
      <c r="BM37" s="0" t="n">
        <f aca="false">IF(Presupuesto!$B$45='Flujo de Pagos'!$E37,45,9999)</f>
        <v>45</v>
      </c>
      <c r="BN37" s="0" t="n">
        <f aca="false">IF(Presupuesto!$B$46='Flujo de Pagos'!$E37,46,9999)</f>
        <v>46</v>
      </c>
      <c r="BO37" s="0" t="n">
        <f aca="false">IF(Presupuesto!$B$47='Flujo de Pagos'!$E37,47,9999)</f>
        <v>47</v>
      </c>
      <c r="BP37" s="0" t="n">
        <f aca="false">IF(Presupuesto!$B$48='Flujo de Pagos'!$E37,48,9999)</f>
        <v>48</v>
      </c>
      <c r="BQ37" s="0" t="n">
        <f aca="false">IF(Presupuesto!$B$49='Flujo de Pagos'!$E37,49,9999)</f>
        <v>49</v>
      </c>
      <c r="BR37" s="0" t="n">
        <f aca="false">IF(Presupuesto!$B$50='Flujo de Pagos'!$E37,50,9999)</f>
        <v>50</v>
      </c>
      <c r="BS37" s="0" t="n">
        <f aca="false">IF(Presupuesto!$B$51='Flujo de Pagos'!$E37,51,9999)</f>
        <v>51</v>
      </c>
      <c r="BT37" s="0" t="n">
        <f aca="false">IF(Presupuesto!$B$52='Flujo de Pagos'!$E37,52,9999)</f>
        <v>52</v>
      </c>
      <c r="BU37" s="0" t="n">
        <f aca="false">IF(Presupuesto!$B$53='Flujo de Pagos'!$E37,53,9999)</f>
        <v>53</v>
      </c>
      <c r="BV37" s="0" t="n">
        <f aca="false">IF(Presupuesto!$B$54='Flujo de Pagos'!$E37,54,9999)</f>
        <v>54</v>
      </c>
      <c r="BW37" s="0" t="n">
        <f aca="false">IF(Presupuesto!$B$55='Flujo de Pagos'!$E37,55,9999)</f>
        <v>55</v>
      </c>
      <c r="BX37" s="0" t="n">
        <f aca="false">IF(Presupuesto!$B$56='Flujo de Pagos'!$E37,56,9999)</f>
        <v>56</v>
      </c>
      <c r="BY37" s="0" t="n">
        <f aca="false">IF(Presupuesto!$B$57='Flujo de Pagos'!$E37,57,9999)</f>
        <v>57</v>
      </c>
      <c r="BZ37" s="0" t="n">
        <f aca="false">IF(Presupuesto!$B$58='Flujo de Pagos'!$E37,58,9999)</f>
        <v>58</v>
      </c>
      <c r="CA37" s="0" t="n">
        <f aca="false">IF(Presupuesto!$B$59='Flujo de Pagos'!$E37,59,9999)</f>
        <v>59</v>
      </c>
      <c r="CB37" s="0" t="n">
        <f aca="false">IF(Presupuesto!$B$60='Flujo de Pagos'!$E37,60,9999)</f>
        <v>60</v>
      </c>
      <c r="CC37" s="0" t="n">
        <f aca="false">IF(Presupuesto!$B$61='Flujo de Pagos'!$E37,61,9999)</f>
        <v>61</v>
      </c>
      <c r="CD37" s="0" t="n">
        <f aca="false">IF(Presupuesto!$B$62='Flujo de Pagos'!$E37,62,9999)</f>
        <v>62</v>
      </c>
      <c r="CE37" s="0" t="n">
        <f aca="false">IF(Presupuesto!$B$63='Flujo de Pagos'!$E37,63,9999)</f>
        <v>63</v>
      </c>
      <c r="CF37" s="0" t="n">
        <f aca="false">IF(Presupuesto!$B$64='Flujo de Pagos'!$E37,64,9999)</f>
        <v>64</v>
      </c>
      <c r="CG37" s="0" t="n">
        <f aca="false">IF(Presupuesto!$B$65='Flujo de Pagos'!$E37,65,9999)</f>
        <v>65</v>
      </c>
      <c r="CH37" s="0" t="n">
        <f aca="false">IF(Presupuesto!$B$66='Flujo de Pagos'!$E37,66,9999)</f>
        <v>66</v>
      </c>
    </row>
    <row r="38" customFormat="false" ht="15" hidden="false" customHeight="true" outlineLevel="0" collapsed="false">
      <c r="A38" s="1" t="n">
        <f aca="false">IF(Presupuesto!B43=Carátula!$B$2,43,9999)</f>
        <v>9999</v>
      </c>
      <c r="B38" s="1" t="n">
        <f aca="false">IF(AND('Flujo de Pagos'!E43=Carátula!$B$2,'Flujo de Pagos'!F43=Carátula!$B$4,'Flujo de Pagos'!H43&lt;&gt;""),43,99999)</f>
        <v>99999</v>
      </c>
      <c r="D38" s="1" t="str">
        <f aca="false">IF(SMALL($A$2:$A$61,37)&gt;=9999,"",INDEX(Presupuesto!$C:$C,SMALL($A$2:$A$61,37)))</f>
        <v/>
      </c>
      <c r="E38" s="1" t="str">
        <f aca="false">IF(SMALL($B$2:$B$501,37)&gt;=99999,"",INDEX('Flujo de Pagos'!$H:$H,SMALL($B$2:$B$501,37)))</f>
        <v/>
      </c>
      <c r="H38" s="1" t="n">
        <f aca="false">IF(SMALL($AA38:$CH38,1)&gt;=9999,"",INDEX(Presupuesto!$C:$C,SMALL($AA38:$CH38,1)))</f>
        <v>0</v>
      </c>
      <c r="I38" s="1" t="n">
        <f aca="false">IF(SMALL($AA38:$CH38,2)&gt;=9999,"",INDEX(Presupuesto!$C:$C,SMALL($AA38:$CH38,2)))</f>
        <v>0</v>
      </c>
      <c r="J38" s="1" t="n">
        <f aca="false">IF(SMALL($AA38:$CH38,3)&gt;=9999,"",INDEX(Presupuesto!$C:$C,SMALL($AA38:$CH38,3)))</f>
        <v>0</v>
      </c>
      <c r="K38" s="1" t="n">
        <f aca="false">IF(SMALL($AA38:$CH38,4)&gt;=9999,"",INDEX(Presupuesto!$C:$C,SMALL($AA38:$CH38,4)))</f>
        <v>0</v>
      </c>
      <c r="L38" s="1" t="n">
        <f aca="false">IF(SMALL($AA38:$CH38,5)&gt;=9999,"",INDEX(Presupuesto!$C:$C,SMALL($AA38:$CH38,5)))</f>
        <v>0</v>
      </c>
      <c r="M38" s="1" t="n">
        <f aca="false">IF(SMALL($AA38:$CH38,6)&gt;=9999,"",INDEX(Presupuesto!$C:$C,SMALL($AA38:$CH38,6)))</f>
        <v>0</v>
      </c>
      <c r="N38" s="1" t="n">
        <f aca="false">IF(SMALL($AA38:$CH38,7)&gt;=9999,"",INDEX(Presupuesto!$C:$C,SMALL($AA38:$CH38,7)))</f>
        <v>0</v>
      </c>
      <c r="O38" s="1" t="n">
        <f aca="false">IF(SMALL($AA38:$CH38,8)&gt;=9999,"",INDEX(Presupuesto!$C:$C,SMALL($AA38:$CH38,8)))</f>
        <v>0</v>
      </c>
      <c r="P38" s="1" t="n">
        <f aca="false">IF(SMALL($AA38:$CH38,9)&gt;=9999,"",INDEX(Presupuesto!$C:$C,SMALL($AA38:$CH38,9)))</f>
        <v>0</v>
      </c>
      <c r="Q38" s="1" t="n">
        <f aca="false">IF(SMALL($AA38:$CH38,10)&gt;=9999,"",INDEX(Presupuesto!$C:$C,SMALL($AA38:$CH38,10)))</f>
        <v>0</v>
      </c>
      <c r="AA38" s="0" t="n">
        <f aca="false">IF(Presupuesto!$B$7='Flujo de Pagos'!$E38,7,9999)</f>
        <v>9999</v>
      </c>
      <c r="AB38" s="0" t="n">
        <f aca="false">IF(Presupuesto!$B$8='Flujo de Pagos'!$E38,8,9999)</f>
        <v>9999</v>
      </c>
      <c r="AC38" s="0" t="n">
        <f aca="false">IF(Presupuesto!$B$9='Flujo de Pagos'!$E38,9,9999)</f>
        <v>9999</v>
      </c>
      <c r="AD38" s="0" t="n">
        <f aca="false">IF(Presupuesto!$B$10='Flujo de Pagos'!$E38,10,9999)</f>
        <v>9999</v>
      </c>
      <c r="AE38" s="0" t="n">
        <f aca="false">IF(Presupuesto!$B$11='Flujo de Pagos'!$E38,11,9999)</f>
        <v>9999</v>
      </c>
      <c r="AF38" s="0" t="n">
        <f aca="false">IF(Presupuesto!$B$12='Flujo de Pagos'!$E38,12,9999)</f>
        <v>12</v>
      </c>
      <c r="AG38" s="0" t="n">
        <f aca="false">IF(Presupuesto!$B$13='Flujo de Pagos'!$E38,13,9999)</f>
        <v>13</v>
      </c>
      <c r="AH38" s="0" t="n">
        <f aca="false">IF(Presupuesto!$B$14='Flujo de Pagos'!$E38,14,9999)</f>
        <v>14</v>
      </c>
      <c r="AI38" s="0" t="n">
        <f aca="false">IF(Presupuesto!$B$15='Flujo de Pagos'!$E38,15,9999)</f>
        <v>15</v>
      </c>
      <c r="AJ38" s="0" t="n">
        <f aca="false">IF(Presupuesto!$B$16='Flujo de Pagos'!$E38,16,9999)</f>
        <v>16</v>
      </c>
      <c r="AK38" s="0" t="n">
        <f aca="false">IF(Presupuesto!$B$17='Flujo de Pagos'!$E38,17,9999)</f>
        <v>17</v>
      </c>
      <c r="AL38" s="0" t="n">
        <f aca="false">IF(Presupuesto!$B$18='Flujo de Pagos'!$E38,18,9999)</f>
        <v>18</v>
      </c>
      <c r="AM38" s="0" t="n">
        <f aca="false">IF(Presupuesto!$B$19='Flujo de Pagos'!$E38,19,9999)</f>
        <v>19</v>
      </c>
      <c r="AN38" s="0" t="n">
        <f aca="false">IF(Presupuesto!$B$20='Flujo de Pagos'!$E38,20,9999)</f>
        <v>20</v>
      </c>
      <c r="AO38" s="0" t="n">
        <f aca="false">IF(Presupuesto!$B$21='Flujo de Pagos'!$E38,21,9999)</f>
        <v>21</v>
      </c>
      <c r="AP38" s="0" t="n">
        <f aca="false">IF(Presupuesto!$B$22='Flujo de Pagos'!$E38,22,9999)</f>
        <v>22</v>
      </c>
      <c r="AQ38" s="0" t="n">
        <f aca="false">IF(Presupuesto!$B$23='Flujo de Pagos'!$E38,23,9999)</f>
        <v>23</v>
      </c>
      <c r="AR38" s="0" t="n">
        <f aca="false">IF(Presupuesto!$B$24='Flujo de Pagos'!$E38,24,9999)</f>
        <v>24</v>
      </c>
      <c r="AS38" s="0" t="n">
        <f aca="false">IF(Presupuesto!$B$25='Flujo de Pagos'!$E38,25,9999)</f>
        <v>25</v>
      </c>
      <c r="AT38" s="0" t="n">
        <f aca="false">IF(Presupuesto!$B$26='Flujo de Pagos'!$E38,26,9999)</f>
        <v>26</v>
      </c>
      <c r="AU38" s="0" t="n">
        <f aca="false">IF(Presupuesto!$B$27='Flujo de Pagos'!$E38,27,9999)</f>
        <v>27</v>
      </c>
      <c r="AV38" s="0" t="n">
        <f aca="false">IF(Presupuesto!$B$28='Flujo de Pagos'!$E38,28,9999)</f>
        <v>28</v>
      </c>
      <c r="AW38" s="0" t="n">
        <f aca="false">IF(Presupuesto!$B$29='Flujo de Pagos'!$E38,29,9999)</f>
        <v>29</v>
      </c>
      <c r="AX38" s="0" t="n">
        <f aca="false">IF(Presupuesto!$B$30='Flujo de Pagos'!$E38,30,9999)</f>
        <v>30</v>
      </c>
      <c r="AY38" s="0" t="n">
        <f aca="false">IF(Presupuesto!$B$31='Flujo de Pagos'!$E38,31,9999)</f>
        <v>31</v>
      </c>
      <c r="AZ38" s="0" t="n">
        <f aca="false">IF(Presupuesto!$B$32='Flujo de Pagos'!$E38,32,9999)</f>
        <v>32</v>
      </c>
      <c r="BA38" s="0" t="n">
        <f aca="false">IF(Presupuesto!$B$33='Flujo de Pagos'!$E38,33,9999)</f>
        <v>33</v>
      </c>
      <c r="BB38" s="0" t="n">
        <f aca="false">IF(Presupuesto!$B$34='Flujo de Pagos'!$E38,34,9999)</f>
        <v>34</v>
      </c>
      <c r="BC38" s="0" t="n">
        <f aca="false">IF(Presupuesto!$B$35='Flujo de Pagos'!$E38,35,9999)</f>
        <v>35</v>
      </c>
      <c r="BD38" s="0" t="n">
        <f aca="false">IF(Presupuesto!$B$36='Flujo de Pagos'!$E38,36,9999)</f>
        <v>36</v>
      </c>
      <c r="BE38" s="0" t="n">
        <f aca="false">IF(Presupuesto!$B$37='Flujo de Pagos'!$E38,37,9999)</f>
        <v>37</v>
      </c>
      <c r="BF38" s="0" t="n">
        <f aca="false">IF(Presupuesto!$B$38='Flujo de Pagos'!$E38,38,9999)</f>
        <v>38</v>
      </c>
      <c r="BG38" s="0" t="n">
        <f aca="false">IF(Presupuesto!$B$39='Flujo de Pagos'!$E38,39,9999)</f>
        <v>39</v>
      </c>
      <c r="BH38" s="0" t="n">
        <f aca="false">IF(Presupuesto!$B$40='Flujo de Pagos'!$E38,40,9999)</f>
        <v>40</v>
      </c>
      <c r="BI38" s="0" t="n">
        <f aca="false">IF(Presupuesto!$B$41='Flujo de Pagos'!$E38,41,9999)</f>
        <v>41</v>
      </c>
      <c r="BJ38" s="0" t="n">
        <f aca="false">IF(Presupuesto!$B$42='Flujo de Pagos'!$E38,42,9999)</f>
        <v>42</v>
      </c>
      <c r="BK38" s="0" t="n">
        <f aca="false">IF(Presupuesto!$B$43='Flujo de Pagos'!$E38,43,9999)</f>
        <v>43</v>
      </c>
      <c r="BL38" s="0" t="n">
        <f aca="false">IF(Presupuesto!$B$44='Flujo de Pagos'!$E38,44,9999)</f>
        <v>44</v>
      </c>
      <c r="BM38" s="0" t="n">
        <f aca="false">IF(Presupuesto!$B$45='Flujo de Pagos'!$E38,45,9999)</f>
        <v>45</v>
      </c>
      <c r="BN38" s="0" t="n">
        <f aca="false">IF(Presupuesto!$B$46='Flujo de Pagos'!$E38,46,9999)</f>
        <v>46</v>
      </c>
      <c r="BO38" s="0" t="n">
        <f aca="false">IF(Presupuesto!$B$47='Flujo de Pagos'!$E38,47,9999)</f>
        <v>47</v>
      </c>
      <c r="BP38" s="0" t="n">
        <f aca="false">IF(Presupuesto!$B$48='Flujo de Pagos'!$E38,48,9999)</f>
        <v>48</v>
      </c>
      <c r="BQ38" s="0" t="n">
        <f aca="false">IF(Presupuesto!$B$49='Flujo de Pagos'!$E38,49,9999)</f>
        <v>49</v>
      </c>
      <c r="BR38" s="0" t="n">
        <f aca="false">IF(Presupuesto!$B$50='Flujo de Pagos'!$E38,50,9999)</f>
        <v>50</v>
      </c>
      <c r="BS38" s="0" t="n">
        <f aca="false">IF(Presupuesto!$B$51='Flujo de Pagos'!$E38,51,9999)</f>
        <v>51</v>
      </c>
      <c r="BT38" s="0" t="n">
        <f aca="false">IF(Presupuesto!$B$52='Flujo de Pagos'!$E38,52,9999)</f>
        <v>52</v>
      </c>
      <c r="BU38" s="0" t="n">
        <f aca="false">IF(Presupuesto!$B$53='Flujo de Pagos'!$E38,53,9999)</f>
        <v>53</v>
      </c>
      <c r="BV38" s="0" t="n">
        <f aca="false">IF(Presupuesto!$B$54='Flujo de Pagos'!$E38,54,9999)</f>
        <v>54</v>
      </c>
      <c r="BW38" s="0" t="n">
        <f aca="false">IF(Presupuesto!$B$55='Flujo de Pagos'!$E38,55,9999)</f>
        <v>55</v>
      </c>
      <c r="BX38" s="0" t="n">
        <f aca="false">IF(Presupuesto!$B$56='Flujo de Pagos'!$E38,56,9999)</f>
        <v>56</v>
      </c>
      <c r="BY38" s="0" t="n">
        <f aca="false">IF(Presupuesto!$B$57='Flujo de Pagos'!$E38,57,9999)</f>
        <v>57</v>
      </c>
      <c r="BZ38" s="0" t="n">
        <f aca="false">IF(Presupuesto!$B$58='Flujo de Pagos'!$E38,58,9999)</f>
        <v>58</v>
      </c>
      <c r="CA38" s="0" t="n">
        <f aca="false">IF(Presupuesto!$B$59='Flujo de Pagos'!$E38,59,9999)</f>
        <v>59</v>
      </c>
      <c r="CB38" s="0" t="n">
        <f aca="false">IF(Presupuesto!$B$60='Flujo de Pagos'!$E38,60,9999)</f>
        <v>60</v>
      </c>
      <c r="CC38" s="0" t="n">
        <f aca="false">IF(Presupuesto!$B$61='Flujo de Pagos'!$E38,61,9999)</f>
        <v>61</v>
      </c>
      <c r="CD38" s="0" t="n">
        <f aca="false">IF(Presupuesto!$B$62='Flujo de Pagos'!$E38,62,9999)</f>
        <v>62</v>
      </c>
      <c r="CE38" s="0" t="n">
        <f aca="false">IF(Presupuesto!$B$63='Flujo de Pagos'!$E38,63,9999)</f>
        <v>63</v>
      </c>
      <c r="CF38" s="0" t="n">
        <f aca="false">IF(Presupuesto!$B$64='Flujo de Pagos'!$E38,64,9999)</f>
        <v>64</v>
      </c>
      <c r="CG38" s="0" t="n">
        <f aca="false">IF(Presupuesto!$B$65='Flujo de Pagos'!$E38,65,9999)</f>
        <v>65</v>
      </c>
      <c r="CH38" s="0" t="n">
        <f aca="false">IF(Presupuesto!$B$66='Flujo de Pagos'!$E38,66,9999)</f>
        <v>66</v>
      </c>
    </row>
    <row r="39" customFormat="false" ht="15" hidden="false" customHeight="true" outlineLevel="0" collapsed="false">
      <c r="A39" s="1" t="n">
        <f aca="false">IF(Presupuesto!B44=Carátula!$B$2,44,9999)</f>
        <v>9999</v>
      </c>
      <c r="B39" s="1" t="n">
        <f aca="false">IF(AND('Flujo de Pagos'!E44=Carátula!$B$2,'Flujo de Pagos'!F44=Carátula!$B$4,'Flujo de Pagos'!H44&lt;&gt;""),44,99999)</f>
        <v>99999</v>
      </c>
      <c r="D39" s="1" t="str">
        <f aca="false">IF(SMALL($A$2:$A$61,38)&gt;=9999,"",INDEX(Presupuesto!$C:$C,SMALL($A$2:$A$61,38)))</f>
        <v/>
      </c>
      <c r="E39" s="1" t="str">
        <f aca="false">IF(SMALL($B$2:$B$501,38)&gt;=99999,"",INDEX('Flujo de Pagos'!$H:$H,SMALL($B$2:$B$501,38)))</f>
        <v/>
      </c>
      <c r="H39" s="1" t="n">
        <f aca="false">IF(SMALL($AA39:$CH39,1)&gt;=9999,"",INDEX(Presupuesto!$C:$C,SMALL($AA39:$CH39,1)))</f>
        <v>0</v>
      </c>
      <c r="I39" s="1" t="n">
        <f aca="false">IF(SMALL($AA39:$CH39,2)&gt;=9999,"",INDEX(Presupuesto!$C:$C,SMALL($AA39:$CH39,2)))</f>
        <v>0</v>
      </c>
      <c r="J39" s="1" t="n">
        <f aca="false">IF(SMALL($AA39:$CH39,3)&gt;=9999,"",INDEX(Presupuesto!$C:$C,SMALL($AA39:$CH39,3)))</f>
        <v>0</v>
      </c>
      <c r="K39" s="1" t="n">
        <f aca="false">IF(SMALL($AA39:$CH39,4)&gt;=9999,"",INDEX(Presupuesto!$C:$C,SMALL($AA39:$CH39,4)))</f>
        <v>0</v>
      </c>
      <c r="L39" s="1" t="n">
        <f aca="false">IF(SMALL($AA39:$CH39,5)&gt;=9999,"",INDEX(Presupuesto!$C:$C,SMALL($AA39:$CH39,5)))</f>
        <v>0</v>
      </c>
      <c r="M39" s="1" t="n">
        <f aca="false">IF(SMALL($AA39:$CH39,6)&gt;=9999,"",INDEX(Presupuesto!$C:$C,SMALL($AA39:$CH39,6)))</f>
        <v>0</v>
      </c>
      <c r="N39" s="1" t="n">
        <f aca="false">IF(SMALL($AA39:$CH39,7)&gt;=9999,"",INDEX(Presupuesto!$C:$C,SMALL($AA39:$CH39,7)))</f>
        <v>0</v>
      </c>
      <c r="O39" s="1" t="n">
        <f aca="false">IF(SMALL($AA39:$CH39,8)&gt;=9999,"",INDEX(Presupuesto!$C:$C,SMALL($AA39:$CH39,8)))</f>
        <v>0</v>
      </c>
      <c r="P39" s="1" t="n">
        <f aca="false">IF(SMALL($AA39:$CH39,9)&gt;=9999,"",INDEX(Presupuesto!$C:$C,SMALL($AA39:$CH39,9)))</f>
        <v>0</v>
      </c>
      <c r="Q39" s="1" t="n">
        <f aca="false">IF(SMALL($AA39:$CH39,10)&gt;=9999,"",INDEX(Presupuesto!$C:$C,SMALL($AA39:$CH39,10)))</f>
        <v>0</v>
      </c>
      <c r="AA39" s="0" t="n">
        <f aca="false">IF(Presupuesto!$B$7='Flujo de Pagos'!$E39,7,9999)</f>
        <v>9999</v>
      </c>
      <c r="AB39" s="0" t="n">
        <f aca="false">IF(Presupuesto!$B$8='Flujo de Pagos'!$E39,8,9999)</f>
        <v>9999</v>
      </c>
      <c r="AC39" s="0" t="n">
        <f aca="false">IF(Presupuesto!$B$9='Flujo de Pagos'!$E39,9,9999)</f>
        <v>9999</v>
      </c>
      <c r="AD39" s="0" t="n">
        <f aca="false">IF(Presupuesto!$B$10='Flujo de Pagos'!$E39,10,9999)</f>
        <v>9999</v>
      </c>
      <c r="AE39" s="0" t="n">
        <f aca="false">IF(Presupuesto!$B$11='Flujo de Pagos'!$E39,11,9999)</f>
        <v>9999</v>
      </c>
      <c r="AF39" s="0" t="n">
        <f aca="false">IF(Presupuesto!$B$12='Flujo de Pagos'!$E39,12,9999)</f>
        <v>12</v>
      </c>
      <c r="AG39" s="0" t="n">
        <f aca="false">IF(Presupuesto!$B$13='Flujo de Pagos'!$E39,13,9999)</f>
        <v>13</v>
      </c>
      <c r="AH39" s="0" t="n">
        <f aca="false">IF(Presupuesto!$B$14='Flujo de Pagos'!$E39,14,9999)</f>
        <v>14</v>
      </c>
      <c r="AI39" s="0" t="n">
        <f aca="false">IF(Presupuesto!$B$15='Flujo de Pagos'!$E39,15,9999)</f>
        <v>15</v>
      </c>
      <c r="AJ39" s="0" t="n">
        <f aca="false">IF(Presupuesto!$B$16='Flujo de Pagos'!$E39,16,9999)</f>
        <v>16</v>
      </c>
      <c r="AK39" s="0" t="n">
        <f aca="false">IF(Presupuesto!$B$17='Flujo de Pagos'!$E39,17,9999)</f>
        <v>17</v>
      </c>
      <c r="AL39" s="0" t="n">
        <f aca="false">IF(Presupuesto!$B$18='Flujo de Pagos'!$E39,18,9999)</f>
        <v>18</v>
      </c>
      <c r="AM39" s="0" t="n">
        <f aca="false">IF(Presupuesto!$B$19='Flujo de Pagos'!$E39,19,9999)</f>
        <v>19</v>
      </c>
      <c r="AN39" s="0" t="n">
        <f aca="false">IF(Presupuesto!$B$20='Flujo de Pagos'!$E39,20,9999)</f>
        <v>20</v>
      </c>
      <c r="AO39" s="0" t="n">
        <f aca="false">IF(Presupuesto!$B$21='Flujo de Pagos'!$E39,21,9999)</f>
        <v>21</v>
      </c>
      <c r="AP39" s="0" t="n">
        <f aca="false">IF(Presupuesto!$B$22='Flujo de Pagos'!$E39,22,9999)</f>
        <v>22</v>
      </c>
      <c r="AQ39" s="0" t="n">
        <f aca="false">IF(Presupuesto!$B$23='Flujo de Pagos'!$E39,23,9999)</f>
        <v>23</v>
      </c>
      <c r="AR39" s="0" t="n">
        <f aca="false">IF(Presupuesto!$B$24='Flujo de Pagos'!$E39,24,9999)</f>
        <v>24</v>
      </c>
      <c r="AS39" s="0" t="n">
        <f aca="false">IF(Presupuesto!$B$25='Flujo de Pagos'!$E39,25,9999)</f>
        <v>25</v>
      </c>
      <c r="AT39" s="0" t="n">
        <f aca="false">IF(Presupuesto!$B$26='Flujo de Pagos'!$E39,26,9999)</f>
        <v>26</v>
      </c>
      <c r="AU39" s="0" t="n">
        <f aca="false">IF(Presupuesto!$B$27='Flujo de Pagos'!$E39,27,9999)</f>
        <v>27</v>
      </c>
      <c r="AV39" s="0" t="n">
        <f aca="false">IF(Presupuesto!$B$28='Flujo de Pagos'!$E39,28,9999)</f>
        <v>28</v>
      </c>
      <c r="AW39" s="0" t="n">
        <f aca="false">IF(Presupuesto!$B$29='Flujo de Pagos'!$E39,29,9999)</f>
        <v>29</v>
      </c>
      <c r="AX39" s="0" t="n">
        <f aca="false">IF(Presupuesto!$B$30='Flujo de Pagos'!$E39,30,9999)</f>
        <v>30</v>
      </c>
      <c r="AY39" s="0" t="n">
        <f aca="false">IF(Presupuesto!$B$31='Flujo de Pagos'!$E39,31,9999)</f>
        <v>31</v>
      </c>
      <c r="AZ39" s="0" t="n">
        <f aca="false">IF(Presupuesto!$B$32='Flujo de Pagos'!$E39,32,9999)</f>
        <v>32</v>
      </c>
      <c r="BA39" s="0" t="n">
        <f aca="false">IF(Presupuesto!$B$33='Flujo de Pagos'!$E39,33,9999)</f>
        <v>33</v>
      </c>
      <c r="BB39" s="0" t="n">
        <f aca="false">IF(Presupuesto!$B$34='Flujo de Pagos'!$E39,34,9999)</f>
        <v>34</v>
      </c>
      <c r="BC39" s="0" t="n">
        <f aca="false">IF(Presupuesto!$B$35='Flujo de Pagos'!$E39,35,9999)</f>
        <v>35</v>
      </c>
      <c r="BD39" s="0" t="n">
        <f aca="false">IF(Presupuesto!$B$36='Flujo de Pagos'!$E39,36,9999)</f>
        <v>36</v>
      </c>
      <c r="BE39" s="0" t="n">
        <f aca="false">IF(Presupuesto!$B$37='Flujo de Pagos'!$E39,37,9999)</f>
        <v>37</v>
      </c>
      <c r="BF39" s="0" t="n">
        <f aca="false">IF(Presupuesto!$B$38='Flujo de Pagos'!$E39,38,9999)</f>
        <v>38</v>
      </c>
      <c r="BG39" s="0" t="n">
        <f aca="false">IF(Presupuesto!$B$39='Flujo de Pagos'!$E39,39,9999)</f>
        <v>39</v>
      </c>
      <c r="BH39" s="0" t="n">
        <f aca="false">IF(Presupuesto!$B$40='Flujo de Pagos'!$E39,40,9999)</f>
        <v>40</v>
      </c>
      <c r="BI39" s="0" t="n">
        <f aca="false">IF(Presupuesto!$B$41='Flujo de Pagos'!$E39,41,9999)</f>
        <v>41</v>
      </c>
      <c r="BJ39" s="0" t="n">
        <f aca="false">IF(Presupuesto!$B$42='Flujo de Pagos'!$E39,42,9999)</f>
        <v>42</v>
      </c>
      <c r="BK39" s="0" t="n">
        <f aca="false">IF(Presupuesto!$B$43='Flujo de Pagos'!$E39,43,9999)</f>
        <v>43</v>
      </c>
      <c r="BL39" s="0" t="n">
        <f aca="false">IF(Presupuesto!$B$44='Flujo de Pagos'!$E39,44,9999)</f>
        <v>44</v>
      </c>
      <c r="BM39" s="0" t="n">
        <f aca="false">IF(Presupuesto!$B$45='Flujo de Pagos'!$E39,45,9999)</f>
        <v>45</v>
      </c>
      <c r="BN39" s="0" t="n">
        <f aca="false">IF(Presupuesto!$B$46='Flujo de Pagos'!$E39,46,9999)</f>
        <v>46</v>
      </c>
      <c r="BO39" s="0" t="n">
        <f aca="false">IF(Presupuesto!$B$47='Flujo de Pagos'!$E39,47,9999)</f>
        <v>47</v>
      </c>
      <c r="BP39" s="0" t="n">
        <f aca="false">IF(Presupuesto!$B$48='Flujo de Pagos'!$E39,48,9999)</f>
        <v>48</v>
      </c>
      <c r="BQ39" s="0" t="n">
        <f aca="false">IF(Presupuesto!$B$49='Flujo de Pagos'!$E39,49,9999)</f>
        <v>49</v>
      </c>
      <c r="BR39" s="0" t="n">
        <f aca="false">IF(Presupuesto!$B$50='Flujo de Pagos'!$E39,50,9999)</f>
        <v>50</v>
      </c>
      <c r="BS39" s="0" t="n">
        <f aca="false">IF(Presupuesto!$B$51='Flujo de Pagos'!$E39,51,9999)</f>
        <v>51</v>
      </c>
      <c r="BT39" s="0" t="n">
        <f aca="false">IF(Presupuesto!$B$52='Flujo de Pagos'!$E39,52,9999)</f>
        <v>52</v>
      </c>
      <c r="BU39" s="0" t="n">
        <f aca="false">IF(Presupuesto!$B$53='Flujo de Pagos'!$E39,53,9999)</f>
        <v>53</v>
      </c>
      <c r="BV39" s="0" t="n">
        <f aca="false">IF(Presupuesto!$B$54='Flujo de Pagos'!$E39,54,9999)</f>
        <v>54</v>
      </c>
      <c r="BW39" s="0" t="n">
        <f aca="false">IF(Presupuesto!$B$55='Flujo de Pagos'!$E39,55,9999)</f>
        <v>55</v>
      </c>
      <c r="BX39" s="0" t="n">
        <f aca="false">IF(Presupuesto!$B$56='Flujo de Pagos'!$E39,56,9999)</f>
        <v>56</v>
      </c>
      <c r="BY39" s="0" t="n">
        <f aca="false">IF(Presupuesto!$B$57='Flujo de Pagos'!$E39,57,9999)</f>
        <v>57</v>
      </c>
      <c r="BZ39" s="0" t="n">
        <f aca="false">IF(Presupuesto!$B$58='Flujo de Pagos'!$E39,58,9999)</f>
        <v>58</v>
      </c>
      <c r="CA39" s="0" t="n">
        <f aca="false">IF(Presupuesto!$B$59='Flujo de Pagos'!$E39,59,9999)</f>
        <v>59</v>
      </c>
      <c r="CB39" s="0" t="n">
        <f aca="false">IF(Presupuesto!$B$60='Flujo de Pagos'!$E39,60,9999)</f>
        <v>60</v>
      </c>
      <c r="CC39" s="0" t="n">
        <f aca="false">IF(Presupuesto!$B$61='Flujo de Pagos'!$E39,61,9999)</f>
        <v>61</v>
      </c>
      <c r="CD39" s="0" t="n">
        <f aca="false">IF(Presupuesto!$B$62='Flujo de Pagos'!$E39,62,9999)</f>
        <v>62</v>
      </c>
      <c r="CE39" s="0" t="n">
        <f aca="false">IF(Presupuesto!$B$63='Flujo de Pagos'!$E39,63,9999)</f>
        <v>63</v>
      </c>
      <c r="CF39" s="0" t="n">
        <f aca="false">IF(Presupuesto!$B$64='Flujo de Pagos'!$E39,64,9999)</f>
        <v>64</v>
      </c>
      <c r="CG39" s="0" t="n">
        <f aca="false">IF(Presupuesto!$B$65='Flujo de Pagos'!$E39,65,9999)</f>
        <v>65</v>
      </c>
      <c r="CH39" s="0" t="n">
        <f aca="false">IF(Presupuesto!$B$66='Flujo de Pagos'!$E39,66,9999)</f>
        <v>66</v>
      </c>
    </row>
    <row r="40" customFormat="false" ht="15" hidden="false" customHeight="true" outlineLevel="0" collapsed="false">
      <c r="A40" s="1" t="n">
        <f aca="false">IF(Presupuesto!B45=Carátula!$B$2,45,9999)</f>
        <v>9999</v>
      </c>
      <c r="B40" s="1" t="n">
        <f aca="false">IF(AND('Flujo de Pagos'!E45=Carátula!$B$2,'Flujo de Pagos'!F45=Carátula!$B$4,'Flujo de Pagos'!H45&lt;&gt;""),45,99999)</f>
        <v>99999</v>
      </c>
      <c r="D40" s="1" t="str">
        <f aca="false">IF(SMALL($A$2:$A$61,39)&gt;=9999,"",INDEX(Presupuesto!$C:$C,SMALL($A$2:$A$61,39)))</f>
        <v/>
      </c>
      <c r="E40" s="1" t="str">
        <f aca="false">IF(SMALL($B$2:$B$501,39)&gt;=99999,"",INDEX('Flujo de Pagos'!$H:$H,SMALL($B$2:$B$501,39)))</f>
        <v/>
      </c>
      <c r="H40" s="1" t="n">
        <f aca="false">IF(SMALL($AA40:$CH40,1)&gt;=9999,"",INDEX(Presupuesto!$C:$C,SMALL($AA40:$CH40,1)))</f>
        <v>0</v>
      </c>
      <c r="I40" s="1" t="n">
        <f aca="false">IF(SMALL($AA40:$CH40,2)&gt;=9999,"",INDEX(Presupuesto!$C:$C,SMALL($AA40:$CH40,2)))</f>
        <v>0</v>
      </c>
      <c r="J40" s="1" t="n">
        <f aca="false">IF(SMALL($AA40:$CH40,3)&gt;=9999,"",INDEX(Presupuesto!$C:$C,SMALL($AA40:$CH40,3)))</f>
        <v>0</v>
      </c>
      <c r="K40" s="1" t="n">
        <f aca="false">IF(SMALL($AA40:$CH40,4)&gt;=9999,"",INDEX(Presupuesto!$C:$C,SMALL($AA40:$CH40,4)))</f>
        <v>0</v>
      </c>
      <c r="L40" s="1" t="n">
        <f aca="false">IF(SMALL($AA40:$CH40,5)&gt;=9999,"",INDEX(Presupuesto!$C:$C,SMALL($AA40:$CH40,5)))</f>
        <v>0</v>
      </c>
      <c r="M40" s="1" t="n">
        <f aca="false">IF(SMALL($AA40:$CH40,6)&gt;=9999,"",INDEX(Presupuesto!$C:$C,SMALL($AA40:$CH40,6)))</f>
        <v>0</v>
      </c>
      <c r="N40" s="1" t="n">
        <f aca="false">IF(SMALL($AA40:$CH40,7)&gt;=9999,"",INDEX(Presupuesto!$C:$C,SMALL($AA40:$CH40,7)))</f>
        <v>0</v>
      </c>
      <c r="O40" s="1" t="n">
        <f aca="false">IF(SMALL($AA40:$CH40,8)&gt;=9999,"",INDEX(Presupuesto!$C:$C,SMALL($AA40:$CH40,8)))</f>
        <v>0</v>
      </c>
      <c r="P40" s="1" t="n">
        <f aca="false">IF(SMALL($AA40:$CH40,9)&gt;=9999,"",INDEX(Presupuesto!$C:$C,SMALL($AA40:$CH40,9)))</f>
        <v>0</v>
      </c>
      <c r="Q40" s="1" t="n">
        <f aca="false">IF(SMALL($AA40:$CH40,10)&gt;=9999,"",INDEX(Presupuesto!$C:$C,SMALL($AA40:$CH40,10)))</f>
        <v>0</v>
      </c>
      <c r="AA40" s="0" t="n">
        <f aca="false">IF(Presupuesto!$B$7='Flujo de Pagos'!$E40,7,9999)</f>
        <v>9999</v>
      </c>
      <c r="AB40" s="0" t="n">
        <f aca="false">IF(Presupuesto!$B$8='Flujo de Pagos'!$E40,8,9999)</f>
        <v>9999</v>
      </c>
      <c r="AC40" s="0" t="n">
        <f aca="false">IF(Presupuesto!$B$9='Flujo de Pagos'!$E40,9,9999)</f>
        <v>9999</v>
      </c>
      <c r="AD40" s="0" t="n">
        <f aca="false">IF(Presupuesto!$B$10='Flujo de Pagos'!$E40,10,9999)</f>
        <v>9999</v>
      </c>
      <c r="AE40" s="0" t="n">
        <f aca="false">IF(Presupuesto!$B$11='Flujo de Pagos'!$E40,11,9999)</f>
        <v>9999</v>
      </c>
      <c r="AF40" s="0" t="n">
        <f aca="false">IF(Presupuesto!$B$12='Flujo de Pagos'!$E40,12,9999)</f>
        <v>12</v>
      </c>
      <c r="AG40" s="0" t="n">
        <f aca="false">IF(Presupuesto!$B$13='Flujo de Pagos'!$E40,13,9999)</f>
        <v>13</v>
      </c>
      <c r="AH40" s="0" t="n">
        <f aca="false">IF(Presupuesto!$B$14='Flujo de Pagos'!$E40,14,9999)</f>
        <v>14</v>
      </c>
      <c r="AI40" s="0" t="n">
        <f aca="false">IF(Presupuesto!$B$15='Flujo de Pagos'!$E40,15,9999)</f>
        <v>15</v>
      </c>
      <c r="AJ40" s="0" t="n">
        <f aca="false">IF(Presupuesto!$B$16='Flujo de Pagos'!$E40,16,9999)</f>
        <v>16</v>
      </c>
      <c r="AK40" s="0" t="n">
        <f aca="false">IF(Presupuesto!$B$17='Flujo de Pagos'!$E40,17,9999)</f>
        <v>17</v>
      </c>
      <c r="AL40" s="0" t="n">
        <f aca="false">IF(Presupuesto!$B$18='Flujo de Pagos'!$E40,18,9999)</f>
        <v>18</v>
      </c>
      <c r="AM40" s="0" t="n">
        <f aca="false">IF(Presupuesto!$B$19='Flujo de Pagos'!$E40,19,9999)</f>
        <v>19</v>
      </c>
      <c r="AN40" s="0" t="n">
        <f aca="false">IF(Presupuesto!$B$20='Flujo de Pagos'!$E40,20,9999)</f>
        <v>20</v>
      </c>
      <c r="AO40" s="0" t="n">
        <f aca="false">IF(Presupuesto!$B$21='Flujo de Pagos'!$E40,21,9999)</f>
        <v>21</v>
      </c>
      <c r="AP40" s="0" t="n">
        <f aca="false">IF(Presupuesto!$B$22='Flujo de Pagos'!$E40,22,9999)</f>
        <v>22</v>
      </c>
      <c r="AQ40" s="0" t="n">
        <f aca="false">IF(Presupuesto!$B$23='Flujo de Pagos'!$E40,23,9999)</f>
        <v>23</v>
      </c>
      <c r="AR40" s="0" t="n">
        <f aca="false">IF(Presupuesto!$B$24='Flujo de Pagos'!$E40,24,9999)</f>
        <v>24</v>
      </c>
      <c r="AS40" s="0" t="n">
        <f aca="false">IF(Presupuesto!$B$25='Flujo de Pagos'!$E40,25,9999)</f>
        <v>25</v>
      </c>
      <c r="AT40" s="0" t="n">
        <f aca="false">IF(Presupuesto!$B$26='Flujo de Pagos'!$E40,26,9999)</f>
        <v>26</v>
      </c>
      <c r="AU40" s="0" t="n">
        <f aca="false">IF(Presupuesto!$B$27='Flujo de Pagos'!$E40,27,9999)</f>
        <v>27</v>
      </c>
      <c r="AV40" s="0" t="n">
        <f aca="false">IF(Presupuesto!$B$28='Flujo de Pagos'!$E40,28,9999)</f>
        <v>28</v>
      </c>
      <c r="AW40" s="0" t="n">
        <f aca="false">IF(Presupuesto!$B$29='Flujo de Pagos'!$E40,29,9999)</f>
        <v>29</v>
      </c>
      <c r="AX40" s="0" t="n">
        <f aca="false">IF(Presupuesto!$B$30='Flujo de Pagos'!$E40,30,9999)</f>
        <v>30</v>
      </c>
      <c r="AY40" s="0" t="n">
        <f aca="false">IF(Presupuesto!$B$31='Flujo de Pagos'!$E40,31,9999)</f>
        <v>31</v>
      </c>
      <c r="AZ40" s="0" t="n">
        <f aca="false">IF(Presupuesto!$B$32='Flujo de Pagos'!$E40,32,9999)</f>
        <v>32</v>
      </c>
      <c r="BA40" s="0" t="n">
        <f aca="false">IF(Presupuesto!$B$33='Flujo de Pagos'!$E40,33,9999)</f>
        <v>33</v>
      </c>
      <c r="BB40" s="0" t="n">
        <f aca="false">IF(Presupuesto!$B$34='Flujo de Pagos'!$E40,34,9999)</f>
        <v>34</v>
      </c>
      <c r="BC40" s="0" t="n">
        <f aca="false">IF(Presupuesto!$B$35='Flujo de Pagos'!$E40,35,9999)</f>
        <v>35</v>
      </c>
      <c r="BD40" s="0" t="n">
        <f aca="false">IF(Presupuesto!$B$36='Flujo de Pagos'!$E40,36,9999)</f>
        <v>36</v>
      </c>
      <c r="BE40" s="0" t="n">
        <f aca="false">IF(Presupuesto!$B$37='Flujo de Pagos'!$E40,37,9999)</f>
        <v>37</v>
      </c>
      <c r="BF40" s="0" t="n">
        <f aca="false">IF(Presupuesto!$B$38='Flujo de Pagos'!$E40,38,9999)</f>
        <v>38</v>
      </c>
      <c r="BG40" s="0" t="n">
        <f aca="false">IF(Presupuesto!$B$39='Flujo de Pagos'!$E40,39,9999)</f>
        <v>39</v>
      </c>
      <c r="BH40" s="0" t="n">
        <f aca="false">IF(Presupuesto!$B$40='Flujo de Pagos'!$E40,40,9999)</f>
        <v>40</v>
      </c>
      <c r="BI40" s="0" t="n">
        <f aca="false">IF(Presupuesto!$B$41='Flujo de Pagos'!$E40,41,9999)</f>
        <v>41</v>
      </c>
      <c r="BJ40" s="0" t="n">
        <f aca="false">IF(Presupuesto!$B$42='Flujo de Pagos'!$E40,42,9999)</f>
        <v>42</v>
      </c>
      <c r="BK40" s="0" t="n">
        <f aca="false">IF(Presupuesto!$B$43='Flujo de Pagos'!$E40,43,9999)</f>
        <v>43</v>
      </c>
      <c r="BL40" s="0" t="n">
        <f aca="false">IF(Presupuesto!$B$44='Flujo de Pagos'!$E40,44,9999)</f>
        <v>44</v>
      </c>
      <c r="BM40" s="0" t="n">
        <f aca="false">IF(Presupuesto!$B$45='Flujo de Pagos'!$E40,45,9999)</f>
        <v>45</v>
      </c>
      <c r="BN40" s="0" t="n">
        <f aca="false">IF(Presupuesto!$B$46='Flujo de Pagos'!$E40,46,9999)</f>
        <v>46</v>
      </c>
      <c r="BO40" s="0" t="n">
        <f aca="false">IF(Presupuesto!$B$47='Flujo de Pagos'!$E40,47,9999)</f>
        <v>47</v>
      </c>
      <c r="BP40" s="0" t="n">
        <f aca="false">IF(Presupuesto!$B$48='Flujo de Pagos'!$E40,48,9999)</f>
        <v>48</v>
      </c>
      <c r="BQ40" s="0" t="n">
        <f aca="false">IF(Presupuesto!$B$49='Flujo de Pagos'!$E40,49,9999)</f>
        <v>49</v>
      </c>
      <c r="BR40" s="0" t="n">
        <f aca="false">IF(Presupuesto!$B$50='Flujo de Pagos'!$E40,50,9999)</f>
        <v>50</v>
      </c>
      <c r="BS40" s="0" t="n">
        <f aca="false">IF(Presupuesto!$B$51='Flujo de Pagos'!$E40,51,9999)</f>
        <v>51</v>
      </c>
      <c r="BT40" s="0" t="n">
        <f aca="false">IF(Presupuesto!$B$52='Flujo de Pagos'!$E40,52,9999)</f>
        <v>52</v>
      </c>
      <c r="BU40" s="0" t="n">
        <f aca="false">IF(Presupuesto!$B$53='Flujo de Pagos'!$E40,53,9999)</f>
        <v>53</v>
      </c>
      <c r="BV40" s="0" t="n">
        <f aca="false">IF(Presupuesto!$B$54='Flujo de Pagos'!$E40,54,9999)</f>
        <v>54</v>
      </c>
      <c r="BW40" s="0" t="n">
        <f aca="false">IF(Presupuesto!$B$55='Flujo de Pagos'!$E40,55,9999)</f>
        <v>55</v>
      </c>
      <c r="BX40" s="0" t="n">
        <f aca="false">IF(Presupuesto!$B$56='Flujo de Pagos'!$E40,56,9999)</f>
        <v>56</v>
      </c>
      <c r="BY40" s="0" t="n">
        <f aca="false">IF(Presupuesto!$B$57='Flujo de Pagos'!$E40,57,9999)</f>
        <v>57</v>
      </c>
      <c r="BZ40" s="0" t="n">
        <f aca="false">IF(Presupuesto!$B$58='Flujo de Pagos'!$E40,58,9999)</f>
        <v>58</v>
      </c>
      <c r="CA40" s="0" t="n">
        <f aca="false">IF(Presupuesto!$B$59='Flujo de Pagos'!$E40,59,9999)</f>
        <v>59</v>
      </c>
      <c r="CB40" s="0" t="n">
        <f aca="false">IF(Presupuesto!$B$60='Flujo de Pagos'!$E40,60,9999)</f>
        <v>60</v>
      </c>
      <c r="CC40" s="0" t="n">
        <f aca="false">IF(Presupuesto!$B$61='Flujo de Pagos'!$E40,61,9999)</f>
        <v>61</v>
      </c>
      <c r="CD40" s="0" t="n">
        <f aca="false">IF(Presupuesto!$B$62='Flujo de Pagos'!$E40,62,9999)</f>
        <v>62</v>
      </c>
      <c r="CE40" s="0" t="n">
        <f aca="false">IF(Presupuesto!$B$63='Flujo de Pagos'!$E40,63,9999)</f>
        <v>63</v>
      </c>
      <c r="CF40" s="0" t="n">
        <f aca="false">IF(Presupuesto!$B$64='Flujo de Pagos'!$E40,64,9999)</f>
        <v>64</v>
      </c>
      <c r="CG40" s="0" t="n">
        <f aca="false">IF(Presupuesto!$B$65='Flujo de Pagos'!$E40,65,9999)</f>
        <v>65</v>
      </c>
      <c r="CH40" s="0" t="n">
        <f aca="false">IF(Presupuesto!$B$66='Flujo de Pagos'!$E40,66,9999)</f>
        <v>66</v>
      </c>
    </row>
    <row r="41" customFormat="false" ht="15" hidden="false" customHeight="true" outlineLevel="0" collapsed="false">
      <c r="A41" s="1" t="n">
        <f aca="false">IF(Presupuesto!B46=Carátula!$B$2,46,9999)</f>
        <v>9999</v>
      </c>
      <c r="B41" s="1" t="n">
        <f aca="false">IF(AND('Flujo de Pagos'!E46=Carátula!$B$2,'Flujo de Pagos'!F46=Carátula!$B$4,'Flujo de Pagos'!H46&lt;&gt;""),46,99999)</f>
        <v>99999</v>
      </c>
      <c r="D41" s="1" t="str">
        <f aca="false">IF(SMALL($A$2:$A$61,40)&gt;=9999,"",INDEX(Presupuesto!$C:$C,SMALL($A$2:$A$61,40)))</f>
        <v/>
      </c>
      <c r="E41" s="1" t="str">
        <f aca="false">IF(SMALL($B$2:$B$501,40)&gt;=99999,"",INDEX('Flujo de Pagos'!$H:$H,SMALL($B$2:$B$501,40)))</f>
        <v/>
      </c>
      <c r="H41" s="1" t="n">
        <f aca="false">IF(SMALL($AA41:$CH41,1)&gt;=9999,"",INDEX(Presupuesto!$C:$C,SMALL($AA41:$CH41,1)))</f>
        <v>0</v>
      </c>
      <c r="I41" s="1" t="n">
        <f aca="false">IF(SMALL($AA41:$CH41,2)&gt;=9999,"",INDEX(Presupuesto!$C:$C,SMALL($AA41:$CH41,2)))</f>
        <v>0</v>
      </c>
      <c r="J41" s="1" t="n">
        <f aca="false">IF(SMALL($AA41:$CH41,3)&gt;=9999,"",INDEX(Presupuesto!$C:$C,SMALL($AA41:$CH41,3)))</f>
        <v>0</v>
      </c>
      <c r="K41" s="1" t="n">
        <f aca="false">IF(SMALL($AA41:$CH41,4)&gt;=9999,"",INDEX(Presupuesto!$C:$C,SMALL($AA41:$CH41,4)))</f>
        <v>0</v>
      </c>
      <c r="L41" s="1" t="n">
        <f aca="false">IF(SMALL($AA41:$CH41,5)&gt;=9999,"",INDEX(Presupuesto!$C:$C,SMALL($AA41:$CH41,5)))</f>
        <v>0</v>
      </c>
      <c r="M41" s="1" t="n">
        <f aca="false">IF(SMALL($AA41:$CH41,6)&gt;=9999,"",INDEX(Presupuesto!$C:$C,SMALL($AA41:$CH41,6)))</f>
        <v>0</v>
      </c>
      <c r="N41" s="1" t="n">
        <f aca="false">IF(SMALL($AA41:$CH41,7)&gt;=9999,"",INDEX(Presupuesto!$C:$C,SMALL($AA41:$CH41,7)))</f>
        <v>0</v>
      </c>
      <c r="O41" s="1" t="n">
        <f aca="false">IF(SMALL($AA41:$CH41,8)&gt;=9999,"",INDEX(Presupuesto!$C:$C,SMALL($AA41:$CH41,8)))</f>
        <v>0</v>
      </c>
      <c r="P41" s="1" t="n">
        <f aca="false">IF(SMALL($AA41:$CH41,9)&gt;=9999,"",INDEX(Presupuesto!$C:$C,SMALL($AA41:$CH41,9)))</f>
        <v>0</v>
      </c>
      <c r="Q41" s="1" t="n">
        <f aca="false">IF(SMALL($AA41:$CH41,10)&gt;=9999,"",INDEX(Presupuesto!$C:$C,SMALL($AA41:$CH41,10)))</f>
        <v>0</v>
      </c>
      <c r="AA41" s="0" t="n">
        <f aca="false">IF(Presupuesto!$B$7='Flujo de Pagos'!$E41,7,9999)</f>
        <v>9999</v>
      </c>
      <c r="AB41" s="0" t="n">
        <f aca="false">IF(Presupuesto!$B$8='Flujo de Pagos'!$E41,8,9999)</f>
        <v>9999</v>
      </c>
      <c r="AC41" s="0" t="n">
        <f aca="false">IF(Presupuesto!$B$9='Flujo de Pagos'!$E41,9,9999)</f>
        <v>9999</v>
      </c>
      <c r="AD41" s="0" t="n">
        <f aca="false">IF(Presupuesto!$B$10='Flujo de Pagos'!$E41,10,9999)</f>
        <v>9999</v>
      </c>
      <c r="AE41" s="0" t="n">
        <f aca="false">IF(Presupuesto!$B$11='Flujo de Pagos'!$E41,11,9999)</f>
        <v>9999</v>
      </c>
      <c r="AF41" s="0" t="n">
        <f aca="false">IF(Presupuesto!$B$12='Flujo de Pagos'!$E41,12,9999)</f>
        <v>12</v>
      </c>
      <c r="AG41" s="0" t="n">
        <f aca="false">IF(Presupuesto!$B$13='Flujo de Pagos'!$E41,13,9999)</f>
        <v>13</v>
      </c>
      <c r="AH41" s="0" t="n">
        <f aca="false">IF(Presupuesto!$B$14='Flujo de Pagos'!$E41,14,9999)</f>
        <v>14</v>
      </c>
      <c r="AI41" s="0" t="n">
        <f aca="false">IF(Presupuesto!$B$15='Flujo de Pagos'!$E41,15,9999)</f>
        <v>15</v>
      </c>
      <c r="AJ41" s="0" t="n">
        <f aca="false">IF(Presupuesto!$B$16='Flujo de Pagos'!$E41,16,9999)</f>
        <v>16</v>
      </c>
      <c r="AK41" s="0" t="n">
        <f aca="false">IF(Presupuesto!$B$17='Flujo de Pagos'!$E41,17,9999)</f>
        <v>17</v>
      </c>
      <c r="AL41" s="0" t="n">
        <f aca="false">IF(Presupuesto!$B$18='Flujo de Pagos'!$E41,18,9999)</f>
        <v>18</v>
      </c>
      <c r="AM41" s="0" t="n">
        <f aca="false">IF(Presupuesto!$B$19='Flujo de Pagos'!$E41,19,9999)</f>
        <v>19</v>
      </c>
      <c r="AN41" s="0" t="n">
        <f aca="false">IF(Presupuesto!$B$20='Flujo de Pagos'!$E41,20,9999)</f>
        <v>20</v>
      </c>
      <c r="AO41" s="0" t="n">
        <f aca="false">IF(Presupuesto!$B$21='Flujo de Pagos'!$E41,21,9999)</f>
        <v>21</v>
      </c>
      <c r="AP41" s="0" t="n">
        <f aca="false">IF(Presupuesto!$B$22='Flujo de Pagos'!$E41,22,9999)</f>
        <v>22</v>
      </c>
      <c r="AQ41" s="0" t="n">
        <f aca="false">IF(Presupuesto!$B$23='Flujo de Pagos'!$E41,23,9999)</f>
        <v>23</v>
      </c>
      <c r="AR41" s="0" t="n">
        <f aca="false">IF(Presupuesto!$B$24='Flujo de Pagos'!$E41,24,9999)</f>
        <v>24</v>
      </c>
      <c r="AS41" s="0" t="n">
        <f aca="false">IF(Presupuesto!$B$25='Flujo de Pagos'!$E41,25,9999)</f>
        <v>25</v>
      </c>
      <c r="AT41" s="0" t="n">
        <f aca="false">IF(Presupuesto!$B$26='Flujo de Pagos'!$E41,26,9999)</f>
        <v>26</v>
      </c>
      <c r="AU41" s="0" t="n">
        <f aca="false">IF(Presupuesto!$B$27='Flujo de Pagos'!$E41,27,9999)</f>
        <v>27</v>
      </c>
      <c r="AV41" s="0" t="n">
        <f aca="false">IF(Presupuesto!$B$28='Flujo de Pagos'!$E41,28,9999)</f>
        <v>28</v>
      </c>
      <c r="AW41" s="0" t="n">
        <f aca="false">IF(Presupuesto!$B$29='Flujo de Pagos'!$E41,29,9999)</f>
        <v>29</v>
      </c>
      <c r="AX41" s="0" t="n">
        <f aca="false">IF(Presupuesto!$B$30='Flujo de Pagos'!$E41,30,9999)</f>
        <v>30</v>
      </c>
      <c r="AY41" s="0" t="n">
        <f aca="false">IF(Presupuesto!$B$31='Flujo de Pagos'!$E41,31,9999)</f>
        <v>31</v>
      </c>
      <c r="AZ41" s="0" t="n">
        <f aca="false">IF(Presupuesto!$B$32='Flujo de Pagos'!$E41,32,9999)</f>
        <v>32</v>
      </c>
      <c r="BA41" s="0" t="n">
        <f aca="false">IF(Presupuesto!$B$33='Flujo de Pagos'!$E41,33,9999)</f>
        <v>33</v>
      </c>
      <c r="BB41" s="0" t="n">
        <f aca="false">IF(Presupuesto!$B$34='Flujo de Pagos'!$E41,34,9999)</f>
        <v>34</v>
      </c>
      <c r="BC41" s="0" t="n">
        <f aca="false">IF(Presupuesto!$B$35='Flujo de Pagos'!$E41,35,9999)</f>
        <v>35</v>
      </c>
      <c r="BD41" s="0" t="n">
        <f aca="false">IF(Presupuesto!$B$36='Flujo de Pagos'!$E41,36,9999)</f>
        <v>36</v>
      </c>
      <c r="BE41" s="0" t="n">
        <f aca="false">IF(Presupuesto!$B$37='Flujo de Pagos'!$E41,37,9999)</f>
        <v>37</v>
      </c>
      <c r="BF41" s="0" t="n">
        <f aca="false">IF(Presupuesto!$B$38='Flujo de Pagos'!$E41,38,9999)</f>
        <v>38</v>
      </c>
      <c r="BG41" s="0" t="n">
        <f aca="false">IF(Presupuesto!$B$39='Flujo de Pagos'!$E41,39,9999)</f>
        <v>39</v>
      </c>
      <c r="BH41" s="0" t="n">
        <f aca="false">IF(Presupuesto!$B$40='Flujo de Pagos'!$E41,40,9999)</f>
        <v>40</v>
      </c>
      <c r="BI41" s="0" t="n">
        <f aca="false">IF(Presupuesto!$B$41='Flujo de Pagos'!$E41,41,9999)</f>
        <v>41</v>
      </c>
      <c r="BJ41" s="0" t="n">
        <f aca="false">IF(Presupuesto!$B$42='Flujo de Pagos'!$E41,42,9999)</f>
        <v>42</v>
      </c>
      <c r="BK41" s="0" t="n">
        <f aca="false">IF(Presupuesto!$B$43='Flujo de Pagos'!$E41,43,9999)</f>
        <v>43</v>
      </c>
      <c r="BL41" s="0" t="n">
        <f aca="false">IF(Presupuesto!$B$44='Flujo de Pagos'!$E41,44,9999)</f>
        <v>44</v>
      </c>
      <c r="BM41" s="0" t="n">
        <f aca="false">IF(Presupuesto!$B$45='Flujo de Pagos'!$E41,45,9999)</f>
        <v>45</v>
      </c>
      <c r="BN41" s="0" t="n">
        <f aca="false">IF(Presupuesto!$B$46='Flujo de Pagos'!$E41,46,9999)</f>
        <v>46</v>
      </c>
      <c r="BO41" s="0" t="n">
        <f aca="false">IF(Presupuesto!$B$47='Flujo de Pagos'!$E41,47,9999)</f>
        <v>47</v>
      </c>
      <c r="BP41" s="0" t="n">
        <f aca="false">IF(Presupuesto!$B$48='Flujo de Pagos'!$E41,48,9999)</f>
        <v>48</v>
      </c>
      <c r="BQ41" s="0" t="n">
        <f aca="false">IF(Presupuesto!$B$49='Flujo de Pagos'!$E41,49,9999)</f>
        <v>49</v>
      </c>
      <c r="BR41" s="0" t="n">
        <f aca="false">IF(Presupuesto!$B$50='Flujo de Pagos'!$E41,50,9999)</f>
        <v>50</v>
      </c>
      <c r="BS41" s="0" t="n">
        <f aca="false">IF(Presupuesto!$B$51='Flujo de Pagos'!$E41,51,9999)</f>
        <v>51</v>
      </c>
      <c r="BT41" s="0" t="n">
        <f aca="false">IF(Presupuesto!$B$52='Flujo de Pagos'!$E41,52,9999)</f>
        <v>52</v>
      </c>
      <c r="BU41" s="0" t="n">
        <f aca="false">IF(Presupuesto!$B$53='Flujo de Pagos'!$E41,53,9999)</f>
        <v>53</v>
      </c>
      <c r="BV41" s="0" t="n">
        <f aca="false">IF(Presupuesto!$B$54='Flujo de Pagos'!$E41,54,9999)</f>
        <v>54</v>
      </c>
      <c r="BW41" s="0" t="n">
        <f aca="false">IF(Presupuesto!$B$55='Flujo de Pagos'!$E41,55,9999)</f>
        <v>55</v>
      </c>
      <c r="BX41" s="0" t="n">
        <f aca="false">IF(Presupuesto!$B$56='Flujo de Pagos'!$E41,56,9999)</f>
        <v>56</v>
      </c>
      <c r="BY41" s="0" t="n">
        <f aca="false">IF(Presupuesto!$B$57='Flujo de Pagos'!$E41,57,9999)</f>
        <v>57</v>
      </c>
      <c r="BZ41" s="0" t="n">
        <f aca="false">IF(Presupuesto!$B$58='Flujo de Pagos'!$E41,58,9999)</f>
        <v>58</v>
      </c>
      <c r="CA41" s="0" t="n">
        <f aca="false">IF(Presupuesto!$B$59='Flujo de Pagos'!$E41,59,9999)</f>
        <v>59</v>
      </c>
      <c r="CB41" s="0" t="n">
        <f aca="false">IF(Presupuesto!$B$60='Flujo de Pagos'!$E41,60,9999)</f>
        <v>60</v>
      </c>
      <c r="CC41" s="0" t="n">
        <f aca="false">IF(Presupuesto!$B$61='Flujo de Pagos'!$E41,61,9999)</f>
        <v>61</v>
      </c>
      <c r="CD41" s="0" t="n">
        <f aca="false">IF(Presupuesto!$B$62='Flujo de Pagos'!$E41,62,9999)</f>
        <v>62</v>
      </c>
      <c r="CE41" s="0" t="n">
        <f aca="false">IF(Presupuesto!$B$63='Flujo de Pagos'!$E41,63,9999)</f>
        <v>63</v>
      </c>
      <c r="CF41" s="0" t="n">
        <f aca="false">IF(Presupuesto!$B$64='Flujo de Pagos'!$E41,64,9999)</f>
        <v>64</v>
      </c>
      <c r="CG41" s="0" t="n">
        <f aca="false">IF(Presupuesto!$B$65='Flujo de Pagos'!$E41,65,9999)</f>
        <v>65</v>
      </c>
      <c r="CH41" s="0" t="n">
        <f aca="false">IF(Presupuesto!$B$66='Flujo de Pagos'!$E41,66,9999)</f>
        <v>66</v>
      </c>
    </row>
    <row r="42" customFormat="false" ht="15" hidden="false" customHeight="true" outlineLevel="0" collapsed="false">
      <c r="A42" s="1" t="n">
        <f aca="false">IF(Presupuesto!B47=Carátula!$B$2,47,9999)</f>
        <v>9999</v>
      </c>
      <c r="B42" s="1" t="n">
        <f aca="false">IF(AND('Flujo de Pagos'!E47=Carátula!$B$2,'Flujo de Pagos'!F47=Carátula!$B$4,'Flujo de Pagos'!H47&lt;&gt;""),47,99999)</f>
        <v>99999</v>
      </c>
      <c r="D42" s="1" t="str">
        <f aca="false">IF(SMALL($A$2:$A$61,41)&gt;=9999,"",INDEX(Presupuesto!$C:$C,SMALL($A$2:$A$61,41)))</f>
        <v/>
      </c>
      <c r="E42" s="1" t="str">
        <f aca="false">IF(SMALL($B$2:$B$501,41)&gt;=99999,"",INDEX('Flujo de Pagos'!$H:$H,SMALL($B$2:$B$501,41)))</f>
        <v/>
      </c>
      <c r="H42" s="1" t="n">
        <f aca="false">IF(SMALL($AA42:$CH42,1)&gt;=9999,"",INDEX(Presupuesto!$C:$C,SMALL($AA42:$CH42,1)))</f>
        <v>0</v>
      </c>
      <c r="I42" s="1" t="n">
        <f aca="false">IF(SMALL($AA42:$CH42,2)&gt;=9999,"",INDEX(Presupuesto!$C:$C,SMALL($AA42:$CH42,2)))</f>
        <v>0</v>
      </c>
      <c r="J42" s="1" t="n">
        <f aca="false">IF(SMALL($AA42:$CH42,3)&gt;=9999,"",INDEX(Presupuesto!$C:$C,SMALL($AA42:$CH42,3)))</f>
        <v>0</v>
      </c>
      <c r="K42" s="1" t="n">
        <f aca="false">IF(SMALL($AA42:$CH42,4)&gt;=9999,"",INDEX(Presupuesto!$C:$C,SMALL($AA42:$CH42,4)))</f>
        <v>0</v>
      </c>
      <c r="L42" s="1" t="n">
        <f aca="false">IF(SMALL($AA42:$CH42,5)&gt;=9999,"",INDEX(Presupuesto!$C:$C,SMALL($AA42:$CH42,5)))</f>
        <v>0</v>
      </c>
      <c r="M42" s="1" t="n">
        <f aca="false">IF(SMALL($AA42:$CH42,6)&gt;=9999,"",INDEX(Presupuesto!$C:$C,SMALL($AA42:$CH42,6)))</f>
        <v>0</v>
      </c>
      <c r="N42" s="1" t="n">
        <f aca="false">IF(SMALL($AA42:$CH42,7)&gt;=9999,"",INDEX(Presupuesto!$C:$C,SMALL($AA42:$CH42,7)))</f>
        <v>0</v>
      </c>
      <c r="O42" s="1" t="n">
        <f aca="false">IF(SMALL($AA42:$CH42,8)&gt;=9999,"",INDEX(Presupuesto!$C:$C,SMALL($AA42:$CH42,8)))</f>
        <v>0</v>
      </c>
      <c r="P42" s="1" t="n">
        <f aca="false">IF(SMALL($AA42:$CH42,9)&gt;=9999,"",INDEX(Presupuesto!$C:$C,SMALL($AA42:$CH42,9)))</f>
        <v>0</v>
      </c>
      <c r="Q42" s="1" t="n">
        <f aca="false">IF(SMALL($AA42:$CH42,10)&gt;=9999,"",INDEX(Presupuesto!$C:$C,SMALL($AA42:$CH42,10)))</f>
        <v>0</v>
      </c>
      <c r="AA42" s="0" t="n">
        <f aca="false">IF(Presupuesto!$B$7='Flujo de Pagos'!$E42,7,9999)</f>
        <v>9999</v>
      </c>
      <c r="AB42" s="0" t="n">
        <f aca="false">IF(Presupuesto!$B$8='Flujo de Pagos'!$E42,8,9999)</f>
        <v>9999</v>
      </c>
      <c r="AC42" s="0" t="n">
        <f aca="false">IF(Presupuesto!$B$9='Flujo de Pagos'!$E42,9,9999)</f>
        <v>9999</v>
      </c>
      <c r="AD42" s="0" t="n">
        <f aca="false">IF(Presupuesto!$B$10='Flujo de Pagos'!$E42,10,9999)</f>
        <v>9999</v>
      </c>
      <c r="AE42" s="0" t="n">
        <f aca="false">IF(Presupuesto!$B$11='Flujo de Pagos'!$E42,11,9999)</f>
        <v>9999</v>
      </c>
      <c r="AF42" s="0" t="n">
        <f aca="false">IF(Presupuesto!$B$12='Flujo de Pagos'!$E42,12,9999)</f>
        <v>12</v>
      </c>
      <c r="AG42" s="0" t="n">
        <f aca="false">IF(Presupuesto!$B$13='Flujo de Pagos'!$E42,13,9999)</f>
        <v>13</v>
      </c>
      <c r="AH42" s="0" t="n">
        <f aca="false">IF(Presupuesto!$B$14='Flujo de Pagos'!$E42,14,9999)</f>
        <v>14</v>
      </c>
      <c r="AI42" s="0" t="n">
        <f aca="false">IF(Presupuesto!$B$15='Flujo de Pagos'!$E42,15,9999)</f>
        <v>15</v>
      </c>
      <c r="AJ42" s="0" t="n">
        <f aca="false">IF(Presupuesto!$B$16='Flujo de Pagos'!$E42,16,9999)</f>
        <v>16</v>
      </c>
      <c r="AK42" s="0" t="n">
        <f aca="false">IF(Presupuesto!$B$17='Flujo de Pagos'!$E42,17,9999)</f>
        <v>17</v>
      </c>
      <c r="AL42" s="0" t="n">
        <f aca="false">IF(Presupuesto!$B$18='Flujo de Pagos'!$E42,18,9999)</f>
        <v>18</v>
      </c>
      <c r="AM42" s="0" t="n">
        <f aca="false">IF(Presupuesto!$B$19='Flujo de Pagos'!$E42,19,9999)</f>
        <v>19</v>
      </c>
      <c r="AN42" s="0" t="n">
        <f aca="false">IF(Presupuesto!$B$20='Flujo de Pagos'!$E42,20,9999)</f>
        <v>20</v>
      </c>
      <c r="AO42" s="0" t="n">
        <f aca="false">IF(Presupuesto!$B$21='Flujo de Pagos'!$E42,21,9999)</f>
        <v>21</v>
      </c>
      <c r="AP42" s="0" t="n">
        <f aca="false">IF(Presupuesto!$B$22='Flujo de Pagos'!$E42,22,9999)</f>
        <v>22</v>
      </c>
      <c r="AQ42" s="0" t="n">
        <f aca="false">IF(Presupuesto!$B$23='Flujo de Pagos'!$E42,23,9999)</f>
        <v>23</v>
      </c>
      <c r="AR42" s="0" t="n">
        <f aca="false">IF(Presupuesto!$B$24='Flujo de Pagos'!$E42,24,9999)</f>
        <v>24</v>
      </c>
      <c r="AS42" s="0" t="n">
        <f aca="false">IF(Presupuesto!$B$25='Flujo de Pagos'!$E42,25,9999)</f>
        <v>25</v>
      </c>
      <c r="AT42" s="0" t="n">
        <f aca="false">IF(Presupuesto!$B$26='Flujo de Pagos'!$E42,26,9999)</f>
        <v>26</v>
      </c>
      <c r="AU42" s="0" t="n">
        <f aca="false">IF(Presupuesto!$B$27='Flujo de Pagos'!$E42,27,9999)</f>
        <v>27</v>
      </c>
      <c r="AV42" s="0" t="n">
        <f aca="false">IF(Presupuesto!$B$28='Flujo de Pagos'!$E42,28,9999)</f>
        <v>28</v>
      </c>
      <c r="AW42" s="0" t="n">
        <f aca="false">IF(Presupuesto!$B$29='Flujo de Pagos'!$E42,29,9999)</f>
        <v>29</v>
      </c>
      <c r="AX42" s="0" t="n">
        <f aca="false">IF(Presupuesto!$B$30='Flujo de Pagos'!$E42,30,9999)</f>
        <v>30</v>
      </c>
      <c r="AY42" s="0" t="n">
        <f aca="false">IF(Presupuesto!$B$31='Flujo de Pagos'!$E42,31,9999)</f>
        <v>31</v>
      </c>
      <c r="AZ42" s="0" t="n">
        <f aca="false">IF(Presupuesto!$B$32='Flujo de Pagos'!$E42,32,9999)</f>
        <v>32</v>
      </c>
      <c r="BA42" s="0" t="n">
        <f aca="false">IF(Presupuesto!$B$33='Flujo de Pagos'!$E42,33,9999)</f>
        <v>33</v>
      </c>
      <c r="BB42" s="0" t="n">
        <f aca="false">IF(Presupuesto!$B$34='Flujo de Pagos'!$E42,34,9999)</f>
        <v>34</v>
      </c>
      <c r="BC42" s="0" t="n">
        <f aca="false">IF(Presupuesto!$B$35='Flujo de Pagos'!$E42,35,9999)</f>
        <v>35</v>
      </c>
      <c r="BD42" s="0" t="n">
        <f aca="false">IF(Presupuesto!$B$36='Flujo de Pagos'!$E42,36,9999)</f>
        <v>36</v>
      </c>
      <c r="BE42" s="0" t="n">
        <f aca="false">IF(Presupuesto!$B$37='Flujo de Pagos'!$E42,37,9999)</f>
        <v>37</v>
      </c>
      <c r="BF42" s="0" t="n">
        <f aca="false">IF(Presupuesto!$B$38='Flujo de Pagos'!$E42,38,9999)</f>
        <v>38</v>
      </c>
      <c r="BG42" s="0" t="n">
        <f aca="false">IF(Presupuesto!$B$39='Flujo de Pagos'!$E42,39,9999)</f>
        <v>39</v>
      </c>
      <c r="BH42" s="0" t="n">
        <f aca="false">IF(Presupuesto!$B$40='Flujo de Pagos'!$E42,40,9999)</f>
        <v>40</v>
      </c>
      <c r="BI42" s="0" t="n">
        <f aca="false">IF(Presupuesto!$B$41='Flujo de Pagos'!$E42,41,9999)</f>
        <v>41</v>
      </c>
      <c r="BJ42" s="0" t="n">
        <f aca="false">IF(Presupuesto!$B$42='Flujo de Pagos'!$E42,42,9999)</f>
        <v>42</v>
      </c>
      <c r="BK42" s="0" t="n">
        <f aca="false">IF(Presupuesto!$B$43='Flujo de Pagos'!$E42,43,9999)</f>
        <v>43</v>
      </c>
      <c r="BL42" s="0" t="n">
        <f aca="false">IF(Presupuesto!$B$44='Flujo de Pagos'!$E42,44,9999)</f>
        <v>44</v>
      </c>
      <c r="BM42" s="0" t="n">
        <f aca="false">IF(Presupuesto!$B$45='Flujo de Pagos'!$E42,45,9999)</f>
        <v>45</v>
      </c>
      <c r="BN42" s="0" t="n">
        <f aca="false">IF(Presupuesto!$B$46='Flujo de Pagos'!$E42,46,9999)</f>
        <v>46</v>
      </c>
      <c r="BO42" s="0" t="n">
        <f aca="false">IF(Presupuesto!$B$47='Flujo de Pagos'!$E42,47,9999)</f>
        <v>47</v>
      </c>
      <c r="BP42" s="0" t="n">
        <f aca="false">IF(Presupuesto!$B$48='Flujo de Pagos'!$E42,48,9999)</f>
        <v>48</v>
      </c>
      <c r="BQ42" s="0" t="n">
        <f aca="false">IF(Presupuesto!$B$49='Flujo de Pagos'!$E42,49,9999)</f>
        <v>49</v>
      </c>
      <c r="BR42" s="0" t="n">
        <f aca="false">IF(Presupuesto!$B$50='Flujo de Pagos'!$E42,50,9999)</f>
        <v>50</v>
      </c>
      <c r="BS42" s="0" t="n">
        <f aca="false">IF(Presupuesto!$B$51='Flujo de Pagos'!$E42,51,9999)</f>
        <v>51</v>
      </c>
      <c r="BT42" s="0" t="n">
        <f aca="false">IF(Presupuesto!$B$52='Flujo de Pagos'!$E42,52,9999)</f>
        <v>52</v>
      </c>
      <c r="BU42" s="0" t="n">
        <f aca="false">IF(Presupuesto!$B$53='Flujo de Pagos'!$E42,53,9999)</f>
        <v>53</v>
      </c>
      <c r="BV42" s="0" t="n">
        <f aca="false">IF(Presupuesto!$B$54='Flujo de Pagos'!$E42,54,9999)</f>
        <v>54</v>
      </c>
      <c r="BW42" s="0" t="n">
        <f aca="false">IF(Presupuesto!$B$55='Flujo de Pagos'!$E42,55,9999)</f>
        <v>55</v>
      </c>
      <c r="BX42" s="0" t="n">
        <f aca="false">IF(Presupuesto!$B$56='Flujo de Pagos'!$E42,56,9999)</f>
        <v>56</v>
      </c>
      <c r="BY42" s="0" t="n">
        <f aca="false">IF(Presupuesto!$B$57='Flujo de Pagos'!$E42,57,9999)</f>
        <v>57</v>
      </c>
      <c r="BZ42" s="0" t="n">
        <f aca="false">IF(Presupuesto!$B$58='Flujo de Pagos'!$E42,58,9999)</f>
        <v>58</v>
      </c>
      <c r="CA42" s="0" t="n">
        <f aca="false">IF(Presupuesto!$B$59='Flujo de Pagos'!$E42,59,9999)</f>
        <v>59</v>
      </c>
      <c r="CB42" s="0" t="n">
        <f aca="false">IF(Presupuesto!$B$60='Flujo de Pagos'!$E42,60,9999)</f>
        <v>60</v>
      </c>
      <c r="CC42" s="0" t="n">
        <f aca="false">IF(Presupuesto!$B$61='Flujo de Pagos'!$E42,61,9999)</f>
        <v>61</v>
      </c>
      <c r="CD42" s="0" t="n">
        <f aca="false">IF(Presupuesto!$B$62='Flujo de Pagos'!$E42,62,9999)</f>
        <v>62</v>
      </c>
      <c r="CE42" s="0" t="n">
        <f aca="false">IF(Presupuesto!$B$63='Flujo de Pagos'!$E42,63,9999)</f>
        <v>63</v>
      </c>
      <c r="CF42" s="0" t="n">
        <f aca="false">IF(Presupuesto!$B$64='Flujo de Pagos'!$E42,64,9999)</f>
        <v>64</v>
      </c>
      <c r="CG42" s="0" t="n">
        <f aca="false">IF(Presupuesto!$B$65='Flujo de Pagos'!$E42,65,9999)</f>
        <v>65</v>
      </c>
      <c r="CH42" s="0" t="n">
        <f aca="false">IF(Presupuesto!$B$66='Flujo de Pagos'!$E42,66,9999)</f>
        <v>66</v>
      </c>
    </row>
    <row r="43" customFormat="false" ht="15" hidden="false" customHeight="true" outlineLevel="0" collapsed="false">
      <c r="A43" s="1" t="n">
        <f aca="false">IF(Presupuesto!B48=Carátula!$B$2,48,9999)</f>
        <v>9999</v>
      </c>
      <c r="B43" s="1" t="n">
        <f aca="false">IF(AND('Flujo de Pagos'!E48=Carátula!$B$2,'Flujo de Pagos'!F48=Carátula!$B$4,'Flujo de Pagos'!H48&lt;&gt;""),48,99999)</f>
        <v>99999</v>
      </c>
      <c r="D43" s="1" t="str">
        <f aca="false">IF(SMALL($A$2:$A$61,42)&gt;=9999,"",INDEX(Presupuesto!$C:$C,SMALL($A$2:$A$61,42)))</f>
        <v/>
      </c>
      <c r="E43" s="1" t="str">
        <f aca="false">IF(SMALL($B$2:$B$501,42)&gt;=99999,"",INDEX('Flujo de Pagos'!$H:$H,SMALL($B$2:$B$501,42)))</f>
        <v/>
      </c>
      <c r="H43" s="1" t="n">
        <f aca="false">IF(SMALL($AA43:$CH43,1)&gt;=9999,"",INDEX(Presupuesto!$C:$C,SMALL($AA43:$CH43,1)))</f>
        <v>0</v>
      </c>
      <c r="I43" s="1" t="n">
        <f aca="false">IF(SMALL($AA43:$CH43,2)&gt;=9999,"",INDEX(Presupuesto!$C:$C,SMALL($AA43:$CH43,2)))</f>
        <v>0</v>
      </c>
      <c r="J43" s="1" t="n">
        <f aca="false">IF(SMALL($AA43:$CH43,3)&gt;=9999,"",INDEX(Presupuesto!$C:$C,SMALL($AA43:$CH43,3)))</f>
        <v>0</v>
      </c>
      <c r="K43" s="1" t="n">
        <f aca="false">IF(SMALL($AA43:$CH43,4)&gt;=9999,"",INDEX(Presupuesto!$C:$C,SMALL($AA43:$CH43,4)))</f>
        <v>0</v>
      </c>
      <c r="L43" s="1" t="n">
        <f aca="false">IF(SMALL($AA43:$CH43,5)&gt;=9999,"",INDEX(Presupuesto!$C:$C,SMALL($AA43:$CH43,5)))</f>
        <v>0</v>
      </c>
      <c r="M43" s="1" t="n">
        <f aca="false">IF(SMALL($AA43:$CH43,6)&gt;=9999,"",INDEX(Presupuesto!$C:$C,SMALL($AA43:$CH43,6)))</f>
        <v>0</v>
      </c>
      <c r="N43" s="1" t="n">
        <f aca="false">IF(SMALL($AA43:$CH43,7)&gt;=9999,"",INDEX(Presupuesto!$C:$C,SMALL($AA43:$CH43,7)))</f>
        <v>0</v>
      </c>
      <c r="O43" s="1" t="n">
        <f aca="false">IF(SMALL($AA43:$CH43,8)&gt;=9999,"",INDEX(Presupuesto!$C:$C,SMALL($AA43:$CH43,8)))</f>
        <v>0</v>
      </c>
      <c r="P43" s="1" t="n">
        <f aca="false">IF(SMALL($AA43:$CH43,9)&gt;=9999,"",INDEX(Presupuesto!$C:$C,SMALL($AA43:$CH43,9)))</f>
        <v>0</v>
      </c>
      <c r="Q43" s="1" t="n">
        <f aca="false">IF(SMALL($AA43:$CH43,10)&gt;=9999,"",INDEX(Presupuesto!$C:$C,SMALL($AA43:$CH43,10)))</f>
        <v>0</v>
      </c>
      <c r="AA43" s="0" t="n">
        <f aca="false">IF(Presupuesto!$B$7='Flujo de Pagos'!$E43,7,9999)</f>
        <v>9999</v>
      </c>
      <c r="AB43" s="0" t="n">
        <f aca="false">IF(Presupuesto!$B$8='Flujo de Pagos'!$E43,8,9999)</f>
        <v>9999</v>
      </c>
      <c r="AC43" s="0" t="n">
        <f aca="false">IF(Presupuesto!$B$9='Flujo de Pagos'!$E43,9,9999)</f>
        <v>9999</v>
      </c>
      <c r="AD43" s="0" t="n">
        <f aca="false">IF(Presupuesto!$B$10='Flujo de Pagos'!$E43,10,9999)</f>
        <v>9999</v>
      </c>
      <c r="AE43" s="0" t="n">
        <f aca="false">IF(Presupuesto!$B$11='Flujo de Pagos'!$E43,11,9999)</f>
        <v>9999</v>
      </c>
      <c r="AF43" s="0" t="n">
        <f aca="false">IF(Presupuesto!$B$12='Flujo de Pagos'!$E43,12,9999)</f>
        <v>12</v>
      </c>
      <c r="AG43" s="0" t="n">
        <f aca="false">IF(Presupuesto!$B$13='Flujo de Pagos'!$E43,13,9999)</f>
        <v>13</v>
      </c>
      <c r="AH43" s="0" t="n">
        <f aca="false">IF(Presupuesto!$B$14='Flujo de Pagos'!$E43,14,9999)</f>
        <v>14</v>
      </c>
      <c r="AI43" s="0" t="n">
        <f aca="false">IF(Presupuesto!$B$15='Flujo de Pagos'!$E43,15,9999)</f>
        <v>15</v>
      </c>
      <c r="AJ43" s="0" t="n">
        <f aca="false">IF(Presupuesto!$B$16='Flujo de Pagos'!$E43,16,9999)</f>
        <v>16</v>
      </c>
      <c r="AK43" s="0" t="n">
        <f aca="false">IF(Presupuesto!$B$17='Flujo de Pagos'!$E43,17,9999)</f>
        <v>17</v>
      </c>
      <c r="AL43" s="0" t="n">
        <f aca="false">IF(Presupuesto!$B$18='Flujo de Pagos'!$E43,18,9999)</f>
        <v>18</v>
      </c>
      <c r="AM43" s="0" t="n">
        <f aca="false">IF(Presupuesto!$B$19='Flujo de Pagos'!$E43,19,9999)</f>
        <v>19</v>
      </c>
      <c r="AN43" s="0" t="n">
        <f aca="false">IF(Presupuesto!$B$20='Flujo de Pagos'!$E43,20,9999)</f>
        <v>20</v>
      </c>
      <c r="AO43" s="0" t="n">
        <f aca="false">IF(Presupuesto!$B$21='Flujo de Pagos'!$E43,21,9999)</f>
        <v>21</v>
      </c>
      <c r="AP43" s="0" t="n">
        <f aca="false">IF(Presupuesto!$B$22='Flujo de Pagos'!$E43,22,9999)</f>
        <v>22</v>
      </c>
      <c r="AQ43" s="0" t="n">
        <f aca="false">IF(Presupuesto!$B$23='Flujo de Pagos'!$E43,23,9999)</f>
        <v>23</v>
      </c>
      <c r="AR43" s="0" t="n">
        <f aca="false">IF(Presupuesto!$B$24='Flujo de Pagos'!$E43,24,9999)</f>
        <v>24</v>
      </c>
      <c r="AS43" s="0" t="n">
        <f aca="false">IF(Presupuesto!$B$25='Flujo de Pagos'!$E43,25,9999)</f>
        <v>25</v>
      </c>
      <c r="AT43" s="0" t="n">
        <f aca="false">IF(Presupuesto!$B$26='Flujo de Pagos'!$E43,26,9999)</f>
        <v>26</v>
      </c>
      <c r="AU43" s="0" t="n">
        <f aca="false">IF(Presupuesto!$B$27='Flujo de Pagos'!$E43,27,9999)</f>
        <v>27</v>
      </c>
      <c r="AV43" s="0" t="n">
        <f aca="false">IF(Presupuesto!$B$28='Flujo de Pagos'!$E43,28,9999)</f>
        <v>28</v>
      </c>
      <c r="AW43" s="0" t="n">
        <f aca="false">IF(Presupuesto!$B$29='Flujo de Pagos'!$E43,29,9999)</f>
        <v>29</v>
      </c>
      <c r="AX43" s="0" t="n">
        <f aca="false">IF(Presupuesto!$B$30='Flujo de Pagos'!$E43,30,9999)</f>
        <v>30</v>
      </c>
      <c r="AY43" s="0" t="n">
        <f aca="false">IF(Presupuesto!$B$31='Flujo de Pagos'!$E43,31,9999)</f>
        <v>31</v>
      </c>
      <c r="AZ43" s="0" t="n">
        <f aca="false">IF(Presupuesto!$B$32='Flujo de Pagos'!$E43,32,9999)</f>
        <v>32</v>
      </c>
      <c r="BA43" s="0" t="n">
        <f aca="false">IF(Presupuesto!$B$33='Flujo de Pagos'!$E43,33,9999)</f>
        <v>33</v>
      </c>
      <c r="BB43" s="0" t="n">
        <f aca="false">IF(Presupuesto!$B$34='Flujo de Pagos'!$E43,34,9999)</f>
        <v>34</v>
      </c>
      <c r="BC43" s="0" t="n">
        <f aca="false">IF(Presupuesto!$B$35='Flujo de Pagos'!$E43,35,9999)</f>
        <v>35</v>
      </c>
      <c r="BD43" s="0" t="n">
        <f aca="false">IF(Presupuesto!$B$36='Flujo de Pagos'!$E43,36,9999)</f>
        <v>36</v>
      </c>
      <c r="BE43" s="0" t="n">
        <f aca="false">IF(Presupuesto!$B$37='Flujo de Pagos'!$E43,37,9999)</f>
        <v>37</v>
      </c>
      <c r="BF43" s="0" t="n">
        <f aca="false">IF(Presupuesto!$B$38='Flujo de Pagos'!$E43,38,9999)</f>
        <v>38</v>
      </c>
      <c r="BG43" s="0" t="n">
        <f aca="false">IF(Presupuesto!$B$39='Flujo de Pagos'!$E43,39,9999)</f>
        <v>39</v>
      </c>
      <c r="BH43" s="0" t="n">
        <f aca="false">IF(Presupuesto!$B$40='Flujo de Pagos'!$E43,40,9999)</f>
        <v>40</v>
      </c>
      <c r="BI43" s="0" t="n">
        <f aca="false">IF(Presupuesto!$B$41='Flujo de Pagos'!$E43,41,9999)</f>
        <v>41</v>
      </c>
      <c r="BJ43" s="0" t="n">
        <f aca="false">IF(Presupuesto!$B$42='Flujo de Pagos'!$E43,42,9999)</f>
        <v>42</v>
      </c>
      <c r="BK43" s="0" t="n">
        <f aca="false">IF(Presupuesto!$B$43='Flujo de Pagos'!$E43,43,9999)</f>
        <v>43</v>
      </c>
      <c r="BL43" s="0" t="n">
        <f aca="false">IF(Presupuesto!$B$44='Flujo de Pagos'!$E43,44,9999)</f>
        <v>44</v>
      </c>
      <c r="BM43" s="0" t="n">
        <f aca="false">IF(Presupuesto!$B$45='Flujo de Pagos'!$E43,45,9999)</f>
        <v>45</v>
      </c>
      <c r="BN43" s="0" t="n">
        <f aca="false">IF(Presupuesto!$B$46='Flujo de Pagos'!$E43,46,9999)</f>
        <v>46</v>
      </c>
      <c r="BO43" s="0" t="n">
        <f aca="false">IF(Presupuesto!$B$47='Flujo de Pagos'!$E43,47,9999)</f>
        <v>47</v>
      </c>
      <c r="BP43" s="0" t="n">
        <f aca="false">IF(Presupuesto!$B$48='Flujo de Pagos'!$E43,48,9999)</f>
        <v>48</v>
      </c>
      <c r="BQ43" s="0" t="n">
        <f aca="false">IF(Presupuesto!$B$49='Flujo de Pagos'!$E43,49,9999)</f>
        <v>49</v>
      </c>
      <c r="BR43" s="0" t="n">
        <f aca="false">IF(Presupuesto!$B$50='Flujo de Pagos'!$E43,50,9999)</f>
        <v>50</v>
      </c>
      <c r="BS43" s="0" t="n">
        <f aca="false">IF(Presupuesto!$B$51='Flujo de Pagos'!$E43,51,9999)</f>
        <v>51</v>
      </c>
      <c r="BT43" s="0" t="n">
        <f aca="false">IF(Presupuesto!$B$52='Flujo de Pagos'!$E43,52,9999)</f>
        <v>52</v>
      </c>
      <c r="BU43" s="0" t="n">
        <f aca="false">IF(Presupuesto!$B$53='Flujo de Pagos'!$E43,53,9999)</f>
        <v>53</v>
      </c>
      <c r="BV43" s="0" t="n">
        <f aca="false">IF(Presupuesto!$B$54='Flujo de Pagos'!$E43,54,9999)</f>
        <v>54</v>
      </c>
      <c r="BW43" s="0" t="n">
        <f aca="false">IF(Presupuesto!$B$55='Flujo de Pagos'!$E43,55,9999)</f>
        <v>55</v>
      </c>
      <c r="BX43" s="0" t="n">
        <f aca="false">IF(Presupuesto!$B$56='Flujo de Pagos'!$E43,56,9999)</f>
        <v>56</v>
      </c>
      <c r="BY43" s="0" t="n">
        <f aca="false">IF(Presupuesto!$B$57='Flujo de Pagos'!$E43,57,9999)</f>
        <v>57</v>
      </c>
      <c r="BZ43" s="0" t="n">
        <f aca="false">IF(Presupuesto!$B$58='Flujo de Pagos'!$E43,58,9999)</f>
        <v>58</v>
      </c>
      <c r="CA43" s="0" t="n">
        <f aca="false">IF(Presupuesto!$B$59='Flujo de Pagos'!$E43,59,9999)</f>
        <v>59</v>
      </c>
      <c r="CB43" s="0" t="n">
        <f aca="false">IF(Presupuesto!$B$60='Flujo de Pagos'!$E43,60,9999)</f>
        <v>60</v>
      </c>
      <c r="CC43" s="0" t="n">
        <f aca="false">IF(Presupuesto!$B$61='Flujo de Pagos'!$E43,61,9999)</f>
        <v>61</v>
      </c>
      <c r="CD43" s="0" t="n">
        <f aca="false">IF(Presupuesto!$B$62='Flujo de Pagos'!$E43,62,9999)</f>
        <v>62</v>
      </c>
      <c r="CE43" s="0" t="n">
        <f aca="false">IF(Presupuesto!$B$63='Flujo de Pagos'!$E43,63,9999)</f>
        <v>63</v>
      </c>
      <c r="CF43" s="0" t="n">
        <f aca="false">IF(Presupuesto!$B$64='Flujo de Pagos'!$E43,64,9999)</f>
        <v>64</v>
      </c>
      <c r="CG43" s="0" t="n">
        <f aca="false">IF(Presupuesto!$B$65='Flujo de Pagos'!$E43,65,9999)</f>
        <v>65</v>
      </c>
      <c r="CH43" s="0" t="n">
        <f aca="false">IF(Presupuesto!$B$66='Flujo de Pagos'!$E43,66,9999)</f>
        <v>66</v>
      </c>
    </row>
    <row r="44" customFormat="false" ht="15" hidden="false" customHeight="true" outlineLevel="0" collapsed="false">
      <c r="A44" s="1" t="n">
        <f aca="false">IF(Presupuesto!B49=Carátula!$B$2,49,9999)</f>
        <v>9999</v>
      </c>
      <c r="B44" s="1" t="n">
        <f aca="false">IF(AND('Flujo de Pagos'!E49=Carátula!$B$2,'Flujo de Pagos'!F49=Carátula!$B$4,'Flujo de Pagos'!H49&lt;&gt;""),49,99999)</f>
        <v>99999</v>
      </c>
      <c r="D44" s="1" t="str">
        <f aca="false">IF(SMALL($A$2:$A$61,43)&gt;=9999,"",INDEX(Presupuesto!$C:$C,SMALL($A$2:$A$61,43)))</f>
        <v/>
      </c>
      <c r="E44" s="1" t="str">
        <f aca="false">IF(SMALL($B$2:$B$501,43)&gt;=99999,"",INDEX('Flujo de Pagos'!$H:$H,SMALL($B$2:$B$501,43)))</f>
        <v/>
      </c>
      <c r="H44" s="1" t="n">
        <f aca="false">IF(SMALL($AA44:$CH44,1)&gt;=9999,"",INDEX(Presupuesto!$C:$C,SMALL($AA44:$CH44,1)))</f>
        <v>0</v>
      </c>
      <c r="I44" s="1" t="n">
        <f aca="false">IF(SMALL($AA44:$CH44,2)&gt;=9999,"",INDEX(Presupuesto!$C:$C,SMALL($AA44:$CH44,2)))</f>
        <v>0</v>
      </c>
      <c r="J44" s="1" t="n">
        <f aca="false">IF(SMALL($AA44:$CH44,3)&gt;=9999,"",INDEX(Presupuesto!$C:$C,SMALL($AA44:$CH44,3)))</f>
        <v>0</v>
      </c>
      <c r="K44" s="1" t="n">
        <f aca="false">IF(SMALL($AA44:$CH44,4)&gt;=9999,"",INDEX(Presupuesto!$C:$C,SMALL($AA44:$CH44,4)))</f>
        <v>0</v>
      </c>
      <c r="L44" s="1" t="n">
        <f aca="false">IF(SMALL($AA44:$CH44,5)&gt;=9999,"",INDEX(Presupuesto!$C:$C,SMALL($AA44:$CH44,5)))</f>
        <v>0</v>
      </c>
      <c r="M44" s="1" t="n">
        <f aca="false">IF(SMALL($AA44:$CH44,6)&gt;=9999,"",INDEX(Presupuesto!$C:$C,SMALL($AA44:$CH44,6)))</f>
        <v>0</v>
      </c>
      <c r="N44" s="1" t="n">
        <f aca="false">IF(SMALL($AA44:$CH44,7)&gt;=9999,"",INDEX(Presupuesto!$C:$C,SMALL($AA44:$CH44,7)))</f>
        <v>0</v>
      </c>
      <c r="O44" s="1" t="n">
        <f aca="false">IF(SMALL($AA44:$CH44,8)&gt;=9999,"",INDEX(Presupuesto!$C:$C,SMALL($AA44:$CH44,8)))</f>
        <v>0</v>
      </c>
      <c r="P44" s="1" t="n">
        <f aca="false">IF(SMALL($AA44:$CH44,9)&gt;=9999,"",INDEX(Presupuesto!$C:$C,SMALL($AA44:$CH44,9)))</f>
        <v>0</v>
      </c>
      <c r="Q44" s="1" t="n">
        <f aca="false">IF(SMALL($AA44:$CH44,10)&gt;=9999,"",INDEX(Presupuesto!$C:$C,SMALL($AA44:$CH44,10)))</f>
        <v>0</v>
      </c>
      <c r="AA44" s="0" t="n">
        <f aca="false">IF(Presupuesto!$B$7='Flujo de Pagos'!$E44,7,9999)</f>
        <v>9999</v>
      </c>
      <c r="AB44" s="0" t="n">
        <f aca="false">IF(Presupuesto!$B$8='Flujo de Pagos'!$E44,8,9999)</f>
        <v>9999</v>
      </c>
      <c r="AC44" s="0" t="n">
        <f aca="false">IF(Presupuesto!$B$9='Flujo de Pagos'!$E44,9,9999)</f>
        <v>9999</v>
      </c>
      <c r="AD44" s="0" t="n">
        <f aca="false">IF(Presupuesto!$B$10='Flujo de Pagos'!$E44,10,9999)</f>
        <v>9999</v>
      </c>
      <c r="AE44" s="0" t="n">
        <f aca="false">IF(Presupuesto!$B$11='Flujo de Pagos'!$E44,11,9999)</f>
        <v>9999</v>
      </c>
      <c r="AF44" s="0" t="n">
        <f aca="false">IF(Presupuesto!$B$12='Flujo de Pagos'!$E44,12,9999)</f>
        <v>12</v>
      </c>
      <c r="AG44" s="0" t="n">
        <f aca="false">IF(Presupuesto!$B$13='Flujo de Pagos'!$E44,13,9999)</f>
        <v>13</v>
      </c>
      <c r="AH44" s="0" t="n">
        <f aca="false">IF(Presupuesto!$B$14='Flujo de Pagos'!$E44,14,9999)</f>
        <v>14</v>
      </c>
      <c r="AI44" s="0" t="n">
        <f aca="false">IF(Presupuesto!$B$15='Flujo de Pagos'!$E44,15,9999)</f>
        <v>15</v>
      </c>
      <c r="AJ44" s="0" t="n">
        <f aca="false">IF(Presupuesto!$B$16='Flujo de Pagos'!$E44,16,9999)</f>
        <v>16</v>
      </c>
      <c r="AK44" s="0" t="n">
        <f aca="false">IF(Presupuesto!$B$17='Flujo de Pagos'!$E44,17,9999)</f>
        <v>17</v>
      </c>
      <c r="AL44" s="0" t="n">
        <f aca="false">IF(Presupuesto!$B$18='Flujo de Pagos'!$E44,18,9999)</f>
        <v>18</v>
      </c>
      <c r="AM44" s="0" t="n">
        <f aca="false">IF(Presupuesto!$B$19='Flujo de Pagos'!$E44,19,9999)</f>
        <v>19</v>
      </c>
      <c r="AN44" s="0" t="n">
        <f aca="false">IF(Presupuesto!$B$20='Flujo de Pagos'!$E44,20,9999)</f>
        <v>20</v>
      </c>
      <c r="AO44" s="0" t="n">
        <f aca="false">IF(Presupuesto!$B$21='Flujo de Pagos'!$E44,21,9999)</f>
        <v>21</v>
      </c>
      <c r="AP44" s="0" t="n">
        <f aca="false">IF(Presupuesto!$B$22='Flujo de Pagos'!$E44,22,9999)</f>
        <v>22</v>
      </c>
      <c r="AQ44" s="0" t="n">
        <f aca="false">IF(Presupuesto!$B$23='Flujo de Pagos'!$E44,23,9999)</f>
        <v>23</v>
      </c>
      <c r="AR44" s="0" t="n">
        <f aca="false">IF(Presupuesto!$B$24='Flujo de Pagos'!$E44,24,9999)</f>
        <v>24</v>
      </c>
      <c r="AS44" s="0" t="n">
        <f aca="false">IF(Presupuesto!$B$25='Flujo de Pagos'!$E44,25,9999)</f>
        <v>25</v>
      </c>
      <c r="AT44" s="0" t="n">
        <f aca="false">IF(Presupuesto!$B$26='Flujo de Pagos'!$E44,26,9999)</f>
        <v>26</v>
      </c>
      <c r="AU44" s="0" t="n">
        <f aca="false">IF(Presupuesto!$B$27='Flujo de Pagos'!$E44,27,9999)</f>
        <v>27</v>
      </c>
      <c r="AV44" s="0" t="n">
        <f aca="false">IF(Presupuesto!$B$28='Flujo de Pagos'!$E44,28,9999)</f>
        <v>28</v>
      </c>
      <c r="AW44" s="0" t="n">
        <f aca="false">IF(Presupuesto!$B$29='Flujo de Pagos'!$E44,29,9999)</f>
        <v>29</v>
      </c>
      <c r="AX44" s="0" t="n">
        <f aca="false">IF(Presupuesto!$B$30='Flujo de Pagos'!$E44,30,9999)</f>
        <v>30</v>
      </c>
      <c r="AY44" s="0" t="n">
        <f aca="false">IF(Presupuesto!$B$31='Flujo de Pagos'!$E44,31,9999)</f>
        <v>31</v>
      </c>
      <c r="AZ44" s="0" t="n">
        <f aca="false">IF(Presupuesto!$B$32='Flujo de Pagos'!$E44,32,9999)</f>
        <v>32</v>
      </c>
      <c r="BA44" s="0" t="n">
        <f aca="false">IF(Presupuesto!$B$33='Flujo de Pagos'!$E44,33,9999)</f>
        <v>33</v>
      </c>
      <c r="BB44" s="0" t="n">
        <f aca="false">IF(Presupuesto!$B$34='Flujo de Pagos'!$E44,34,9999)</f>
        <v>34</v>
      </c>
      <c r="BC44" s="0" t="n">
        <f aca="false">IF(Presupuesto!$B$35='Flujo de Pagos'!$E44,35,9999)</f>
        <v>35</v>
      </c>
      <c r="BD44" s="0" t="n">
        <f aca="false">IF(Presupuesto!$B$36='Flujo de Pagos'!$E44,36,9999)</f>
        <v>36</v>
      </c>
      <c r="BE44" s="0" t="n">
        <f aca="false">IF(Presupuesto!$B$37='Flujo de Pagos'!$E44,37,9999)</f>
        <v>37</v>
      </c>
      <c r="BF44" s="0" t="n">
        <f aca="false">IF(Presupuesto!$B$38='Flujo de Pagos'!$E44,38,9999)</f>
        <v>38</v>
      </c>
      <c r="BG44" s="0" t="n">
        <f aca="false">IF(Presupuesto!$B$39='Flujo de Pagos'!$E44,39,9999)</f>
        <v>39</v>
      </c>
      <c r="BH44" s="0" t="n">
        <f aca="false">IF(Presupuesto!$B$40='Flujo de Pagos'!$E44,40,9999)</f>
        <v>40</v>
      </c>
      <c r="BI44" s="0" t="n">
        <f aca="false">IF(Presupuesto!$B$41='Flujo de Pagos'!$E44,41,9999)</f>
        <v>41</v>
      </c>
      <c r="BJ44" s="0" t="n">
        <f aca="false">IF(Presupuesto!$B$42='Flujo de Pagos'!$E44,42,9999)</f>
        <v>42</v>
      </c>
      <c r="BK44" s="0" t="n">
        <f aca="false">IF(Presupuesto!$B$43='Flujo de Pagos'!$E44,43,9999)</f>
        <v>43</v>
      </c>
      <c r="BL44" s="0" t="n">
        <f aca="false">IF(Presupuesto!$B$44='Flujo de Pagos'!$E44,44,9999)</f>
        <v>44</v>
      </c>
      <c r="BM44" s="0" t="n">
        <f aca="false">IF(Presupuesto!$B$45='Flujo de Pagos'!$E44,45,9999)</f>
        <v>45</v>
      </c>
      <c r="BN44" s="0" t="n">
        <f aca="false">IF(Presupuesto!$B$46='Flujo de Pagos'!$E44,46,9999)</f>
        <v>46</v>
      </c>
      <c r="BO44" s="0" t="n">
        <f aca="false">IF(Presupuesto!$B$47='Flujo de Pagos'!$E44,47,9999)</f>
        <v>47</v>
      </c>
      <c r="BP44" s="0" t="n">
        <f aca="false">IF(Presupuesto!$B$48='Flujo de Pagos'!$E44,48,9999)</f>
        <v>48</v>
      </c>
      <c r="BQ44" s="0" t="n">
        <f aca="false">IF(Presupuesto!$B$49='Flujo de Pagos'!$E44,49,9999)</f>
        <v>49</v>
      </c>
      <c r="BR44" s="0" t="n">
        <f aca="false">IF(Presupuesto!$B$50='Flujo de Pagos'!$E44,50,9999)</f>
        <v>50</v>
      </c>
      <c r="BS44" s="0" t="n">
        <f aca="false">IF(Presupuesto!$B$51='Flujo de Pagos'!$E44,51,9999)</f>
        <v>51</v>
      </c>
      <c r="BT44" s="0" t="n">
        <f aca="false">IF(Presupuesto!$B$52='Flujo de Pagos'!$E44,52,9999)</f>
        <v>52</v>
      </c>
      <c r="BU44" s="0" t="n">
        <f aca="false">IF(Presupuesto!$B$53='Flujo de Pagos'!$E44,53,9999)</f>
        <v>53</v>
      </c>
      <c r="BV44" s="0" t="n">
        <f aca="false">IF(Presupuesto!$B$54='Flujo de Pagos'!$E44,54,9999)</f>
        <v>54</v>
      </c>
      <c r="BW44" s="0" t="n">
        <f aca="false">IF(Presupuesto!$B$55='Flujo de Pagos'!$E44,55,9999)</f>
        <v>55</v>
      </c>
      <c r="BX44" s="0" t="n">
        <f aca="false">IF(Presupuesto!$B$56='Flujo de Pagos'!$E44,56,9999)</f>
        <v>56</v>
      </c>
      <c r="BY44" s="0" t="n">
        <f aca="false">IF(Presupuesto!$B$57='Flujo de Pagos'!$E44,57,9999)</f>
        <v>57</v>
      </c>
      <c r="BZ44" s="0" t="n">
        <f aca="false">IF(Presupuesto!$B$58='Flujo de Pagos'!$E44,58,9999)</f>
        <v>58</v>
      </c>
      <c r="CA44" s="0" t="n">
        <f aca="false">IF(Presupuesto!$B$59='Flujo de Pagos'!$E44,59,9999)</f>
        <v>59</v>
      </c>
      <c r="CB44" s="0" t="n">
        <f aca="false">IF(Presupuesto!$B$60='Flujo de Pagos'!$E44,60,9999)</f>
        <v>60</v>
      </c>
      <c r="CC44" s="0" t="n">
        <f aca="false">IF(Presupuesto!$B$61='Flujo de Pagos'!$E44,61,9999)</f>
        <v>61</v>
      </c>
      <c r="CD44" s="0" t="n">
        <f aca="false">IF(Presupuesto!$B$62='Flujo de Pagos'!$E44,62,9999)</f>
        <v>62</v>
      </c>
      <c r="CE44" s="0" t="n">
        <f aca="false">IF(Presupuesto!$B$63='Flujo de Pagos'!$E44,63,9999)</f>
        <v>63</v>
      </c>
      <c r="CF44" s="0" t="n">
        <f aca="false">IF(Presupuesto!$B$64='Flujo de Pagos'!$E44,64,9999)</f>
        <v>64</v>
      </c>
      <c r="CG44" s="0" t="n">
        <f aca="false">IF(Presupuesto!$B$65='Flujo de Pagos'!$E44,65,9999)</f>
        <v>65</v>
      </c>
      <c r="CH44" s="0" t="n">
        <f aca="false">IF(Presupuesto!$B$66='Flujo de Pagos'!$E44,66,9999)</f>
        <v>66</v>
      </c>
    </row>
    <row r="45" customFormat="false" ht="15" hidden="false" customHeight="true" outlineLevel="0" collapsed="false">
      <c r="A45" s="1" t="n">
        <f aca="false">IF(Presupuesto!B50=Carátula!$B$2,50,9999)</f>
        <v>9999</v>
      </c>
      <c r="B45" s="1" t="n">
        <f aca="false">IF(AND('Flujo de Pagos'!E50=Carátula!$B$2,'Flujo de Pagos'!F50=Carátula!$B$4,'Flujo de Pagos'!H50&lt;&gt;""),50,99999)</f>
        <v>99999</v>
      </c>
      <c r="D45" s="1" t="str">
        <f aca="false">IF(SMALL($A$2:$A$61,44)&gt;=9999,"",INDEX(Presupuesto!$C:$C,SMALL($A$2:$A$61,44)))</f>
        <v/>
      </c>
      <c r="E45" s="1" t="str">
        <f aca="false">IF(SMALL($B$2:$B$501,44)&gt;=99999,"",INDEX('Flujo de Pagos'!$H:$H,SMALL($B$2:$B$501,44)))</f>
        <v/>
      </c>
      <c r="H45" s="1" t="n">
        <f aca="false">IF(SMALL($AA45:$CH45,1)&gt;=9999,"",INDEX(Presupuesto!$C:$C,SMALL($AA45:$CH45,1)))</f>
        <v>0</v>
      </c>
      <c r="I45" s="1" t="n">
        <f aca="false">IF(SMALL($AA45:$CH45,2)&gt;=9999,"",INDEX(Presupuesto!$C:$C,SMALL($AA45:$CH45,2)))</f>
        <v>0</v>
      </c>
      <c r="J45" s="1" t="n">
        <f aca="false">IF(SMALL($AA45:$CH45,3)&gt;=9999,"",INDEX(Presupuesto!$C:$C,SMALL($AA45:$CH45,3)))</f>
        <v>0</v>
      </c>
      <c r="K45" s="1" t="n">
        <f aca="false">IF(SMALL($AA45:$CH45,4)&gt;=9999,"",INDEX(Presupuesto!$C:$C,SMALL($AA45:$CH45,4)))</f>
        <v>0</v>
      </c>
      <c r="L45" s="1" t="n">
        <f aca="false">IF(SMALL($AA45:$CH45,5)&gt;=9999,"",INDEX(Presupuesto!$C:$C,SMALL($AA45:$CH45,5)))</f>
        <v>0</v>
      </c>
      <c r="M45" s="1" t="n">
        <f aca="false">IF(SMALL($AA45:$CH45,6)&gt;=9999,"",INDEX(Presupuesto!$C:$C,SMALL($AA45:$CH45,6)))</f>
        <v>0</v>
      </c>
      <c r="N45" s="1" t="n">
        <f aca="false">IF(SMALL($AA45:$CH45,7)&gt;=9999,"",INDEX(Presupuesto!$C:$C,SMALL($AA45:$CH45,7)))</f>
        <v>0</v>
      </c>
      <c r="O45" s="1" t="n">
        <f aca="false">IF(SMALL($AA45:$CH45,8)&gt;=9999,"",INDEX(Presupuesto!$C:$C,SMALL($AA45:$CH45,8)))</f>
        <v>0</v>
      </c>
      <c r="P45" s="1" t="n">
        <f aca="false">IF(SMALL($AA45:$CH45,9)&gt;=9999,"",INDEX(Presupuesto!$C:$C,SMALL($AA45:$CH45,9)))</f>
        <v>0</v>
      </c>
      <c r="Q45" s="1" t="n">
        <f aca="false">IF(SMALL($AA45:$CH45,10)&gt;=9999,"",INDEX(Presupuesto!$C:$C,SMALL($AA45:$CH45,10)))</f>
        <v>0</v>
      </c>
      <c r="AA45" s="0" t="n">
        <f aca="false">IF(Presupuesto!$B$7='Flujo de Pagos'!$E45,7,9999)</f>
        <v>9999</v>
      </c>
      <c r="AB45" s="0" t="n">
        <f aca="false">IF(Presupuesto!$B$8='Flujo de Pagos'!$E45,8,9999)</f>
        <v>9999</v>
      </c>
      <c r="AC45" s="0" t="n">
        <f aca="false">IF(Presupuesto!$B$9='Flujo de Pagos'!$E45,9,9999)</f>
        <v>9999</v>
      </c>
      <c r="AD45" s="0" t="n">
        <f aca="false">IF(Presupuesto!$B$10='Flujo de Pagos'!$E45,10,9999)</f>
        <v>9999</v>
      </c>
      <c r="AE45" s="0" t="n">
        <f aca="false">IF(Presupuesto!$B$11='Flujo de Pagos'!$E45,11,9999)</f>
        <v>9999</v>
      </c>
      <c r="AF45" s="0" t="n">
        <f aca="false">IF(Presupuesto!$B$12='Flujo de Pagos'!$E45,12,9999)</f>
        <v>12</v>
      </c>
      <c r="AG45" s="0" t="n">
        <f aca="false">IF(Presupuesto!$B$13='Flujo de Pagos'!$E45,13,9999)</f>
        <v>13</v>
      </c>
      <c r="AH45" s="0" t="n">
        <f aca="false">IF(Presupuesto!$B$14='Flujo de Pagos'!$E45,14,9999)</f>
        <v>14</v>
      </c>
      <c r="AI45" s="0" t="n">
        <f aca="false">IF(Presupuesto!$B$15='Flujo de Pagos'!$E45,15,9999)</f>
        <v>15</v>
      </c>
      <c r="AJ45" s="0" t="n">
        <f aca="false">IF(Presupuesto!$B$16='Flujo de Pagos'!$E45,16,9999)</f>
        <v>16</v>
      </c>
      <c r="AK45" s="0" t="n">
        <f aca="false">IF(Presupuesto!$B$17='Flujo de Pagos'!$E45,17,9999)</f>
        <v>17</v>
      </c>
      <c r="AL45" s="0" t="n">
        <f aca="false">IF(Presupuesto!$B$18='Flujo de Pagos'!$E45,18,9999)</f>
        <v>18</v>
      </c>
      <c r="AM45" s="0" t="n">
        <f aca="false">IF(Presupuesto!$B$19='Flujo de Pagos'!$E45,19,9999)</f>
        <v>19</v>
      </c>
      <c r="AN45" s="0" t="n">
        <f aca="false">IF(Presupuesto!$B$20='Flujo de Pagos'!$E45,20,9999)</f>
        <v>20</v>
      </c>
      <c r="AO45" s="0" t="n">
        <f aca="false">IF(Presupuesto!$B$21='Flujo de Pagos'!$E45,21,9999)</f>
        <v>21</v>
      </c>
      <c r="AP45" s="0" t="n">
        <f aca="false">IF(Presupuesto!$B$22='Flujo de Pagos'!$E45,22,9999)</f>
        <v>22</v>
      </c>
      <c r="AQ45" s="0" t="n">
        <f aca="false">IF(Presupuesto!$B$23='Flujo de Pagos'!$E45,23,9999)</f>
        <v>23</v>
      </c>
      <c r="AR45" s="0" t="n">
        <f aca="false">IF(Presupuesto!$B$24='Flujo de Pagos'!$E45,24,9999)</f>
        <v>24</v>
      </c>
      <c r="AS45" s="0" t="n">
        <f aca="false">IF(Presupuesto!$B$25='Flujo de Pagos'!$E45,25,9999)</f>
        <v>25</v>
      </c>
      <c r="AT45" s="0" t="n">
        <f aca="false">IF(Presupuesto!$B$26='Flujo de Pagos'!$E45,26,9999)</f>
        <v>26</v>
      </c>
      <c r="AU45" s="0" t="n">
        <f aca="false">IF(Presupuesto!$B$27='Flujo de Pagos'!$E45,27,9999)</f>
        <v>27</v>
      </c>
      <c r="AV45" s="0" t="n">
        <f aca="false">IF(Presupuesto!$B$28='Flujo de Pagos'!$E45,28,9999)</f>
        <v>28</v>
      </c>
      <c r="AW45" s="0" t="n">
        <f aca="false">IF(Presupuesto!$B$29='Flujo de Pagos'!$E45,29,9999)</f>
        <v>29</v>
      </c>
      <c r="AX45" s="0" t="n">
        <f aca="false">IF(Presupuesto!$B$30='Flujo de Pagos'!$E45,30,9999)</f>
        <v>30</v>
      </c>
      <c r="AY45" s="0" t="n">
        <f aca="false">IF(Presupuesto!$B$31='Flujo de Pagos'!$E45,31,9999)</f>
        <v>31</v>
      </c>
      <c r="AZ45" s="0" t="n">
        <f aca="false">IF(Presupuesto!$B$32='Flujo de Pagos'!$E45,32,9999)</f>
        <v>32</v>
      </c>
      <c r="BA45" s="0" t="n">
        <f aca="false">IF(Presupuesto!$B$33='Flujo de Pagos'!$E45,33,9999)</f>
        <v>33</v>
      </c>
      <c r="BB45" s="0" t="n">
        <f aca="false">IF(Presupuesto!$B$34='Flujo de Pagos'!$E45,34,9999)</f>
        <v>34</v>
      </c>
      <c r="BC45" s="0" t="n">
        <f aca="false">IF(Presupuesto!$B$35='Flujo de Pagos'!$E45,35,9999)</f>
        <v>35</v>
      </c>
      <c r="BD45" s="0" t="n">
        <f aca="false">IF(Presupuesto!$B$36='Flujo de Pagos'!$E45,36,9999)</f>
        <v>36</v>
      </c>
      <c r="BE45" s="0" t="n">
        <f aca="false">IF(Presupuesto!$B$37='Flujo de Pagos'!$E45,37,9999)</f>
        <v>37</v>
      </c>
      <c r="BF45" s="0" t="n">
        <f aca="false">IF(Presupuesto!$B$38='Flujo de Pagos'!$E45,38,9999)</f>
        <v>38</v>
      </c>
      <c r="BG45" s="0" t="n">
        <f aca="false">IF(Presupuesto!$B$39='Flujo de Pagos'!$E45,39,9999)</f>
        <v>39</v>
      </c>
      <c r="BH45" s="0" t="n">
        <f aca="false">IF(Presupuesto!$B$40='Flujo de Pagos'!$E45,40,9999)</f>
        <v>40</v>
      </c>
      <c r="BI45" s="0" t="n">
        <f aca="false">IF(Presupuesto!$B$41='Flujo de Pagos'!$E45,41,9999)</f>
        <v>41</v>
      </c>
      <c r="BJ45" s="0" t="n">
        <f aca="false">IF(Presupuesto!$B$42='Flujo de Pagos'!$E45,42,9999)</f>
        <v>42</v>
      </c>
      <c r="BK45" s="0" t="n">
        <f aca="false">IF(Presupuesto!$B$43='Flujo de Pagos'!$E45,43,9999)</f>
        <v>43</v>
      </c>
      <c r="BL45" s="0" t="n">
        <f aca="false">IF(Presupuesto!$B$44='Flujo de Pagos'!$E45,44,9999)</f>
        <v>44</v>
      </c>
      <c r="BM45" s="0" t="n">
        <f aca="false">IF(Presupuesto!$B$45='Flujo de Pagos'!$E45,45,9999)</f>
        <v>45</v>
      </c>
      <c r="BN45" s="0" t="n">
        <f aca="false">IF(Presupuesto!$B$46='Flujo de Pagos'!$E45,46,9999)</f>
        <v>46</v>
      </c>
      <c r="BO45" s="0" t="n">
        <f aca="false">IF(Presupuesto!$B$47='Flujo de Pagos'!$E45,47,9999)</f>
        <v>47</v>
      </c>
      <c r="BP45" s="0" t="n">
        <f aca="false">IF(Presupuesto!$B$48='Flujo de Pagos'!$E45,48,9999)</f>
        <v>48</v>
      </c>
      <c r="BQ45" s="0" t="n">
        <f aca="false">IF(Presupuesto!$B$49='Flujo de Pagos'!$E45,49,9999)</f>
        <v>49</v>
      </c>
      <c r="BR45" s="0" t="n">
        <f aca="false">IF(Presupuesto!$B$50='Flujo de Pagos'!$E45,50,9999)</f>
        <v>50</v>
      </c>
      <c r="BS45" s="0" t="n">
        <f aca="false">IF(Presupuesto!$B$51='Flujo de Pagos'!$E45,51,9999)</f>
        <v>51</v>
      </c>
      <c r="BT45" s="0" t="n">
        <f aca="false">IF(Presupuesto!$B$52='Flujo de Pagos'!$E45,52,9999)</f>
        <v>52</v>
      </c>
      <c r="BU45" s="0" t="n">
        <f aca="false">IF(Presupuesto!$B$53='Flujo de Pagos'!$E45,53,9999)</f>
        <v>53</v>
      </c>
      <c r="BV45" s="0" t="n">
        <f aca="false">IF(Presupuesto!$B$54='Flujo de Pagos'!$E45,54,9999)</f>
        <v>54</v>
      </c>
      <c r="BW45" s="0" t="n">
        <f aca="false">IF(Presupuesto!$B$55='Flujo de Pagos'!$E45,55,9999)</f>
        <v>55</v>
      </c>
      <c r="BX45" s="0" t="n">
        <f aca="false">IF(Presupuesto!$B$56='Flujo de Pagos'!$E45,56,9999)</f>
        <v>56</v>
      </c>
      <c r="BY45" s="0" t="n">
        <f aca="false">IF(Presupuesto!$B$57='Flujo de Pagos'!$E45,57,9999)</f>
        <v>57</v>
      </c>
      <c r="BZ45" s="0" t="n">
        <f aca="false">IF(Presupuesto!$B$58='Flujo de Pagos'!$E45,58,9999)</f>
        <v>58</v>
      </c>
      <c r="CA45" s="0" t="n">
        <f aca="false">IF(Presupuesto!$B$59='Flujo de Pagos'!$E45,59,9999)</f>
        <v>59</v>
      </c>
      <c r="CB45" s="0" t="n">
        <f aca="false">IF(Presupuesto!$B$60='Flujo de Pagos'!$E45,60,9999)</f>
        <v>60</v>
      </c>
      <c r="CC45" s="0" t="n">
        <f aca="false">IF(Presupuesto!$B$61='Flujo de Pagos'!$E45,61,9999)</f>
        <v>61</v>
      </c>
      <c r="CD45" s="0" t="n">
        <f aca="false">IF(Presupuesto!$B$62='Flujo de Pagos'!$E45,62,9999)</f>
        <v>62</v>
      </c>
      <c r="CE45" s="0" t="n">
        <f aca="false">IF(Presupuesto!$B$63='Flujo de Pagos'!$E45,63,9999)</f>
        <v>63</v>
      </c>
      <c r="CF45" s="0" t="n">
        <f aca="false">IF(Presupuesto!$B$64='Flujo de Pagos'!$E45,64,9999)</f>
        <v>64</v>
      </c>
      <c r="CG45" s="0" t="n">
        <f aca="false">IF(Presupuesto!$B$65='Flujo de Pagos'!$E45,65,9999)</f>
        <v>65</v>
      </c>
      <c r="CH45" s="0" t="n">
        <f aca="false">IF(Presupuesto!$B$66='Flujo de Pagos'!$E45,66,9999)</f>
        <v>66</v>
      </c>
    </row>
    <row r="46" customFormat="false" ht="15" hidden="false" customHeight="true" outlineLevel="0" collapsed="false">
      <c r="A46" s="1" t="n">
        <f aca="false">IF(Presupuesto!B51=Carátula!$B$2,51,9999)</f>
        <v>9999</v>
      </c>
      <c r="B46" s="1" t="n">
        <f aca="false">IF(AND('Flujo de Pagos'!E51=Carátula!$B$2,'Flujo de Pagos'!F51=Carátula!$B$4,'Flujo de Pagos'!H51&lt;&gt;""),51,99999)</f>
        <v>99999</v>
      </c>
      <c r="D46" s="1" t="str">
        <f aca="false">IF(SMALL($A$2:$A$61,45)&gt;=9999,"",INDEX(Presupuesto!$C:$C,SMALL($A$2:$A$61,45)))</f>
        <v/>
      </c>
      <c r="E46" s="1" t="str">
        <f aca="false">IF(SMALL($B$2:$B$501,45)&gt;=99999,"",INDEX('Flujo de Pagos'!$H:$H,SMALL($B$2:$B$501,45)))</f>
        <v/>
      </c>
      <c r="H46" s="1" t="n">
        <f aca="false">IF(SMALL($AA46:$CH46,1)&gt;=9999,"",INDEX(Presupuesto!$C:$C,SMALL($AA46:$CH46,1)))</f>
        <v>0</v>
      </c>
      <c r="I46" s="1" t="n">
        <f aca="false">IF(SMALL($AA46:$CH46,2)&gt;=9999,"",INDEX(Presupuesto!$C:$C,SMALL($AA46:$CH46,2)))</f>
        <v>0</v>
      </c>
      <c r="J46" s="1" t="n">
        <f aca="false">IF(SMALL($AA46:$CH46,3)&gt;=9999,"",INDEX(Presupuesto!$C:$C,SMALL($AA46:$CH46,3)))</f>
        <v>0</v>
      </c>
      <c r="K46" s="1" t="n">
        <f aca="false">IF(SMALL($AA46:$CH46,4)&gt;=9999,"",INDEX(Presupuesto!$C:$C,SMALL($AA46:$CH46,4)))</f>
        <v>0</v>
      </c>
      <c r="L46" s="1" t="n">
        <f aca="false">IF(SMALL($AA46:$CH46,5)&gt;=9999,"",INDEX(Presupuesto!$C:$C,SMALL($AA46:$CH46,5)))</f>
        <v>0</v>
      </c>
      <c r="M46" s="1" t="n">
        <f aca="false">IF(SMALL($AA46:$CH46,6)&gt;=9999,"",INDEX(Presupuesto!$C:$C,SMALL($AA46:$CH46,6)))</f>
        <v>0</v>
      </c>
      <c r="N46" s="1" t="n">
        <f aca="false">IF(SMALL($AA46:$CH46,7)&gt;=9999,"",INDEX(Presupuesto!$C:$C,SMALL($AA46:$CH46,7)))</f>
        <v>0</v>
      </c>
      <c r="O46" s="1" t="n">
        <f aca="false">IF(SMALL($AA46:$CH46,8)&gt;=9999,"",INDEX(Presupuesto!$C:$C,SMALL($AA46:$CH46,8)))</f>
        <v>0</v>
      </c>
      <c r="P46" s="1" t="n">
        <f aca="false">IF(SMALL($AA46:$CH46,9)&gt;=9999,"",INDEX(Presupuesto!$C:$C,SMALL($AA46:$CH46,9)))</f>
        <v>0</v>
      </c>
      <c r="Q46" s="1" t="n">
        <f aca="false">IF(SMALL($AA46:$CH46,10)&gt;=9999,"",INDEX(Presupuesto!$C:$C,SMALL($AA46:$CH46,10)))</f>
        <v>0</v>
      </c>
      <c r="AA46" s="0" t="n">
        <f aca="false">IF(Presupuesto!$B$7='Flujo de Pagos'!$E46,7,9999)</f>
        <v>9999</v>
      </c>
      <c r="AB46" s="0" t="n">
        <f aca="false">IF(Presupuesto!$B$8='Flujo de Pagos'!$E46,8,9999)</f>
        <v>9999</v>
      </c>
      <c r="AC46" s="0" t="n">
        <f aca="false">IF(Presupuesto!$B$9='Flujo de Pagos'!$E46,9,9999)</f>
        <v>9999</v>
      </c>
      <c r="AD46" s="0" t="n">
        <f aca="false">IF(Presupuesto!$B$10='Flujo de Pagos'!$E46,10,9999)</f>
        <v>9999</v>
      </c>
      <c r="AE46" s="0" t="n">
        <f aca="false">IF(Presupuesto!$B$11='Flujo de Pagos'!$E46,11,9999)</f>
        <v>9999</v>
      </c>
      <c r="AF46" s="0" t="n">
        <f aca="false">IF(Presupuesto!$B$12='Flujo de Pagos'!$E46,12,9999)</f>
        <v>12</v>
      </c>
      <c r="AG46" s="0" t="n">
        <f aca="false">IF(Presupuesto!$B$13='Flujo de Pagos'!$E46,13,9999)</f>
        <v>13</v>
      </c>
      <c r="AH46" s="0" t="n">
        <f aca="false">IF(Presupuesto!$B$14='Flujo de Pagos'!$E46,14,9999)</f>
        <v>14</v>
      </c>
      <c r="AI46" s="0" t="n">
        <f aca="false">IF(Presupuesto!$B$15='Flujo de Pagos'!$E46,15,9999)</f>
        <v>15</v>
      </c>
      <c r="AJ46" s="0" t="n">
        <f aca="false">IF(Presupuesto!$B$16='Flujo de Pagos'!$E46,16,9999)</f>
        <v>16</v>
      </c>
      <c r="AK46" s="0" t="n">
        <f aca="false">IF(Presupuesto!$B$17='Flujo de Pagos'!$E46,17,9999)</f>
        <v>17</v>
      </c>
      <c r="AL46" s="0" t="n">
        <f aca="false">IF(Presupuesto!$B$18='Flujo de Pagos'!$E46,18,9999)</f>
        <v>18</v>
      </c>
      <c r="AM46" s="0" t="n">
        <f aca="false">IF(Presupuesto!$B$19='Flujo de Pagos'!$E46,19,9999)</f>
        <v>19</v>
      </c>
      <c r="AN46" s="0" t="n">
        <f aca="false">IF(Presupuesto!$B$20='Flujo de Pagos'!$E46,20,9999)</f>
        <v>20</v>
      </c>
      <c r="AO46" s="0" t="n">
        <f aca="false">IF(Presupuesto!$B$21='Flujo de Pagos'!$E46,21,9999)</f>
        <v>21</v>
      </c>
      <c r="AP46" s="0" t="n">
        <f aca="false">IF(Presupuesto!$B$22='Flujo de Pagos'!$E46,22,9999)</f>
        <v>22</v>
      </c>
      <c r="AQ46" s="0" t="n">
        <f aca="false">IF(Presupuesto!$B$23='Flujo de Pagos'!$E46,23,9999)</f>
        <v>23</v>
      </c>
      <c r="AR46" s="0" t="n">
        <f aca="false">IF(Presupuesto!$B$24='Flujo de Pagos'!$E46,24,9999)</f>
        <v>24</v>
      </c>
      <c r="AS46" s="0" t="n">
        <f aca="false">IF(Presupuesto!$B$25='Flujo de Pagos'!$E46,25,9999)</f>
        <v>25</v>
      </c>
      <c r="AT46" s="0" t="n">
        <f aca="false">IF(Presupuesto!$B$26='Flujo de Pagos'!$E46,26,9999)</f>
        <v>26</v>
      </c>
      <c r="AU46" s="0" t="n">
        <f aca="false">IF(Presupuesto!$B$27='Flujo de Pagos'!$E46,27,9999)</f>
        <v>27</v>
      </c>
      <c r="AV46" s="0" t="n">
        <f aca="false">IF(Presupuesto!$B$28='Flujo de Pagos'!$E46,28,9999)</f>
        <v>28</v>
      </c>
      <c r="AW46" s="0" t="n">
        <f aca="false">IF(Presupuesto!$B$29='Flujo de Pagos'!$E46,29,9999)</f>
        <v>29</v>
      </c>
      <c r="AX46" s="0" t="n">
        <f aca="false">IF(Presupuesto!$B$30='Flujo de Pagos'!$E46,30,9999)</f>
        <v>30</v>
      </c>
      <c r="AY46" s="0" t="n">
        <f aca="false">IF(Presupuesto!$B$31='Flujo de Pagos'!$E46,31,9999)</f>
        <v>31</v>
      </c>
      <c r="AZ46" s="0" t="n">
        <f aca="false">IF(Presupuesto!$B$32='Flujo de Pagos'!$E46,32,9999)</f>
        <v>32</v>
      </c>
      <c r="BA46" s="0" t="n">
        <f aca="false">IF(Presupuesto!$B$33='Flujo de Pagos'!$E46,33,9999)</f>
        <v>33</v>
      </c>
      <c r="BB46" s="0" t="n">
        <f aca="false">IF(Presupuesto!$B$34='Flujo de Pagos'!$E46,34,9999)</f>
        <v>34</v>
      </c>
      <c r="BC46" s="0" t="n">
        <f aca="false">IF(Presupuesto!$B$35='Flujo de Pagos'!$E46,35,9999)</f>
        <v>35</v>
      </c>
      <c r="BD46" s="0" t="n">
        <f aca="false">IF(Presupuesto!$B$36='Flujo de Pagos'!$E46,36,9999)</f>
        <v>36</v>
      </c>
      <c r="BE46" s="0" t="n">
        <f aca="false">IF(Presupuesto!$B$37='Flujo de Pagos'!$E46,37,9999)</f>
        <v>37</v>
      </c>
      <c r="BF46" s="0" t="n">
        <f aca="false">IF(Presupuesto!$B$38='Flujo de Pagos'!$E46,38,9999)</f>
        <v>38</v>
      </c>
      <c r="BG46" s="0" t="n">
        <f aca="false">IF(Presupuesto!$B$39='Flujo de Pagos'!$E46,39,9999)</f>
        <v>39</v>
      </c>
      <c r="BH46" s="0" t="n">
        <f aca="false">IF(Presupuesto!$B$40='Flujo de Pagos'!$E46,40,9999)</f>
        <v>40</v>
      </c>
      <c r="BI46" s="0" t="n">
        <f aca="false">IF(Presupuesto!$B$41='Flujo de Pagos'!$E46,41,9999)</f>
        <v>41</v>
      </c>
      <c r="BJ46" s="0" t="n">
        <f aca="false">IF(Presupuesto!$B$42='Flujo de Pagos'!$E46,42,9999)</f>
        <v>42</v>
      </c>
      <c r="BK46" s="0" t="n">
        <f aca="false">IF(Presupuesto!$B$43='Flujo de Pagos'!$E46,43,9999)</f>
        <v>43</v>
      </c>
      <c r="BL46" s="0" t="n">
        <f aca="false">IF(Presupuesto!$B$44='Flujo de Pagos'!$E46,44,9999)</f>
        <v>44</v>
      </c>
      <c r="BM46" s="0" t="n">
        <f aca="false">IF(Presupuesto!$B$45='Flujo de Pagos'!$E46,45,9999)</f>
        <v>45</v>
      </c>
      <c r="BN46" s="0" t="n">
        <f aca="false">IF(Presupuesto!$B$46='Flujo de Pagos'!$E46,46,9999)</f>
        <v>46</v>
      </c>
      <c r="BO46" s="0" t="n">
        <f aca="false">IF(Presupuesto!$B$47='Flujo de Pagos'!$E46,47,9999)</f>
        <v>47</v>
      </c>
      <c r="BP46" s="0" t="n">
        <f aca="false">IF(Presupuesto!$B$48='Flujo de Pagos'!$E46,48,9999)</f>
        <v>48</v>
      </c>
      <c r="BQ46" s="0" t="n">
        <f aca="false">IF(Presupuesto!$B$49='Flujo de Pagos'!$E46,49,9999)</f>
        <v>49</v>
      </c>
      <c r="BR46" s="0" t="n">
        <f aca="false">IF(Presupuesto!$B$50='Flujo de Pagos'!$E46,50,9999)</f>
        <v>50</v>
      </c>
      <c r="BS46" s="0" t="n">
        <f aca="false">IF(Presupuesto!$B$51='Flujo de Pagos'!$E46,51,9999)</f>
        <v>51</v>
      </c>
      <c r="BT46" s="0" t="n">
        <f aca="false">IF(Presupuesto!$B$52='Flujo de Pagos'!$E46,52,9999)</f>
        <v>52</v>
      </c>
      <c r="BU46" s="0" t="n">
        <f aca="false">IF(Presupuesto!$B$53='Flujo de Pagos'!$E46,53,9999)</f>
        <v>53</v>
      </c>
      <c r="BV46" s="0" t="n">
        <f aca="false">IF(Presupuesto!$B$54='Flujo de Pagos'!$E46,54,9999)</f>
        <v>54</v>
      </c>
      <c r="BW46" s="0" t="n">
        <f aca="false">IF(Presupuesto!$B$55='Flujo de Pagos'!$E46,55,9999)</f>
        <v>55</v>
      </c>
      <c r="BX46" s="0" t="n">
        <f aca="false">IF(Presupuesto!$B$56='Flujo de Pagos'!$E46,56,9999)</f>
        <v>56</v>
      </c>
      <c r="BY46" s="0" t="n">
        <f aca="false">IF(Presupuesto!$B$57='Flujo de Pagos'!$E46,57,9999)</f>
        <v>57</v>
      </c>
      <c r="BZ46" s="0" t="n">
        <f aca="false">IF(Presupuesto!$B$58='Flujo de Pagos'!$E46,58,9999)</f>
        <v>58</v>
      </c>
      <c r="CA46" s="0" t="n">
        <f aca="false">IF(Presupuesto!$B$59='Flujo de Pagos'!$E46,59,9999)</f>
        <v>59</v>
      </c>
      <c r="CB46" s="0" t="n">
        <f aca="false">IF(Presupuesto!$B$60='Flujo de Pagos'!$E46,60,9999)</f>
        <v>60</v>
      </c>
      <c r="CC46" s="0" t="n">
        <f aca="false">IF(Presupuesto!$B$61='Flujo de Pagos'!$E46,61,9999)</f>
        <v>61</v>
      </c>
      <c r="CD46" s="0" t="n">
        <f aca="false">IF(Presupuesto!$B$62='Flujo de Pagos'!$E46,62,9999)</f>
        <v>62</v>
      </c>
      <c r="CE46" s="0" t="n">
        <f aca="false">IF(Presupuesto!$B$63='Flujo de Pagos'!$E46,63,9999)</f>
        <v>63</v>
      </c>
      <c r="CF46" s="0" t="n">
        <f aca="false">IF(Presupuesto!$B$64='Flujo de Pagos'!$E46,64,9999)</f>
        <v>64</v>
      </c>
      <c r="CG46" s="0" t="n">
        <f aca="false">IF(Presupuesto!$B$65='Flujo de Pagos'!$E46,65,9999)</f>
        <v>65</v>
      </c>
      <c r="CH46" s="0" t="n">
        <f aca="false">IF(Presupuesto!$B$66='Flujo de Pagos'!$E46,66,9999)</f>
        <v>66</v>
      </c>
    </row>
    <row r="47" customFormat="false" ht="15" hidden="false" customHeight="true" outlineLevel="0" collapsed="false">
      <c r="A47" s="1" t="n">
        <f aca="false">IF(Presupuesto!B52=Carátula!$B$2,52,9999)</f>
        <v>9999</v>
      </c>
      <c r="B47" s="1" t="n">
        <f aca="false">IF(AND('Flujo de Pagos'!E52=Carátula!$B$2,'Flujo de Pagos'!F52=Carátula!$B$4,'Flujo de Pagos'!H52&lt;&gt;""),52,99999)</f>
        <v>99999</v>
      </c>
      <c r="D47" s="1" t="str">
        <f aca="false">IF(SMALL($A$2:$A$61,46)&gt;=9999,"",INDEX(Presupuesto!$C:$C,SMALL($A$2:$A$61,46)))</f>
        <v/>
      </c>
      <c r="E47" s="1" t="str">
        <f aca="false">IF(SMALL($B$2:$B$501,46)&gt;=99999,"",INDEX('Flujo de Pagos'!$H:$H,SMALL($B$2:$B$501,46)))</f>
        <v/>
      </c>
      <c r="H47" s="1" t="n">
        <f aca="false">IF(SMALL($AA47:$CH47,1)&gt;=9999,"",INDEX(Presupuesto!$C:$C,SMALL($AA47:$CH47,1)))</f>
        <v>0</v>
      </c>
      <c r="I47" s="1" t="n">
        <f aca="false">IF(SMALL($AA47:$CH47,2)&gt;=9999,"",INDEX(Presupuesto!$C:$C,SMALL($AA47:$CH47,2)))</f>
        <v>0</v>
      </c>
      <c r="J47" s="1" t="n">
        <f aca="false">IF(SMALL($AA47:$CH47,3)&gt;=9999,"",INDEX(Presupuesto!$C:$C,SMALL($AA47:$CH47,3)))</f>
        <v>0</v>
      </c>
      <c r="K47" s="1" t="n">
        <f aca="false">IF(SMALL($AA47:$CH47,4)&gt;=9999,"",INDEX(Presupuesto!$C:$C,SMALL($AA47:$CH47,4)))</f>
        <v>0</v>
      </c>
      <c r="L47" s="1" t="n">
        <f aca="false">IF(SMALL($AA47:$CH47,5)&gt;=9999,"",INDEX(Presupuesto!$C:$C,SMALL($AA47:$CH47,5)))</f>
        <v>0</v>
      </c>
      <c r="M47" s="1" t="n">
        <f aca="false">IF(SMALL($AA47:$CH47,6)&gt;=9999,"",INDEX(Presupuesto!$C:$C,SMALL($AA47:$CH47,6)))</f>
        <v>0</v>
      </c>
      <c r="N47" s="1" t="n">
        <f aca="false">IF(SMALL($AA47:$CH47,7)&gt;=9999,"",INDEX(Presupuesto!$C:$C,SMALL($AA47:$CH47,7)))</f>
        <v>0</v>
      </c>
      <c r="O47" s="1" t="n">
        <f aca="false">IF(SMALL($AA47:$CH47,8)&gt;=9999,"",INDEX(Presupuesto!$C:$C,SMALL($AA47:$CH47,8)))</f>
        <v>0</v>
      </c>
      <c r="P47" s="1" t="n">
        <f aca="false">IF(SMALL($AA47:$CH47,9)&gt;=9999,"",INDEX(Presupuesto!$C:$C,SMALL($AA47:$CH47,9)))</f>
        <v>0</v>
      </c>
      <c r="Q47" s="1" t="n">
        <f aca="false">IF(SMALL($AA47:$CH47,10)&gt;=9999,"",INDEX(Presupuesto!$C:$C,SMALL($AA47:$CH47,10)))</f>
        <v>0</v>
      </c>
      <c r="AA47" s="0" t="n">
        <f aca="false">IF(Presupuesto!$B$7='Flujo de Pagos'!$E47,7,9999)</f>
        <v>9999</v>
      </c>
      <c r="AB47" s="0" t="n">
        <f aca="false">IF(Presupuesto!$B$8='Flujo de Pagos'!$E47,8,9999)</f>
        <v>9999</v>
      </c>
      <c r="AC47" s="0" t="n">
        <f aca="false">IF(Presupuesto!$B$9='Flujo de Pagos'!$E47,9,9999)</f>
        <v>9999</v>
      </c>
      <c r="AD47" s="0" t="n">
        <f aca="false">IF(Presupuesto!$B$10='Flujo de Pagos'!$E47,10,9999)</f>
        <v>9999</v>
      </c>
      <c r="AE47" s="0" t="n">
        <f aca="false">IF(Presupuesto!$B$11='Flujo de Pagos'!$E47,11,9999)</f>
        <v>9999</v>
      </c>
      <c r="AF47" s="0" t="n">
        <f aca="false">IF(Presupuesto!$B$12='Flujo de Pagos'!$E47,12,9999)</f>
        <v>12</v>
      </c>
      <c r="AG47" s="0" t="n">
        <f aca="false">IF(Presupuesto!$B$13='Flujo de Pagos'!$E47,13,9999)</f>
        <v>13</v>
      </c>
      <c r="AH47" s="0" t="n">
        <f aca="false">IF(Presupuesto!$B$14='Flujo de Pagos'!$E47,14,9999)</f>
        <v>14</v>
      </c>
      <c r="AI47" s="0" t="n">
        <f aca="false">IF(Presupuesto!$B$15='Flujo de Pagos'!$E47,15,9999)</f>
        <v>15</v>
      </c>
      <c r="AJ47" s="0" t="n">
        <f aca="false">IF(Presupuesto!$B$16='Flujo de Pagos'!$E47,16,9999)</f>
        <v>16</v>
      </c>
      <c r="AK47" s="0" t="n">
        <f aca="false">IF(Presupuesto!$B$17='Flujo de Pagos'!$E47,17,9999)</f>
        <v>17</v>
      </c>
      <c r="AL47" s="0" t="n">
        <f aca="false">IF(Presupuesto!$B$18='Flujo de Pagos'!$E47,18,9999)</f>
        <v>18</v>
      </c>
      <c r="AM47" s="0" t="n">
        <f aca="false">IF(Presupuesto!$B$19='Flujo de Pagos'!$E47,19,9999)</f>
        <v>19</v>
      </c>
      <c r="AN47" s="0" t="n">
        <f aca="false">IF(Presupuesto!$B$20='Flujo de Pagos'!$E47,20,9999)</f>
        <v>20</v>
      </c>
      <c r="AO47" s="0" t="n">
        <f aca="false">IF(Presupuesto!$B$21='Flujo de Pagos'!$E47,21,9999)</f>
        <v>21</v>
      </c>
      <c r="AP47" s="0" t="n">
        <f aca="false">IF(Presupuesto!$B$22='Flujo de Pagos'!$E47,22,9999)</f>
        <v>22</v>
      </c>
      <c r="AQ47" s="0" t="n">
        <f aca="false">IF(Presupuesto!$B$23='Flujo de Pagos'!$E47,23,9999)</f>
        <v>23</v>
      </c>
      <c r="AR47" s="0" t="n">
        <f aca="false">IF(Presupuesto!$B$24='Flujo de Pagos'!$E47,24,9999)</f>
        <v>24</v>
      </c>
      <c r="AS47" s="0" t="n">
        <f aca="false">IF(Presupuesto!$B$25='Flujo de Pagos'!$E47,25,9999)</f>
        <v>25</v>
      </c>
      <c r="AT47" s="0" t="n">
        <f aca="false">IF(Presupuesto!$B$26='Flujo de Pagos'!$E47,26,9999)</f>
        <v>26</v>
      </c>
      <c r="AU47" s="0" t="n">
        <f aca="false">IF(Presupuesto!$B$27='Flujo de Pagos'!$E47,27,9999)</f>
        <v>27</v>
      </c>
      <c r="AV47" s="0" t="n">
        <f aca="false">IF(Presupuesto!$B$28='Flujo de Pagos'!$E47,28,9999)</f>
        <v>28</v>
      </c>
      <c r="AW47" s="0" t="n">
        <f aca="false">IF(Presupuesto!$B$29='Flujo de Pagos'!$E47,29,9999)</f>
        <v>29</v>
      </c>
      <c r="AX47" s="0" t="n">
        <f aca="false">IF(Presupuesto!$B$30='Flujo de Pagos'!$E47,30,9999)</f>
        <v>30</v>
      </c>
      <c r="AY47" s="0" t="n">
        <f aca="false">IF(Presupuesto!$B$31='Flujo de Pagos'!$E47,31,9999)</f>
        <v>31</v>
      </c>
      <c r="AZ47" s="0" t="n">
        <f aca="false">IF(Presupuesto!$B$32='Flujo de Pagos'!$E47,32,9999)</f>
        <v>32</v>
      </c>
      <c r="BA47" s="0" t="n">
        <f aca="false">IF(Presupuesto!$B$33='Flujo de Pagos'!$E47,33,9999)</f>
        <v>33</v>
      </c>
      <c r="BB47" s="0" t="n">
        <f aca="false">IF(Presupuesto!$B$34='Flujo de Pagos'!$E47,34,9999)</f>
        <v>34</v>
      </c>
      <c r="BC47" s="0" t="n">
        <f aca="false">IF(Presupuesto!$B$35='Flujo de Pagos'!$E47,35,9999)</f>
        <v>35</v>
      </c>
      <c r="BD47" s="0" t="n">
        <f aca="false">IF(Presupuesto!$B$36='Flujo de Pagos'!$E47,36,9999)</f>
        <v>36</v>
      </c>
      <c r="BE47" s="0" t="n">
        <f aca="false">IF(Presupuesto!$B$37='Flujo de Pagos'!$E47,37,9999)</f>
        <v>37</v>
      </c>
      <c r="BF47" s="0" t="n">
        <f aca="false">IF(Presupuesto!$B$38='Flujo de Pagos'!$E47,38,9999)</f>
        <v>38</v>
      </c>
      <c r="BG47" s="0" t="n">
        <f aca="false">IF(Presupuesto!$B$39='Flujo de Pagos'!$E47,39,9999)</f>
        <v>39</v>
      </c>
      <c r="BH47" s="0" t="n">
        <f aca="false">IF(Presupuesto!$B$40='Flujo de Pagos'!$E47,40,9999)</f>
        <v>40</v>
      </c>
      <c r="BI47" s="0" t="n">
        <f aca="false">IF(Presupuesto!$B$41='Flujo de Pagos'!$E47,41,9999)</f>
        <v>41</v>
      </c>
      <c r="BJ47" s="0" t="n">
        <f aca="false">IF(Presupuesto!$B$42='Flujo de Pagos'!$E47,42,9999)</f>
        <v>42</v>
      </c>
      <c r="BK47" s="0" t="n">
        <f aca="false">IF(Presupuesto!$B$43='Flujo de Pagos'!$E47,43,9999)</f>
        <v>43</v>
      </c>
      <c r="BL47" s="0" t="n">
        <f aca="false">IF(Presupuesto!$B$44='Flujo de Pagos'!$E47,44,9999)</f>
        <v>44</v>
      </c>
      <c r="BM47" s="0" t="n">
        <f aca="false">IF(Presupuesto!$B$45='Flujo de Pagos'!$E47,45,9999)</f>
        <v>45</v>
      </c>
      <c r="BN47" s="0" t="n">
        <f aca="false">IF(Presupuesto!$B$46='Flujo de Pagos'!$E47,46,9999)</f>
        <v>46</v>
      </c>
      <c r="BO47" s="0" t="n">
        <f aca="false">IF(Presupuesto!$B$47='Flujo de Pagos'!$E47,47,9999)</f>
        <v>47</v>
      </c>
      <c r="BP47" s="0" t="n">
        <f aca="false">IF(Presupuesto!$B$48='Flujo de Pagos'!$E47,48,9999)</f>
        <v>48</v>
      </c>
      <c r="BQ47" s="0" t="n">
        <f aca="false">IF(Presupuesto!$B$49='Flujo de Pagos'!$E47,49,9999)</f>
        <v>49</v>
      </c>
      <c r="BR47" s="0" t="n">
        <f aca="false">IF(Presupuesto!$B$50='Flujo de Pagos'!$E47,50,9999)</f>
        <v>50</v>
      </c>
      <c r="BS47" s="0" t="n">
        <f aca="false">IF(Presupuesto!$B$51='Flujo de Pagos'!$E47,51,9999)</f>
        <v>51</v>
      </c>
      <c r="BT47" s="0" t="n">
        <f aca="false">IF(Presupuesto!$B$52='Flujo de Pagos'!$E47,52,9999)</f>
        <v>52</v>
      </c>
      <c r="BU47" s="0" t="n">
        <f aca="false">IF(Presupuesto!$B$53='Flujo de Pagos'!$E47,53,9999)</f>
        <v>53</v>
      </c>
      <c r="BV47" s="0" t="n">
        <f aca="false">IF(Presupuesto!$B$54='Flujo de Pagos'!$E47,54,9999)</f>
        <v>54</v>
      </c>
      <c r="BW47" s="0" t="n">
        <f aca="false">IF(Presupuesto!$B$55='Flujo de Pagos'!$E47,55,9999)</f>
        <v>55</v>
      </c>
      <c r="BX47" s="0" t="n">
        <f aca="false">IF(Presupuesto!$B$56='Flujo de Pagos'!$E47,56,9999)</f>
        <v>56</v>
      </c>
      <c r="BY47" s="0" t="n">
        <f aca="false">IF(Presupuesto!$B$57='Flujo de Pagos'!$E47,57,9999)</f>
        <v>57</v>
      </c>
      <c r="BZ47" s="0" t="n">
        <f aca="false">IF(Presupuesto!$B$58='Flujo de Pagos'!$E47,58,9999)</f>
        <v>58</v>
      </c>
      <c r="CA47" s="0" t="n">
        <f aca="false">IF(Presupuesto!$B$59='Flujo de Pagos'!$E47,59,9999)</f>
        <v>59</v>
      </c>
      <c r="CB47" s="0" t="n">
        <f aca="false">IF(Presupuesto!$B$60='Flujo de Pagos'!$E47,60,9999)</f>
        <v>60</v>
      </c>
      <c r="CC47" s="0" t="n">
        <f aca="false">IF(Presupuesto!$B$61='Flujo de Pagos'!$E47,61,9999)</f>
        <v>61</v>
      </c>
      <c r="CD47" s="0" t="n">
        <f aca="false">IF(Presupuesto!$B$62='Flujo de Pagos'!$E47,62,9999)</f>
        <v>62</v>
      </c>
      <c r="CE47" s="0" t="n">
        <f aca="false">IF(Presupuesto!$B$63='Flujo de Pagos'!$E47,63,9999)</f>
        <v>63</v>
      </c>
      <c r="CF47" s="0" t="n">
        <f aca="false">IF(Presupuesto!$B$64='Flujo de Pagos'!$E47,64,9999)</f>
        <v>64</v>
      </c>
      <c r="CG47" s="0" t="n">
        <f aca="false">IF(Presupuesto!$B$65='Flujo de Pagos'!$E47,65,9999)</f>
        <v>65</v>
      </c>
      <c r="CH47" s="0" t="n">
        <f aca="false">IF(Presupuesto!$B$66='Flujo de Pagos'!$E47,66,9999)</f>
        <v>66</v>
      </c>
    </row>
    <row r="48" customFormat="false" ht="15" hidden="false" customHeight="true" outlineLevel="0" collapsed="false">
      <c r="A48" s="1" t="n">
        <f aca="false">IF(Presupuesto!B53=Carátula!$B$2,53,9999)</f>
        <v>9999</v>
      </c>
      <c r="B48" s="1" t="n">
        <f aca="false">IF(AND('Flujo de Pagos'!E53=Carátula!$B$2,'Flujo de Pagos'!F53=Carátula!$B$4,'Flujo de Pagos'!H53&lt;&gt;""),53,99999)</f>
        <v>99999</v>
      </c>
      <c r="D48" s="1" t="str">
        <f aca="false">IF(SMALL($A$2:$A$61,47)&gt;=9999,"",INDEX(Presupuesto!$C:$C,SMALL($A$2:$A$61,47)))</f>
        <v/>
      </c>
      <c r="E48" s="1" t="str">
        <f aca="false">IF(SMALL($B$2:$B$501,47)&gt;=99999,"",INDEX('Flujo de Pagos'!$H:$H,SMALL($B$2:$B$501,47)))</f>
        <v/>
      </c>
      <c r="H48" s="1" t="n">
        <f aca="false">IF(SMALL($AA48:$CH48,1)&gt;=9999,"",INDEX(Presupuesto!$C:$C,SMALL($AA48:$CH48,1)))</f>
        <v>0</v>
      </c>
      <c r="I48" s="1" t="n">
        <f aca="false">IF(SMALL($AA48:$CH48,2)&gt;=9999,"",INDEX(Presupuesto!$C:$C,SMALL($AA48:$CH48,2)))</f>
        <v>0</v>
      </c>
      <c r="J48" s="1" t="n">
        <f aca="false">IF(SMALL($AA48:$CH48,3)&gt;=9999,"",INDEX(Presupuesto!$C:$C,SMALL($AA48:$CH48,3)))</f>
        <v>0</v>
      </c>
      <c r="K48" s="1" t="n">
        <f aca="false">IF(SMALL($AA48:$CH48,4)&gt;=9999,"",INDEX(Presupuesto!$C:$C,SMALL($AA48:$CH48,4)))</f>
        <v>0</v>
      </c>
      <c r="L48" s="1" t="n">
        <f aca="false">IF(SMALL($AA48:$CH48,5)&gt;=9999,"",INDEX(Presupuesto!$C:$C,SMALL($AA48:$CH48,5)))</f>
        <v>0</v>
      </c>
      <c r="M48" s="1" t="n">
        <f aca="false">IF(SMALL($AA48:$CH48,6)&gt;=9999,"",INDEX(Presupuesto!$C:$C,SMALL($AA48:$CH48,6)))</f>
        <v>0</v>
      </c>
      <c r="N48" s="1" t="n">
        <f aca="false">IF(SMALL($AA48:$CH48,7)&gt;=9999,"",INDEX(Presupuesto!$C:$C,SMALL($AA48:$CH48,7)))</f>
        <v>0</v>
      </c>
      <c r="O48" s="1" t="n">
        <f aca="false">IF(SMALL($AA48:$CH48,8)&gt;=9999,"",INDEX(Presupuesto!$C:$C,SMALL($AA48:$CH48,8)))</f>
        <v>0</v>
      </c>
      <c r="P48" s="1" t="n">
        <f aca="false">IF(SMALL($AA48:$CH48,9)&gt;=9999,"",INDEX(Presupuesto!$C:$C,SMALL($AA48:$CH48,9)))</f>
        <v>0</v>
      </c>
      <c r="Q48" s="1" t="n">
        <f aca="false">IF(SMALL($AA48:$CH48,10)&gt;=9999,"",INDEX(Presupuesto!$C:$C,SMALL($AA48:$CH48,10)))</f>
        <v>0</v>
      </c>
      <c r="AA48" s="0" t="n">
        <f aca="false">IF(Presupuesto!$B$7='Flujo de Pagos'!$E48,7,9999)</f>
        <v>9999</v>
      </c>
      <c r="AB48" s="0" t="n">
        <f aca="false">IF(Presupuesto!$B$8='Flujo de Pagos'!$E48,8,9999)</f>
        <v>9999</v>
      </c>
      <c r="AC48" s="0" t="n">
        <f aca="false">IF(Presupuesto!$B$9='Flujo de Pagos'!$E48,9,9999)</f>
        <v>9999</v>
      </c>
      <c r="AD48" s="0" t="n">
        <f aca="false">IF(Presupuesto!$B$10='Flujo de Pagos'!$E48,10,9999)</f>
        <v>9999</v>
      </c>
      <c r="AE48" s="0" t="n">
        <f aca="false">IF(Presupuesto!$B$11='Flujo de Pagos'!$E48,11,9999)</f>
        <v>9999</v>
      </c>
      <c r="AF48" s="0" t="n">
        <f aca="false">IF(Presupuesto!$B$12='Flujo de Pagos'!$E48,12,9999)</f>
        <v>12</v>
      </c>
      <c r="AG48" s="0" t="n">
        <f aca="false">IF(Presupuesto!$B$13='Flujo de Pagos'!$E48,13,9999)</f>
        <v>13</v>
      </c>
      <c r="AH48" s="0" t="n">
        <f aca="false">IF(Presupuesto!$B$14='Flujo de Pagos'!$E48,14,9999)</f>
        <v>14</v>
      </c>
      <c r="AI48" s="0" t="n">
        <f aca="false">IF(Presupuesto!$B$15='Flujo de Pagos'!$E48,15,9999)</f>
        <v>15</v>
      </c>
      <c r="AJ48" s="0" t="n">
        <f aca="false">IF(Presupuesto!$B$16='Flujo de Pagos'!$E48,16,9999)</f>
        <v>16</v>
      </c>
      <c r="AK48" s="0" t="n">
        <f aca="false">IF(Presupuesto!$B$17='Flujo de Pagos'!$E48,17,9999)</f>
        <v>17</v>
      </c>
      <c r="AL48" s="0" t="n">
        <f aca="false">IF(Presupuesto!$B$18='Flujo de Pagos'!$E48,18,9999)</f>
        <v>18</v>
      </c>
      <c r="AM48" s="0" t="n">
        <f aca="false">IF(Presupuesto!$B$19='Flujo de Pagos'!$E48,19,9999)</f>
        <v>19</v>
      </c>
      <c r="AN48" s="0" t="n">
        <f aca="false">IF(Presupuesto!$B$20='Flujo de Pagos'!$E48,20,9999)</f>
        <v>20</v>
      </c>
      <c r="AO48" s="0" t="n">
        <f aca="false">IF(Presupuesto!$B$21='Flujo de Pagos'!$E48,21,9999)</f>
        <v>21</v>
      </c>
      <c r="AP48" s="0" t="n">
        <f aca="false">IF(Presupuesto!$B$22='Flujo de Pagos'!$E48,22,9999)</f>
        <v>22</v>
      </c>
      <c r="AQ48" s="0" t="n">
        <f aca="false">IF(Presupuesto!$B$23='Flujo de Pagos'!$E48,23,9999)</f>
        <v>23</v>
      </c>
      <c r="AR48" s="0" t="n">
        <f aca="false">IF(Presupuesto!$B$24='Flujo de Pagos'!$E48,24,9999)</f>
        <v>24</v>
      </c>
      <c r="AS48" s="0" t="n">
        <f aca="false">IF(Presupuesto!$B$25='Flujo de Pagos'!$E48,25,9999)</f>
        <v>25</v>
      </c>
      <c r="AT48" s="0" t="n">
        <f aca="false">IF(Presupuesto!$B$26='Flujo de Pagos'!$E48,26,9999)</f>
        <v>26</v>
      </c>
      <c r="AU48" s="0" t="n">
        <f aca="false">IF(Presupuesto!$B$27='Flujo de Pagos'!$E48,27,9999)</f>
        <v>27</v>
      </c>
      <c r="AV48" s="0" t="n">
        <f aca="false">IF(Presupuesto!$B$28='Flujo de Pagos'!$E48,28,9999)</f>
        <v>28</v>
      </c>
      <c r="AW48" s="0" t="n">
        <f aca="false">IF(Presupuesto!$B$29='Flujo de Pagos'!$E48,29,9999)</f>
        <v>29</v>
      </c>
      <c r="AX48" s="0" t="n">
        <f aca="false">IF(Presupuesto!$B$30='Flujo de Pagos'!$E48,30,9999)</f>
        <v>30</v>
      </c>
      <c r="AY48" s="0" t="n">
        <f aca="false">IF(Presupuesto!$B$31='Flujo de Pagos'!$E48,31,9999)</f>
        <v>31</v>
      </c>
      <c r="AZ48" s="0" t="n">
        <f aca="false">IF(Presupuesto!$B$32='Flujo de Pagos'!$E48,32,9999)</f>
        <v>32</v>
      </c>
      <c r="BA48" s="0" t="n">
        <f aca="false">IF(Presupuesto!$B$33='Flujo de Pagos'!$E48,33,9999)</f>
        <v>33</v>
      </c>
      <c r="BB48" s="0" t="n">
        <f aca="false">IF(Presupuesto!$B$34='Flujo de Pagos'!$E48,34,9999)</f>
        <v>34</v>
      </c>
      <c r="BC48" s="0" t="n">
        <f aca="false">IF(Presupuesto!$B$35='Flujo de Pagos'!$E48,35,9999)</f>
        <v>35</v>
      </c>
      <c r="BD48" s="0" t="n">
        <f aca="false">IF(Presupuesto!$B$36='Flujo de Pagos'!$E48,36,9999)</f>
        <v>36</v>
      </c>
      <c r="BE48" s="0" t="n">
        <f aca="false">IF(Presupuesto!$B$37='Flujo de Pagos'!$E48,37,9999)</f>
        <v>37</v>
      </c>
      <c r="BF48" s="0" t="n">
        <f aca="false">IF(Presupuesto!$B$38='Flujo de Pagos'!$E48,38,9999)</f>
        <v>38</v>
      </c>
      <c r="BG48" s="0" t="n">
        <f aca="false">IF(Presupuesto!$B$39='Flujo de Pagos'!$E48,39,9999)</f>
        <v>39</v>
      </c>
      <c r="BH48" s="0" t="n">
        <f aca="false">IF(Presupuesto!$B$40='Flujo de Pagos'!$E48,40,9999)</f>
        <v>40</v>
      </c>
      <c r="BI48" s="0" t="n">
        <f aca="false">IF(Presupuesto!$B$41='Flujo de Pagos'!$E48,41,9999)</f>
        <v>41</v>
      </c>
      <c r="BJ48" s="0" t="n">
        <f aca="false">IF(Presupuesto!$B$42='Flujo de Pagos'!$E48,42,9999)</f>
        <v>42</v>
      </c>
      <c r="BK48" s="0" t="n">
        <f aca="false">IF(Presupuesto!$B$43='Flujo de Pagos'!$E48,43,9999)</f>
        <v>43</v>
      </c>
      <c r="BL48" s="0" t="n">
        <f aca="false">IF(Presupuesto!$B$44='Flujo de Pagos'!$E48,44,9999)</f>
        <v>44</v>
      </c>
      <c r="BM48" s="0" t="n">
        <f aca="false">IF(Presupuesto!$B$45='Flujo de Pagos'!$E48,45,9999)</f>
        <v>45</v>
      </c>
      <c r="BN48" s="0" t="n">
        <f aca="false">IF(Presupuesto!$B$46='Flujo de Pagos'!$E48,46,9999)</f>
        <v>46</v>
      </c>
      <c r="BO48" s="0" t="n">
        <f aca="false">IF(Presupuesto!$B$47='Flujo de Pagos'!$E48,47,9999)</f>
        <v>47</v>
      </c>
      <c r="BP48" s="0" t="n">
        <f aca="false">IF(Presupuesto!$B$48='Flujo de Pagos'!$E48,48,9999)</f>
        <v>48</v>
      </c>
      <c r="BQ48" s="0" t="n">
        <f aca="false">IF(Presupuesto!$B$49='Flujo de Pagos'!$E48,49,9999)</f>
        <v>49</v>
      </c>
      <c r="BR48" s="0" t="n">
        <f aca="false">IF(Presupuesto!$B$50='Flujo de Pagos'!$E48,50,9999)</f>
        <v>50</v>
      </c>
      <c r="BS48" s="0" t="n">
        <f aca="false">IF(Presupuesto!$B$51='Flujo de Pagos'!$E48,51,9999)</f>
        <v>51</v>
      </c>
      <c r="BT48" s="0" t="n">
        <f aca="false">IF(Presupuesto!$B$52='Flujo de Pagos'!$E48,52,9999)</f>
        <v>52</v>
      </c>
      <c r="BU48" s="0" t="n">
        <f aca="false">IF(Presupuesto!$B$53='Flujo de Pagos'!$E48,53,9999)</f>
        <v>53</v>
      </c>
      <c r="BV48" s="0" t="n">
        <f aca="false">IF(Presupuesto!$B$54='Flujo de Pagos'!$E48,54,9999)</f>
        <v>54</v>
      </c>
      <c r="BW48" s="0" t="n">
        <f aca="false">IF(Presupuesto!$B$55='Flujo de Pagos'!$E48,55,9999)</f>
        <v>55</v>
      </c>
      <c r="BX48" s="0" t="n">
        <f aca="false">IF(Presupuesto!$B$56='Flujo de Pagos'!$E48,56,9999)</f>
        <v>56</v>
      </c>
      <c r="BY48" s="0" t="n">
        <f aca="false">IF(Presupuesto!$B$57='Flujo de Pagos'!$E48,57,9999)</f>
        <v>57</v>
      </c>
      <c r="BZ48" s="0" t="n">
        <f aca="false">IF(Presupuesto!$B$58='Flujo de Pagos'!$E48,58,9999)</f>
        <v>58</v>
      </c>
      <c r="CA48" s="0" t="n">
        <f aca="false">IF(Presupuesto!$B$59='Flujo de Pagos'!$E48,59,9999)</f>
        <v>59</v>
      </c>
      <c r="CB48" s="0" t="n">
        <f aca="false">IF(Presupuesto!$B$60='Flujo de Pagos'!$E48,60,9999)</f>
        <v>60</v>
      </c>
      <c r="CC48" s="0" t="n">
        <f aca="false">IF(Presupuesto!$B$61='Flujo de Pagos'!$E48,61,9999)</f>
        <v>61</v>
      </c>
      <c r="CD48" s="0" t="n">
        <f aca="false">IF(Presupuesto!$B$62='Flujo de Pagos'!$E48,62,9999)</f>
        <v>62</v>
      </c>
      <c r="CE48" s="0" t="n">
        <f aca="false">IF(Presupuesto!$B$63='Flujo de Pagos'!$E48,63,9999)</f>
        <v>63</v>
      </c>
      <c r="CF48" s="0" t="n">
        <f aca="false">IF(Presupuesto!$B$64='Flujo de Pagos'!$E48,64,9999)</f>
        <v>64</v>
      </c>
      <c r="CG48" s="0" t="n">
        <f aca="false">IF(Presupuesto!$B$65='Flujo de Pagos'!$E48,65,9999)</f>
        <v>65</v>
      </c>
      <c r="CH48" s="0" t="n">
        <f aca="false">IF(Presupuesto!$B$66='Flujo de Pagos'!$E48,66,9999)</f>
        <v>66</v>
      </c>
    </row>
    <row r="49" customFormat="false" ht="15" hidden="false" customHeight="true" outlineLevel="0" collapsed="false">
      <c r="A49" s="1" t="n">
        <f aca="false">IF(Presupuesto!B54=Carátula!$B$2,54,9999)</f>
        <v>9999</v>
      </c>
      <c r="B49" s="1" t="n">
        <f aca="false">IF(AND('Flujo de Pagos'!E54=Carátula!$B$2,'Flujo de Pagos'!F54=Carátula!$B$4,'Flujo de Pagos'!H54&lt;&gt;""),54,99999)</f>
        <v>99999</v>
      </c>
      <c r="D49" s="1" t="str">
        <f aca="false">IF(SMALL($A$2:$A$61,48)&gt;=9999,"",INDEX(Presupuesto!$C:$C,SMALL($A$2:$A$61,48)))</f>
        <v/>
      </c>
      <c r="E49" s="1" t="str">
        <f aca="false">IF(SMALL($B$2:$B$501,48)&gt;=99999,"",INDEX('Flujo de Pagos'!$H:$H,SMALL($B$2:$B$501,48)))</f>
        <v/>
      </c>
      <c r="H49" s="1" t="n">
        <f aca="false">IF(SMALL($AA49:$CH49,1)&gt;=9999,"",INDEX(Presupuesto!$C:$C,SMALL($AA49:$CH49,1)))</f>
        <v>0</v>
      </c>
      <c r="I49" s="1" t="n">
        <f aca="false">IF(SMALL($AA49:$CH49,2)&gt;=9999,"",INDEX(Presupuesto!$C:$C,SMALL($AA49:$CH49,2)))</f>
        <v>0</v>
      </c>
      <c r="J49" s="1" t="n">
        <f aca="false">IF(SMALL($AA49:$CH49,3)&gt;=9999,"",INDEX(Presupuesto!$C:$C,SMALL($AA49:$CH49,3)))</f>
        <v>0</v>
      </c>
      <c r="K49" s="1" t="n">
        <f aca="false">IF(SMALL($AA49:$CH49,4)&gt;=9999,"",INDEX(Presupuesto!$C:$C,SMALL($AA49:$CH49,4)))</f>
        <v>0</v>
      </c>
      <c r="L49" s="1" t="n">
        <f aca="false">IF(SMALL($AA49:$CH49,5)&gt;=9999,"",INDEX(Presupuesto!$C:$C,SMALL($AA49:$CH49,5)))</f>
        <v>0</v>
      </c>
      <c r="M49" s="1" t="n">
        <f aca="false">IF(SMALL($AA49:$CH49,6)&gt;=9999,"",INDEX(Presupuesto!$C:$C,SMALL($AA49:$CH49,6)))</f>
        <v>0</v>
      </c>
      <c r="N49" s="1" t="n">
        <f aca="false">IF(SMALL($AA49:$CH49,7)&gt;=9999,"",INDEX(Presupuesto!$C:$C,SMALL($AA49:$CH49,7)))</f>
        <v>0</v>
      </c>
      <c r="O49" s="1" t="n">
        <f aca="false">IF(SMALL($AA49:$CH49,8)&gt;=9999,"",INDEX(Presupuesto!$C:$C,SMALL($AA49:$CH49,8)))</f>
        <v>0</v>
      </c>
      <c r="P49" s="1" t="n">
        <f aca="false">IF(SMALL($AA49:$CH49,9)&gt;=9999,"",INDEX(Presupuesto!$C:$C,SMALL($AA49:$CH49,9)))</f>
        <v>0</v>
      </c>
      <c r="Q49" s="1" t="n">
        <f aca="false">IF(SMALL($AA49:$CH49,10)&gt;=9999,"",INDEX(Presupuesto!$C:$C,SMALL($AA49:$CH49,10)))</f>
        <v>0</v>
      </c>
      <c r="AA49" s="0" t="n">
        <f aca="false">IF(Presupuesto!$B$7='Flujo de Pagos'!$E49,7,9999)</f>
        <v>9999</v>
      </c>
      <c r="AB49" s="0" t="n">
        <f aca="false">IF(Presupuesto!$B$8='Flujo de Pagos'!$E49,8,9999)</f>
        <v>9999</v>
      </c>
      <c r="AC49" s="0" t="n">
        <f aca="false">IF(Presupuesto!$B$9='Flujo de Pagos'!$E49,9,9999)</f>
        <v>9999</v>
      </c>
      <c r="AD49" s="0" t="n">
        <f aca="false">IF(Presupuesto!$B$10='Flujo de Pagos'!$E49,10,9999)</f>
        <v>9999</v>
      </c>
      <c r="AE49" s="0" t="n">
        <f aca="false">IF(Presupuesto!$B$11='Flujo de Pagos'!$E49,11,9999)</f>
        <v>9999</v>
      </c>
      <c r="AF49" s="0" t="n">
        <f aca="false">IF(Presupuesto!$B$12='Flujo de Pagos'!$E49,12,9999)</f>
        <v>12</v>
      </c>
      <c r="AG49" s="0" t="n">
        <f aca="false">IF(Presupuesto!$B$13='Flujo de Pagos'!$E49,13,9999)</f>
        <v>13</v>
      </c>
      <c r="AH49" s="0" t="n">
        <f aca="false">IF(Presupuesto!$B$14='Flujo de Pagos'!$E49,14,9999)</f>
        <v>14</v>
      </c>
      <c r="AI49" s="0" t="n">
        <f aca="false">IF(Presupuesto!$B$15='Flujo de Pagos'!$E49,15,9999)</f>
        <v>15</v>
      </c>
      <c r="AJ49" s="0" t="n">
        <f aca="false">IF(Presupuesto!$B$16='Flujo de Pagos'!$E49,16,9999)</f>
        <v>16</v>
      </c>
      <c r="AK49" s="0" t="n">
        <f aca="false">IF(Presupuesto!$B$17='Flujo de Pagos'!$E49,17,9999)</f>
        <v>17</v>
      </c>
      <c r="AL49" s="0" t="n">
        <f aca="false">IF(Presupuesto!$B$18='Flujo de Pagos'!$E49,18,9999)</f>
        <v>18</v>
      </c>
      <c r="AM49" s="0" t="n">
        <f aca="false">IF(Presupuesto!$B$19='Flujo de Pagos'!$E49,19,9999)</f>
        <v>19</v>
      </c>
      <c r="AN49" s="0" t="n">
        <f aca="false">IF(Presupuesto!$B$20='Flujo de Pagos'!$E49,20,9999)</f>
        <v>20</v>
      </c>
      <c r="AO49" s="0" t="n">
        <f aca="false">IF(Presupuesto!$B$21='Flujo de Pagos'!$E49,21,9999)</f>
        <v>21</v>
      </c>
      <c r="AP49" s="0" t="n">
        <f aca="false">IF(Presupuesto!$B$22='Flujo de Pagos'!$E49,22,9999)</f>
        <v>22</v>
      </c>
      <c r="AQ49" s="0" t="n">
        <f aca="false">IF(Presupuesto!$B$23='Flujo de Pagos'!$E49,23,9999)</f>
        <v>23</v>
      </c>
      <c r="AR49" s="0" t="n">
        <f aca="false">IF(Presupuesto!$B$24='Flujo de Pagos'!$E49,24,9999)</f>
        <v>24</v>
      </c>
      <c r="AS49" s="0" t="n">
        <f aca="false">IF(Presupuesto!$B$25='Flujo de Pagos'!$E49,25,9999)</f>
        <v>25</v>
      </c>
      <c r="AT49" s="0" t="n">
        <f aca="false">IF(Presupuesto!$B$26='Flujo de Pagos'!$E49,26,9999)</f>
        <v>26</v>
      </c>
      <c r="AU49" s="0" t="n">
        <f aca="false">IF(Presupuesto!$B$27='Flujo de Pagos'!$E49,27,9999)</f>
        <v>27</v>
      </c>
      <c r="AV49" s="0" t="n">
        <f aca="false">IF(Presupuesto!$B$28='Flujo de Pagos'!$E49,28,9999)</f>
        <v>28</v>
      </c>
      <c r="AW49" s="0" t="n">
        <f aca="false">IF(Presupuesto!$B$29='Flujo de Pagos'!$E49,29,9999)</f>
        <v>29</v>
      </c>
      <c r="AX49" s="0" t="n">
        <f aca="false">IF(Presupuesto!$B$30='Flujo de Pagos'!$E49,30,9999)</f>
        <v>30</v>
      </c>
      <c r="AY49" s="0" t="n">
        <f aca="false">IF(Presupuesto!$B$31='Flujo de Pagos'!$E49,31,9999)</f>
        <v>31</v>
      </c>
      <c r="AZ49" s="0" t="n">
        <f aca="false">IF(Presupuesto!$B$32='Flujo de Pagos'!$E49,32,9999)</f>
        <v>32</v>
      </c>
      <c r="BA49" s="0" t="n">
        <f aca="false">IF(Presupuesto!$B$33='Flujo de Pagos'!$E49,33,9999)</f>
        <v>33</v>
      </c>
      <c r="BB49" s="0" t="n">
        <f aca="false">IF(Presupuesto!$B$34='Flujo de Pagos'!$E49,34,9999)</f>
        <v>34</v>
      </c>
      <c r="BC49" s="0" t="n">
        <f aca="false">IF(Presupuesto!$B$35='Flujo de Pagos'!$E49,35,9999)</f>
        <v>35</v>
      </c>
      <c r="BD49" s="0" t="n">
        <f aca="false">IF(Presupuesto!$B$36='Flujo de Pagos'!$E49,36,9999)</f>
        <v>36</v>
      </c>
      <c r="BE49" s="0" t="n">
        <f aca="false">IF(Presupuesto!$B$37='Flujo de Pagos'!$E49,37,9999)</f>
        <v>37</v>
      </c>
      <c r="BF49" s="0" t="n">
        <f aca="false">IF(Presupuesto!$B$38='Flujo de Pagos'!$E49,38,9999)</f>
        <v>38</v>
      </c>
      <c r="BG49" s="0" t="n">
        <f aca="false">IF(Presupuesto!$B$39='Flujo de Pagos'!$E49,39,9999)</f>
        <v>39</v>
      </c>
      <c r="BH49" s="0" t="n">
        <f aca="false">IF(Presupuesto!$B$40='Flujo de Pagos'!$E49,40,9999)</f>
        <v>40</v>
      </c>
      <c r="BI49" s="0" t="n">
        <f aca="false">IF(Presupuesto!$B$41='Flujo de Pagos'!$E49,41,9999)</f>
        <v>41</v>
      </c>
      <c r="BJ49" s="0" t="n">
        <f aca="false">IF(Presupuesto!$B$42='Flujo de Pagos'!$E49,42,9999)</f>
        <v>42</v>
      </c>
      <c r="BK49" s="0" t="n">
        <f aca="false">IF(Presupuesto!$B$43='Flujo de Pagos'!$E49,43,9999)</f>
        <v>43</v>
      </c>
      <c r="BL49" s="0" t="n">
        <f aca="false">IF(Presupuesto!$B$44='Flujo de Pagos'!$E49,44,9999)</f>
        <v>44</v>
      </c>
      <c r="BM49" s="0" t="n">
        <f aca="false">IF(Presupuesto!$B$45='Flujo de Pagos'!$E49,45,9999)</f>
        <v>45</v>
      </c>
      <c r="BN49" s="0" t="n">
        <f aca="false">IF(Presupuesto!$B$46='Flujo de Pagos'!$E49,46,9999)</f>
        <v>46</v>
      </c>
      <c r="BO49" s="0" t="n">
        <f aca="false">IF(Presupuesto!$B$47='Flujo de Pagos'!$E49,47,9999)</f>
        <v>47</v>
      </c>
      <c r="BP49" s="0" t="n">
        <f aca="false">IF(Presupuesto!$B$48='Flujo de Pagos'!$E49,48,9999)</f>
        <v>48</v>
      </c>
      <c r="BQ49" s="0" t="n">
        <f aca="false">IF(Presupuesto!$B$49='Flujo de Pagos'!$E49,49,9999)</f>
        <v>49</v>
      </c>
      <c r="BR49" s="0" t="n">
        <f aca="false">IF(Presupuesto!$B$50='Flujo de Pagos'!$E49,50,9999)</f>
        <v>50</v>
      </c>
      <c r="BS49" s="0" t="n">
        <f aca="false">IF(Presupuesto!$B$51='Flujo de Pagos'!$E49,51,9999)</f>
        <v>51</v>
      </c>
      <c r="BT49" s="0" t="n">
        <f aca="false">IF(Presupuesto!$B$52='Flujo de Pagos'!$E49,52,9999)</f>
        <v>52</v>
      </c>
      <c r="BU49" s="0" t="n">
        <f aca="false">IF(Presupuesto!$B$53='Flujo de Pagos'!$E49,53,9999)</f>
        <v>53</v>
      </c>
      <c r="BV49" s="0" t="n">
        <f aca="false">IF(Presupuesto!$B$54='Flujo de Pagos'!$E49,54,9999)</f>
        <v>54</v>
      </c>
      <c r="BW49" s="0" t="n">
        <f aca="false">IF(Presupuesto!$B$55='Flujo de Pagos'!$E49,55,9999)</f>
        <v>55</v>
      </c>
      <c r="BX49" s="0" t="n">
        <f aca="false">IF(Presupuesto!$B$56='Flujo de Pagos'!$E49,56,9999)</f>
        <v>56</v>
      </c>
      <c r="BY49" s="0" t="n">
        <f aca="false">IF(Presupuesto!$B$57='Flujo de Pagos'!$E49,57,9999)</f>
        <v>57</v>
      </c>
      <c r="BZ49" s="0" t="n">
        <f aca="false">IF(Presupuesto!$B$58='Flujo de Pagos'!$E49,58,9999)</f>
        <v>58</v>
      </c>
      <c r="CA49" s="0" t="n">
        <f aca="false">IF(Presupuesto!$B$59='Flujo de Pagos'!$E49,59,9999)</f>
        <v>59</v>
      </c>
      <c r="CB49" s="0" t="n">
        <f aca="false">IF(Presupuesto!$B$60='Flujo de Pagos'!$E49,60,9999)</f>
        <v>60</v>
      </c>
      <c r="CC49" s="0" t="n">
        <f aca="false">IF(Presupuesto!$B$61='Flujo de Pagos'!$E49,61,9999)</f>
        <v>61</v>
      </c>
      <c r="CD49" s="0" t="n">
        <f aca="false">IF(Presupuesto!$B$62='Flujo de Pagos'!$E49,62,9999)</f>
        <v>62</v>
      </c>
      <c r="CE49" s="0" t="n">
        <f aca="false">IF(Presupuesto!$B$63='Flujo de Pagos'!$E49,63,9999)</f>
        <v>63</v>
      </c>
      <c r="CF49" s="0" t="n">
        <f aca="false">IF(Presupuesto!$B$64='Flujo de Pagos'!$E49,64,9999)</f>
        <v>64</v>
      </c>
      <c r="CG49" s="0" t="n">
        <f aca="false">IF(Presupuesto!$B$65='Flujo de Pagos'!$E49,65,9999)</f>
        <v>65</v>
      </c>
      <c r="CH49" s="0" t="n">
        <f aca="false">IF(Presupuesto!$B$66='Flujo de Pagos'!$E49,66,9999)</f>
        <v>66</v>
      </c>
    </row>
    <row r="50" customFormat="false" ht="15" hidden="false" customHeight="true" outlineLevel="0" collapsed="false">
      <c r="A50" s="1" t="n">
        <f aca="false">IF(Presupuesto!B55=Carátula!$B$2,55,9999)</f>
        <v>9999</v>
      </c>
      <c r="B50" s="1" t="n">
        <f aca="false">IF(AND('Flujo de Pagos'!E55=Carátula!$B$2,'Flujo de Pagos'!F55=Carátula!$B$4,'Flujo de Pagos'!H55&lt;&gt;""),55,99999)</f>
        <v>99999</v>
      </c>
      <c r="D50" s="1" t="str">
        <f aca="false">IF(SMALL($A$2:$A$61,49)&gt;=9999,"",INDEX(Presupuesto!$C:$C,SMALL($A$2:$A$61,49)))</f>
        <v/>
      </c>
      <c r="E50" s="1" t="str">
        <f aca="false">IF(SMALL($B$2:$B$501,49)&gt;=99999,"",INDEX('Flujo de Pagos'!$H:$H,SMALL($B$2:$B$501,49)))</f>
        <v/>
      </c>
      <c r="H50" s="1" t="n">
        <f aca="false">IF(SMALL($AA50:$CH50,1)&gt;=9999,"",INDEX(Presupuesto!$C:$C,SMALL($AA50:$CH50,1)))</f>
        <v>0</v>
      </c>
      <c r="I50" s="1" t="n">
        <f aca="false">IF(SMALL($AA50:$CH50,2)&gt;=9999,"",INDEX(Presupuesto!$C:$C,SMALL($AA50:$CH50,2)))</f>
        <v>0</v>
      </c>
      <c r="J50" s="1" t="n">
        <f aca="false">IF(SMALL($AA50:$CH50,3)&gt;=9999,"",INDEX(Presupuesto!$C:$C,SMALL($AA50:$CH50,3)))</f>
        <v>0</v>
      </c>
      <c r="K50" s="1" t="n">
        <f aca="false">IF(SMALL($AA50:$CH50,4)&gt;=9999,"",INDEX(Presupuesto!$C:$C,SMALL($AA50:$CH50,4)))</f>
        <v>0</v>
      </c>
      <c r="L50" s="1" t="n">
        <f aca="false">IF(SMALL($AA50:$CH50,5)&gt;=9999,"",INDEX(Presupuesto!$C:$C,SMALL($AA50:$CH50,5)))</f>
        <v>0</v>
      </c>
      <c r="M50" s="1" t="n">
        <f aca="false">IF(SMALL($AA50:$CH50,6)&gt;=9999,"",INDEX(Presupuesto!$C:$C,SMALL($AA50:$CH50,6)))</f>
        <v>0</v>
      </c>
      <c r="N50" s="1" t="n">
        <f aca="false">IF(SMALL($AA50:$CH50,7)&gt;=9999,"",INDEX(Presupuesto!$C:$C,SMALL($AA50:$CH50,7)))</f>
        <v>0</v>
      </c>
      <c r="O50" s="1" t="n">
        <f aca="false">IF(SMALL($AA50:$CH50,8)&gt;=9999,"",INDEX(Presupuesto!$C:$C,SMALL($AA50:$CH50,8)))</f>
        <v>0</v>
      </c>
      <c r="P50" s="1" t="n">
        <f aca="false">IF(SMALL($AA50:$CH50,9)&gt;=9999,"",INDEX(Presupuesto!$C:$C,SMALL($AA50:$CH50,9)))</f>
        <v>0</v>
      </c>
      <c r="Q50" s="1" t="n">
        <f aca="false">IF(SMALL($AA50:$CH50,10)&gt;=9999,"",INDEX(Presupuesto!$C:$C,SMALL($AA50:$CH50,10)))</f>
        <v>0</v>
      </c>
      <c r="AA50" s="0" t="n">
        <f aca="false">IF(Presupuesto!$B$7='Flujo de Pagos'!$E50,7,9999)</f>
        <v>9999</v>
      </c>
      <c r="AB50" s="0" t="n">
        <f aca="false">IF(Presupuesto!$B$8='Flujo de Pagos'!$E50,8,9999)</f>
        <v>9999</v>
      </c>
      <c r="AC50" s="0" t="n">
        <f aca="false">IF(Presupuesto!$B$9='Flujo de Pagos'!$E50,9,9999)</f>
        <v>9999</v>
      </c>
      <c r="AD50" s="0" t="n">
        <f aca="false">IF(Presupuesto!$B$10='Flujo de Pagos'!$E50,10,9999)</f>
        <v>9999</v>
      </c>
      <c r="AE50" s="0" t="n">
        <f aca="false">IF(Presupuesto!$B$11='Flujo de Pagos'!$E50,11,9999)</f>
        <v>9999</v>
      </c>
      <c r="AF50" s="0" t="n">
        <f aca="false">IF(Presupuesto!$B$12='Flujo de Pagos'!$E50,12,9999)</f>
        <v>12</v>
      </c>
      <c r="AG50" s="0" t="n">
        <f aca="false">IF(Presupuesto!$B$13='Flujo de Pagos'!$E50,13,9999)</f>
        <v>13</v>
      </c>
      <c r="AH50" s="0" t="n">
        <f aca="false">IF(Presupuesto!$B$14='Flujo de Pagos'!$E50,14,9999)</f>
        <v>14</v>
      </c>
      <c r="AI50" s="0" t="n">
        <f aca="false">IF(Presupuesto!$B$15='Flujo de Pagos'!$E50,15,9999)</f>
        <v>15</v>
      </c>
      <c r="AJ50" s="0" t="n">
        <f aca="false">IF(Presupuesto!$B$16='Flujo de Pagos'!$E50,16,9999)</f>
        <v>16</v>
      </c>
      <c r="AK50" s="0" t="n">
        <f aca="false">IF(Presupuesto!$B$17='Flujo de Pagos'!$E50,17,9999)</f>
        <v>17</v>
      </c>
      <c r="AL50" s="0" t="n">
        <f aca="false">IF(Presupuesto!$B$18='Flujo de Pagos'!$E50,18,9999)</f>
        <v>18</v>
      </c>
      <c r="AM50" s="0" t="n">
        <f aca="false">IF(Presupuesto!$B$19='Flujo de Pagos'!$E50,19,9999)</f>
        <v>19</v>
      </c>
      <c r="AN50" s="0" t="n">
        <f aca="false">IF(Presupuesto!$B$20='Flujo de Pagos'!$E50,20,9999)</f>
        <v>20</v>
      </c>
      <c r="AO50" s="0" t="n">
        <f aca="false">IF(Presupuesto!$B$21='Flujo de Pagos'!$E50,21,9999)</f>
        <v>21</v>
      </c>
      <c r="AP50" s="0" t="n">
        <f aca="false">IF(Presupuesto!$B$22='Flujo de Pagos'!$E50,22,9999)</f>
        <v>22</v>
      </c>
      <c r="AQ50" s="0" t="n">
        <f aca="false">IF(Presupuesto!$B$23='Flujo de Pagos'!$E50,23,9999)</f>
        <v>23</v>
      </c>
      <c r="AR50" s="0" t="n">
        <f aca="false">IF(Presupuesto!$B$24='Flujo de Pagos'!$E50,24,9999)</f>
        <v>24</v>
      </c>
      <c r="AS50" s="0" t="n">
        <f aca="false">IF(Presupuesto!$B$25='Flujo de Pagos'!$E50,25,9999)</f>
        <v>25</v>
      </c>
      <c r="AT50" s="0" t="n">
        <f aca="false">IF(Presupuesto!$B$26='Flujo de Pagos'!$E50,26,9999)</f>
        <v>26</v>
      </c>
      <c r="AU50" s="0" t="n">
        <f aca="false">IF(Presupuesto!$B$27='Flujo de Pagos'!$E50,27,9999)</f>
        <v>27</v>
      </c>
      <c r="AV50" s="0" t="n">
        <f aca="false">IF(Presupuesto!$B$28='Flujo de Pagos'!$E50,28,9999)</f>
        <v>28</v>
      </c>
      <c r="AW50" s="0" t="n">
        <f aca="false">IF(Presupuesto!$B$29='Flujo de Pagos'!$E50,29,9999)</f>
        <v>29</v>
      </c>
      <c r="AX50" s="0" t="n">
        <f aca="false">IF(Presupuesto!$B$30='Flujo de Pagos'!$E50,30,9999)</f>
        <v>30</v>
      </c>
      <c r="AY50" s="0" t="n">
        <f aca="false">IF(Presupuesto!$B$31='Flujo de Pagos'!$E50,31,9999)</f>
        <v>31</v>
      </c>
      <c r="AZ50" s="0" t="n">
        <f aca="false">IF(Presupuesto!$B$32='Flujo de Pagos'!$E50,32,9999)</f>
        <v>32</v>
      </c>
      <c r="BA50" s="0" t="n">
        <f aca="false">IF(Presupuesto!$B$33='Flujo de Pagos'!$E50,33,9999)</f>
        <v>33</v>
      </c>
      <c r="BB50" s="0" t="n">
        <f aca="false">IF(Presupuesto!$B$34='Flujo de Pagos'!$E50,34,9999)</f>
        <v>34</v>
      </c>
      <c r="BC50" s="0" t="n">
        <f aca="false">IF(Presupuesto!$B$35='Flujo de Pagos'!$E50,35,9999)</f>
        <v>35</v>
      </c>
      <c r="BD50" s="0" t="n">
        <f aca="false">IF(Presupuesto!$B$36='Flujo de Pagos'!$E50,36,9999)</f>
        <v>36</v>
      </c>
      <c r="BE50" s="0" t="n">
        <f aca="false">IF(Presupuesto!$B$37='Flujo de Pagos'!$E50,37,9999)</f>
        <v>37</v>
      </c>
      <c r="BF50" s="0" t="n">
        <f aca="false">IF(Presupuesto!$B$38='Flujo de Pagos'!$E50,38,9999)</f>
        <v>38</v>
      </c>
      <c r="BG50" s="0" t="n">
        <f aca="false">IF(Presupuesto!$B$39='Flujo de Pagos'!$E50,39,9999)</f>
        <v>39</v>
      </c>
      <c r="BH50" s="0" t="n">
        <f aca="false">IF(Presupuesto!$B$40='Flujo de Pagos'!$E50,40,9999)</f>
        <v>40</v>
      </c>
      <c r="BI50" s="0" t="n">
        <f aca="false">IF(Presupuesto!$B$41='Flujo de Pagos'!$E50,41,9999)</f>
        <v>41</v>
      </c>
      <c r="BJ50" s="0" t="n">
        <f aca="false">IF(Presupuesto!$B$42='Flujo de Pagos'!$E50,42,9999)</f>
        <v>42</v>
      </c>
      <c r="BK50" s="0" t="n">
        <f aca="false">IF(Presupuesto!$B$43='Flujo de Pagos'!$E50,43,9999)</f>
        <v>43</v>
      </c>
      <c r="BL50" s="0" t="n">
        <f aca="false">IF(Presupuesto!$B$44='Flujo de Pagos'!$E50,44,9999)</f>
        <v>44</v>
      </c>
      <c r="BM50" s="0" t="n">
        <f aca="false">IF(Presupuesto!$B$45='Flujo de Pagos'!$E50,45,9999)</f>
        <v>45</v>
      </c>
      <c r="BN50" s="0" t="n">
        <f aca="false">IF(Presupuesto!$B$46='Flujo de Pagos'!$E50,46,9999)</f>
        <v>46</v>
      </c>
      <c r="BO50" s="0" t="n">
        <f aca="false">IF(Presupuesto!$B$47='Flujo de Pagos'!$E50,47,9999)</f>
        <v>47</v>
      </c>
      <c r="BP50" s="0" t="n">
        <f aca="false">IF(Presupuesto!$B$48='Flujo de Pagos'!$E50,48,9999)</f>
        <v>48</v>
      </c>
      <c r="BQ50" s="0" t="n">
        <f aca="false">IF(Presupuesto!$B$49='Flujo de Pagos'!$E50,49,9999)</f>
        <v>49</v>
      </c>
      <c r="BR50" s="0" t="n">
        <f aca="false">IF(Presupuesto!$B$50='Flujo de Pagos'!$E50,50,9999)</f>
        <v>50</v>
      </c>
      <c r="BS50" s="0" t="n">
        <f aca="false">IF(Presupuesto!$B$51='Flujo de Pagos'!$E50,51,9999)</f>
        <v>51</v>
      </c>
      <c r="BT50" s="0" t="n">
        <f aca="false">IF(Presupuesto!$B$52='Flujo de Pagos'!$E50,52,9999)</f>
        <v>52</v>
      </c>
      <c r="BU50" s="0" t="n">
        <f aca="false">IF(Presupuesto!$B$53='Flujo de Pagos'!$E50,53,9999)</f>
        <v>53</v>
      </c>
      <c r="BV50" s="0" t="n">
        <f aca="false">IF(Presupuesto!$B$54='Flujo de Pagos'!$E50,54,9999)</f>
        <v>54</v>
      </c>
      <c r="BW50" s="0" t="n">
        <f aca="false">IF(Presupuesto!$B$55='Flujo de Pagos'!$E50,55,9999)</f>
        <v>55</v>
      </c>
      <c r="BX50" s="0" t="n">
        <f aca="false">IF(Presupuesto!$B$56='Flujo de Pagos'!$E50,56,9999)</f>
        <v>56</v>
      </c>
      <c r="BY50" s="0" t="n">
        <f aca="false">IF(Presupuesto!$B$57='Flujo de Pagos'!$E50,57,9999)</f>
        <v>57</v>
      </c>
      <c r="BZ50" s="0" t="n">
        <f aca="false">IF(Presupuesto!$B$58='Flujo de Pagos'!$E50,58,9999)</f>
        <v>58</v>
      </c>
      <c r="CA50" s="0" t="n">
        <f aca="false">IF(Presupuesto!$B$59='Flujo de Pagos'!$E50,59,9999)</f>
        <v>59</v>
      </c>
      <c r="CB50" s="0" t="n">
        <f aca="false">IF(Presupuesto!$B$60='Flujo de Pagos'!$E50,60,9999)</f>
        <v>60</v>
      </c>
      <c r="CC50" s="0" t="n">
        <f aca="false">IF(Presupuesto!$B$61='Flujo de Pagos'!$E50,61,9999)</f>
        <v>61</v>
      </c>
      <c r="CD50" s="0" t="n">
        <f aca="false">IF(Presupuesto!$B$62='Flujo de Pagos'!$E50,62,9999)</f>
        <v>62</v>
      </c>
      <c r="CE50" s="0" t="n">
        <f aca="false">IF(Presupuesto!$B$63='Flujo de Pagos'!$E50,63,9999)</f>
        <v>63</v>
      </c>
      <c r="CF50" s="0" t="n">
        <f aca="false">IF(Presupuesto!$B$64='Flujo de Pagos'!$E50,64,9999)</f>
        <v>64</v>
      </c>
      <c r="CG50" s="0" t="n">
        <f aca="false">IF(Presupuesto!$B$65='Flujo de Pagos'!$E50,65,9999)</f>
        <v>65</v>
      </c>
      <c r="CH50" s="0" t="n">
        <f aca="false">IF(Presupuesto!$B$66='Flujo de Pagos'!$E50,66,9999)</f>
        <v>66</v>
      </c>
    </row>
    <row r="51" customFormat="false" ht="15" hidden="false" customHeight="true" outlineLevel="0" collapsed="false">
      <c r="A51" s="1" t="n">
        <f aca="false">IF(Presupuesto!B56=Carátula!$B$2,56,9999)</f>
        <v>9999</v>
      </c>
      <c r="B51" s="1" t="n">
        <f aca="false">IF(AND('Flujo de Pagos'!E56=Carátula!$B$2,'Flujo de Pagos'!F56=Carátula!$B$4,'Flujo de Pagos'!H56&lt;&gt;""),56,99999)</f>
        <v>99999</v>
      </c>
      <c r="D51" s="1" t="str">
        <f aca="false">IF(SMALL($A$2:$A$61,50)&gt;=9999,"",INDEX(Presupuesto!$C:$C,SMALL($A$2:$A$61,50)))</f>
        <v/>
      </c>
      <c r="E51" s="1" t="str">
        <f aca="false">IF(SMALL($B$2:$B$501,50)&gt;=99999,"",INDEX('Flujo de Pagos'!$H:$H,SMALL($B$2:$B$501,50)))</f>
        <v/>
      </c>
      <c r="H51" s="1" t="n">
        <f aca="false">IF(SMALL($AA51:$CH51,1)&gt;=9999,"",INDEX(Presupuesto!$C:$C,SMALL($AA51:$CH51,1)))</f>
        <v>0</v>
      </c>
      <c r="I51" s="1" t="n">
        <f aca="false">IF(SMALL($AA51:$CH51,2)&gt;=9999,"",INDEX(Presupuesto!$C:$C,SMALL($AA51:$CH51,2)))</f>
        <v>0</v>
      </c>
      <c r="J51" s="1" t="n">
        <f aca="false">IF(SMALL($AA51:$CH51,3)&gt;=9999,"",INDEX(Presupuesto!$C:$C,SMALL($AA51:$CH51,3)))</f>
        <v>0</v>
      </c>
      <c r="K51" s="1" t="n">
        <f aca="false">IF(SMALL($AA51:$CH51,4)&gt;=9999,"",INDEX(Presupuesto!$C:$C,SMALL($AA51:$CH51,4)))</f>
        <v>0</v>
      </c>
      <c r="L51" s="1" t="n">
        <f aca="false">IF(SMALL($AA51:$CH51,5)&gt;=9999,"",INDEX(Presupuesto!$C:$C,SMALL($AA51:$CH51,5)))</f>
        <v>0</v>
      </c>
      <c r="M51" s="1" t="n">
        <f aca="false">IF(SMALL($AA51:$CH51,6)&gt;=9999,"",INDEX(Presupuesto!$C:$C,SMALL($AA51:$CH51,6)))</f>
        <v>0</v>
      </c>
      <c r="N51" s="1" t="n">
        <f aca="false">IF(SMALL($AA51:$CH51,7)&gt;=9999,"",INDEX(Presupuesto!$C:$C,SMALL($AA51:$CH51,7)))</f>
        <v>0</v>
      </c>
      <c r="O51" s="1" t="n">
        <f aca="false">IF(SMALL($AA51:$CH51,8)&gt;=9999,"",INDEX(Presupuesto!$C:$C,SMALL($AA51:$CH51,8)))</f>
        <v>0</v>
      </c>
      <c r="P51" s="1" t="n">
        <f aca="false">IF(SMALL($AA51:$CH51,9)&gt;=9999,"",INDEX(Presupuesto!$C:$C,SMALL($AA51:$CH51,9)))</f>
        <v>0</v>
      </c>
      <c r="Q51" s="1" t="n">
        <f aca="false">IF(SMALL($AA51:$CH51,10)&gt;=9999,"",INDEX(Presupuesto!$C:$C,SMALL($AA51:$CH51,10)))</f>
        <v>0</v>
      </c>
      <c r="AA51" s="0" t="n">
        <f aca="false">IF(Presupuesto!$B$7='Flujo de Pagos'!$E51,7,9999)</f>
        <v>9999</v>
      </c>
      <c r="AB51" s="0" t="n">
        <f aca="false">IF(Presupuesto!$B$8='Flujo de Pagos'!$E51,8,9999)</f>
        <v>9999</v>
      </c>
      <c r="AC51" s="0" t="n">
        <f aca="false">IF(Presupuesto!$B$9='Flujo de Pagos'!$E51,9,9999)</f>
        <v>9999</v>
      </c>
      <c r="AD51" s="0" t="n">
        <f aca="false">IF(Presupuesto!$B$10='Flujo de Pagos'!$E51,10,9999)</f>
        <v>9999</v>
      </c>
      <c r="AE51" s="0" t="n">
        <f aca="false">IF(Presupuesto!$B$11='Flujo de Pagos'!$E51,11,9999)</f>
        <v>9999</v>
      </c>
      <c r="AF51" s="0" t="n">
        <f aca="false">IF(Presupuesto!$B$12='Flujo de Pagos'!$E51,12,9999)</f>
        <v>12</v>
      </c>
      <c r="AG51" s="0" t="n">
        <f aca="false">IF(Presupuesto!$B$13='Flujo de Pagos'!$E51,13,9999)</f>
        <v>13</v>
      </c>
      <c r="AH51" s="0" t="n">
        <f aca="false">IF(Presupuesto!$B$14='Flujo de Pagos'!$E51,14,9999)</f>
        <v>14</v>
      </c>
      <c r="AI51" s="0" t="n">
        <f aca="false">IF(Presupuesto!$B$15='Flujo de Pagos'!$E51,15,9999)</f>
        <v>15</v>
      </c>
      <c r="AJ51" s="0" t="n">
        <f aca="false">IF(Presupuesto!$B$16='Flujo de Pagos'!$E51,16,9999)</f>
        <v>16</v>
      </c>
      <c r="AK51" s="0" t="n">
        <f aca="false">IF(Presupuesto!$B$17='Flujo de Pagos'!$E51,17,9999)</f>
        <v>17</v>
      </c>
      <c r="AL51" s="0" t="n">
        <f aca="false">IF(Presupuesto!$B$18='Flujo de Pagos'!$E51,18,9999)</f>
        <v>18</v>
      </c>
      <c r="AM51" s="0" t="n">
        <f aca="false">IF(Presupuesto!$B$19='Flujo de Pagos'!$E51,19,9999)</f>
        <v>19</v>
      </c>
      <c r="AN51" s="0" t="n">
        <f aca="false">IF(Presupuesto!$B$20='Flujo de Pagos'!$E51,20,9999)</f>
        <v>20</v>
      </c>
      <c r="AO51" s="0" t="n">
        <f aca="false">IF(Presupuesto!$B$21='Flujo de Pagos'!$E51,21,9999)</f>
        <v>21</v>
      </c>
      <c r="AP51" s="0" t="n">
        <f aca="false">IF(Presupuesto!$B$22='Flujo de Pagos'!$E51,22,9999)</f>
        <v>22</v>
      </c>
      <c r="AQ51" s="0" t="n">
        <f aca="false">IF(Presupuesto!$B$23='Flujo de Pagos'!$E51,23,9999)</f>
        <v>23</v>
      </c>
      <c r="AR51" s="0" t="n">
        <f aca="false">IF(Presupuesto!$B$24='Flujo de Pagos'!$E51,24,9999)</f>
        <v>24</v>
      </c>
      <c r="AS51" s="0" t="n">
        <f aca="false">IF(Presupuesto!$B$25='Flujo de Pagos'!$E51,25,9999)</f>
        <v>25</v>
      </c>
      <c r="AT51" s="0" t="n">
        <f aca="false">IF(Presupuesto!$B$26='Flujo de Pagos'!$E51,26,9999)</f>
        <v>26</v>
      </c>
      <c r="AU51" s="0" t="n">
        <f aca="false">IF(Presupuesto!$B$27='Flujo de Pagos'!$E51,27,9999)</f>
        <v>27</v>
      </c>
      <c r="AV51" s="0" t="n">
        <f aca="false">IF(Presupuesto!$B$28='Flujo de Pagos'!$E51,28,9999)</f>
        <v>28</v>
      </c>
      <c r="AW51" s="0" t="n">
        <f aca="false">IF(Presupuesto!$B$29='Flujo de Pagos'!$E51,29,9999)</f>
        <v>29</v>
      </c>
      <c r="AX51" s="0" t="n">
        <f aca="false">IF(Presupuesto!$B$30='Flujo de Pagos'!$E51,30,9999)</f>
        <v>30</v>
      </c>
      <c r="AY51" s="0" t="n">
        <f aca="false">IF(Presupuesto!$B$31='Flujo de Pagos'!$E51,31,9999)</f>
        <v>31</v>
      </c>
      <c r="AZ51" s="0" t="n">
        <f aca="false">IF(Presupuesto!$B$32='Flujo de Pagos'!$E51,32,9999)</f>
        <v>32</v>
      </c>
      <c r="BA51" s="0" t="n">
        <f aca="false">IF(Presupuesto!$B$33='Flujo de Pagos'!$E51,33,9999)</f>
        <v>33</v>
      </c>
      <c r="BB51" s="0" t="n">
        <f aca="false">IF(Presupuesto!$B$34='Flujo de Pagos'!$E51,34,9999)</f>
        <v>34</v>
      </c>
      <c r="BC51" s="0" t="n">
        <f aca="false">IF(Presupuesto!$B$35='Flujo de Pagos'!$E51,35,9999)</f>
        <v>35</v>
      </c>
      <c r="BD51" s="0" t="n">
        <f aca="false">IF(Presupuesto!$B$36='Flujo de Pagos'!$E51,36,9999)</f>
        <v>36</v>
      </c>
      <c r="BE51" s="0" t="n">
        <f aca="false">IF(Presupuesto!$B$37='Flujo de Pagos'!$E51,37,9999)</f>
        <v>37</v>
      </c>
      <c r="BF51" s="0" t="n">
        <f aca="false">IF(Presupuesto!$B$38='Flujo de Pagos'!$E51,38,9999)</f>
        <v>38</v>
      </c>
      <c r="BG51" s="0" t="n">
        <f aca="false">IF(Presupuesto!$B$39='Flujo de Pagos'!$E51,39,9999)</f>
        <v>39</v>
      </c>
      <c r="BH51" s="0" t="n">
        <f aca="false">IF(Presupuesto!$B$40='Flujo de Pagos'!$E51,40,9999)</f>
        <v>40</v>
      </c>
      <c r="BI51" s="0" t="n">
        <f aca="false">IF(Presupuesto!$B$41='Flujo de Pagos'!$E51,41,9999)</f>
        <v>41</v>
      </c>
      <c r="BJ51" s="0" t="n">
        <f aca="false">IF(Presupuesto!$B$42='Flujo de Pagos'!$E51,42,9999)</f>
        <v>42</v>
      </c>
      <c r="BK51" s="0" t="n">
        <f aca="false">IF(Presupuesto!$B$43='Flujo de Pagos'!$E51,43,9999)</f>
        <v>43</v>
      </c>
      <c r="BL51" s="0" t="n">
        <f aca="false">IF(Presupuesto!$B$44='Flujo de Pagos'!$E51,44,9999)</f>
        <v>44</v>
      </c>
      <c r="BM51" s="0" t="n">
        <f aca="false">IF(Presupuesto!$B$45='Flujo de Pagos'!$E51,45,9999)</f>
        <v>45</v>
      </c>
      <c r="BN51" s="0" t="n">
        <f aca="false">IF(Presupuesto!$B$46='Flujo de Pagos'!$E51,46,9999)</f>
        <v>46</v>
      </c>
      <c r="BO51" s="0" t="n">
        <f aca="false">IF(Presupuesto!$B$47='Flujo de Pagos'!$E51,47,9999)</f>
        <v>47</v>
      </c>
      <c r="BP51" s="0" t="n">
        <f aca="false">IF(Presupuesto!$B$48='Flujo de Pagos'!$E51,48,9999)</f>
        <v>48</v>
      </c>
      <c r="BQ51" s="0" t="n">
        <f aca="false">IF(Presupuesto!$B$49='Flujo de Pagos'!$E51,49,9999)</f>
        <v>49</v>
      </c>
      <c r="BR51" s="0" t="n">
        <f aca="false">IF(Presupuesto!$B$50='Flujo de Pagos'!$E51,50,9999)</f>
        <v>50</v>
      </c>
      <c r="BS51" s="0" t="n">
        <f aca="false">IF(Presupuesto!$B$51='Flujo de Pagos'!$E51,51,9999)</f>
        <v>51</v>
      </c>
      <c r="BT51" s="0" t="n">
        <f aca="false">IF(Presupuesto!$B$52='Flujo de Pagos'!$E51,52,9999)</f>
        <v>52</v>
      </c>
      <c r="BU51" s="0" t="n">
        <f aca="false">IF(Presupuesto!$B$53='Flujo de Pagos'!$E51,53,9999)</f>
        <v>53</v>
      </c>
      <c r="BV51" s="0" t="n">
        <f aca="false">IF(Presupuesto!$B$54='Flujo de Pagos'!$E51,54,9999)</f>
        <v>54</v>
      </c>
      <c r="BW51" s="0" t="n">
        <f aca="false">IF(Presupuesto!$B$55='Flujo de Pagos'!$E51,55,9999)</f>
        <v>55</v>
      </c>
      <c r="BX51" s="0" t="n">
        <f aca="false">IF(Presupuesto!$B$56='Flujo de Pagos'!$E51,56,9999)</f>
        <v>56</v>
      </c>
      <c r="BY51" s="0" t="n">
        <f aca="false">IF(Presupuesto!$B$57='Flujo de Pagos'!$E51,57,9999)</f>
        <v>57</v>
      </c>
      <c r="BZ51" s="0" t="n">
        <f aca="false">IF(Presupuesto!$B$58='Flujo de Pagos'!$E51,58,9999)</f>
        <v>58</v>
      </c>
      <c r="CA51" s="0" t="n">
        <f aca="false">IF(Presupuesto!$B$59='Flujo de Pagos'!$E51,59,9999)</f>
        <v>59</v>
      </c>
      <c r="CB51" s="0" t="n">
        <f aca="false">IF(Presupuesto!$B$60='Flujo de Pagos'!$E51,60,9999)</f>
        <v>60</v>
      </c>
      <c r="CC51" s="0" t="n">
        <f aca="false">IF(Presupuesto!$B$61='Flujo de Pagos'!$E51,61,9999)</f>
        <v>61</v>
      </c>
      <c r="CD51" s="0" t="n">
        <f aca="false">IF(Presupuesto!$B$62='Flujo de Pagos'!$E51,62,9999)</f>
        <v>62</v>
      </c>
      <c r="CE51" s="0" t="n">
        <f aca="false">IF(Presupuesto!$B$63='Flujo de Pagos'!$E51,63,9999)</f>
        <v>63</v>
      </c>
      <c r="CF51" s="0" t="n">
        <f aca="false">IF(Presupuesto!$B$64='Flujo de Pagos'!$E51,64,9999)</f>
        <v>64</v>
      </c>
      <c r="CG51" s="0" t="n">
        <f aca="false">IF(Presupuesto!$B$65='Flujo de Pagos'!$E51,65,9999)</f>
        <v>65</v>
      </c>
      <c r="CH51" s="0" t="n">
        <f aca="false">IF(Presupuesto!$B$66='Flujo de Pagos'!$E51,66,9999)</f>
        <v>66</v>
      </c>
    </row>
    <row r="52" customFormat="false" ht="15" hidden="false" customHeight="true" outlineLevel="0" collapsed="false">
      <c r="A52" s="1" t="n">
        <f aca="false">IF(Presupuesto!B57=Carátula!$B$2,57,9999)</f>
        <v>9999</v>
      </c>
      <c r="B52" s="1" t="n">
        <f aca="false">IF(AND('Flujo de Pagos'!E57=Carátula!$B$2,'Flujo de Pagos'!F57=Carátula!$B$4,'Flujo de Pagos'!H57&lt;&gt;""),57,99999)</f>
        <v>99999</v>
      </c>
      <c r="D52" s="1" t="str">
        <f aca="false">IF(SMALL($A$2:$A$61,51)&gt;=9999,"",INDEX(Presupuesto!$C:$C,SMALL($A$2:$A$61,51)))</f>
        <v/>
      </c>
      <c r="E52" s="1" t="str">
        <f aca="false">IF(SMALL($B$2:$B$501,51)&gt;=99999,"",INDEX('Flujo de Pagos'!$H:$H,SMALL($B$2:$B$501,51)))</f>
        <v/>
      </c>
      <c r="H52" s="1" t="n">
        <f aca="false">IF(SMALL($AA52:$CH52,1)&gt;=9999,"",INDEX(Presupuesto!$C:$C,SMALL($AA52:$CH52,1)))</f>
        <v>0</v>
      </c>
      <c r="I52" s="1" t="n">
        <f aca="false">IF(SMALL($AA52:$CH52,2)&gt;=9999,"",INDEX(Presupuesto!$C:$C,SMALL($AA52:$CH52,2)))</f>
        <v>0</v>
      </c>
      <c r="J52" s="1" t="n">
        <f aca="false">IF(SMALL($AA52:$CH52,3)&gt;=9999,"",INDEX(Presupuesto!$C:$C,SMALL($AA52:$CH52,3)))</f>
        <v>0</v>
      </c>
      <c r="K52" s="1" t="n">
        <f aca="false">IF(SMALL($AA52:$CH52,4)&gt;=9999,"",INDEX(Presupuesto!$C:$C,SMALL($AA52:$CH52,4)))</f>
        <v>0</v>
      </c>
      <c r="L52" s="1" t="n">
        <f aca="false">IF(SMALL($AA52:$CH52,5)&gt;=9999,"",INDEX(Presupuesto!$C:$C,SMALL($AA52:$CH52,5)))</f>
        <v>0</v>
      </c>
      <c r="M52" s="1" t="n">
        <f aca="false">IF(SMALL($AA52:$CH52,6)&gt;=9999,"",INDEX(Presupuesto!$C:$C,SMALL($AA52:$CH52,6)))</f>
        <v>0</v>
      </c>
      <c r="N52" s="1" t="n">
        <f aca="false">IF(SMALL($AA52:$CH52,7)&gt;=9999,"",INDEX(Presupuesto!$C:$C,SMALL($AA52:$CH52,7)))</f>
        <v>0</v>
      </c>
      <c r="O52" s="1" t="n">
        <f aca="false">IF(SMALL($AA52:$CH52,8)&gt;=9999,"",INDEX(Presupuesto!$C:$C,SMALL($AA52:$CH52,8)))</f>
        <v>0</v>
      </c>
      <c r="P52" s="1" t="n">
        <f aca="false">IF(SMALL($AA52:$CH52,9)&gt;=9999,"",INDEX(Presupuesto!$C:$C,SMALL($AA52:$CH52,9)))</f>
        <v>0</v>
      </c>
      <c r="Q52" s="1" t="n">
        <f aca="false">IF(SMALL($AA52:$CH52,10)&gt;=9999,"",INDEX(Presupuesto!$C:$C,SMALL($AA52:$CH52,10)))</f>
        <v>0</v>
      </c>
      <c r="AA52" s="0" t="n">
        <f aca="false">IF(Presupuesto!$B$7='Flujo de Pagos'!$E52,7,9999)</f>
        <v>9999</v>
      </c>
      <c r="AB52" s="0" t="n">
        <f aca="false">IF(Presupuesto!$B$8='Flujo de Pagos'!$E52,8,9999)</f>
        <v>9999</v>
      </c>
      <c r="AC52" s="0" t="n">
        <f aca="false">IF(Presupuesto!$B$9='Flujo de Pagos'!$E52,9,9999)</f>
        <v>9999</v>
      </c>
      <c r="AD52" s="0" t="n">
        <f aca="false">IF(Presupuesto!$B$10='Flujo de Pagos'!$E52,10,9999)</f>
        <v>9999</v>
      </c>
      <c r="AE52" s="0" t="n">
        <f aca="false">IF(Presupuesto!$B$11='Flujo de Pagos'!$E52,11,9999)</f>
        <v>9999</v>
      </c>
      <c r="AF52" s="0" t="n">
        <f aca="false">IF(Presupuesto!$B$12='Flujo de Pagos'!$E52,12,9999)</f>
        <v>12</v>
      </c>
      <c r="AG52" s="0" t="n">
        <f aca="false">IF(Presupuesto!$B$13='Flujo de Pagos'!$E52,13,9999)</f>
        <v>13</v>
      </c>
      <c r="AH52" s="0" t="n">
        <f aca="false">IF(Presupuesto!$B$14='Flujo de Pagos'!$E52,14,9999)</f>
        <v>14</v>
      </c>
      <c r="AI52" s="0" t="n">
        <f aca="false">IF(Presupuesto!$B$15='Flujo de Pagos'!$E52,15,9999)</f>
        <v>15</v>
      </c>
      <c r="AJ52" s="0" t="n">
        <f aca="false">IF(Presupuesto!$B$16='Flujo de Pagos'!$E52,16,9999)</f>
        <v>16</v>
      </c>
      <c r="AK52" s="0" t="n">
        <f aca="false">IF(Presupuesto!$B$17='Flujo de Pagos'!$E52,17,9999)</f>
        <v>17</v>
      </c>
      <c r="AL52" s="0" t="n">
        <f aca="false">IF(Presupuesto!$B$18='Flujo de Pagos'!$E52,18,9999)</f>
        <v>18</v>
      </c>
      <c r="AM52" s="0" t="n">
        <f aca="false">IF(Presupuesto!$B$19='Flujo de Pagos'!$E52,19,9999)</f>
        <v>19</v>
      </c>
      <c r="AN52" s="0" t="n">
        <f aca="false">IF(Presupuesto!$B$20='Flujo de Pagos'!$E52,20,9999)</f>
        <v>20</v>
      </c>
      <c r="AO52" s="0" t="n">
        <f aca="false">IF(Presupuesto!$B$21='Flujo de Pagos'!$E52,21,9999)</f>
        <v>21</v>
      </c>
      <c r="AP52" s="0" t="n">
        <f aca="false">IF(Presupuesto!$B$22='Flujo de Pagos'!$E52,22,9999)</f>
        <v>22</v>
      </c>
      <c r="AQ52" s="0" t="n">
        <f aca="false">IF(Presupuesto!$B$23='Flujo de Pagos'!$E52,23,9999)</f>
        <v>23</v>
      </c>
      <c r="AR52" s="0" t="n">
        <f aca="false">IF(Presupuesto!$B$24='Flujo de Pagos'!$E52,24,9999)</f>
        <v>24</v>
      </c>
      <c r="AS52" s="0" t="n">
        <f aca="false">IF(Presupuesto!$B$25='Flujo de Pagos'!$E52,25,9999)</f>
        <v>25</v>
      </c>
      <c r="AT52" s="0" t="n">
        <f aca="false">IF(Presupuesto!$B$26='Flujo de Pagos'!$E52,26,9999)</f>
        <v>26</v>
      </c>
      <c r="AU52" s="0" t="n">
        <f aca="false">IF(Presupuesto!$B$27='Flujo de Pagos'!$E52,27,9999)</f>
        <v>27</v>
      </c>
      <c r="AV52" s="0" t="n">
        <f aca="false">IF(Presupuesto!$B$28='Flujo de Pagos'!$E52,28,9999)</f>
        <v>28</v>
      </c>
      <c r="AW52" s="0" t="n">
        <f aca="false">IF(Presupuesto!$B$29='Flujo de Pagos'!$E52,29,9999)</f>
        <v>29</v>
      </c>
      <c r="AX52" s="0" t="n">
        <f aca="false">IF(Presupuesto!$B$30='Flujo de Pagos'!$E52,30,9999)</f>
        <v>30</v>
      </c>
      <c r="AY52" s="0" t="n">
        <f aca="false">IF(Presupuesto!$B$31='Flujo de Pagos'!$E52,31,9999)</f>
        <v>31</v>
      </c>
      <c r="AZ52" s="0" t="n">
        <f aca="false">IF(Presupuesto!$B$32='Flujo de Pagos'!$E52,32,9999)</f>
        <v>32</v>
      </c>
      <c r="BA52" s="0" t="n">
        <f aca="false">IF(Presupuesto!$B$33='Flujo de Pagos'!$E52,33,9999)</f>
        <v>33</v>
      </c>
      <c r="BB52" s="0" t="n">
        <f aca="false">IF(Presupuesto!$B$34='Flujo de Pagos'!$E52,34,9999)</f>
        <v>34</v>
      </c>
      <c r="BC52" s="0" t="n">
        <f aca="false">IF(Presupuesto!$B$35='Flujo de Pagos'!$E52,35,9999)</f>
        <v>35</v>
      </c>
      <c r="BD52" s="0" t="n">
        <f aca="false">IF(Presupuesto!$B$36='Flujo de Pagos'!$E52,36,9999)</f>
        <v>36</v>
      </c>
      <c r="BE52" s="0" t="n">
        <f aca="false">IF(Presupuesto!$B$37='Flujo de Pagos'!$E52,37,9999)</f>
        <v>37</v>
      </c>
      <c r="BF52" s="0" t="n">
        <f aca="false">IF(Presupuesto!$B$38='Flujo de Pagos'!$E52,38,9999)</f>
        <v>38</v>
      </c>
      <c r="BG52" s="0" t="n">
        <f aca="false">IF(Presupuesto!$B$39='Flujo de Pagos'!$E52,39,9999)</f>
        <v>39</v>
      </c>
      <c r="BH52" s="0" t="n">
        <f aca="false">IF(Presupuesto!$B$40='Flujo de Pagos'!$E52,40,9999)</f>
        <v>40</v>
      </c>
      <c r="BI52" s="0" t="n">
        <f aca="false">IF(Presupuesto!$B$41='Flujo de Pagos'!$E52,41,9999)</f>
        <v>41</v>
      </c>
      <c r="BJ52" s="0" t="n">
        <f aca="false">IF(Presupuesto!$B$42='Flujo de Pagos'!$E52,42,9999)</f>
        <v>42</v>
      </c>
      <c r="BK52" s="0" t="n">
        <f aca="false">IF(Presupuesto!$B$43='Flujo de Pagos'!$E52,43,9999)</f>
        <v>43</v>
      </c>
      <c r="BL52" s="0" t="n">
        <f aca="false">IF(Presupuesto!$B$44='Flujo de Pagos'!$E52,44,9999)</f>
        <v>44</v>
      </c>
      <c r="BM52" s="0" t="n">
        <f aca="false">IF(Presupuesto!$B$45='Flujo de Pagos'!$E52,45,9999)</f>
        <v>45</v>
      </c>
      <c r="BN52" s="0" t="n">
        <f aca="false">IF(Presupuesto!$B$46='Flujo de Pagos'!$E52,46,9999)</f>
        <v>46</v>
      </c>
      <c r="BO52" s="0" t="n">
        <f aca="false">IF(Presupuesto!$B$47='Flujo de Pagos'!$E52,47,9999)</f>
        <v>47</v>
      </c>
      <c r="BP52" s="0" t="n">
        <f aca="false">IF(Presupuesto!$B$48='Flujo de Pagos'!$E52,48,9999)</f>
        <v>48</v>
      </c>
      <c r="BQ52" s="0" t="n">
        <f aca="false">IF(Presupuesto!$B$49='Flujo de Pagos'!$E52,49,9999)</f>
        <v>49</v>
      </c>
      <c r="BR52" s="0" t="n">
        <f aca="false">IF(Presupuesto!$B$50='Flujo de Pagos'!$E52,50,9999)</f>
        <v>50</v>
      </c>
      <c r="BS52" s="0" t="n">
        <f aca="false">IF(Presupuesto!$B$51='Flujo de Pagos'!$E52,51,9999)</f>
        <v>51</v>
      </c>
      <c r="BT52" s="0" t="n">
        <f aca="false">IF(Presupuesto!$B$52='Flujo de Pagos'!$E52,52,9999)</f>
        <v>52</v>
      </c>
      <c r="BU52" s="0" t="n">
        <f aca="false">IF(Presupuesto!$B$53='Flujo de Pagos'!$E52,53,9999)</f>
        <v>53</v>
      </c>
      <c r="BV52" s="0" t="n">
        <f aca="false">IF(Presupuesto!$B$54='Flujo de Pagos'!$E52,54,9999)</f>
        <v>54</v>
      </c>
      <c r="BW52" s="0" t="n">
        <f aca="false">IF(Presupuesto!$B$55='Flujo de Pagos'!$E52,55,9999)</f>
        <v>55</v>
      </c>
      <c r="BX52" s="0" t="n">
        <f aca="false">IF(Presupuesto!$B$56='Flujo de Pagos'!$E52,56,9999)</f>
        <v>56</v>
      </c>
      <c r="BY52" s="0" t="n">
        <f aca="false">IF(Presupuesto!$B$57='Flujo de Pagos'!$E52,57,9999)</f>
        <v>57</v>
      </c>
      <c r="BZ52" s="0" t="n">
        <f aca="false">IF(Presupuesto!$B$58='Flujo de Pagos'!$E52,58,9999)</f>
        <v>58</v>
      </c>
      <c r="CA52" s="0" t="n">
        <f aca="false">IF(Presupuesto!$B$59='Flujo de Pagos'!$E52,59,9999)</f>
        <v>59</v>
      </c>
      <c r="CB52" s="0" t="n">
        <f aca="false">IF(Presupuesto!$B$60='Flujo de Pagos'!$E52,60,9999)</f>
        <v>60</v>
      </c>
      <c r="CC52" s="0" t="n">
        <f aca="false">IF(Presupuesto!$B$61='Flujo de Pagos'!$E52,61,9999)</f>
        <v>61</v>
      </c>
      <c r="CD52" s="0" t="n">
        <f aca="false">IF(Presupuesto!$B$62='Flujo de Pagos'!$E52,62,9999)</f>
        <v>62</v>
      </c>
      <c r="CE52" s="0" t="n">
        <f aca="false">IF(Presupuesto!$B$63='Flujo de Pagos'!$E52,63,9999)</f>
        <v>63</v>
      </c>
      <c r="CF52" s="0" t="n">
        <f aca="false">IF(Presupuesto!$B$64='Flujo de Pagos'!$E52,64,9999)</f>
        <v>64</v>
      </c>
      <c r="CG52" s="0" t="n">
        <f aca="false">IF(Presupuesto!$B$65='Flujo de Pagos'!$E52,65,9999)</f>
        <v>65</v>
      </c>
      <c r="CH52" s="0" t="n">
        <f aca="false">IF(Presupuesto!$B$66='Flujo de Pagos'!$E52,66,9999)</f>
        <v>66</v>
      </c>
    </row>
    <row r="53" customFormat="false" ht="15" hidden="false" customHeight="true" outlineLevel="0" collapsed="false">
      <c r="A53" s="1" t="n">
        <f aca="false">IF(Presupuesto!B58=Carátula!$B$2,58,9999)</f>
        <v>9999</v>
      </c>
      <c r="B53" s="1" t="n">
        <f aca="false">IF(AND('Flujo de Pagos'!E58=Carátula!$B$2,'Flujo de Pagos'!F58=Carátula!$B$4,'Flujo de Pagos'!H58&lt;&gt;""),58,99999)</f>
        <v>99999</v>
      </c>
      <c r="D53" s="1" t="str">
        <f aca="false">IF(SMALL($A$2:$A$61,52)&gt;=9999,"",INDEX(Presupuesto!$C:$C,SMALL($A$2:$A$61,52)))</f>
        <v/>
      </c>
      <c r="E53" s="1" t="str">
        <f aca="false">IF(SMALL($B$2:$B$501,52)&gt;=99999,"",INDEX('Flujo de Pagos'!$H:$H,SMALL($B$2:$B$501,52)))</f>
        <v/>
      </c>
      <c r="H53" s="1" t="n">
        <f aca="false">IF(SMALL($AA53:$CH53,1)&gt;=9999,"",INDEX(Presupuesto!$C:$C,SMALL($AA53:$CH53,1)))</f>
        <v>0</v>
      </c>
      <c r="I53" s="1" t="n">
        <f aca="false">IF(SMALL($AA53:$CH53,2)&gt;=9999,"",INDEX(Presupuesto!$C:$C,SMALL($AA53:$CH53,2)))</f>
        <v>0</v>
      </c>
      <c r="J53" s="1" t="n">
        <f aca="false">IF(SMALL($AA53:$CH53,3)&gt;=9999,"",INDEX(Presupuesto!$C:$C,SMALL($AA53:$CH53,3)))</f>
        <v>0</v>
      </c>
      <c r="K53" s="1" t="n">
        <f aca="false">IF(SMALL($AA53:$CH53,4)&gt;=9999,"",INDEX(Presupuesto!$C:$C,SMALL($AA53:$CH53,4)))</f>
        <v>0</v>
      </c>
      <c r="L53" s="1" t="n">
        <f aca="false">IF(SMALL($AA53:$CH53,5)&gt;=9999,"",INDEX(Presupuesto!$C:$C,SMALL($AA53:$CH53,5)))</f>
        <v>0</v>
      </c>
      <c r="M53" s="1" t="n">
        <f aca="false">IF(SMALL($AA53:$CH53,6)&gt;=9999,"",INDEX(Presupuesto!$C:$C,SMALL($AA53:$CH53,6)))</f>
        <v>0</v>
      </c>
      <c r="N53" s="1" t="n">
        <f aca="false">IF(SMALL($AA53:$CH53,7)&gt;=9999,"",INDEX(Presupuesto!$C:$C,SMALL($AA53:$CH53,7)))</f>
        <v>0</v>
      </c>
      <c r="O53" s="1" t="n">
        <f aca="false">IF(SMALL($AA53:$CH53,8)&gt;=9999,"",INDEX(Presupuesto!$C:$C,SMALL($AA53:$CH53,8)))</f>
        <v>0</v>
      </c>
      <c r="P53" s="1" t="n">
        <f aca="false">IF(SMALL($AA53:$CH53,9)&gt;=9999,"",INDEX(Presupuesto!$C:$C,SMALL($AA53:$CH53,9)))</f>
        <v>0</v>
      </c>
      <c r="Q53" s="1" t="n">
        <f aca="false">IF(SMALL($AA53:$CH53,10)&gt;=9999,"",INDEX(Presupuesto!$C:$C,SMALL($AA53:$CH53,10)))</f>
        <v>0</v>
      </c>
      <c r="AA53" s="0" t="n">
        <f aca="false">IF(Presupuesto!$B$7='Flujo de Pagos'!$E53,7,9999)</f>
        <v>9999</v>
      </c>
      <c r="AB53" s="0" t="n">
        <f aca="false">IF(Presupuesto!$B$8='Flujo de Pagos'!$E53,8,9999)</f>
        <v>9999</v>
      </c>
      <c r="AC53" s="0" t="n">
        <f aca="false">IF(Presupuesto!$B$9='Flujo de Pagos'!$E53,9,9999)</f>
        <v>9999</v>
      </c>
      <c r="AD53" s="0" t="n">
        <f aca="false">IF(Presupuesto!$B$10='Flujo de Pagos'!$E53,10,9999)</f>
        <v>9999</v>
      </c>
      <c r="AE53" s="0" t="n">
        <f aca="false">IF(Presupuesto!$B$11='Flujo de Pagos'!$E53,11,9999)</f>
        <v>9999</v>
      </c>
      <c r="AF53" s="0" t="n">
        <f aca="false">IF(Presupuesto!$B$12='Flujo de Pagos'!$E53,12,9999)</f>
        <v>12</v>
      </c>
      <c r="AG53" s="0" t="n">
        <f aca="false">IF(Presupuesto!$B$13='Flujo de Pagos'!$E53,13,9999)</f>
        <v>13</v>
      </c>
      <c r="AH53" s="0" t="n">
        <f aca="false">IF(Presupuesto!$B$14='Flujo de Pagos'!$E53,14,9999)</f>
        <v>14</v>
      </c>
      <c r="AI53" s="0" t="n">
        <f aca="false">IF(Presupuesto!$B$15='Flujo de Pagos'!$E53,15,9999)</f>
        <v>15</v>
      </c>
      <c r="AJ53" s="0" t="n">
        <f aca="false">IF(Presupuesto!$B$16='Flujo de Pagos'!$E53,16,9999)</f>
        <v>16</v>
      </c>
      <c r="AK53" s="0" t="n">
        <f aca="false">IF(Presupuesto!$B$17='Flujo de Pagos'!$E53,17,9999)</f>
        <v>17</v>
      </c>
      <c r="AL53" s="0" t="n">
        <f aca="false">IF(Presupuesto!$B$18='Flujo de Pagos'!$E53,18,9999)</f>
        <v>18</v>
      </c>
      <c r="AM53" s="0" t="n">
        <f aca="false">IF(Presupuesto!$B$19='Flujo de Pagos'!$E53,19,9999)</f>
        <v>19</v>
      </c>
      <c r="AN53" s="0" t="n">
        <f aca="false">IF(Presupuesto!$B$20='Flujo de Pagos'!$E53,20,9999)</f>
        <v>20</v>
      </c>
      <c r="AO53" s="0" t="n">
        <f aca="false">IF(Presupuesto!$B$21='Flujo de Pagos'!$E53,21,9999)</f>
        <v>21</v>
      </c>
      <c r="AP53" s="0" t="n">
        <f aca="false">IF(Presupuesto!$B$22='Flujo de Pagos'!$E53,22,9999)</f>
        <v>22</v>
      </c>
      <c r="AQ53" s="0" t="n">
        <f aca="false">IF(Presupuesto!$B$23='Flujo de Pagos'!$E53,23,9999)</f>
        <v>23</v>
      </c>
      <c r="AR53" s="0" t="n">
        <f aca="false">IF(Presupuesto!$B$24='Flujo de Pagos'!$E53,24,9999)</f>
        <v>24</v>
      </c>
      <c r="AS53" s="0" t="n">
        <f aca="false">IF(Presupuesto!$B$25='Flujo de Pagos'!$E53,25,9999)</f>
        <v>25</v>
      </c>
      <c r="AT53" s="0" t="n">
        <f aca="false">IF(Presupuesto!$B$26='Flujo de Pagos'!$E53,26,9999)</f>
        <v>26</v>
      </c>
      <c r="AU53" s="0" t="n">
        <f aca="false">IF(Presupuesto!$B$27='Flujo de Pagos'!$E53,27,9999)</f>
        <v>27</v>
      </c>
      <c r="AV53" s="0" t="n">
        <f aca="false">IF(Presupuesto!$B$28='Flujo de Pagos'!$E53,28,9999)</f>
        <v>28</v>
      </c>
      <c r="AW53" s="0" t="n">
        <f aca="false">IF(Presupuesto!$B$29='Flujo de Pagos'!$E53,29,9999)</f>
        <v>29</v>
      </c>
      <c r="AX53" s="0" t="n">
        <f aca="false">IF(Presupuesto!$B$30='Flujo de Pagos'!$E53,30,9999)</f>
        <v>30</v>
      </c>
      <c r="AY53" s="0" t="n">
        <f aca="false">IF(Presupuesto!$B$31='Flujo de Pagos'!$E53,31,9999)</f>
        <v>31</v>
      </c>
      <c r="AZ53" s="0" t="n">
        <f aca="false">IF(Presupuesto!$B$32='Flujo de Pagos'!$E53,32,9999)</f>
        <v>32</v>
      </c>
      <c r="BA53" s="0" t="n">
        <f aca="false">IF(Presupuesto!$B$33='Flujo de Pagos'!$E53,33,9999)</f>
        <v>33</v>
      </c>
      <c r="BB53" s="0" t="n">
        <f aca="false">IF(Presupuesto!$B$34='Flujo de Pagos'!$E53,34,9999)</f>
        <v>34</v>
      </c>
      <c r="BC53" s="0" t="n">
        <f aca="false">IF(Presupuesto!$B$35='Flujo de Pagos'!$E53,35,9999)</f>
        <v>35</v>
      </c>
      <c r="BD53" s="0" t="n">
        <f aca="false">IF(Presupuesto!$B$36='Flujo de Pagos'!$E53,36,9999)</f>
        <v>36</v>
      </c>
      <c r="BE53" s="0" t="n">
        <f aca="false">IF(Presupuesto!$B$37='Flujo de Pagos'!$E53,37,9999)</f>
        <v>37</v>
      </c>
      <c r="BF53" s="0" t="n">
        <f aca="false">IF(Presupuesto!$B$38='Flujo de Pagos'!$E53,38,9999)</f>
        <v>38</v>
      </c>
      <c r="BG53" s="0" t="n">
        <f aca="false">IF(Presupuesto!$B$39='Flujo de Pagos'!$E53,39,9999)</f>
        <v>39</v>
      </c>
      <c r="BH53" s="0" t="n">
        <f aca="false">IF(Presupuesto!$B$40='Flujo de Pagos'!$E53,40,9999)</f>
        <v>40</v>
      </c>
      <c r="BI53" s="0" t="n">
        <f aca="false">IF(Presupuesto!$B$41='Flujo de Pagos'!$E53,41,9999)</f>
        <v>41</v>
      </c>
      <c r="BJ53" s="0" t="n">
        <f aca="false">IF(Presupuesto!$B$42='Flujo de Pagos'!$E53,42,9999)</f>
        <v>42</v>
      </c>
      <c r="BK53" s="0" t="n">
        <f aca="false">IF(Presupuesto!$B$43='Flujo de Pagos'!$E53,43,9999)</f>
        <v>43</v>
      </c>
      <c r="BL53" s="0" t="n">
        <f aca="false">IF(Presupuesto!$B$44='Flujo de Pagos'!$E53,44,9999)</f>
        <v>44</v>
      </c>
      <c r="BM53" s="0" t="n">
        <f aca="false">IF(Presupuesto!$B$45='Flujo de Pagos'!$E53,45,9999)</f>
        <v>45</v>
      </c>
      <c r="BN53" s="0" t="n">
        <f aca="false">IF(Presupuesto!$B$46='Flujo de Pagos'!$E53,46,9999)</f>
        <v>46</v>
      </c>
      <c r="BO53" s="0" t="n">
        <f aca="false">IF(Presupuesto!$B$47='Flujo de Pagos'!$E53,47,9999)</f>
        <v>47</v>
      </c>
      <c r="BP53" s="0" t="n">
        <f aca="false">IF(Presupuesto!$B$48='Flujo de Pagos'!$E53,48,9999)</f>
        <v>48</v>
      </c>
      <c r="BQ53" s="0" t="n">
        <f aca="false">IF(Presupuesto!$B$49='Flujo de Pagos'!$E53,49,9999)</f>
        <v>49</v>
      </c>
      <c r="BR53" s="0" t="n">
        <f aca="false">IF(Presupuesto!$B$50='Flujo de Pagos'!$E53,50,9999)</f>
        <v>50</v>
      </c>
      <c r="BS53" s="0" t="n">
        <f aca="false">IF(Presupuesto!$B$51='Flujo de Pagos'!$E53,51,9999)</f>
        <v>51</v>
      </c>
      <c r="BT53" s="0" t="n">
        <f aca="false">IF(Presupuesto!$B$52='Flujo de Pagos'!$E53,52,9999)</f>
        <v>52</v>
      </c>
      <c r="BU53" s="0" t="n">
        <f aca="false">IF(Presupuesto!$B$53='Flujo de Pagos'!$E53,53,9999)</f>
        <v>53</v>
      </c>
      <c r="BV53" s="0" t="n">
        <f aca="false">IF(Presupuesto!$B$54='Flujo de Pagos'!$E53,54,9999)</f>
        <v>54</v>
      </c>
      <c r="BW53" s="0" t="n">
        <f aca="false">IF(Presupuesto!$B$55='Flujo de Pagos'!$E53,55,9999)</f>
        <v>55</v>
      </c>
      <c r="BX53" s="0" t="n">
        <f aca="false">IF(Presupuesto!$B$56='Flujo de Pagos'!$E53,56,9999)</f>
        <v>56</v>
      </c>
      <c r="BY53" s="0" t="n">
        <f aca="false">IF(Presupuesto!$B$57='Flujo de Pagos'!$E53,57,9999)</f>
        <v>57</v>
      </c>
      <c r="BZ53" s="0" t="n">
        <f aca="false">IF(Presupuesto!$B$58='Flujo de Pagos'!$E53,58,9999)</f>
        <v>58</v>
      </c>
      <c r="CA53" s="0" t="n">
        <f aca="false">IF(Presupuesto!$B$59='Flujo de Pagos'!$E53,59,9999)</f>
        <v>59</v>
      </c>
      <c r="CB53" s="0" t="n">
        <f aca="false">IF(Presupuesto!$B$60='Flujo de Pagos'!$E53,60,9999)</f>
        <v>60</v>
      </c>
      <c r="CC53" s="0" t="n">
        <f aca="false">IF(Presupuesto!$B$61='Flujo de Pagos'!$E53,61,9999)</f>
        <v>61</v>
      </c>
      <c r="CD53" s="0" t="n">
        <f aca="false">IF(Presupuesto!$B$62='Flujo de Pagos'!$E53,62,9999)</f>
        <v>62</v>
      </c>
      <c r="CE53" s="0" t="n">
        <f aca="false">IF(Presupuesto!$B$63='Flujo de Pagos'!$E53,63,9999)</f>
        <v>63</v>
      </c>
      <c r="CF53" s="0" t="n">
        <f aca="false">IF(Presupuesto!$B$64='Flujo de Pagos'!$E53,64,9999)</f>
        <v>64</v>
      </c>
      <c r="CG53" s="0" t="n">
        <f aca="false">IF(Presupuesto!$B$65='Flujo de Pagos'!$E53,65,9999)</f>
        <v>65</v>
      </c>
      <c r="CH53" s="0" t="n">
        <f aca="false">IF(Presupuesto!$B$66='Flujo de Pagos'!$E53,66,9999)</f>
        <v>66</v>
      </c>
    </row>
    <row r="54" customFormat="false" ht="15" hidden="false" customHeight="true" outlineLevel="0" collapsed="false">
      <c r="A54" s="1" t="n">
        <f aca="false">IF(Presupuesto!B59=Carátula!$B$2,59,9999)</f>
        <v>9999</v>
      </c>
      <c r="B54" s="1" t="n">
        <f aca="false">IF(AND('Flujo de Pagos'!E59=Carátula!$B$2,'Flujo de Pagos'!F59=Carátula!$B$4,'Flujo de Pagos'!H59&lt;&gt;""),59,99999)</f>
        <v>99999</v>
      </c>
      <c r="D54" s="1" t="str">
        <f aca="false">IF(SMALL($A$2:$A$61,53)&gt;=9999,"",INDEX(Presupuesto!$C:$C,SMALL($A$2:$A$61,53)))</f>
        <v/>
      </c>
      <c r="E54" s="1" t="str">
        <f aca="false">IF(SMALL($B$2:$B$501,53)&gt;=99999,"",INDEX('Flujo de Pagos'!$H:$H,SMALL($B$2:$B$501,53)))</f>
        <v/>
      </c>
      <c r="H54" s="1" t="n">
        <f aca="false">IF(SMALL($AA54:$CH54,1)&gt;=9999,"",INDEX(Presupuesto!$C:$C,SMALL($AA54:$CH54,1)))</f>
        <v>0</v>
      </c>
      <c r="I54" s="1" t="n">
        <f aca="false">IF(SMALL($AA54:$CH54,2)&gt;=9999,"",INDEX(Presupuesto!$C:$C,SMALL($AA54:$CH54,2)))</f>
        <v>0</v>
      </c>
      <c r="J54" s="1" t="n">
        <f aca="false">IF(SMALL($AA54:$CH54,3)&gt;=9999,"",INDEX(Presupuesto!$C:$C,SMALL($AA54:$CH54,3)))</f>
        <v>0</v>
      </c>
      <c r="K54" s="1" t="n">
        <f aca="false">IF(SMALL($AA54:$CH54,4)&gt;=9999,"",INDEX(Presupuesto!$C:$C,SMALL($AA54:$CH54,4)))</f>
        <v>0</v>
      </c>
      <c r="L54" s="1" t="n">
        <f aca="false">IF(SMALL($AA54:$CH54,5)&gt;=9999,"",INDEX(Presupuesto!$C:$C,SMALL($AA54:$CH54,5)))</f>
        <v>0</v>
      </c>
      <c r="M54" s="1" t="n">
        <f aca="false">IF(SMALL($AA54:$CH54,6)&gt;=9999,"",INDEX(Presupuesto!$C:$C,SMALL($AA54:$CH54,6)))</f>
        <v>0</v>
      </c>
      <c r="N54" s="1" t="n">
        <f aca="false">IF(SMALL($AA54:$CH54,7)&gt;=9999,"",INDEX(Presupuesto!$C:$C,SMALL($AA54:$CH54,7)))</f>
        <v>0</v>
      </c>
      <c r="O54" s="1" t="n">
        <f aca="false">IF(SMALL($AA54:$CH54,8)&gt;=9999,"",INDEX(Presupuesto!$C:$C,SMALL($AA54:$CH54,8)))</f>
        <v>0</v>
      </c>
      <c r="P54" s="1" t="n">
        <f aca="false">IF(SMALL($AA54:$CH54,9)&gt;=9999,"",INDEX(Presupuesto!$C:$C,SMALL($AA54:$CH54,9)))</f>
        <v>0</v>
      </c>
      <c r="Q54" s="1" t="n">
        <f aca="false">IF(SMALL($AA54:$CH54,10)&gt;=9999,"",INDEX(Presupuesto!$C:$C,SMALL($AA54:$CH54,10)))</f>
        <v>0</v>
      </c>
      <c r="AA54" s="0" t="n">
        <f aca="false">IF(Presupuesto!$B$7='Flujo de Pagos'!$E54,7,9999)</f>
        <v>9999</v>
      </c>
      <c r="AB54" s="0" t="n">
        <f aca="false">IF(Presupuesto!$B$8='Flujo de Pagos'!$E54,8,9999)</f>
        <v>9999</v>
      </c>
      <c r="AC54" s="0" t="n">
        <f aca="false">IF(Presupuesto!$B$9='Flujo de Pagos'!$E54,9,9999)</f>
        <v>9999</v>
      </c>
      <c r="AD54" s="0" t="n">
        <f aca="false">IF(Presupuesto!$B$10='Flujo de Pagos'!$E54,10,9999)</f>
        <v>9999</v>
      </c>
      <c r="AE54" s="0" t="n">
        <f aca="false">IF(Presupuesto!$B$11='Flujo de Pagos'!$E54,11,9999)</f>
        <v>9999</v>
      </c>
      <c r="AF54" s="0" t="n">
        <f aca="false">IF(Presupuesto!$B$12='Flujo de Pagos'!$E54,12,9999)</f>
        <v>12</v>
      </c>
      <c r="AG54" s="0" t="n">
        <f aca="false">IF(Presupuesto!$B$13='Flujo de Pagos'!$E54,13,9999)</f>
        <v>13</v>
      </c>
      <c r="AH54" s="0" t="n">
        <f aca="false">IF(Presupuesto!$B$14='Flujo de Pagos'!$E54,14,9999)</f>
        <v>14</v>
      </c>
      <c r="AI54" s="0" t="n">
        <f aca="false">IF(Presupuesto!$B$15='Flujo de Pagos'!$E54,15,9999)</f>
        <v>15</v>
      </c>
      <c r="AJ54" s="0" t="n">
        <f aca="false">IF(Presupuesto!$B$16='Flujo de Pagos'!$E54,16,9999)</f>
        <v>16</v>
      </c>
      <c r="AK54" s="0" t="n">
        <f aca="false">IF(Presupuesto!$B$17='Flujo de Pagos'!$E54,17,9999)</f>
        <v>17</v>
      </c>
      <c r="AL54" s="0" t="n">
        <f aca="false">IF(Presupuesto!$B$18='Flujo de Pagos'!$E54,18,9999)</f>
        <v>18</v>
      </c>
      <c r="AM54" s="0" t="n">
        <f aca="false">IF(Presupuesto!$B$19='Flujo de Pagos'!$E54,19,9999)</f>
        <v>19</v>
      </c>
      <c r="AN54" s="0" t="n">
        <f aca="false">IF(Presupuesto!$B$20='Flujo de Pagos'!$E54,20,9999)</f>
        <v>20</v>
      </c>
      <c r="AO54" s="0" t="n">
        <f aca="false">IF(Presupuesto!$B$21='Flujo de Pagos'!$E54,21,9999)</f>
        <v>21</v>
      </c>
      <c r="AP54" s="0" t="n">
        <f aca="false">IF(Presupuesto!$B$22='Flujo de Pagos'!$E54,22,9999)</f>
        <v>22</v>
      </c>
      <c r="AQ54" s="0" t="n">
        <f aca="false">IF(Presupuesto!$B$23='Flujo de Pagos'!$E54,23,9999)</f>
        <v>23</v>
      </c>
      <c r="AR54" s="0" t="n">
        <f aca="false">IF(Presupuesto!$B$24='Flujo de Pagos'!$E54,24,9999)</f>
        <v>24</v>
      </c>
      <c r="AS54" s="0" t="n">
        <f aca="false">IF(Presupuesto!$B$25='Flujo de Pagos'!$E54,25,9999)</f>
        <v>25</v>
      </c>
      <c r="AT54" s="0" t="n">
        <f aca="false">IF(Presupuesto!$B$26='Flujo de Pagos'!$E54,26,9999)</f>
        <v>26</v>
      </c>
      <c r="AU54" s="0" t="n">
        <f aca="false">IF(Presupuesto!$B$27='Flujo de Pagos'!$E54,27,9999)</f>
        <v>27</v>
      </c>
      <c r="AV54" s="0" t="n">
        <f aca="false">IF(Presupuesto!$B$28='Flujo de Pagos'!$E54,28,9999)</f>
        <v>28</v>
      </c>
      <c r="AW54" s="0" t="n">
        <f aca="false">IF(Presupuesto!$B$29='Flujo de Pagos'!$E54,29,9999)</f>
        <v>29</v>
      </c>
      <c r="AX54" s="0" t="n">
        <f aca="false">IF(Presupuesto!$B$30='Flujo de Pagos'!$E54,30,9999)</f>
        <v>30</v>
      </c>
      <c r="AY54" s="0" t="n">
        <f aca="false">IF(Presupuesto!$B$31='Flujo de Pagos'!$E54,31,9999)</f>
        <v>31</v>
      </c>
      <c r="AZ54" s="0" t="n">
        <f aca="false">IF(Presupuesto!$B$32='Flujo de Pagos'!$E54,32,9999)</f>
        <v>32</v>
      </c>
      <c r="BA54" s="0" t="n">
        <f aca="false">IF(Presupuesto!$B$33='Flujo de Pagos'!$E54,33,9999)</f>
        <v>33</v>
      </c>
      <c r="BB54" s="0" t="n">
        <f aca="false">IF(Presupuesto!$B$34='Flujo de Pagos'!$E54,34,9999)</f>
        <v>34</v>
      </c>
      <c r="BC54" s="0" t="n">
        <f aca="false">IF(Presupuesto!$B$35='Flujo de Pagos'!$E54,35,9999)</f>
        <v>35</v>
      </c>
      <c r="BD54" s="0" t="n">
        <f aca="false">IF(Presupuesto!$B$36='Flujo de Pagos'!$E54,36,9999)</f>
        <v>36</v>
      </c>
      <c r="BE54" s="0" t="n">
        <f aca="false">IF(Presupuesto!$B$37='Flujo de Pagos'!$E54,37,9999)</f>
        <v>37</v>
      </c>
      <c r="BF54" s="0" t="n">
        <f aca="false">IF(Presupuesto!$B$38='Flujo de Pagos'!$E54,38,9999)</f>
        <v>38</v>
      </c>
      <c r="BG54" s="0" t="n">
        <f aca="false">IF(Presupuesto!$B$39='Flujo de Pagos'!$E54,39,9999)</f>
        <v>39</v>
      </c>
      <c r="BH54" s="0" t="n">
        <f aca="false">IF(Presupuesto!$B$40='Flujo de Pagos'!$E54,40,9999)</f>
        <v>40</v>
      </c>
      <c r="BI54" s="0" t="n">
        <f aca="false">IF(Presupuesto!$B$41='Flujo de Pagos'!$E54,41,9999)</f>
        <v>41</v>
      </c>
      <c r="BJ54" s="0" t="n">
        <f aca="false">IF(Presupuesto!$B$42='Flujo de Pagos'!$E54,42,9999)</f>
        <v>42</v>
      </c>
      <c r="BK54" s="0" t="n">
        <f aca="false">IF(Presupuesto!$B$43='Flujo de Pagos'!$E54,43,9999)</f>
        <v>43</v>
      </c>
      <c r="BL54" s="0" t="n">
        <f aca="false">IF(Presupuesto!$B$44='Flujo de Pagos'!$E54,44,9999)</f>
        <v>44</v>
      </c>
      <c r="BM54" s="0" t="n">
        <f aca="false">IF(Presupuesto!$B$45='Flujo de Pagos'!$E54,45,9999)</f>
        <v>45</v>
      </c>
      <c r="BN54" s="0" t="n">
        <f aca="false">IF(Presupuesto!$B$46='Flujo de Pagos'!$E54,46,9999)</f>
        <v>46</v>
      </c>
      <c r="BO54" s="0" t="n">
        <f aca="false">IF(Presupuesto!$B$47='Flujo de Pagos'!$E54,47,9999)</f>
        <v>47</v>
      </c>
      <c r="BP54" s="0" t="n">
        <f aca="false">IF(Presupuesto!$B$48='Flujo de Pagos'!$E54,48,9999)</f>
        <v>48</v>
      </c>
      <c r="BQ54" s="0" t="n">
        <f aca="false">IF(Presupuesto!$B$49='Flujo de Pagos'!$E54,49,9999)</f>
        <v>49</v>
      </c>
      <c r="BR54" s="0" t="n">
        <f aca="false">IF(Presupuesto!$B$50='Flujo de Pagos'!$E54,50,9999)</f>
        <v>50</v>
      </c>
      <c r="BS54" s="0" t="n">
        <f aca="false">IF(Presupuesto!$B$51='Flujo de Pagos'!$E54,51,9999)</f>
        <v>51</v>
      </c>
      <c r="BT54" s="0" t="n">
        <f aca="false">IF(Presupuesto!$B$52='Flujo de Pagos'!$E54,52,9999)</f>
        <v>52</v>
      </c>
      <c r="BU54" s="0" t="n">
        <f aca="false">IF(Presupuesto!$B$53='Flujo de Pagos'!$E54,53,9999)</f>
        <v>53</v>
      </c>
      <c r="BV54" s="0" t="n">
        <f aca="false">IF(Presupuesto!$B$54='Flujo de Pagos'!$E54,54,9999)</f>
        <v>54</v>
      </c>
      <c r="BW54" s="0" t="n">
        <f aca="false">IF(Presupuesto!$B$55='Flujo de Pagos'!$E54,55,9999)</f>
        <v>55</v>
      </c>
      <c r="BX54" s="0" t="n">
        <f aca="false">IF(Presupuesto!$B$56='Flujo de Pagos'!$E54,56,9999)</f>
        <v>56</v>
      </c>
      <c r="BY54" s="0" t="n">
        <f aca="false">IF(Presupuesto!$B$57='Flujo de Pagos'!$E54,57,9999)</f>
        <v>57</v>
      </c>
      <c r="BZ54" s="0" t="n">
        <f aca="false">IF(Presupuesto!$B$58='Flujo de Pagos'!$E54,58,9999)</f>
        <v>58</v>
      </c>
      <c r="CA54" s="0" t="n">
        <f aca="false">IF(Presupuesto!$B$59='Flujo de Pagos'!$E54,59,9999)</f>
        <v>59</v>
      </c>
      <c r="CB54" s="0" t="n">
        <f aca="false">IF(Presupuesto!$B$60='Flujo de Pagos'!$E54,60,9999)</f>
        <v>60</v>
      </c>
      <c r="CC54" s="0" t="n">
        <f aca="false">IF(Presupuesto!$B$61='Flujo de Pagos'!$E54,61,9999)</f>
        <v>61</v>
      </c>
      <c r="CD54" s="0" t="n">
        <f aca="false">IF(Presupuesto!$B$62='Flujo de Pagos'!$E54,62,9999)</f>
        <v>62</v>
      </c>
      <c r="CE54" s="0" t="n">
        <f aca="false">IF(Presupuesto!$B$63='Flujo de Pagos'!$E54,63,9999)</f>
        <v>63</v>
      </c>
      <c r="CF54" s="0" t="n">
        <f aca="false">IF(Presupuesto!$B$64='Flujo de Pagos'!$E54,64,9999)</f>
        <v>64</v>
      </c>
      <c r="CG54" s="0" t="n">
        <f aca="false">IF(Presupuesto!$B$65='Flujo de Pagos'!$E54,65,9999)</f>
        <v>65</v>
      </c>
      <c r="CH54" s="0" t="n">
        <f aca="false">IF(Presupuesto!$B$66='Flujo de Pagos'!$E54,66,9999)</f>
        <v>66</v>
      </c>
    </row>
    <row r="55" customFormat="false" ht="15" hidden="false" customHeight="true" outlineLevel="0" collapsed="false">
      <c r="A55" s="1" t="n">
        <f aca="false">IF(Presupuesto!B60=Carátula!$B$2,60,9999)</f>
        <v>9999</v>
      </c>
      <c r="B55" s="1" t="n">
        <f aca="false">IF(AND('Flujo de Pagos'!E60=Carátula!$B$2,'Flujo de Pagos'!F60=Carátula!$B$4,'Flujo de Pagos'!H60&lt;&gt;""),60,99999)</f>
        <v>99999</v>
      </c>
      <c r="D55" s="1" t="str">
        <f aca="false">IF(SMALL($A$2:$A$61,54)&gt;=9999,"",INDEX(Presupuesto!$C:$C,SMALL($A$2:$A$61,54)))</f>
        <v/>
      </c>
      <c r="E55" s="1" t="str">
        <f aca="false">IF(SMALL($B$2:$B$501,54)&gt;=99999,"",INDEX('Flujo de Pagos'!$H:$H,SMALL($B$2:$B$501,54)))</f>
        <v/>
      </c>
      <c r="H55" s="1" t="n">
        <f aca="false">IF(SMALL($AA55:$CH55,1)&gt;=9999,"",INDEX(Presupuesto!$C:$C,SMALL($AA55:$CH55,1)))</f>
        <v>0</v>
      </c>
      <c r="I55" s="1" t="n">
        <f aca="false">IF(SMALL($AA55:$CH55,2)&gt;=9999,"",INDEX(Presupuesto!$C:$C,SMALL($AA55:$CH55,2)))</f>
        <v>0</v>
      </c>
      <c r="J55" s="1" t="n">
        <f aca="false">IF(SMALL($AA55:$CH55,3)&gt;=9999,"",INDEX(Presupuesto!$C:$C,SMALL($AA55:$CH55,3)))</f>
        <v>0</v>
      </c>
      <c r="K55" s="1" t="n">
        <f aca="false">IF(SMALL($AA55:$CH55,4)&gt;=9999,"",INDEX(Presupuesto!$C:$C,SMALL($AA55:$CH55,4)))</f>
        <v>0</v>
      </c>
      <c r="L55" s="1" t="n">
        <f aca="false">IF(SMALL($AA55:$CH55,5)&gt;=9999,"",INDEX(Presupuesto!$C:$C,SMALL($AA55:$CH55,5)))</f>
        <v>0</v>
      </c>
      <c r="M55" s="1" t="n">
        <f aca="false">IF(SMALL($AA55:$CH55,6)&gt;=9999,"",INDEX(Presupuesto!$C:$C,SMALL($AA55:$CH55,6)))</f>
        <v>0</v>
      </c>
      <c r="N55" s="1" t="n">
        <f aca="false">IF(SMALL($AA55:$CH55,7)&gt;=9999,"",INDEX(Presupuesto!$C:$C,SMALL($AA55:$CH55,7)))</f>
        <v>0</v>
      </c>
      <c r="O55" s="1" t="n">
        <f aca="false">IF(SMALL($AA55:$CH55,8)&gt;=9999,"",INDEX(Presupuesto!$C:$C,SMALL($AA55:$CH55,8)))</f>
        <v>0</v>
      </c>
      <c r="P55" s="1" t="n">
        <f aca="false">IF(SMALL($AA55:$CH55,9)&gt;=9999,"",INDEX(Presupuesto!$C:$C,SMALL($AA55:$CH55,9)))</f>
        <v>0</v>
      </c>
      <c r="Q55" s="1" t="n">
        <f aca="false">IF(SMALL($AA55:$CH55,10)&gt;=9999,"",INDEX(Presupuesto!$C:$C,SMALL($AA55:$CH55,10)))</f>
        <v>0</v>
      </c>
      <c r="AA55" s="0" t="n">
        <f aca="false">IF(Presupuesto!$B$7='Flujo de Pagos'!$E55,7,9999)</f>
        <v>9999</v>
      </c>
      <c r="AB55" s="0" t="n">
        <f aca="false">IF(Presupuesto!$B$8='Flujo de Pagos'!$E55,8,9999)</f>
        <v>9999</v>
      </c>
      <c r="AC55" s="0" t="n">
        <f aca="false">IF(Presupuesto!$B$9='Flujo de Pagos'!$E55,9,9999)</f>
        <v>9999</v>
      </c>
      <c r="AD55" s="0" t="n">
        <f aca="false">IF(Presupuesto!$B$10='Flujo de Pagos'!$E55,10,9999)</f>
        <v>9999</v>
      </c>
      <c r="AE55" s="0" t="n">
        <f aca="false">IF(Presupuesto!$B$11='Flujo de Pagos'!$E55,11,9999)</f>
        <v>9999</v>
      </c>
      <c r="AF55" s="0" t="n">
        <f aca="false">IF(Presupuesto!$B$12='Flujo de Pagos'!$E55,12,9999)</f>
        <v>12</v>
      </c>
      <c r="AG55" s="0" t="n">
        <f aca="false">IF(Presupuesto!$B$13='Flujo de Pagos'!$E55,13,9999)</f>
        <v>13</v>
      </c>
      <c r="AH55" s="0" t="n">
        <f aca="false">IF(Presupuesto!$B$14='Flujo de Pagos'!$E55,14,9999)</f>
        <v>14</v>
      </c>
      <c r="AI55" s="0" t="n">
        <f aca="false">IF(Presupuesto!$B$15='Flujo de Pagos'!$E55,15,9999)</f>
        <v>15</v>
      </c>
      <c r="AJ55" s="0" t="n">
        <f aca="false">IF(Presupuesto!$B$16='Flujo de Pagos'!$E55,16,9999)</f>
        <v>16</v>
      </c>
      <c r="AK55" s="0" t="n">
        <f aca="false">IF(Presupuesto!$B$17='Flujo de Pagos'!$E55,17,9999)</f>
        <v>17</v>
      </c>
      <c r="AL55" s="0" t="n">
        <f aca="false">IF(Presupuesto!$B$18='Flujo de Pagos'!$E55,18,9999)</f>
        <v>18</v>
      </c>
      <c r="AM55" s="0" t="n">
        <f aca="false">IF(Presupuesto!$B$19='Flujo de Pagos'!$E55,19,9999)</f>
        <v>19</v>
      </c>
      <c r="AN55" s="0" t="n">
        <f aca="false">IF(Presupuesto!$B$20='Flujo de Pagos'!$E55,20,9999)</f>
        <v>20</v>
      </c>
      <c r="AO55" s="0" t="n">
        <f aca="false">IF(Presupuesto!$B$21='Flujo de Pagos'!$E55,21,9999)</f>
        <v>21</v>
      </c>
      <c r="AP55" s="0" t="n">
        <f aca="false">IF(Presupuesto!$B$22='Flujo de Pagos'!$E55,22,9999)</f>
        <v>22</v>
      </c>
      <c r="AQ55" s="0" t="n">
        <f aca="false">IF(Presupuesto!$B$23='Flujo de Pagos'!$E55,23,9999)</f>
        <v>23</v>
      </c>
      <c r="AR55" s="0" t="n">
        <f aca="false">IF(Presupuesto!$B$24='Flujo de Pagos'!$E55,24,9999)</f>
        <v>24</v>
      </c>
      <c r="AS55" s="0" t="n">
        <f aca="false">IF(Presupuesto!$B$25='Flujo de Pagos'!$E55,25,9999)</f>
        <v>25</v>
      </c>
      <c r="AT55" s="0" t="n">
        <f aca="false">IF(Presupuesto!$B$26='Flujo de Pagos'!$E55,26,9999)</f>
        <v>26</v>
      </c>
      <c r="AU55" s="0" t="n">
        <f aca="false">IF(Presupuesto!$B$27='Flujo de Pagos'!$E55,27,9999)</f>
        <v>27</v>
      </c>
      <c r="AV55" s="0" t="n">
        <f aca="false">IF(Presupuesto!$B$28='Flujo de Pagos'!$E55,28,9999)</f>
        <v>28</v>
      </c>
      <c r="AW55" s="0" t="n">
        <f aca="false">IF(Presupuesto!$B$29='Flujo de Pagos'!$E55,29,9999)</f>
        <v>29</v>
      </c>
      <c r="AX55" s="0" t="n">
        <f aca="false">IF(Presupuesto!$B$30='Flujo de Pagos'!$E55,30,9999)</f>
        <v>30</v>
      </c>
      <c r="AY55" s="0" t="n">
        <f aca="false">IF(Presupuesto!$B$31='Flujo de Pagos'!$E55,31,9999)</f>
        <v>31</v>
      </c>
      <c r="AZ55" s="0" t="n">
        <f aca="false">IF(Presupuesto!$B$32='Flujo de Pagos'!$E55,32,9999)</f>
        <v>32</v>
      </c>
      <c r="BA55" s="0" t="n">
        <f aca="false">IF(Presupuesto!$B$33='Flujo de Pagos'!$E55,33,9999)</f>
        <v>33</v>
      </c>
      <c r="BB55" s="0" t="n">
        <f aca="false">IF(Presupuesto!$B$34='Flujo de Pagos'!$E55,34,9999)</f>
        <v>34</v>
      </c>
      <c r="BC55" s="0" t="n">
        <f aca="false">IF(Presupuesto!$B$35='Flujo de Pagos'!$E55,35,9999)</f>
        <v>35</v>
      </c>
      <c r="BD55" s="0" t="n">
        <f aca="false">IF(Presupuesto!$B$36='Flujo de Pagos'!$E55,36,9999)</f>
        <v>36</v>
      </c>
      <c r="BE55" s="0" t="n">
        <f aca="false">IF(Presupuesto!$B$37='Flujo de Pagos'!$E55,37,9999)</f>
        <v>37</v>
      </c>
      <c r="BF55" s="0" t="n">
        <f aca="false">IF(Presupuesto!$B$38='Flujo de Pagos'!$E55,38,9999)</f>
        <v>38</v>
      </c>
      <c r="BG55" s="0" t="n">
        <f aca="false">IF(Presupuesto!$B$39='Flujo de Pagos'!$E55,39,9999)</f>
        <v>39</v>
      </c>
      <c r="BH55" s="0" t="n">
        <f aca="false">IF(Presupuesto!$B$40='Flujo de Pagos'!$E55,40,9999)</f>
        <v>40</v>
      </c>
      <c r="BI55" s="0" t="n">
        <f aca="false">IF(Presupuesto!$B$41='Flujo de Pagos'!$E55,41,9999)</f>
        <v>41</v>
      </c>
      <c r="BJ55" s="0" t="n">
        <f aca="false">IF(Presupuesto!$B$42='Flujo de Pagos'!$E55,42,9999)</f>
        <v>42</v>
      </c>
      <c r="BK55" s="0" t="n">
        <f aca="false">IF(Presupuesto!$B$43='Flujo de Pagos'!$E55,43,9999)</f>
        <v>43</v>
      </c>
      <c r="BL55" s="0" t="n">
        <f aca="false">IF(Presupuesto!$B$44='Flujo de Pagos'!$E55,44,9999)</f>
        <v>44</v>
      </c>
      <c r="BM55" s="0" t="n">
        <f aca="false">IF(Presupuesto!$B$45='Flujo de Pagos'!$E55,45,9999)</f>
        <v>45</v>
      </c>
      <c r="BN55" s="0" t="n">
        <f aca="false">IF(Presupuesto!$B$46='Flujo de Pagos'!$E55,46,9999)</f>
        <v>46</v>
      </c>
      <c r="BO55" s="0" t="n">
        <f aca="false">IF(Presupuesto!$B$47='Flujo de Pagos'!$E55,47,9999)</f>
        <v>47</v>
      </c>
      <c r="BP55" s="0" t="n">
        <f aca="false">IF(Presupuesto!$B$48='Flujo de Pagos'!$E55,48,9999)</f>
        <v>48</v>
      </c>
      <c r="BQ55" s="0" t="n">
        <f aca="false">IF(Presupuesto!$B$49='Flujo de Pagos'!$E55,49,9999)</f>
        <v>49</v>
      </c>
      <c r="BR55" s="0" t="n">
        <f aca="false">IF(Presupuesto!$B$50='Flujo de Pagos'!$E55,50,9999)</f>
        <v>50</v>
      </c>
      <c r="BS55" s="0" t="n">
        <f aca="false">IF(Presupuesto!$B$51='Flujo de Pagos'!$E55,51,9999)</f>
        <v>51</v>
      </c>
      <c r="BT55" s="0" t="n">
        <f aca="false">IF(Presupuesto!$B$52='Flujo de Pagos'!$E55,52,9999)</f>
        <v>52</v>
      </c>
      <c r="BU55" s="0" t="n">
        <f aca="false">IF(Presupuesto!$B$53='Flujo de Pagos'!$E55,53,9999)</f>
        <v>53</v>
      </c>
      <c r="BV55" s="0" t="n">
        <f aca="false">IF(Presupuesto!$B$54='Flujo de Pagos'!$E55,54,9999)</f>
        <v>54</v>
      </c>
      <c r="BW55" s="0" t="n">
        <f aca="false">IF(Presupuesto!$B$55='Flujo de Pagos'!$E55,55,9999)</f>
        <v>55</v>
      </c>
      <c r="BX55" s="0" t="n">
        <f aca="false">IF(Presupuesto!$B$56='Flujo de Pagos'!$E55,56,9999)</f>
        <v>56</v>
      </c>
      <c r="BY55" s="0" t="n">
        <f aca="false">IF(Presupuesto!$B$57='Flujo de Pagos'!$E55,57,9999)</f>
        <v>57</v>
      </c>
      <c r="BZ55" s="0" t="n">
        <f aca="false">IF(Presupuesto!$B$58='Flujo de Pagos'!$E55,58,9999)</f>
        <v>58</v>
      </c>
      <c r="CA55" s="0" t="n">
        <f aca="false">IF(Presupuesto!$B$59='Flujo de Pagos'!$E55,59,9999)</f>
        <v>59</v>
      </c>
      <c r="CB55" s="0" t="n">
        <f aca="false">IF(Presupuesto!$B$60='Flujo de Pagos'!$E55,60,9999)</f>
        <v>60</v>
      </c>
      <c r="CC55" s="0" t="n">
        <f aca="false">IF(Presupuesto!$B$61='Flujo de Pagos'!$E55,61,9999)</f>
        <v>61</v>
      </c>
      <c r="CD55" s="0" t="n">
        <f aca="false">IF(Presupuesto!$B$62='Flujo de Pagos'!$E55,62,9999)</f>
        <v>62</v>
      </c>
      <c r="CE55" s="0" t="n">
        <f aca="false">IF(Presupuesto!$B$63='Flujo de Pagos'!$E55,63,9999)</f>
        <v>63</v>
      </c>
      <c r="CF55" s="0" t="n">
        <f aca="false">IF(Presupuesto!$B$64='Flujo de Pagos'!$E55,64,9999)</f>
        <v>64</v>
      </c>
      <c r="CG55" s="0" t="n">
        <f aca="false">IF(Presupuesto!$B$65='Flujo de Pagos'!$E55,65,9999)</f>
        <v>65</v>
      </c>
      <c r="CH55" s="0" t="n">
        <f aca="false">IF(Presupuesto!$B$66='Flujo de Pagos'!$E55,66,9999)</f>
        <v>66</v>
      </c>
    </row>
    <row r="56" customFormat="false" ht="15" hidden="false" customHeight="true" outlineLevel="0" collapsed="false">
      <c r="A56" s="1" t="n">
        <f aca="false">IF(Presupuesto!B61=Carátula!$B$2,61,9999)</f>
        <v>9999</v>
      </c>
      <c r="B56" s="1" t="n">
        <f aca="false">IF(AND('Flujo de Pagos'!E61=Carátula!$B$2,'Flujo de Pagos'!F61=Carátula!$B$4,'Flujo de Pagos'!H61&lt;&gt;""),61,99999)</f>
        <v>99999</v>
      </c>
      <c r="D56" s="1" t="str">
        <f aca="false">IF(SMALL($A$2:$A$61,55)&gt;=9999,"",INDEX(Presupuesto!$C:$C,SMALL($A$2:$A$61,55)))</f>
        <v/>
      </c>
      <c r="E56" s="1" t="str">
        <f aca="false">IF(SMALL($B$2:$B$501,55)&gt;=99999,"",INDEX('Flujo de Pagos'!$H:$H,SMALL($B$2:$B$501,55)))</f>
        <v/>
      </c>
      <c r="H56" s="1" t="n">
        <f aca="false">IF(SMALL($AA56:$CH56,1)&gt;=9999,"",INDEX(Presupuesto!$C:$C,SMALL($AA56:$CH56,1)))</f>
        <v>0</v>
      </c>
      <c r="I56" s="1" t="n">
        <f aca="false">IF(SMALL($AA56:$CH56,2)&gt;=9999,"",INDEX(Presupuesto!$C:$C,SMALL($AA56:$CH56,2)))</f>
        <v>0</v>
      </c>
      <c r="J56" s="1" t="n">
        <f aca="false">IF(SMALL($AA56:$CH56,3)&gt;=9999,"",INDEX(Presupuesto!$C:$C,SMALL($AA56:$CH56,3)))</f>
        <v>0</v>
      </c>
      <c r="K56" s="1" t="n">
        <f aca="false">IF(SMALL($AA56:$CH56,4)&gt;=9999,"",INDEX(Presupuesto!$C:$C,SMALL($AA56:$CH56,4)))</f>
        <v>0</v>
      </c>
      <c r="L56" s="1" t="n">
        <f aca="false">IF(SMALL($AA56:$CH56,5)&gt;=9999,"",INDEX(Presupuesto!$C:$C,SMALL($AA56:$CH56,5)))</f>
        <v>0</v>
      </c>
      <c r="M56" s="1" t="n">
        <f aca="false">IF(SMALL($AA56:$CH56,6)&gt;=9999,"",INDEX(Presupuesto!$C:$C,SMALL($AA56:$CH56,6)))</f>
        <v>0</v>
      </c>
      <c r="N56" s="1" t="n">
        <f aca="false">IF(SMALL($AA56:$CH56,7)&gt;=9999,"",INDEX(Presupuesto!$C:$C,SMALL($AA56:$CH56,7)))</f>
        <v>0</v>
      </c>
      <c r="O56" s="1" t="n">
        <f aca="false">IF(SMALL($AA56:$CH56,8)&gt;=9999,"",INDEX(Presupuesto!$C:$C,SMALL($AA56:$CH56,8)))</f>
        <v>0</v>
      </c>
      <c r="P56" s="1" t="n">
        <f aca="false">IF(SMALL($AA56:$CH56,9)&gt;=9999,"",INDEX(Presupuesto!$C:$C,SMALL($AA56:$CH56,9)))</f>
        <v>0</v>
      </c>
      <c r="Q56" s="1" t="n">
        <f aca="false">IF(SMALL($AA56:$CH56,10)&gt;=9999,"",INDEX(Presupuesto!$C:$C,SMALL($AA56:$CH56,10)))</f>
        <v>0</v>
      </c>
      <c r="AA56" s="0" t="n">
        <f aca="false">IF(Presupuesto!$B$7='Flujo de Pagos'!$E56,7,9999)</f>
        <v>9999</v>
      </c>
      <c r="AB56" s="0" t="n">
        <f aca="false">IF(Presupuesto!$B$8='Flujo de Pagos'!$E56,8,9999)</f>
        <v>9999</v>
      </c>
      <c r="AC56" s="0" t="n">
        <f aca="false">IF(Presupuesto!$B$9='Flujo de Pagos'!$E56,9,9999)</f>
        <v>9999</v>
      </c>
      <c r="AD56" s="0" t="n">
        <f aca="false">IF(Presupuesto!$B$10='Flujo de Pagos'!$E56,10,9999)</f>
        <v>9999</v>
      </c>
      <c r="AE56" s="0" t="n">
        <f aca="false">IF(Presupuesto!$B$11='Flujo de Pagos'!$E56,11,9999)</f>
        <v>9999</v>
      </c>
      <c r="AF56" s="0" t="n">
        <f aca="false">IF(Presupuesto!$B$12='Flujo de Pagos'!$E56,12,9999)</f>
        <v>12</v>
      </c>
      <c r="AG56" s="0" t="n">
        <f aca="false">IF(Presupuesto!$B$13='Flujo de Pagos'!$E56,13,9999)</f>
        <v>13</v>
      </c>
      <c r="AH56" s="0" t="n">
        <f aca="false">IF(Presupuesto!$B$14='Flujo de Pagos'!$E56,14,9999)</f>
        <v>14</v>
      </c>
      <c r="AI56" s="0" t="n">
        <f aca="false">IF(Presupuesto!$B$15='Flujo de Pagos'!$E56,15,9999)</f>
        <v>15</v>
      </c>
      <c r="AJ56" s="0" t="n">
        <f aca="false">IF(Presupuesto!$B$16='Flujo de Pagos'!$E56,16,9999)</f>
        <v>16</v>
      </c>
      <c r="AK56" s="0" t="n">
        <f aca="false">IF(Presupuesto!$B$17='Flujo de Pagos'!$E56,17,9999)</f>
        <v>17</v>
      </c>
      <c r="AL56" s="0" t="n">
        <f aca="false">IF(Presupuesto!$B$18='Flujo de Pagos'!$E56,18,9999)</f>
        <v>18</v>
      </c>
      <c r="AM56" s="0" t="n">
        <f aca="false">IF(Presupuesto!$B$19='Flujo de Pagos'!$E56,19,9999)</f>
        <v>19</v>
      </c>
      <c r="AN56" s="0" t="n">
        <f aca="false">IF(Presupuesto!$B$20='Flujo de Pagos'!$E56,20,9999)</f>
        <v>20</v>
      </c>
      <c r="AO56" s="0" t="n">
        <f aca="false">IF(Presupuesto!$B$21='Flujo de Pagos'!$E56,21,9999)</f>
        <v>21</v>
      </c>
      <c r="AP56" s="0" t="n">
        <f aca="false">IF(Presupuesto!$B$22='Flujo de Pagos'!$E56,22,9999)</f>
        <v>22</v>
      </c>
      <c r="AQ56" s="0" t="n">
        <f aca="false">IF(Presupuesto!$B$23='Flujo de Pagos'!$E56,23,9999)</f>
        <v>23</v>
      </c>
      <c r="AR56" s="0" t="n">
        <f aca="false">IF(Presupuesto!$B$24='Flujo de Pagos'!$E56,24,9999)</f>
        <v>24</v>
      </c>
      <c r="AS56" s="0" t="n">
        <f aca="false">IF(Presupuesto!$B$25='Flujo de Pagos'!$E56,25,9999)</f>
        <v>25</v>
      </c>
      <c r="AT56" s="0" t="n">
        <f aca="false">IF(Presupuesto!$B$26='Flujo de Pagos'!$E56,26,9999)</f>
        <v>26</v>
      </c>
      <c r="AU56" s="0" t="n">
        <f aca="false">IF(Presupuesto!$B$27='Flujo de Pagos'!$E56,27,9999)</f>
        <v>27</v>
      </c>
      <c r="AV56" s="0" t="n">
        <f aca="false">IF(Presupuesto!$B$28='Flujo de Pagos'!$E56,28,9999)</f>
        <v>28</v>
      </c>
      <c r="AW56" s="0" t="n">
        <f aca="false">IF(Presupuesto!$B$29='Flujo de Pagos'!$E56,29,9999)</f>
        <v>29</v>
      </c>
      <c r="AX56" s="0" t="n">
        <f aca="false">IF(Presupuesto!$B$30='Flujo de Pagos'!$E56,30,9999)</f>
        <v>30</v>
      </c>
      <c r="AY56" s="0" t="n">
        <f aca="false">IF(Presupuesto!$B$31='Flujo de Pagos'!$E56,31,9999)</f>
        <v>31</v>
      </c>
      <c r="AZ56" s="0" t="n">
        <f aca="false">IF(Presupuesto!$B$32='Flujo de Pagos'!$E56,32,9999)</f>
        <v>32</v>
      </c>
      <c r="BA56" s="0" t="n">
        <f aca="false">IF(Presupuesto!$B$33='Flujo de Pagos'!$E56,33,9999)</f>
        <v>33</v>
      </c>
      <c r="BB56" s="0" t="n">
        <f aca="false">IF(Presupuesto!$B$34='Flujo de Pagos'!$E56,34,9999)</f>
        <v>34</v>
      </c>
      <c r="BC56" s="0" t="n">
        <f aca="false">IF(Presupuesto!$B$35='Flujo de Pagos'!$E56,35,9999)</f>
        <v>35</v>
      </c>
      <c r="BD56" s="0" t="n">
        <f aca="false">IF(Presupuesto!$B$36='Flujo de Pagos'!$E56,36,9999)</f>
        <v>36</v>
      </c>
      <c r="BE56" s="0" t="n">
        <f aca="false">IF(Presupuesto!$B$37='Flujo de Pagos'!$E56,37,9999)</f>
        <v>37</v>
      </c>
      <c r="BF56" s="0" t="n">
        <f aca="false">IF(Presupuesto!$B$38='Flujo de Pagos'!$E56,38,9999)</f>
        <v>38</v>
      </c>
      <c r="BG56" s="0" t="n">
        <f aca="false">IF(Presupuesto!$B$39='Flujo de Pagos'!$E56,39,9999)</f>
        <v>39</v>
      </c>
      <c r="BH56" s="0" t="n">
        <f aca="false">IF(Presupuesto!$B$40='Flujo de Pagos'!$E56,40,9999)</f>
        <v>40</v>
      </c>
      <c r="BI56" s="0" t="n">
        <f aca="false">IF(Presupuesto!$B$41='Flujo de Pagos'!$E56,41,9999)</f>
        <v>41</v>
      </c>
      <c r="BJ56" s="0" t="n">
        <f aca="false">IF(Presupuesto!$B$42='Flujo de Pagos'!$E56,42,9999)</f>
        <v>42</v>
      </c>
      <c r="BK56" s="0" t="n">
        <f aca="false">IF(Presupuesto!$B$43='Flujo de Pagos'!$E56,43,9999)</f>
        <v>43</v>
      </c>
      <c r="BL56" s="0" t="n">
        <f aca="false">IF(Presupuesto!$B$44='Flujo de Pagos'!$E56,44,9999)</f>
        <v>44</v>
      </c>
      <c r="BM56" s="0" t="n">
        <f aca="false">IF(Presupuesto!$B$45='Flujo de Pagos'!$E56,45,9999)</f>
        <v>45</v>
      </c>
      <c r="BN56" s="0" t="n">
        <f aca="false">IF(Presupuesto!$B$46='Flujo de Pagos'!$E56,46,9999)</f>
        <v>46</v>
      </c>
      <c r="BO56" s="0" t="n">
        <f aca="false">IF(Presupuesto!$B$47='Flujo de Pagos'!$E56,47,9999)</f>
        <v>47</v>
      </c>
      <c r="BP56" s="0" t="n">
        <f aca="false">IF(Presupuesto!$B$48='Flujo de Pagos'!$E56,48,9999)</f>
        <v>48</v>
      </c>
      <c r="BQ56" s="0" t="n">
        <f aca="false">IF(Presupuesto!$B$49='Flujo de Pagos'!$E56,49,9999)</f>
        <v>49</v>
      </c>
      <c r="BR56" s="0" t="n">
        <f aca="false">IF(Presupuesto!$B$50='Flujo de Pagos'!$E56,50,9999)</f>
        <v>50</v>
      </c>
      <c r="BS56" s="0" t="n">
        <f aca="false">IF(Presupuesto!$B$51='Flujo de Pagos'!$E56,51,9999)</f>
        <v>51</v>
      </c>
      <c r="BT56" s="0" t="n">
        <f aca="false">IF(Presupuesto!$B$52='Flujo de Pagos'!$E56,52,9999)</f>
        <v>52</v>
      </c>
      <c r="BU56" s="0" t="n">
        <f aca="false">IF(Presupuesto!$B$53='Flujo de Pagos'!$E56,53,9999)</f>
        <v>53</v>
      </c>
      <c r="BV56" s="0" t="n">
        <f aca="false">IF(Presupuesto!$B$54='Flujo de Pagos'!$E56,54,9999)</f>
        <v>54</v>
      </c>
      <c r="BW56" s="0" t="n">
        <f aca="false">IF(Presupuesto!$B$55='Flujo de Pagos'!$E56,55,9999)</f>
        <v>55</v>
      </c>
      <c r="BX56" s="0" t="n">
        <f aca="false">IF(Presupuesto!$B$56='Flujo de Pagos'!$E56,56,9999)</f>
        <v>56</v>
      </c>
      <c r="BY56" s="0" t="n">
        <f aca="false">IF(Presupuesto!$B$57='Flujo de Pagos'!$E56,57,9999)</f>
        <v>57</v>
      </c>
      <c r="BZ56" s="0" t="n">
        <f aca="false">IF(Presupuesto!$B$58='Flujo de Pagos'!$E56,58,9999)</f>
        <v>58</v>
      </c>
      <c r="CA56" s="0" t="n">
        <f aca="false">IF(Presupuesto!$B$59='Flujo de Pagos'!$E56,59,9999)</f>
        <v>59</v>
      </c>
      <c r="CB56" s="0" t="n">
        <f aca="false">IF(Presupuesto!$B$60='Flujo de Pagos'!$E56,60,9999)</f>
        <v>60</v>
      </c>
      <c r="CC56" s="0" t="n">
        <f aca="false">IF(Presupuesto!$B$61='Flujo de Pagos'!$E56,61,9999)</f>
        <v>61</v>
      </c>
      <c r="CD56" s="0" t="n">
        <f aca="false">IF(Presupuesto!$B$62='Flujo de Pagos'!$E56,62,9999)</f>
        <v>62</v>
      </c>
      <c r="CE56" s="0" t="n">
        <f aca="false">IF(Presupuesto!$B$63='Flujo de Pagos'!$E56,63,9999)</f>
        <v>63</v>
      </c>
      <c r="CF56" s="0" t="n">
        <f aca="false">IF(Presupuesto!$B$64='Flujo de Pagos'!$E56,64,9999)</f>
        <v>64</v>
      </c>
      <c r="CG56" s="0" t="n">
        <f aca="false">IF(Presupuesto!$B$65='Flujo de Pagos'!$E56,65,9999)</f>
        <v>65</v>
      </c>
      <c r="CH56" s="0" t="n">
        <f aca="false">IF(Presupuesto!$B$66='Flujo de Pagos'!$E56,66,9999)</f>
        <v>66</v>
      </c>
    </row>
    <row r="57" customFormat="false" ht="15" hidden="false" customHeight="true" outlineLevel="0" collapsed="false">
      <c r="A57" s="1" t="n">
        <f aca="false">IF(Presupuesto!B62=Carátula!$B$2,62,9999)</f>
        <v>9999</v>
      </c>
      <c r="B57" s="1" t="n">
        <f aca="false">IF(AND('Flujo de Pagos'!E62=Carátula!$B$2,'Flujo de Pagos'!F62=Carátula!$B$4,'Flujo de Pagos'!H62&lt;&gt;""),62,99999)</f>
        <v>99999</v>
      </c>
      <c r="D57" s="1" t="str">
        <f aca="false">IF(SMALL($A$2:$A$61,56)&gt;=9999,"",INDEX(Presupuesto!$C:$C,SMALL($A$2:$A$61,56)))</f>
        <v/>
      </c>
      <c r="E57" s="1" t="str">
        <f aca="false">IF(SMALL($B$2:$B$501,56)&gt;=99999,"",INDEX('Flujo de Pagos'!$H:$H,SMALL($B$2:$B$501,56)))</f>
        <v/>
      </c>
      <c r="H57" s="1" t="n">
        <f aca="false">IF(SMALL($AA57:$CH57,1)&gt;=9999,"",INDEX(Presupuesto!$C:$C,SMALL($AA57:$CH57,1)))</f>
        <v>0</v>
      </c>
      <c r="I57" s="1" t="n">
        <f aca="false">IF(SMALL($AA57:$CH57,2)&gt;=9999,"",INDEX(Presupuesto!$C:$C,SMALL($AA57:$CH57,2)))</f>
        <v>0</v>
      </c>
      <c r="J57" s="1" t="n">
        <f aca="false">IF(SMALL($AA57:$CH57,3)&gt;=9999,"",INDEX(Presupuesto!$C:$C,SMALL($AA57:$CH57,3)))</f>
        <v>0</v>
      </c>
      <c r="K57" s="1" t="n">
        <f aca="false">IF(SMALL($AA57:$CH57,4)&gt;=9999,"",INDEX(Presupuesto!$C:$C,SMALL($AA57:$CH57,4)))</f>
        <v>0</v>
      </c>
      <c r="L57" s="1" t="n">
        <f aca="false">IF(SMALL($AA57:$CH57,5)&gt;=9999,"",INDEX(Presupuesto!$C:$C,SMALL($AA57:$CH57,5)))</f>
        <v>0</v>
      </c>
      <c r="M57" s="1" t="n">
        <f aca="false">IF(SMALL($AA57:$CH57,6)&gt;=9999,"",INDEX(Presupuesto!$C:$C,SMALL($AA57:$CH57,6)))</f>
        <v>0</v>
      </c>
      <c r="N57" s="1" t="n">
        <f aca="false">IF(SMALL($AA57:$CH57,7)&gt;=9999,"",INDEX(Presupuesto!$C:$C,SMALL($AA57:$CH57,7)))</f>
        <v>0</v>
      </c>
      <c r="O57" s="1" t="n">
        <f aca="false">IF(SMALL($AA57:$CH57,8)&gt;=9999,"",INDEX(Presupuesto!$C:$C,SMALL($AA57:$CH57,8)))</f>
        <v>0</v>
      </c>
      <c r="P57" s="1" t="n">
        <f aca="false">IF(SMALL($AA57:$CH57,9)&gt;=9999,"",INDEX(Presupuesto!$C:$C,SMALL($AA57:$CH57,9)))</f>
        <v>0</v>
      </c>
      <c r="Q57" s="1" t="n">
        <f aca="false">IF(SMALL($AA57:$CH57,10)&gt;=9999,"",INDEX(Presupuesto!$C:$C,SMALL($AA57:$CH57,10)))</f>
        <v>0</v>
      </c>
      <c r="AA57" s="0" t="n">
        <f aca="false">IF(Presupuesto!$B$7='Flujo de Pagos'!$E57,7,9999)</f>
        <v>9999</v>
      </c>
      <c r="AB57" s="0" t="n">
        <f aca="false">IF(Presupuesto!$B$8='Flujo de Pagos'!$E57,8,9999)</f>
        <v>9999</v>
      </c>
      <c r="AC57" s="0" t="n">
        <f aca="false">IF(Presupuesto!$B$9='Flujo de Pagos'!$E57,9,9999)</f>
        <v>9999</v>
      </c>
      <c r="AD57" s="0" t="n">
        <f aca="false">IF(Presupuesto!$B$10='Flujo de Pagos'!$E57,10,9999)</f>
        <v>9999</v>
      </c>
      <c r="AE57" s="0" t="n">
        <f aca="false">IF(Presupuesto!$B$11='Flujo de Pagos'!$E57,11,9999)</f>
        <v>9999</v>
      </c>
      <c r="AF57" s="0" t="n">
        <f aca="false">IF(Presupuesto!$B$12='Flujo de Pagos'!$E57,12,9999)</f>
        <v>12</v>
      </c>
      <c r="AG57" s="0" t="n">
        <f aca="false">IF(Presupuesto!$B$13='Flujo de Pagos'!$E57,13,9999)</f>
        <v>13</v>
      </c>
      <c r="AH57" s="0" t="n">
        <f aca="false">IF(Presupuesto!$B$14='Flujo de Pagos'!$E57,14,9999)</f>
        <v>14</v>
      </c>
      <c r="AI57" s="0" t="n">
        <f aca="false">IF(Presupuesto!$B$15='Flujo de Pagos'!$E57,15,9999)</f>
        <v>15</v>
      </c>
      <c r="AJ57" s="0" t="n">
        <f aca="false">IF(Presupuesto!$B$16='Flujo de Pagos'!$E57,16,9999)</f>
        <v>16</v>
      </c>
      <c r="AK57" s="0" t="n">
        <f aca="false">IF(Presupuesto!$B$17='Flujo de Pagos'!$E57,17,9999)</f>
        <v>17</v>
      </c>
      <c r="AL57" s="0" t="n">
        <f aca="false">IF(Presupuesto!$B$18='Flujo de Pagos'!$E57,18,9999)</f>
        <v>18</v>
      </c>
      <c r="AM57" s="0" t="n">
        <f aca="false">IF(Presupuesto!$B$19='Flujo de Pagos'!$E57,19,9999)</f>
        <v>19</v>
      </c>
      <c r="AN57" s="0" t="n">
        <f aca="false">IF(Presupuesto!$B$20='Flujo de Pagos'!$E57,20,9999)</f>
        <v>20</v>
      </c>
      <c r="AO57" s="0" t="n">
        <f aca="false">IF(Presupuesto!$B$21='Flujo de Pagos'!$E57,21,9999)</f>
        <v>21</v>
      </c>
      <c r="AP57" s="0" t="n">
        <f aca="false">IF(Presupuesto!$B$22='Flujo de Pagos'!$E57,22,9999)</f>
        <v>22</v>
      </c>
      <c r="AQ57" s="0" t="n">
        <f aca="false">IF(Presupuesto!$B$23='Flujo de Pagos'!$E57,23,9999)</f>
        <v>23</v>
      </c>
      <c r="AR57" s="0" t="n">
        <f aca="false">IF(Presupuesto!$B$24='Flujo de Pagos'!$E57,24,9999)</f>
        <v>24</v>
      </c>
      <c r="AS57" s="0" t="n">
        <f aca="false">IF(Presupuesto!$B$25='Flujo de Pagos'!$E57,25,9999)</f>
        <v>25</v>
      </c>
      <c r="AT57" s="0" t="n">
        <f aca="false">IF(Presupuesto!$B$26='Flujo de Pagos'!$E57,26,9999)</f>
        <v>26</v>
      </c>
      <c r="AU57" s="0" t="n">
        <f aca="false">IF(Presupuesto!$B$27='Flujo de Pagos'!$E57,27,9999)</f>
        <v>27</v>
      </c>
      <c r="AV57" s="0" t="n">
        <f aca="false">IF(Presupuesto!$B$28='Flujo de Pagos'!$E57,28,9999)</f>
        <v>28</v>
      </c>
      <c r="AW57" s="0" t="n">
        <f aca="false">IF(Presupuesto!$B$29='Flujo de Pagos'!$E57,29,9999)</f>
        <v>29</v>
      </c>
      <c r="AX57" s="0" t="n">
        <f aca="false">IF(Presupuesto!$B$30='Flujo de Pagos'!$E57,30,9999)</f>
        <v>30</v>
      </c>
      <c r="AY57" s="0" t="n">
        <f aca="false">IF(Presupuesto!$B$31='Flujo de Pagos'!$E57,31,9999)</f>
        <v>31</v>
      </c>
      <c r="AZ57" s="0" t="n">
        <f aca="false">IF(Presupuesto!$B$32='Flujo de Pagos'!$E57,32,9999)</f>
        <v>32</v>
      </c>
      <c r="BA57" s="0" t="n">
        <f aca="false">IF(Presupuesto!$B$33='Flujo de Pagos'!$E57,33,9999)</f>
        <v>33</v>
      </c>
      <c r="BB57" s="0" t="n">
        <f aca="false">IF(Presupuesto!$B$34='Flujo de Pagos'!$E57,34,9999)</f>
        <v>34</v>
      </c>
      <c r="BC57" s="0" t="n">
        <f aca="false">IF(Presupuesto!$B$35='Flujo de Pagos'!$E57,35,9999)</f>
        <v>35</v>
      </c>
      <c r="BD57" s="0" t="n">
        <f aca="false">IF(Presupuesto!$B$36='Flujo de Pagos'!$E57,36,9999)</f>
        <v>36</v>
      </c>
      <c r="BE57" s="0" t="n">
        <f aca="false">IF(Presupuesto!$B$37='Flujo de Pagos'!$E57,37,9999)</f>
        <v>37</v>
      </c>
      <c r="BF57" s="0" t="n">
        <f aca="false">IF(Presupuesto!$B$38='Flujo de Pagos'!$E57,38,9999)</f>
        <v>38</v>
      </c>
      <c r="BG57" s="0" t="n">
        <f aca="false">IF(Presupuesto!$B$39='Flujo de Pagos'!$E57,39,9999)</f>
        <v>39</v>
      </c>
      <c r="BH57" s="0" t="n">
        <f aca="false">IF(Presupuesto!$B$40='Flujo de Pagos'!$E57,40,9999)</f>
        <v>40</v>
      </c>
      <c r="BI57" s="0" t="n">
        <f aca="false">IF(Presupuesto!$B$41='Flujo de Pagos'!$E57,41,9999)</f>
        <v>41</v>
      </c>
      <c r="BJ57" s="0" t="n">
        <f aca="false">IF(Presupuesto!$B$42='Flujo de Pagos'!$E57,42,9999)</f>
        <v>42</v>
      </c>
      <c r="BK57" s="0" t="n">
        <f aca="false">IF(Presupuesto!$B$43='Flujo de Pagos'!$E57,43,9999)</f>
        <v>43</v>
      </c>
      <c r="BL57" s="0" t="n">
        <f aca="false">IF(Presupuesto!$B$44='Flujo de Pagos'!$E57,44,9999)</f>
        <v>44</v>
      </c>
      <c r="BM57" s="0" t="n">
        <f aca="false">IF(Presupuesto!$B$45='Flujo de Pagos'!$E57,45,9999)</f>
        <v>45</v>
      </c>
      <c r="BN57" s="0" t="n">
        <f aca="false">IF(Presupuesto!$B$46='Flujo de Pagos'!$E57,46,9999)</f>
        <v>46</v>
      </c>
      <c r="BO57" s="0" t="n">
        <f aca="false">IF(Presupuesto!$B$47='Flujo de Pagos'!$E57,47,9999)</f>
        <v>47</v>
      </c>
      <c r="BP57" s="0" t="n">
        <f aca="false">IF(Presupuesto!$B$48='Flujo de Pagos'!$E57,48,9999)</f>
        <v>48</v>
      </c>
      <c r="BQ57" s="0" t="n">
        <f aca="false">IF(Presupuesto!$B$49='Flujo de Pagos'!$E57,49,9999)</f>
        <v>49</v>
      </c>
      <c r="BR57" s="0" t="n">
        <f aca="false">IF(Presupuesto!$B$50='Flujo de Pagos'!$E57,50,9999)</f>
        <v>50</v>
      </c>
      <c r="BS57" s="0" t="n">
        <f aca="false">IF(Presupuesto!$B$51='Flujo de Pagos'!$E57,51,9999)</f>
        <v>51</v>
      </c>
      <c r="BT57" s="0" t="n">
        <f aca="false">IF(Presupuesto!$B$52='Flujo de Pagos'!$E57,52,9999)</f>
        <v>52</v>
      </c>
      <c r="BU57" s="0" t="n">
        <f aca="false">IF(Presupuesto!$B$53='Flujo de Pagos'!$E57,53,9999)</f>
        <v>53</v>
      </c>
      <c r="BV57" s="0" t="n">
        <f aca="false">IF(Presupuesto!$B$54='Flujo de Pagos'!$E57,54,9999)</f>
        <v>54</v>
      </c>
      <c r="BW57" s="0" t="n">
        <f aca="false">IF(Presupuesto!$B$55='Flujo de Pagos'!$E57,55,9999)</f>
        <v>55</v>
      </c>
      <c r="BX57" s="0" t="n">
        <f aca="false">IF(Presupuesto!$B$56='Flujo de Pagos'!$E57,56,9999)</f>
        <v>56</v>
      </c>
      <c r="BY57" s="0" t="n">
        <f aca="false">IF(Presupuesto!$B$57='Flujo de Pagos'!$E57,57,9999)</f>
        <v>57</v>
      </c>
      <c r="BZ57" s="0" t="n">
        <f aca="false">IF(Presupuesto!$B$58='Flujo de Pagos'!$E57,58,9999)</f>
        <v>58</v>
      </c>
      <c r="CA57" s="0" t="n">
        <f aca="false">IF(Presupuesto!$B$59='Flujo de Pagos'!$E57,59,9999)</f>
        <v>59</v>
      </c>
      <c r="CB57" s="0" t="n">
        <f aca="false">IF(Presupuesto!$B$60='Flujo de Pagos'!$E57,60,9999)</f>
        <v>60</v>
      </c>
      <c r="CC57" s="0" t="n">
        <f aca="false">IF(Presupuesto!$B$61='Flujo de Pagos'!$E57,61,9999)</f>
        <v>61</v>
      </c>
      <c r="CD57" s="0" t="n">
        <f aca="false">IF(Presupuesto!$B$62='Flujo de Pagos'!$E57,62,9999)</f>
        <v>62</v>
      </c>
      <c r="CE57" s="0" t="n">
        <f aca="false">IF(Presupuesto!$B$63='Flujo de Pagos'!$E57,63,9999)</f>
        <v>63</v>
      </c>
      <c r="CF57" s="0" t="n">
        <f aca="false">IF(Presupuesto!$B$64='Flujo de Pagos'!$E57,64,9999)</f>
        <v>64</v>
      </c>
      <c r="CG57" s="0" t="n">
        <f aca="false">IF(Presupuesto!$B$65='Flujo de Pagos'!$E57,65,9999)</f>
        <v>65</v>
      </c>
      <c r="CH57" s="0" t="n">
        <f aca="false">IF(Presupuesto!$B$66='Flujo de Pagos'!$E57,66,9999)</f>
        <v>66</v>
      </c>
    </row>
    <row r="58" customFormat="false" ht="15" hidden="false" customHeight="true" outlineLevel="0" collapsed="false">
      <c r="A58" s="1" t="n">
        <f aca="false">IF(Presupuesto!B63=Carátula!$B$2,63,9999)</f>
        <v>9999</v>
      </c>
      <c r="B58" s="1" t="n">
        <f aca="false">IF(AND('Flujo de Pagos'!E63=Carátula!$B$2,'Flujo de Pagos'!F63=Carátula!$B$4,'Flujo de Pagos'!H63&lt;&gt;""),63,99999)</f>
        <v>99999</v>
      </c>
      <c r="D58" s="1" t="str">
        <f aca="false">IF(SMALL($A$2:$A$61,57)&gt;=9999,"",INDEX(Presupuesto!$C:$C,SMALL($A$2:$A$61,57)))</f>
        <v/>
      </c>
      <c r="E58" s="1" t="str">
        <f aca="false">IF(SMALL($B$2:$B$501,57)&gt;=99999,"",INDEX('Flujo de Pagos'!$H:$H,SMALL($B$2:$B$501,57)))</f>
        <v/>
      </c>
      <c r="H58" s="1" t="n">
        <f aca="false">IF(SMALL($AA58:$CH58,1)&gt;=9999,"",INDEX(Presupuesto!$C:$C,SMALL($AA58:$CH58,1)))</f>
        <v>0</v>
      </c>
      <c r="I58" s="1" t="n">
        <f aca="false">IF(SMALL($AA58:$CH58,2)&gt;=9999,"",INDEX(Presupuesto!$C:$C,SMALL($AA58:$CH58,2)))</f>
        <v>0</v>
      </c>
      <c r="J58" s="1" t="n">
        <f aca="false">IF(SMALL($AA58:$CH58,3)&gt;=9999,"",INDEX(Presupuesto!$C:$C,SMALL($AA58:$CH58,3)))</f>
        <v>0</v>
      </c>
      <c r="K58" s="1" t="n">
        <f aca="false">IF(SMALL($AA58:$CH58,4)&gt;=9999,"",INDEX(Presupuesto!$C:$C,SMALL($AA58:$CH58,4)))</f>
        <v>0</v>
      </c>
      <c r="L58" s="1" t="n">
        <f aca="false">IF(SMALL($AA58:$CH58,5)&gt;=9999,"",INDEX(Presupuesto!$C:$C,SMALL($AA58:$CH58,5)))</f>
        <v>0</v>
      </c>
      <c r="M58" s="1" t="n">
        <f aca="false">IF(SMALL($AA58:$CH58,6)&gt;=9999,"",INDEX(Presupuesto!$C:$C,SMALL($AA58:$CH58,6)))</f>
        <v>0</v>
      </c>
      <c r="N58" s="1" t="n">
        <f aca="false">IF(SMALL($AA58:$CH58,7)&gt;=9999,"",INDEX(Presupuesto!$C:$C,SMALL($AA58:$CH58,7)))</f>
        <v>0</v>
      </c>
      <c r="O58" s="1" t="n">
        <f aca="false">IF(SMALL($AA58:$CH58,8)&gt;=9999,"",INDEX(Presupuesto!$C:$C,SMALL($AA58:$CH58,8)))</f>
        <v>0</v>
      </c>
      <c r="P58" s="1" t="n">
        <f aca="false">IF(SMALL($AA58:$CH58,9)&gt;=9999,"",INDEX(Presupuesto!$C:$C,SMALL($AA58:$CH58,9)))</f>
        <v>0</v>
      </c>
      <c r="Q58" s="1" t="n">
        <f aca="false">IF(SMALL($AA58:$CH58,10)&gt;=9999,"",INDEX(Presupuesto!$C:$C,SMALL($AA58:$CH58,10)))</f>
        <v>0</v>
      </c>
      <c r="AA58" s="0" t="n">
        <f aca="false">IF(Presupuesto!$B$7='Flujo de Pagos'!$E58,7,9999)</f>
        <v>9999</v>
      </c>
      <c r="AB58" s="0" t="n">
        <f aca="false">IF(Presupuesto!$B$8='Flujo de Pagos'!$E58,8,9999)</f>
        <v>9999</v>
      </c>
      <c r="AC58" s="0" t="n">
        <f aca="false">IF(Presupuesto!$B$9='Flujo de Pagos'!$E58,9,9999)</f>
        <v>9999</v>
      </c>
      <c r="AD58" s="0" t="n">
        <f aca="false">IF(Presupuesto!$B$10='Flujo de Pagos'!$E58,10,9999)</f>
        <v>9999</v>
      </c>
      <c r="AE58" s="0" t="n">
        <f aca="false">IF(Presupuesto!$B$11='Flujo de Pagos'!$E58,11,9999)</f>
        <v>9999</v>
      </c>
      <c r="AF58" s="0" t="n">
        <f aca="false">IF(Presupuesto!$B$12='Flujo de Pagos'!$E58,12,9999)</f>
        <v>12</v>
      </c>
      <c r="AG58" s="0" t="n">
        <f aca="false">IF(Presupuesto!$B$13='Flujo de Pagos'!$E58,13,9999)</f>
        <v>13</v>
      </c>
      <c r="AH58" s="0" t="n">
        <f aca="false">IF(Presupuesto!$B$14='Flujo de Pagos'!$E58,14,9999)</f>
        <v>14</v>
      </c>
      <c r="AI58" s="0" t="n">
        <f aca="false">IF(Presupuesto!$B$15='Flujo de Pagos'!$E58,15,9999)</f>
        <v>15</v>
      </c>
      <c r="AJ58" s="0" t="n">
        <f aca="false">IF(Presupuesto!$B$16='Flujo de Pagos'!$E58,16,9999)</f>
        <v>16</v>
      </c>
      <c r="AK58" s="0" t="n">
        <f aca="false">IF(Presupuesto!$B$17='Flujo de Pagos'!$E58,17,9999)</f>
        <v>17</v>
      </c>
      <c r="AL58" s="0" t="n">
        <f aca="false">IF(Presupuesto!$B$18='Flujo de Pagos'!$E58,18,9999)</f>
        <v>18</v>
      </c>
      <c r="AM58" s="0" t="n">
        <f aca="false">IF(Presupuesto!$B$19='Flujo de Pagos'!$E58,19,9999)</f>
        <v>19</v>
      </c>
      <c r="AN58" s="0" t="n">
        <f aca="false">IF(Presupuesto!$B$20='Flujo de Pagos'!$E58,20,9999)</f>
        <v>20</v>
      </c>
      <c r="AO58" s="0" t="n">
        <f aca="false">IF(Presupuesto!$B$21='Flujo de Pagos'!$E58,21,9999)</f>
        <v>21</v>
      </c>
      <c r="AP58" s="0" t="n">
        <f aca="false">IF(Presupuesto!$B$22='Flujo de Pagos'!$E58,22,9999)</f>
        <v>22</v>
      </c>
      <c r="AQ58" s="0" t="n">
        <f aca="false">IF(Presupuesto!$B$23='Flujo de Pagos'!$E58,23,9999)</f>
        <v>23</v>
      </c>
      <c r="AR58" s="0" t="n">
        <f aca="false">IF(Presupuesto!$B$24='Flujo de Pagos'!$E58,24,9999)</f>
        <v>24</v>
      </c>
      <c r="AS58" s="0" t="n">
        <f aca="false">IF(Presupuesto!$B$25='Flujo de Pagos'!$E58,25,9999)</f>
        <v>25</v>
      </c>
      <c r="AT58" s="0" t="n">
        <f aca="false">IF(Presupuesto!$B$26='Flujo de Pagos'!$E58,26,9999)</f>
        <v>26</v>
      </c>
      <c r="AU58" s="0" t="n">
        <f aca="false">IF(Presupuesto!$B$27='Flujo de Pagos'!$E58,27,9999)</f>
        <v>27</v>
      </c>
      <c r="AV58" s="0" t="n">
        <f aca="false">IF(Presupuesto!$B$28='Flujo de Pagos'!$E58,28,9999)</f>
        <v>28</v>
      </c>
      <c r="AW58" s="0" t="n">
        <f aca="false">IF(Presupuesto!$B$29='Flujo de Pagos'!$E58,29,9999)</f>
        <v>29</v>
      </c>
      <c r="AX58" s="0" t="n">
        <f aca="false">IF(Presupuesto!$B$30='Flujo de Pagos'!$E58,30,9999)</f>
        <v>30</v>
      </c>
      <c r="AY58" s="0" t="n">
        <f aca="false">IF(Presupuesto!$B$31='Flujo de Pagos'!$E58,31,9999)</f>
        <v>31</v>
      </c>
      <c r="AZ58" s="0" t="n">
        <f aca="false">IF(Presupuesto!$B$32='Flujo de Pagos'!$E58,32,9999)</f>
        <v>32</v>
      </c>
      <c r="BA58" s="0" t="n">
        <f aca="false">IF(Presupuesto!$B$33='Flujo de Pagos'!$E58,33,9999)</f>
        <v>33</v>
      </c>
      <c r="BB58" s="0" t="n">
        <f aca="false">IF(Presupuesto!$B$34='Flujo de Pagos'!$E58,34,9999)</f>
        <v>34</v>
      </c>
      <c r="BC58" s="0" t="n">
        <f aca="false">IF(Presupuesto!$B$35='Flujo de Pagos'!$E58,35,9999)</f>
        <v>35</v>
      </c>
      <c r="BD58" s="0" t="n">
        <f aca="false">IF(Presupuesto!$B$36='Flujo de Pagos'!$E58,36,9999)</f>
        <v>36</v>
      </c>
      <c r="BE58" s="0" t="n">
        <f aca="false">IF(Presupuesto!$B$37='Flujo de Pagos'!$E58,37,9999)</f>
        <v>37</v>
      </c>
      <c r="BF58" s="0" t="n">
        <f aca="false">IF(Presupuesto!$B$38='Flujo de Pagos'!$E58,38,9999)</f>
        <v>38</v>
      </c>
      <c r="BG58" s="0" t="n">
        <f aca="false">IF(Presupuesto!$B$39='Flujo de Pagos'!$E58,39,9999)</f>
        <v>39</v>
      </c>
      <c r="BH58" s="0" t="n">
        <f aca="false">IF(Presupuesto!$B$40='Flujo de Pagos'!$E58,40,9999)</f>
        <v>40</v>
      </c>
      <c r="BI58" s="0" t="n">
        <f aca="false">IF(Presupuesto!$B$41='Flujo de Pagos'!$E58,41,9999)</f>
        <v>41</v>
      </c>
      <c r="BJ58" s="0" t="n">
        <f aca="false">IF(Presupuesto!$B$42='Flujo de Pagos'!$E58,42,9999)</f>
        <v>42</v>
      </c>
      <c r="BK58" s="0" t="n">
        <f aca="false">IF(Presupuesto!$B$43='Flujo de Pagos'!$E58,43,9999)</f>
        <v>43</v>
      </c>
      <c r="BL58" s="0" t="n">
        <f aca="false">IF(Presupuesto!$B$44='Flujo de Pagos'!$E58,44,9999)</f>
        <v>44</v>
      </c>
      <c r="BM58" s="0" t="n">
        <f aca="false">IF(Presupuesto!$B$45='Flujo de Pagos'!$E58,45,9999)</f>
        <v>45</v>
      </c>
      <c r="BN58" s="0" t="n">
        <f aca="false">IF(Presupuesto!$B$46='Flujo de Pagos'!$E58,46,9999)</f>
        <v>46</v>
      </c>
      <c r="BO58" s="0" t="n">
        <f aca="false">IF(Presupuesto!$B$47='Flujo de Pagos'!$E58,47,9999)</f>
        <v>47</v>
      </c>
      <c r="BP58" s="0" t="n">
        <f aca="false">IF(Presupuesto!$B$48='Flujo de Pagos'!$E58,48,9999)</f>
        <v>48</v>
      </c>
      <c r="BQ58" s="0" t="n">
        <f aca="false">IF(Presupuesto!$B$49='Flujo de Pagos'!$E58,49,9999)</f>
        <v>49</v>
      </c>
      <c r="BR58" s="0" t="n">
        <f aca="false">IF(Presupuesto!$B$50='Flujo de Pagos'!$E58,50,9999)</f>
        <v>50</v>
      </c>
      <c r="BS58" s="0" t="n">
        <f aca="false">IF(Presupuesto!$B$51='Flujo de Pagos'!$E58,51,9999)</f>
        <v>51</v>
      </c>
      <c r="BT58" s="0" t="n">
        <f aca="false">IF(Presupuesto!$B$52='Flujo de Pagos'!$E58,52,9999)</f>
        <v>52</v>
      </c>
      <c r="BU58" s="0" t="n">
        <f aca="false">IF(Presupuesto!$B$53='Flujo de Pagos'!$E58,53,9999)</f>
        <v>53</v>
      </c>
      <c r="BV58" s="0" t="n">
        <f aca="false">IF(Presupuesto!$B$54='Flujo de Pagos'!$E58,54,9999)</f>
        <v>54</v>
      </c>
      <c r="BW58" s="0" t="n">
        <f aca="false">IF(Presupuesto!$B$55='Flujo de Pagos'!$E58,55,9999)</f>
        <v>55</v>
      </c>
      <c r="BX58" s="0" t="n">
        <f aca="false">IF(Presupuesto!$B$56='Flujo de Pagos'!$E58,56,9999)</f>
        <v>56</v>
      </c>
      <c r="BY58" s="0" t="n">
        <f aca="false">IF(Presupuesto!$B$57='Flujo de Pagos'!$E58,57,9999)</f>
        <v>57</v>
      </c>
      <c r="BZ58" s="0" t="n">
        <f aca="false">IF(Presupuesto!$B$58='Flujo de Pagos'!$E58,58,9999)</f>
        <v>58</v>
      </c>
      <c r="CA58" s="0" t="n">
        <f aca="false">IF(Presupuesto!$B$59='Flujo de Pagos'!$E58,59,9999)</f>
        <v>59</v>
      </c>
      <c r="CB58" s="0" t="n">
        <f aca="false">IF(Presupuesto!$B$60='Flujo de Pagos'!$E58,60,9999)</f>
        <v>60</v>
      </c>
      <c r="CC58" s="0" t="n">
        <f aca="false">IF(Presupuesto!$B$61='Flujo de Pagos'!$E58,61,9999)</f>
        <v>61</v>
      </c>
      <c r="CD58" s="0" t="n">
        <f aca="false">IF(Presupuesto!$B$62='Flujo de Pagos'!$E58,62,9999)</f>
        <v>62</v>
      </c>
      <c r="CE58" s="0" t="n">
        <f aca="false">IF(Presupuesto!$B$63='Flujo de Pagos'!$E58,63,9999)</f>
        <v>63</v>
      </c>
      <c r="CF58" s="0" t="n">
        <f aca="false">IF(Presupuesto!$B$64='Flujo de Pagos'!$E58,64,9999)</f>
        <v>64</v>
      </c>
      <c r="CG58" s="0" t="n">
        <f aca="false">IF(Presupuesto!$B$65='Flujo de Pagos'!$E58,65,9999)</f>
        <v>65</v>
      </c>
      <c r="CH58" s="0" t="n">
        <f aca="false">IF(Presupuesto!$B$66='Flujo de Pagos'!$E58,66,9999)</f>
        <v>66</v>
      </c>
    </row>
    <row r="59" customFormat="false" ht="15" hidden="false" customHeight="true" outlineLevel="0" collapsed="false">
      <c r="A59" s="1" t="n">
        <f aca="false">IF(Presupuesto!B64=Carátula!$B$2,64,9999)</f>
        <v>9999</v>
      </c>
      <c r="B59" s="1" t="n">
        <f aca="false">IF(AND('Flujo de Pagos'!E64=Carátula!$B$2,'Flujo de Pagos'!F64=Carátula!$B$4,'Flujo de Pagos'!H64&lt;&gt;""),64,99999)</f>
        <v>99999</v>
      </c>
      <c r="D59" s="1" t="str">
        <f aca="false">IF(SMALL($A$2:$A$61,58)&gt;=9999,"",INDEX(Presupuesto!$C:$C,SMALL($A$2:$A$61,58)))</f>
        <v/>
      </c>
      <c r="E59" s="1" t="str">
        <f aca="false">IF(SMALL($B$2:$B$501,58)&gt;=99999,"",INDEX('Flujo de Pagos'!$H:$H,SMALL($B$2:$B$501,58)))</f>
        <v/>
      </c>
      <c r="H59" s="1" t="n">
        <f aca="false">IF(SMALL($AA59:$CH59,1)&gt;=9999,"",INDEX(Presupuesto!$C:$C,SMALL($AA59:$CH59,1)))</f>
        <v>0</v>
      </c>
      <c r="I59" s="1" t="n">
        <f aca="false">IF(SMALL($AA59:$CH59,2)&gt;=9999,"",INDEX(Presupuesto!$C:$C,SMALL($AA59:$CH59,2)))</f>
        <v>0</v>
      </c>
      <c r="J59" s="1" t="n">
        <f aca="false">IF(SMALL($AA59:$CH59,3)&gt;=9999,"",INDEX(Presupuesto!$C:$C,SMALL($AA59:$CH59,3)))</f>
        <v>0</v>
      </c>
      <c r="K59" s="1" t="n">
        <f aca="false">IF(SMALL($AA59:$CH59,4)&gt;=9999,"",INDEX(Presupuesto!$C:$C,SMALL($AA59:$CH59,4)))</f>
        <v>0</v>
      </c>
      <c r="L59" s="1" t="n">
        <f aca="false">IF(SMALL($AA59:$CH59,5)&gt;=9999,"",INDEX(Presupuesto!$C:$C,SMALL($AA59:$CH59,5)))</f>
        <v>0</v>
      </c>
      <c r="M59" s="1" t="n">
        <f aca="false">IF(SMALL($AA59:$CH59,6)&gt;=9999,"",INDEX(Presupuesto!$C:$C,SMALL($AA59:$CH59,6)))</f>
        <v>0</v>
      </c>
      <c r="N59" s="1" t="n">
        <f aca="false">IF(SMALL($AA59:$CH59,7)&gt;=9999,"",INDEX(Presupuesto!$C:$C,SMALL($AA59:$CH59,7)))</f>
        <v>0</v>
      </c>
      <c r="O59" s="1" t="n">
        <f aca="false">IF(SMALL($AA59:$CH59,8)&gt;=9999,"",INDEX(Presupuesto!$C:$C,SMALL($AA59:$CH59,8)))</f>
        <v>0</v>
      </c>
      <c r="P59" s="1" t="n">
        <f aca="false">IF(SMALL($AA59:$CH59,9)&gt;=9999,"",INDEX(Presupuesto!$C:$C,SMALL($AA59:$CH59,9)))</f>
        <v>0</v>
      </c>
      <c r="Q59" s="1" t="n">
        <f aca="false">IF(SMALL($AA59:$CH59,10)&gt;=9999,"",INDEX(Presupuesto!$C:$C,SMALL($AA59:$CH59,10)))</f>
        <v>0</v>
      </c>
      <c r="AA59" s="0" t="n">
        <f aca="false">IF(Presupuesto!$B$7='Flujo de Pagos'!$E59,7,9999)</f>
        <v>9999</v>
      </c>
      <c r="AB59" s="0" t="n">
        <f aca="false">IF(Presupuesto!$B$8='Flujo de Pagos'!$E59,8,9999)</f>
        <v>9999</v>
      </c>
      <c r="AC59" s="0" t="n">
        <f aca="false">IF(Presupuesto!$B$9='Flujo de Pagos'!$E59,9,9999)</f>
        <v>9999</v>
      </c>
      <c r="AD59" s="0" t="n">
        <f aca="false">IF(Presupuesto!$B$10='Flujo de Pagos'!$E59,10,9999)</f>
        <v>9999</v>
      </c>
      <c r="AE59" s="0" t="n">
        <f aca="false">IF(Presupuesto!$B$11='Flujo de Pagos'!$E59,11,9999)</f>
        <v>9999</v>
      </c>
      <c r="AF59" s="0" t="n">
        <f aca="false">IF(Presupuesto!$B$12='Flujo de Pagos'!$E59,12,9999)</f>
        <v>12</v>
      </c>
      <c r="AG59" s="0" t="n">
        <f aca="false">IF(Presupuesto!$B$13='Flujo de Pagos'!$E59,13,9999)</f>
        <v>13</v>
      </c>
      <c r="AH59" s="0" t="n">
        <f aca="false">IF(Presupuesto!$B$14='Flujo de Pagos'!$E59,14,9999)</f>
        <v>14</v>
      </c>
      <c r="AI59" s="0" t="n">
        <f aca="false">IF(Presupuesto!$B$15='Flujo de Pagos'!$E59,15,9999)</f>
        <v>15</v>
      </c>
      <c r="AJ59" s="0" t="n">
        <f aca="false">IF(Presupuesto!$B$16='Flujo de Pagos'!$E59,16,9999)</f>
        <v>16</v>
      </c>
      <c r="AK59" s="0" t="n">
        <f aca="false">IF(Presupuesto!$B$17='Flujo de Pagos'!$E59,17,9999)</f>
        <v>17</v>
      </c>
      <c r="AL59" s="0" t="n">
        <f aca="false">IF(Presupuesto!$B$18='Flujo de Pagos'!$E59,18,9999)</f>
        <v>18</v>
      </c>
      <c r="AM59" s="0" t="n">
        <f aca="false">IF(Presupuesto!$B$19='Flujo de Pagos'!$E59,19,9999)</f>
        <v>19</v>
      </c>
      <c r="AN59" s="0" t="n">
        <f aca="false">IF(Presupuesto!$B$20='Flujo de Pagos'!$E59,20,9999)</f>
        <v>20</v>
      </c>
      <c r="AO59" s="0" t="n">
        <f aca="false">IF(Presupuesto!$B$21='Flujo de Pagos'!$E59,21,9999)</f>
        <v>21</v>
      </c>
      <c r="AP59" s="0" t="n">
        <f aca="false">IF(Presupuesto!$B$22='Flujo de Pagos'!$E59,22,9999)</f>
        <v>22</v>
      </c>
      <c r="AQ59" s="0" t="n">
        <f aca="false">IF(Presupuesto!$B$23='Flujo de Pagos'!$E59,23,9999)</f>
        <v>23</v>
      </c>
      <c r="AR59" s="0" t="n">
        <f aca="false">IF(Presupuesto!$B$24='Flujo de Pagos'!$E59,24,9999)</f>
        <v>24</v>
      </c>
      <c r="AS59" s="0" t="n">
        <f aca="false">IF(Presupuesto!$B$25='Flujo de Pagos'!$E59,25,9999)</f>
        <v>25</v>
      </c>
      <c r="AT59" s="0" t="n">
        <f aca="false">IF(Presupuesto!$B$26='Flujo de Pagos'!$E59,26,9999)</f>
        <v>26</v>
      </c>
      <c r="AU59" s="0" t="n">
        <f aca="false">IF(Presupuesto!$B$27='Flujo de Pagos'!$E59,27,9999)</f>
        <v>27</v>
      </c>
      <c r="AV59" s="0" t="n">
        <f aca="false">IF(Presupuesto!$B$28='Flujo de Pagos'!$E59,28,9999)</f>
        <v>28</v>
      </c>
      <c r="AW59" s="0" t="n">
        <f aca="false">IF(Presupuesto!$B$29='Flujo de Pagos'!$E59,29,9999)</f>
        <v>29</v>
      </c>
      <c r="AX59" s="0" t="n">
        <f aca="false">IF(Presupuesto!$B$30='Flujo de Pagos'!$E59,30,9999)</f>
        <v>30</v>
      </c>
      <c r="AY59" s="0" t="n">
        <f aca="false">IF(Presupuesto!$B$31='Flujo de Pagos'!$E59,31,9999)</f>
        <v>31</v>
      </c>
      <c r="AZ59" s="0" t="n">
        <f aca="false">IF(Presupuesto!$B$32='Flujo de Pagos'!$E59,32,9999)</f>
        <v>32</v>
      </c>
      <c r="BA59" s="0" t="n">
        <f aca="false">IF(Presupuesto!$B$33='Flujo de Pagos'!$E59,33,9999)</f>
        <v>33</v>
      </c>
      <c r="BB59" s="0" t="n">
        <f aca="false">IF(Presupuesto!$B$34='Flujo de Pagos'!$E59,34,9999)</f>
        <v>34</v>
      </c>
      <c r="BC59" s="0" t="n">
        <f aca="false">IF(Presupuesto!$B$35='Flujo de Pagos'!$E59,35,9999)</f>
        <v>35</v>
      </c>
      <c r="BD59" s="0" t="n">
        <f aca="false">IF(Presupuesto!$B$36='Flujo de Pagos'!$E59,36,9999)</f>
        <v>36</v>
      </c>
      <c r="BE59" s="0" t="n">
        <f aca="false">IF(Presupuesto!$B$37='Flujo de Pagos'!$E59,37,9999)</f>
        <v>37</v>
      </c>
      <c r="BF59" s="0" t="n">
        <f aca="false">IF(Presupuesto!$B$38='Flujo de Pagos'!$E59,38,9999)</f>
        <v>38</v>
      </c>
      <c r="BG59" s="0" t="n">
        <f aca="false">IF(Presupuesto!$B$39='Flujo de Pagos'!$E59,39,9999)</f>
        <v>39</v>
      </c>
      <c r="BH59" s="0" t="n">
        <f aca="false">IF(Presupuesto!$B$40='Flujo de Pagos'!$E59,40,9999)</f>
        <v>40</v>
      </c>
      <c r="BI59" s="0" t="n">
        <f aca="false">IF(Presupuesto!$B$41='Flujo de Pagos'!$E59,41,9999)</f>
        <v>41</v>
      </c>
      <c r="BJ59" s="0" t="n">
        <f aca="false">IF(Presupuesto!$B$42='Flujo de Pagos'!$E59,42,9999)</f>
        <v>42</v>
      </c>
      <c r="BK59" s="0" t="n">
        <f aca="false">IF(Presupuesto!$B$43='Flujo de Pagos'!$E59,43,9999)</f>
        <v>43</v>
      </c>
      <c r="BL59" s="0" t="n">
        <f aca="false">IF(Presupuesto!$B$44='Flujo de Pagos'!$E59,44,9999)</f>
        <v>44</v>
      </c>
      <c r="BM59" s="0" t="n">
        <f aca="false">IF(Presupuesto!$B$45='Flujo de Pagos'!$E59,45,9999)</f>
        <v>45</v>
      </c>
      <c r="BN59" s="0" t="n">
        <f aca="false">IF(Presupuesto!$B$46='Flujo de Pagos'!$E59,46,9999)</f>
        <v>46</v>
      </c>
      <c r="BO59" s="0" t="n">
        <f aca="false">IF(Presupuesto!$B$47='Flujo de Pagos'!$E59,47,9999)</f>
        <v>47</v>
      </c>
      <c r="BP59" s="0" t="n">
        <f aca="false">IF(Presupuesto!$B$48='Flujo de Pagos'!$E59,48,9999)</f>
        <v>48</v>
      </c>
      <c r="BQ59" s="0" t="n">
        <f aca="false">IF(Presupuesto!$B$49='Flujo de Pagos'!$E59,49,9999)</f>
        <v>49</v>
      </c>
      <c r="BR59" s="0" t="n">
        <f aca="false">IF(Presupuesto!$B$50='Flujo de Pagos'!$E59,50,9999)</f>
        <v>50</v>
      </c>
      <c r="BS59" s="0" t="n">
        <f aca="false">IF(Presupuesto!$B$51='Flujo de Pagos'!$E59,51,9999)</f>
        <v>51</v>
      </c>
      <c r="BT59" s="0" t="n">
        <f aca="false">IF(Presupuesto!$B$52='Flujo de Pagos'!$E59,52,9999)</f>
        <v>52</v>
      </c>
      <c r="BU59" s="0" t="n">
        <f aca="false">IF(Presupuesto!$B$53='Flujo de Pagos'!$E59,53,9999)</f>
        <v>53</v>
      </c>
      <c r="BV59" s="0" t="n">
        <f aca="false">IF(Presupuesto!$B$54='Flujo de Pagos'!$E59,54,9999)</f>
        <v>54</v>
      </c>
      <c r="BW59" s="0" t="n">
        <f aca="false">IF(Presupuesto!$B$55='Flujo de Pagos'!$E59,55,9999)</f>
        <v>55</v>
      </c>
      <c r="BX59" s="0" t="n">
        <f aca="false">IF(Presupuesto!$B$56='Flujo de Pagos'!$E59,56,9999)</f>
        <v>56</v>
      </c>
      <c r="BY59" s="0" t="n">
        <f aca="false">IF(Presupuesto!$B$57='Flujo de Pagos'!$E59,57,9999)</f>
        <v>57</v>
      </c>
      <c r="BZ59" s="0" t="n">
        <f aca="false">IF(Presupuesto!$B$58='Flujo de Pagos'!$E59,58,9999)</f>
        <v>58</v>
      </c>
      <c r="CA59" s="0" t="n">
        <f aca="false">IF(Presupuesto!$B$59='Flujo de Pagos'!$E59,59,9999)</f>
        <v>59</v>
      </c>
      <c r="CB59" s="0" t="n">
        <f aca="false">IF(Presupuesto!$B$60='Flujo de Pagos'!$E59,60,9999)</f>
        <v>60</v>
      </c>
      <c r="CC59" s="0" t="n">
        <f aca="false">IF(Presupuesto!$B$61='Flujo de Pagos'!$E59,61,9999)</f>
        <v>61</v>
      </c>
      <c r="CD59" s="0" t="n">
        <f aca="false">IF(Presupuesto!$B$62='Flujo de Pagos'!$E59,62,9999)</f>
        <v>62</v>
      </c>
      <c r="CE59" s="0" t="n">
        <f aca="false">IF(Presupuesto!$B$63='Flujo de Pagos'!$E59,63,9999)</f>
        <v>63</v>
      </c>
      <c r="CF59" s="0" t="n">
        <f aca="false">IF(Presupuesto!$B$64='Flujo de Pagos'!$E59,64,9999)</f>
        <v>64</v>
      </c>
      <c r="CG59" s="0" t="n">
        <f aca="false">IF(Presupuesto!$B$65='Flujo de Pagos'!$E59,65,9999)</f>
        <v>65</v>
      </c>
      <c r="CH59" s="0" t="n">
        <f aca="false">IF(Presupuesto!$B$66='Flujo de Pagos'!$E59,66,9999)</f>
        <v>66</v>
      </c>
    </row>
    <row r="60" customFormat="false" ht="15" hidden="false" customHeight="true" outlineLevel="0" collapsed="false">
      <c r="A60" s="1" t="n">
        <f aca="false">IF(Presupuesto!B65=Carátula!$B$2,65,9999)</f>
        <v>9999</v>
      </c>
      <c r="B60" s="1" t="n">
        <f aca="false">IF(AND('Flujo de Pagos'!E65=Carátula!$B$2,'Flujo de Pagos'!F65=Carátula!$B$4,'Flujo de Pagos'!H65&lt;&gt;""),65,99999)</f>
        <v>99999</v>
      </c>
      <c r="D60" s="1" t="str">
        <f aca="false">IF(SMALL($A$2:$A$61,59)&gt;=9999,"",INDEX(Presupuesto!$C:$C,SMALL($A$2:$A$61,59)))</f>
        <v/>
      </c>
      <c r="E60" s="1" t="str">
        <f aca="false">IF(SMALL($B$2:$B$501,59)&gt;=99999,"",INDEX('Flujo de Pagos'!$H:$H,SMALL($B$2:$B$501,59)))</f>
        <v/>
      </c>
      <c r="H60" s="1" t="n">
        <f aca="false">IF(SMALL($AA60:$CH60,1)&gt;=9999,"",INDEX(Presupuesto!$C:$C,SMALL($AA60:$CH60,1)))</f>
        <v>0</v>
      </c>
      <c r="I60" s="1" t="n">
        <f aca="false">IF(SMALL($AA60:$CH60,2)&gt;=9999,"",INDEX(Presupuesto!$C:$C,SMALL($AA60:$CH60,2)))</f>
        <v>0</v>
      </c>
      <c r="J60" s="1" t="n">
        <f aca="false">IF(SMALL($AA60:$CH60,3)&gt;=9999,"",INDEX(Presupuesto!$C:$C,SMALL($AA60:$CH60,3)))</f>
        <v>0</v>
      </c>
      <c r="K60" s="1" t="n">
        <f aca="false">IF(SMALL($AA60:$CH60,4)&gt;=9999,"",INDEX(Presupuesto!$C:$C,SMALL($AA60:$CH60,4)))</f>
        <v>0</v>
      </c>
      <c r="L60" s="1" t="n">
        <f aca="false">IF(SMALL($AA60:$CH60,5)&gt;=9999,"",INDEX(Presupuesto!$C:$C,SMALL($AA60:$CH60,5)))</f>
        <v>0</v>
      </c>
      <c r="M60" s="1" t="n">
        <f aca="false">IF(SMALL($AA60:$CH60,6)&gt;=9999,"",INDEX(Presupuesto!$C:$C,SMALL($AA60:$CH60,6)))</f>
        <v>0</v>
      </c>
      <c r="N60" s="1" t="n">
        <f aca="false">IF(SMALL($AA60:$CH60,7)&gt;=9999,"",INDEX(Presupuesto!$C:$C,SMALL($AA60:$CH60,7)))</f>
        <v>0</v>
      </c>
      <c r="O60" s="1" t="n">
        <f aca="false">IF(SMALL($AA60:$CH60,8)&gt;=9999,"",INDEX(Presupuesto!$C:$C,SMALL($AA60:$CH60,8)))</f>
        <v>0</v>
      </c>
      <c r="P60" s="1" t="n">
        <f aca="false">IF(SMALL($AA60:$CH60,9)&gt;=9999,"",INDEX(Presupuesto!$C:$C,SMALL($AA60:$CH60,9)))</f>
        <v>0</v>
      </c>
      <c r="Q60" s="1" t="n">
        <f aca="false">IF(SMALL($AA60:$CH60,10)&gt;=9999,"",INDEX(Presupuesto!$C:$C,SMALL($AA60:$CH60,10)))</f>
        <v>0</v>
      </c>
      <c r="AA60" s="0" t="n">
        <f aca="false">IF(Presupuesto!$B$7='Flujo de Pagos'!$E60,7,9999)</f>
        <v>9999</v>
      </c>
      <c r="AB60" s="0" t="n">
        <f aca="false">IF(Presupuesto!$B$8='Flujo de Pagos'!$E60,8,9999)</f>
        <v>9999</v>
      </c>
      <c r="AC60" s="0" t="n">
        <f aca="false">IF(Presupuesto!$B$9='Flujo de Pagos'!$E60,9,9999)</f>
        <v>9999</v>
      </c>
      <c r="AD60" s="0" t="n">
        <f aca="false">IF(Presupuesto!$B$10='Flujo de Pagos'!$E60,10,9999)</f>
        <v>9999</v>
      </c>
      <c r="AE60" s="0" t="n">
        <f aca="false">IF(Presupuesto!$B$11='Flujo de Pagos'!$E60,11,9999)</f>
        <v>9999</v>
      </c>
      <c r="AF60" s="0" t="n">
        <f aca="false">IF(Presupuesto!$B$12='Flujo de Pagos'!$E60,12,9999)</f>
        <v>12</v>
      </c>
      <c r="AG60" s="0" t="n">
        <f aca="false">IF(Presupuesto!$B$13='Flujo de Pagos'!$E60,13,9999)</f>
        <v>13</v>
      </c>
      <c r="AH60" s="0" t="n">
        <f aca="false">IF(Presupuesto!$B$14='Flujo de Pagos'!$E60,14,9999)</f>
        <v>14</v>
      </c>
      <c r="AI60" s="0" t="n">
        <f aca="false">IF(Presupuesto!$B$15='Flujo de Pagos'!$E60,15,9999)</f>
        <v>15</v>
      </c>
      <c r="AJ60" s="0" t="n">
        <f aca="false">IF(Presupuesto!$B$16='Flujo de Pagos'!$E60,16,9999)</f>
        <v>16</v>
      </c>
      <c r="AK60" s="0" t="n">
        <f aca="false">IF(Presupuesto!$B$17='Flujo de Pagos'!$E60,17,9999)</f>
        <v>17</v>
      </c>
      <c r="AL60" s="0" t="n">
        <f aca="false">IF(Presupuesto!$B$18='Flujo de Pagos'!$E60,18,9999)</f>
        <v>18</v>
      </c>
      <c r="AM60" s="0" t="n">
        <f aca="false">IF(Presupuesto!$B$19='Flujo de Pagos'!$E60,19,9999)</f>
        <v>19</v>
      </c>
      <c r="AN60" s="0" t="n">
        <f aca="false">IF(Presupuesto!$B$20='Flujo de Pagos'!$E60,20,9999)</f>
        <v>20</v>
      </c>
      <c r="AO60" s="0" t="n">
        <f aca="false">IF(Presupuesto!$B$21='Flujo de Pagos'!$E60,21,9999)</f>
        <v>21</v>
      </c>
      <c r="AP60" s="0" t="n">
        <f aca="false">IF(Presupuesto!$B$22='Flujo de Pagos'!$E60,22,9999)</f>
        <v>22</v>
      </c>
      <c r="AQ60" s="0" t="n">
        <f aca="false">IF(Presupuesto!$B$23='Flujo de Pagos'!$E60,23,9999)</f>
        <v>23</v>
      </c>
      <c r="AR60" s="0" t="n">
        <f aca="false">IF(Presupuesto!$B$24='Flujo de Pagos'!$E60,24,9999)</f>
        <v>24</v>
      </c>
      <c r="AS60" s="0" t="n">
        <f aca="false">IF(Presupuesto!$B$25='Flujo de Pagos'!$E60,25,9999)</f>
        <v>25</v>
      </c>
      <c r="AT60" s="0" t="n">
        <f aca="false">IF(Presupuesto!$B$26='Flujo de Pagos'!$E60,26,9999)</f>
        <v>26</v>
      </c>
      <c r="AU60" s="0" t="n">
        <f aca="false">IF(Presupuesto!$B$27='Flujo de Pagos'!$E60,27,9999)</f>
        <v>27</v>
      </c>
      <c r="AV60" s="0" t="n">
        <f aca="false">IF(Presupuesto!$B$28='Flujo de Pagos'!$E60,28,9999)</f>
        <v>28</v>
      </c>
      <c r="AW60" s="0" t="n">
        <f aca="false">IF(Presupuesto!$B$29='Flujo de Pagos'!$E60,29,9999)</f>
        <v>29</v>
      </c>
      <c r="AX60" s="0" t="n">
        <f aca="false">IF(Presupuesto!$B$30='Flujo de Pagos'!$E60,30,9999)</f>
        <v>30</v>
      </c>
      <c r="AY60" s="0" t="n">
        <f aca="false">IF(Presupuesto!$B$31='Flujo de Pagos'!$E60,31,9999)</f>
        <v>31</v>
      </c>
      <c r="AZ60" s="0" t="n">
        <f aca="false">IF(Presupuesto!$B$32='Flujo de Pagos'!$E60,32,9999)</f>
        <v>32</v>
      </c>
      <c r="BA60" s="0" t="n">
        <f aca="false">IF(Presupuesto!$B$33='Flujo de Pagos'!$E60,33,9999)</f>
        <v>33</v>
      </c>
      <c r="BB60" s="0" t="n">
        <f aca="false">IF(Presupuesto!$B$34='Flujo de Pagos'!$E60,34,9999)</f>
        <v>34</v>
      </c>
      <c r="BC60" s="0" t="n">
        <f aca="false">IF(Presupuesto!$B$35='Flujo de Pagos'!$E60,35,9999)</f>
        <v>35</v>
      </c>
      <c r="BD60" s="0" t="n">
        <f aca="false">IF(Presupuesto!$B$36='Flujo de Pagos'!$E60,36,9999)</f>
        <v>36</v>
      </c>
      <c r="BE60" s="0" t="n">
        <f aca="false">IF(Presupuesto!$B$37='Flujo de Pagos'!$E60,37,9999)</f>
        <v>37</v>
      </c>
      <c r="BF60" s="0" t="n">
        <f aca="false">IF(Presupuesto!$B$38='Flujo de Pagos'!$E60,38,9999)</f>
        <v>38</v>
      </c>
      <c r="BG60" s="0" t="n">
        <f aca="false">IF(Presupuesto!$B$39='Flujo de Pagos'!$E60,39,9999)</f>
        <v>39</v>
      </c>
      <c r="BH60" s="0" t="n">
        <f aca="false">IF(Presupuesto!$B$40='Flujo de Pagos'!$E60,40,9999)</f>
        <v>40</v>
      </c>
      <c r="BI60" s="0" t="n">
        <f aca="false">IF(Presupuesto!$B$41='Flujo de Pagos'!$E60,41,9999)</f>
        <v>41</v>
      </c>
      <c r="BJ60" s="0" t="n">
        <f aca="false">IF(Presupuesto!$B$42='Flujo de Pagos'!$E60,42,9999)</f>
        <v>42</v>
      </c>
      <c r="BK60" s="0" t="n">
        <f aca="false">IF(Presupuesto!$B$43='Flujo de Pagos'!$E60,43,9999)</f>
        <v>43</v>
      </c>
      <c r="BL60" s="0" t="n">
        <f aca="false">IF(Presupuesto!$B$44='Flujo de Pagos'!$E60,44,9999)</f>
        <v>44</v>
      </c>
      <c r="BM60" s="0" t="n">
        <f aca="false">IF(Presupuesto!$B$45='Flujo de Pagos'!$E60,45,9999)</f>
        <v>45</v>
      </c>
      <c r="BN60" s="0" t="n">
        <f aca="false">IF(Presupuesto!$B$46='Flujo de Pagos'!$E60,46,9999)</f>
        <v>46</v>
      </c>
      <c r="BO60" s="0" t="n">
        <f aca="false">IF(Presupuesto!$B$47='Flujo de Pagos'!$E60,47,9999)</f>
        <v>47</v>
      </c>
      <c r="BP60" s="0" t="n">
        <f aca="false">IF(Presupuesto!$B$48='Flujo de Pagos'!$E60,48,9999)</f>
        <v>48</v>
      </c>
      <c r="BQ60" s="0" t="n">
        <f aca="false">IF(Presupuesto!$B$49='Flujo de Pagos'!$E60,49,9999)</f>
        <v>49</v>
      </c>
      <c r="BR60" s="0" t="n">
        <f aca="false">IF(Presupuesto!$B$50='Flujo de Pagos'!$E60,50,9999)</f>
        <v>50</v>
      </c>
      <c r="BS60" s="0" t="n">
        <f aca="false">IF(Presupuesto!$B$51='Flujo de Pagos'!$E60,51,9999)</f>
        <v>51</v>
      </c>
      <c r="BT60" s="0" t="n">
        <f aca="false">IF(Presupuesto!$B$52='Flujo de Pagos'!$E60,52,9999)</f>
        <v>52</v>
      </c>
      <c r="BU60" s="0" t="n">
        <f aca="false">IF(Presupuesto!$B$53='Flujo de Pagos'!$E60,53,9999)</f>
        <v>53</v>
      </c>
      <c r="BV60" s="0" t="n">
        <f aca="false">IF(Presupuesto!$B$54='Flujo de Pagos'!$E60,54,9999)</f>
        <v>54</v>
      </c>
      <c r="BW60" s="0" t="n">
        <f aca="false">IF(Presupuesto!$B$55='Flujo de Pagos'!$E60,55,9999)</f>
        <v>55</v>
      </c>
      <c r="BX60" s="0" t="n">
        <f aca="false">IF(Presupuesto!$B$56='Flujo de Pagos'!$E60,56,9999)</f>
        <v>56</v>
      </c>
      <c r="BY60" s="0" t="n">
        <f aca="false">IF(Presupuesto!$B$57='Flujo de Pagos'!$E60,57,9999)</f>
        <v>57</v>
      </c>
      <c r="BZ60" s="0" t="n">
        <f aca="false">IF(Presupuesto!$B$58='Flujo de Pagos'!$E60,58,9999)</f>
        <v>58</v>
      </c>
      <c r="CA60" s="0" t="n">
        <f aca="false">IF(Presupuesto!$B$59='Flujo de Pagos'!$E60,59,9999)</f>
        <v>59</v>
      </c>
      <c r="CB60" s="0" t="n">
        <f aca="false">IF(Presupuesto!$B$60='Flujo de Pagos'!$E60,60,9999)</f>
        <v>60</v>
      </c>
      <c r="CC60" s="0" t="n">
        <f aca="false">IF(Presupuesto!$B$61='Flujo de Pagos'!$E60,61,9999)</f>
        <v>61</v>
      </c>
      <c r="CD60" s="0" t="n">
        <f aca="false">IF(Presupuesto!$B$62='Flujo de Pagos'!$E60,62,9999)</f>
        <v>62</v>
      </c>
      <c r="CE60" s="0" t="n">
        <f aca="false">IF(Presupuesto!$B$63='Flujo de Pagos'!$E60,63,9999)</f>
        <v>63</v>
      </c>
      <c r="CF60" s="0" t="n">
        <f aca="false">IF(Presupuesto!$B$64='Flujo de Pagos'!$E60,64,9999)</f>
        <v>64</v>
      </c>
      <c r="CG60" s="0" t="n">
        <f aca="false">IF(Presupuesto!$B$65='Flujo de Pagos'!$E60,65,9999)</f>
        <v>65</v>
      </c>
      <c r="CH60" s="0" t="n">
        <f aca="false">IF(Presupuesto!$B$66='Flujo de Pagos'!$E60,66,9999)</f>
        <v>66</v>
      </c>
    </row>
    <row r="61" customFormat="false" ht="15" hidden="false" customHeight="true" outlineLevel="0" collapsed="false">
      <c r="A61" s="1" t="n">
        <f aca="false">IF(Presupuesto!B66=Carátula!$B$2,66,9999)</f>
        <v>9999</v>
      </c>
      <c r="B61" s="1" t="n">
        <f aca="false">IF(AND('Flujo de Pagos'!E66=Carátula!$B$2,'Flujo de Pagos'!F66=Carátula!$B$4,'Flujo de Pagos'!H66&lt;&gt;""),66,99999)</f>
        <v>99999</v>
      </c>
      <c r="D61" s="1" t="str">
        <f aca="false">IF(SMALL($A$2:$A$61,60)&gt;=9999,"",INDEX(Presupuesto!$C:$C,SMALL($A$2:$A$61,60)))</f>
        <v/>
      </c>
      <c r="E61" s="1" t="str">
        <f aca="false">IF(SMALL($B$2:$B$501,60)&gt;=99999,"",INDEX('Flujo de Pagos'!$H:$H,SMALL($B$2:$B$501,60)))</f>
        <v/>
      </c>
      <c r="H61" s="1" t="n">
        <f aca="false">IF(SMALL($AA61:$CH61,1)&gt;=9999,"",INDEX(Presupuesto!$C:$C,SMALL($AA61:$CH61,1)))</f>
        <v>0</v>
      </c>
      <c r="I61" s="1" t="n">
        <f aca="false">IF(SMALL($AA61:$CH61,2)&gt;=9999,"",INDEX(Presupuesto!$C:$C,SMALL($AA61:$CH61,2)))</f>
        <v>0</v>
      </c>
      <c r="J61" s="1" t="n">
        <f aca="false">IF(SMALL($AA61:$CH61,3)&gt;=9999,"",INDEX(Presupuesto!$C:$C,SMALL($AA61:$CH61,3)))</f>
        <v>0</v>
      </c>
      <c r="K61" s="1" t="n">
        <f aca="false">IF(SMALL($AA61:$CH61,4)&gt;=9999,"",INDEX(Presupuesto!$C:$C,SMALL($AA61:$CH61,4)))</f>
        <v>0</v>
      </c>
      <c r="L61" s="1" t="n">
        <f aca="false">IF(SMALL($AA61:$CH61,5)&gt;=9999,"",INDEX(Presupuesto!$C:$C,SMALL($AA61:$CH61,5)))</f>
        <v>0</v>
      </c>
      <c r="M61" s="1" t="n">
        <f aca="false">IF(SMALL($AA61:$CH61,6)&gt;=9999,"",INDEX(Presupuesto!$C:$C,SMALL($AA61:$CH61,6)))</f>
        <v>0</v>
      </c>
      <c r="N61" s="1" t="n">
        <f aca="false">IF(SMALL($AA61:$CH61,7)&gt;=9999,"",INDEX(Presupuesto!$C:$C,SMALL($AA61:$CH61,7)))</f>
        <v>0</v>
      </c>
      <c r="O61" s="1" t="n">
        <f aca="false">IF(SMALL($AA61:$CH61,8)&gt;=9999,"",INDEX(Presupuesto!$C:$C,SMALL($AA61:$CH61,8)))</f>
        <v>0</v>
      </c>
      <c r="P61" s="1" t="n">
        <f aca="false">IF(SMALL($AA61:$CH61,9)&gt;=9999,"",INDEX(Presupuesto!$C:$C,SMALL($AA61:$CH61,9)))</f>
        <v>0</v>
      </c>
      <c r="Q61" s="1" t="n">
        <f aca="false">IF(SMALL($AA61:$CH61,10)&gt;=9999,"",INDEX(Presupuesto!$C:$C,SMALL($AA61:$CH61,10)))</f>
        <v>0</v>
      </c>
      <c r="AA61" s="0" t="n">
        <f aca="false">IF(Presupuesto!$B$7='Flujo de Pagos'!$E61,7,9999)</f>
        <v>9999</v>
      </c>
      <c r="AB61" s="0" t="n">
        <f aca="false">IF(Presupuesto!$B$8='Flujo de Pagos'!$E61,8,9999)</f>
        <v>9999</v>
      </c>
      <c r="AC61" s="0" t="n">
        <f aca="false">IF(Presupuesto!$B$9='Flujo de Pagos'!$E61,9,9999)</f>
        <v>9999</v>
      </c>
      <c r="AD61" s="0" t="n">
        <f aca="false">IF(Presupuesto!$B$10='Flujo de Pagos'!$E61,10,9999)</f>
        <v>9999</v>
      </c>
      <c r="AE61" s="0" t="n">
        <f aca="false">IF(Presupuesto!$B$11='Flujo de Pagos'!$E61,11,9999)</f>
        <v>9999</v>
      </c>
      <c r="AF61" s="0" t="n">
        <f aca="false">IF(Presupuesto!$B$12='Flujo de Pagos'!$E61,12,9999)</f>
        <v>12</v>
      </c>
      <c r="AG61" s="0" t="n">
        <f aca="false">IF(Presupuesto!$B$13='Flujo de Pagos'!$E61,13,9999)</f>
        <v>13</v>
      </c>
      <c r="AH61" s="0" t="n">
        <f aca="false">IF(Presupuesto!$B$14='Flujo de Pagos'!$E61,14,9999)</f>
        <v>14</v>
      </c>
      <c r="AI61" s="0" t="n">
        <f aca="false">IF(Presupuesto!$B$15='Flujo de Pagos'!$E61,15,9999)</f>
        <v>15</v>
      </c>
      <c r="AJ61" s="0" t="n">
        <f aca="false">IF(Presupuesto!$B$16='Flujo de Pagos'!$E61,16,9999)</f>
        <v>16</v>
      </c>
      <c r="AK61" s="0" t="n">
        <f aca="false">IF(Presupuesto!$B$17='Flujo de Pagos'!$E61,17,9999)</f>
        <v>17</v>
      </c>
      <c r="AL61" s="0" t="n">
        <f aca="false">IF(Presupuesto!$B$18='Flujo de Pagos'!$E61,18,9999)</f>
        <v>18</v>
      </c>
      <c r="AM61" s="0" t="n">
        <f aca="false">IF(Presupuesto!$B$19='Flujo de Pagos'!$E61,19,9999)</f>
        <v>19</v>
      </c>
      <c r="AN61" s="0" t="n">
        <f aca="false">IF(Presupuesto!$B$20='Flujo de Pagos'!$E61,20,9999)</f>
        <v>20</v>
      </c>
      <c r="AO61" s="0" t="n">
        <f aca="false">IF(Presupuesto!$B$21='Flujo de Pagos'!$E61,21,9999)</f>
        <v>21</v>
      </c>
      <c r="AP61" s="0" t="n">
        <f aca="false">IF(Presupuesto!$B$22='Flujo de Pagos'!$E61,22,9999)</f>
        <v>22</v>
      </c>
      <c r="AQ61" s="0" t="n">
        <f aca="false">IF(Presupuesto!$B$23='Flujo de Pagos'!$E61,23,9999)</f>
        <v>23</v>
      </c>
      <c r="AR61" s="0" t="n">
        <f aca="false">IF(Presupuesto!$B$24='Flujo de Pagos'!$E61,24,9999)</f>
        <v>24</v>
      </c>
      <c r="AS61" s="0" t="n">
        <f aca="false">IF(Presupuesto!$B$25='Flujo de Pagos'!$E61,25,9999)</f>
        <v>25</v>
      </c>
      <c r="AT61" s="0" t="n">
        <f aca="false">IF(Presupuesto!$B$26='Flujo de Pagos'!$E61,26,9999)</f>
        <v>26</v>
      </c>
      <c r="AU61" s="0" t="n">
        <f aca="false">IF(Presupuesto!$B$27='Flujo de Pagos'!$E61,27,9999)</f>
        <v>27</v>
      </c>
      <c r="AV61" s="0" t="n">
        <f aca="false">IF(Presupuesto!$B$28='Flujo de Pagos'!$E61,28,9999)</f>
        <v>28</v>
      </c>
      <c r="AW61" s="0" t="n">
        <f aca="false">IF(Presupuesto!$B$29='Flujo de Pagos'!$E61,29,9999)</f>
        <v>29</v>
      </c>
      <c r="AX61" s="0" t="n">
        <f aca="false">IF(Presupuesto!$B$30='Flujo de Pagos'!$E61,30,9999)</f>
        <v>30</v>
      </c>
      <c r="AY61" s="0" t="n">
        <f aca="false">IF(Presupuesto!$B$31='Flujo de Pagos'!$E61,31,9999)</f>
        <v>31</v>
      </c>
      <c r="AZ61" s="0" t="n">
        <f aca="false">IF(Presupuesto!$B$32='Flujo de Pagos'!$E61,32,9999)</f>
        <v>32</v>
      </c>
      <c r="BA61" s="0" t="n">
        <f aca="false">IF(Presupuesto!$B$33='Flujo de Pagos'!$E61,33,9999)</f>
        <v>33</v>
      </c>
      <c r="BB61" s="0" t="n">
        <f aca="false">IF(Presupuesto!$B$34='Flujo de Pagos'!$E61,34,9999)</f>
        <v>34</v>
      </c>
      <c r="BC61" s="0" t="n">
        <f aca="false">IF(Presupuesto!$B$35='Flujo de Pagos'!$E61,35,9999)</f>
        <v>35</v>
      </c>
      <c r="BD61" s="0" t="n">
        <f aca="false">IF(Presupuesto!$B$36='Flujo de Pagos'!$E61,36,9999)</f>
        <v>36</v>
      </c>
      <c r="BE61" s="0" t="n">
        <f aca="false">IF(Presupuesto!$B$37='Flujo de Pagos'!$E61,37,9999)</f>
        <v>37</v>
      </c>
      <c r="BF61" s="0" t="n">
        <f aca="false">IF(Presupuesto!$B$38='Flujo de Pagos'!$E61,38,9999)</f>
        <v>38</v>
      </c>
      <c r="BG61" s="0" t="n">
        <f aca="false">IF(Presupuesto!$B$39='Flujo de Pagos'!$E61,39,9999)</f>
        <v>39</v>
      </c>
      <c r="BH61" s="0" t="n">
        <f aca="false">IF(Presupuesto!$B$40='Flujo de Pagos'!$E61,40,9999)</f>
        <v>40</v>
      </c>
      <c r="BI61" s="0" t="n">
        <f aca="false">IF(Presupuesto!$B$41='Flujo de Pagos'!$E61,41,9999)</f>
        <v>41</v>
      </c>
      <c r="BJ61" s="0" t="n">
        <f aca="false">IF(Presupuesto!$B$42='Flujo de Pagos'!$E61,42,9999)</f>
        <v>42</v>
      </c>
      <c r="BK61" s="0" t="n">
        <f aca="false">IF(Presupuesto!$B$43='Flujo de Pagos'!$E61,43,9999)</f>
        <v>43</v>
      </c>
      <c r="BL61" s="0" t="n">
        <f aca="false">IF(Presupuesto!$B$44='Flujo de Pagos'!$E61,44,9999)</f>
        <v>44</v>
      </c>
      <c r="BM61" s="0" t="n">
        <f aca="false">IF(Presupuesto!$B$45='Flujo de Pagos'!$E61,45,9999)</f>
        <v>45</v>
      </c>
      <c r="BN61" s="0" t="n">
        <f aca="false">IF(Presupuesto!$B$46='Flujo de Pagos'!$E61,46,9999)</f>
        <v>46</v>
      </c>
      <c r="BO61" s="0" t="n">
        <f aca="false">IF(Presupuesto!$B$47='Flujo de Pagos'!$E61,47,9999)</f>
        <v>47</v>
      </c>
      <c r="BP61" s="0" t="n">
        <f aca="false">IF(Presupuesto!$B$48='Flujo de Pagos'!$E61,48,9999)</f>
        <v>48</v>
      </c>
      <c r="BQ61" s="0" t="n">
        <f aca="false">IF(Presupuesto!$B$49='Flujo de Pagos'!$E61,49,9999)</f>
        <v>49</v>
      </c>
      <c r="BR61" s="0" t="n">
        <f aca="false">IF(Presupuesto!$B$50='Flujo de Pagos'!$E61,50,9999)</f>
        <v>50</v>
      </c>
      <c r="BS61" s="0" t="n">
        <f aca="false">IF(Presupuesto!$B$51='Flujo de Pagos'!$E61,51,9999)</f>
        <v>51</v>
      </c>
      <c r="BT61" s="0" t="n">
        <f aca="false">IF(Presupuesto!$B$52='Flujo de Pagos'!$E61,52,9999)</f>
        <v>52</v>
      </c>
      <c r="BU61" s="0" t="n">
        <f aca="false">IF(Presupuesto!$B$53='Flujo de Pagos'!$E61,53,9999)</f>
        <v>53</v>
      </c>
      <c r="BV61" s="0" t="n">
        <f aca="false">IF(Presupuesto!$B$54='Flujo de Pagos'!$E61,54,9999)</f>
        <v>54</v>
      </c>
      <c r="BW61" s="0" t="n">
        <f aca="false">IF(Presupuesto!$B$55='Flujo de Pagos'!$E61,55,9999)</f>
        <v>55</v>
      </c>
      <c r="BX61" s="0" t="n">
        <f aca="false">IF(Presupuesto!$B$56='Flujo de Pagos'!$E61,56,9999)</f>
        <v>56</v>
      </c>
      <c r="BY61" s="0" t="n">
        <f aca="false">IF(Presupuesto!$B$57='Flujo de Pagos'!$E61,57,9999)</f>
        <v>57</v>
      </c>
      <c r="BZ61" s="0" t="n">
        <f aca="false">IF(Presupuesto!$B$58='Flujo de Pagos'!$E61,58,9999)</f>
        <v>58</v>
      </c>
      <c r="CA61" s="0" t="n">
        <f aca="false">IF(Presupuesto!$B$59='Flujo de Pagos'!$E61,59,9999)</f>
        <v>59</v>
      </c>
      <c r="CB61" s="0" t="n">
        <f aca="false">IF(Presupuesto!$B$60='Flujo de Pagos'!$E61,60,9999)</f>
        <v>60</v>
      </c>
      <c r="CC61" s="0" t="n">
        <f aca="false">IF(Presupuesto!$B$61='Flujo de Pagos'!$E61,61,9999)</f>
        <v>61</v>
      </c>
      <c r="CD61" s="0" t="n">
        <f aca="false">IF(Presupuesto!$B$62='Flujo de Pagos'!$E61,62,9999)</f>
        <v>62</v>
      </c>
      <c r="CE61" s="0" t="n">
        <f aca="false">IF(Presupuesto!$B$63='Flujo de Pagos'!$E61,63,9999)</f>
        <v>63</v>
      </c>
      <c r="CF61" s="0" t="n">
        <f aca="false">IF(Presupuesto!$B$64='Flujo de Pagos'!$E61,64,9999)</f>
        <v>64</v>
      </c>
      <c r="CG61" s="0" t="n">
        <f aca="false">IF(Presupuesto!$B$65='Flujo de Pagos'!$E61,65,9999)</f>
        <v>65</v>
      </c>
      <c r="CH61" s="0" t="n">
        <f aca="false">IF(Presupuesto!$B$66='Flujo de Pagos'!$E61,66,9999)</f>
        <v>66</v>
      </c>
    </row>
    <row r="62" customFormat="false" ht="15" hidden="false" customHeight="true" outlineLevel="0" collapsed="false">
      <c r="B62" s="1" t="n">
        <f aca="false">IF(AND('Flujo de Pagos'!E67=Carátula!$B$2,'Flujo de Pagos'!F67=Carátula!$B$4,'Flujo de Pagos'!H67&lt;&gt;""),67,99999)</f>
        <v>99999</v>
      </c>
      <c r="H62" s="1" t="n">
        <f aca="false">IF(SMALL($AA62:$CH62,1)&gt;=9999,"",INDEX(Presupuesto!$C:$C,SMALL($AA62:$CH62,1)))</f>
        <v>0</v>
      </c>
      <c r="I62" s="1" t="n">
        <f aca="false">IF(SMALL($AA62:$CH62,2)&gt;=9999,"",INDEX(Presupuesto!$C:$C,SMALL($AA62:$CH62,2)))</f>
        <v>0</v>
      </c>
      <c r="J62" s="1" t="n">
        <f aca="false">IF(SMALL($AA62:$CH62,3)&gt;=9999,"",INDEX(Presupuesto!$C:$C,SMALL($AA62:$CH62,3)))</f>
        <v>0</v>
      </c>
      <c r="K62" s="1" t="n">
        <f aca="false">IF(SMALL($AA62:$CH62,4)&gt;=9999,"",INDEX(Presupuesto!$C:$C,SMALL($AA62:$CH62,4)))</f>
        <v>0</v>
      </c>
      <c r="L62" s="1" t="n">
        <f aca="false">IF(SMALL($AA62:$CH62,5)&gt;=9999,"",INDEX(Presupuesto!$C:$C,SMALL($AA62:$CH62,5)))</f>
        <v>0</v>
      </c>
      <c r="M62" s="1" t="n">
        <f aca="false">IF(SMALL($AA62:$CH62,6)&gt;=9999,"",INDEX(Presupuesto!$C:$C,SMALL($AA62:$CH62,6)))</f>
        <v>0</v>
      </c>
      <c r="N62" s="1" t="n">
        <f aca="false">IF(SMALL($AA62:$CH62,7)&gt;=9999,"",INDEX(Presupuesto!$C:$C,SMALL($AA62:$CH62,7)))</f>
        <v>0</v>
      </c>
      <c r="O62" s="1" t="n">
        <f aca="false">IF(SMALL($AA62:$CH62,8)&gt;=9999,"",INDEX(Presupuesto!$C:$C,SMALL($AA62:$CH62,8)))</f>
        <v>0</v>
      </c>
      <c r="P62" s="1" t="n">
        <f aca="false">IF(SMALL($AA62:$CH62,9)&gt;=9999,"",INDEX(Presupuesto!$C:$C,SMALL($AA62:$CH62,9)))</f>
        <v>0</v>
      </c>
      <c r="Q62" s="1" t="n">
        <f aca="false">IF(SMALL($AA62:$CH62,10)&gt;=9999,"",INDEX(Presupuesto!$C:$C,SMALL($AA62:$CH62,10)))</f>
        <v>0</v>
      </c>
      <c r="AA62" s="0" t="n">
        <f aca="false">IF(Presupuesto!$B$7='Flujo de Pagos'!$E62,7,9999)</f>
        <v>9999</v>
      </c>
      <c r="AB62" s="0" t="n">
        <f aca="false">IF(Presupuesto!$B$8='Flujo de Pagos'!$E62,8,9999)</f>
        <v>9999</v>
      </c>
      <c r="AC62" s="0" t="n">
        <f aca="false">IF(Presupuesto!$B$9='Flujo de Pagos'!$E62,9,9999)</f>
        <v>9999</v>
      </c>
      <c r="AD62" s="0" t="n">
        <f aca="false">IF(Presupuesto!$B$10='Flujo de Pagos'!$E62,10,9999)</f>
        <v>9999</v>
      </c>
      <c r="AE62" s="0" t="n">
        <f aca="false">IF(Presupuesto!$B$11='Flujo de Pagos'!$E62,11,9999)</f>
        <v>9999</v>
      </c>
      <c r="AF62" s="0" t="n">
        <f aca="false">IF(Presupuesto!$B$12='Flujo de Pagos'!$E62,12,9999)</f>
        <v>12</v>
      </c>
      <c r="AG62" s="0" t="n">
        <f aca="false">IF(Presupuesto!$B$13='Flujo de Pagos'!$E62,13,9999)</f>
        <v>13</v>
      </c>
      <c r="AH62" s="0" t="n">
        <f aca="false">IF(Presupuesto!$B$14='Flujo de Pagos'!$E62,14,9999)</f>
        <v>14</v>
      </c>
      <c r="AI62" s="0" t="n">
        <f aca="false">IF(Presupuesto!$B$15='Flujo de Pagos'!$E62,15,9999)</f>
        <v>15</v>
      </c>
      <c r="AJ62" s="0" t="n">
        <f aca="false">IF(Presupuesto!$B$16='Flujo de Pagos'!$E62,16,9999)</f>
        <v>16</v>
      </c>
      <c r="AK62" s="0" t="n">
        <f aca="false">IF(Presupuesto!$B$17='Flujo de Pagos'!$E62,17,9999)</f>
        <v>17</v>
      </c>
      <c r="AL62" s="0" t="n">
        <f aca="false">IF(Presupuesto!$B$18='Flujo de Pagos'!$E62,18,9999)</f>
        <v>18</v>
      </c>
      <c r="AM62" s="0" t="n">
        <f aca="false">IF(Presupuesto!$B$19='Flujo de Pagos'!$E62,19,9999)</f>
        <v>19</v>
      </c>
      <c r="AN62" s="0" t="n">
        <f aca="false">IF(Presupuesto!$B$20='Flujo de Pagos'!$E62,20,9999)</f>
        <v>20</v>
      </c>
      <c r="AO62" s="0" t="n">
        <f aca="false">IF(Presupuesto!$B$21='Flujo de Pagos'!$E62,21,9999)</f>
        <v>21</v>
      </c>
      <c r="AP62" s="0" t="n">
        <f aca="false">IF(Presupuesto!$B$22='Flujo de Pagos'!$E62,22,9999)</f>
        <v>22</v>
      </c>
      <c r="AQ62" s="0" t="n">
        <f aca="false">IF(Presupuesto!$B$23='Flujo de Pagos'!$E62,23,9999)</f>
        <v>23</v>
      </c>
      <c r="AR62" s="0" t="n">
        <f aca="false">IF(Presupuesto!$B$24='Flujo de Pagos'!$E62,24,9999)</f>
        <v>24</v>
      </c>
      <c r="AS62" s="0" t="n">
        <f aca="false">IF(Presupuesto!$B$25='Flujo de Pagos'!$E62,25,9999)</f>
        <v>25</v>
      </c>
      <c r="AT62" s="0" t="n">
        <f aca="false">IF(Presupuesto!$B$26='Flujo de Pagos'!$E62,26,9999)</f>
        <v>26</v>
      </c>
      <c r="AU62" s="0" t="n">
        <f aca="false">IF(Presupuesto!$B$27='Flujo de Pagos'!$E62,27,9999)</f>
        <v>27</v>
      </c>
      <c r="AV62" s="0" t="n">
        <f aca="false">IF(Presupuesto!$B$28='Flujo de Pagos'!$E62,28,9999)</f>
        <v>28</v>
      </c>
      <c r="AW62" s="0" t="n">
        <f aca="false">IF(Presupuesto!$B$29='Flujo de Pagos'!$E62,29,9999)</f>
        <v>29</v>
      </c>
      <c r="AX62" s="0" t="n">
        <f aca="false">IF(Presupuesto!$B$30='Flujo de Pagos'!$E62,30,9999)</f>
        <v>30</v>
      </c>
      <c r="AY62" s="0" t="n">
        <f aca="false">IF(Presupuesto!$B$31='Flujo de Pagos'!$E62,31,9999)</f>
        <v>31</v>
      </c>
      <c r="AZ62" s="0" t="n">
        <f aca="false">IF(Presupuesto!$B$32='Flujo de Pagos'!$E62,32,9999)</f>
        <v>32</v>
      </c>
      <c r="BA62" s="0" t="n">
        <f aca="false">IF(Presupuesto!$B$33='Flujo de Pagos'!$E62,33,9999)</f>
        <v>33</v>
      </c>
      <c r="BB62" s="0" t="n">
        <f aca="false">IF(Presupuesto!$B$34='Flujo de Pagos'!$E62,34,9999)</f>
        <v>34</v>
      </c>
      <c r="BC62" s="0" t="n">
        <f aca="false">IF(Presupuesto!$B$35='Flujo de Pagos'!$E62,35,9999)</f>
        <v>35</v>
      </c>
      <c r="BD62" s="0" t="n">
        <f aca="false">IF(Presupuesto!$B$36='Flujo de Pagos'!$E62,36,9999)</f>
        <v>36</v>
      </c>
      <c r="BE62" s="0" t="n">
        <f aca="false">IF(Presupuesto!$B$37='Flujo de Pagos'!$E62,37,9999)</f>
        <v>37</v>
      </c>
      <c r="BF62" s="0" t="n">
        <f aca="false">IF(Presupuesto!$B$38='Flujo de Pagos'!$E62,38,9999)</f>
        <v>38</v>
      </c>
      <c r="BG62" s="0" t="n">
        <f aca="false">IF(Presupuesto!$B$39='Flujo de Pagos'!$E62,39,9999)</f>
        <v>39</v>
      </c>
      <c r="BH62" s="0" t="n">
        <f aca="false">IF(Presupuesto!$B$40='Flujo de Pagos'!$E62,40,9999)</f>
        <v>40</v>
      </c>
      <c r="BI62" s="0" t="n">
        <f aca="false">IF(Presupuesto!$B$41='Flujo de Pagos'!$E62,41,9999)</f>
        <v>41</v>
      </c>
      <c r="BJ62" s="0" t="n">
        <f aca="false">IF(Presupuesto!$B$42='Flujo de Pagos'!$E62,42,9999)</f>
        <v>42</v>
      </c>
      <c r="BK62" s="0" t="n">
        <f aca="false">IF(Presupuesto!$B$43='Flujo de Pagos'!$E62,43,9999)</f>
        <v>43</v>
      </c>
      <c r="BL62" s="0" t="n">
        <f aca="false">IF(Presupuesto!$B$44='Flujo de Pagos'!$E62,44,9999)</f>
        <v>44</v>
      </c>
      <c r="BM62" s="0" t="n">
        <f aca="false">IF(Presupuesto!$B$45='Flujo de Pagos'!$E62,45,9999)</f>
        <v>45</v>
      </c>
      <c r="BN62" s="0" t="n">
        <f aca="false">IF(Presupuesto!$B$46='Flujo de Pagos'!$E62,46,9999)</f>
        <v>46</v>
      </c>
      <c r="BO62" s="0" t="n">
        <f aca="false">IF(Presupuesto!$B$47='Flujo de Pagos'!$E62,47,9999)</f>
        <v>47</v>
      </c>
      <c r="BP62" s="0" t="n">
        <f aca="false">IF(Presupuesto!$B$48='Flujo de Pagos'!$E62,48,9999)</f>
        <v>48</v>
      </c>
      <c r="BQ62" s="0" t="n">
        <f aca="false">IF(Presupuesto!$B$49='Flujo de Pagos'!$E62,49,9999)</f>
        <v>49</v>
      </c>
      <c r="BR62" s="0" t="n">
        <f aca="false">IF(Presupuesto!$B$50='Flujo de Pagos'!$E62,50,9999)</f>
        <v>50</v>
      </c>
      <c r="BS62" s="0" t="n">
        <f aca="false">IF(Presupuesto!$B$51='Flujo de Pagos'!$E62,51,9999)</f>
        <v>51</v>
      </c>
      <c r="BT62" s="0" t="n">
        <f aca="false">IF(Presupuesto!$B$52='Flujo de Pagos'!$E62,52,9999)</f>
        <v>52</v>
      </c>
      <c r="BU62" s="0" t="n">
        <f aca="false">IF(Presupuesto!$B$53='Flujo de Pagos'!$E62,53,9999)</f>
        <v>53</v>
      </c>
      <c r="BV62" s="0" t="n">
        <f aca="false">IF(Presupuesto!$B$54='Flujo de Pagos'!$E62,54,9999)</f>
        <v>54</v>
      </c>
      <c r="BW62" s="0" t="n">
        <f aca="false">IF(Presupuesto!$B$55='Flujo de Pagos'!$E62,55,9999)</f>
        <v>55</v>
      </c>
      <c r="BX62" s="0" t="n">
        <f aca="false">IF(Presupuesto!$B$56='Flujo de Pagos'!$E62,56,9999)</f>
        <v>56</v>
      </c>
      <c r="BY62" s="0" t="n">
        <f aca="false">IF(Presupuesto!$B$57='Flujo de Pagos'!$E62,57,9999)</f>
        <v>57</v>
      </c>
      <c r="BZ62" s="0" t="n">
        <f aca="false">IF(Presupuesto!$B$58='Flujo de Pagos'!$E62,58,9999)</f>
        <v>58</v>
      </c>
      <c r="CA62" s="0" t="n">
        <f aca="false">IF(Presupuesto!$B$59='Flujo de Pagos'!$E62,59,9999)</f>
        <v>59</v>
      </c>
      <c r="CB62" s="0" t="n">
        <f aca="false">IF(Presupuesto!$B$60='Flujo de Pagos'!$E62,60,9999)</f>
        <v>60</v>
      </c>
      <c r="CC62" s="0" t="n">
        <f aca="false">IF(Presupuesto!$B$61='Flujo de Pagos'!$E62,61,9999)</f>
        <v>61</v>
      </c>
      <c r="CD62" s="0" t="n">
        <f aca="false">IF(Presupuesto!$B$62='Flujo de Pagos'!$E62,62,9999)</f>
        <v>62</v>
      </c>
      <c r="CE62" s="0" t="n">
        <f aca="false">IF(Presupuesto!$B$63='Flujo de Pagos'!$E62,63,9999)</f>
        <v>63</v>
      </c>
      <c r="CF62" s="0" t="n">
        <f aca="false">IF(Presupuesto!$B$64='Flujo de Pagos'!$E62,64,9999)</f>
        <v>64</v>
      </c>
      <c r="CG62" s="0" t="n">
        <f aca="false">IF(Presupuesto!$B$65='Flujo de Pagos'!$E62,65,9999)</f>
        <v>65</v>
      </c>
      <c r="CH62" s="0" t="n">
        <f aca="false">IF(Presupuesto!$B$66='Flujo de Pagos'!$E62,66,9999)</f>
        <v>66</v>
      </c>
    </row>
    <row r="63" customFormat="false" ht="15" hidden="false" customHeight="true" outlineLevel="0" collapsed="false">
      <c r="B63" s="1" t="n">
        <f aca="false">IF(AND('Flujo de Pagos'!E68=Carátula!$B$2,'Flujo de Pagos'!F68=Carátula!$B$4,'Flujo de Pagos'!H68&lt;&gt;""),68,99999)</f>
        <v>99999</v>
      </c>
      <c r="H63" s="1" t="n">
        <f aca="false">IF(SMALL($AA63:$CH63,1)&gt;=9999,"",INDEX(Presupuesto!$C:$C,SMALL($AA63:$CH63,1)))</f>
        <v>0</v>
      </c>
      <c r="I63" s="1" t="n">
        <f aca="false">IF(SMALL($AA63:$CH63,2)&gt;=9999,"",INDEX(Presupuesto!$C:$C,SMALL($AA63:$CH63,2)))</f>
        <v>0</v>
      </c>
      <c r="J63" s="1" t="n">
        <f aca="false">IF(SMALL($AA63:$CH63,3)&gt;=9999,"",INDEX(Presupuesto!$C:$C,SMALL($AA63:$CH63,3)))</f>
        <v>0</v>
      </c>
      <c r="K63" s="1" t="n">
        <f aca="false">IF(SMALL($AA63:$CH63,4)&gt;=9999,"",INDEX(Presupuesto!$C:$C,SMALL($AA63:$CH63,4)))</f>
        <v>0</v>
      </c>
      <c r="L63" s="1" t="n">
        <f aca="false">IF(SMALL($AA63:$CH63,5)&gt;=9999,"",INDEX(Presupuesto!$C:$C,SMALL($AA63:$CH63,5)))</f>
        <v>0</v>
      </c>
      <c r="M63" s="1" t="n">
        <f aca="false">IF(SMALL($AA63:$CH63,6)&gt;=9999,"",INDEX(Presupuesto!$C:$C,SMALL($AA63:$CH63,6)))</f>
        <v>0</v>
      </c>
      <c r="N63" s="1" t="n">
        <f aca="false">IF(SMALL($AA63:$CH63,7)&gt;=9999,"",INDEX(Presupuesto!$C:$C,SMALL($AA63:$CH63,7)))</f>
        <v>0</v>
      </c>
      <c r="O63" s="1" t="n">
        <f aca="false">IF(SMALL($AA63:$CH63,8)&gt;=9999,"",INDEX(Presupuesto!$C:$C,SMALL($AA63:$CH63,8)))</f>
        <v>0</v>
      </c>
      <c r="P63" s="1" t="n">
        <f aca="false">IF(SMALL($AA63:$CH63,9)&gt;=9999,"",INDEX(Presupuesto!$C:$C,SMALL($AA63:$CH63,9)))</f>
        <v>0</v>
      </c>
      <c r="Q63" s="1" t="n">
        <f aca="false">IF(SMALL($AA63:$CH63,10)&gt;=9999,"",INDEX(Presupuesto!$C:$C,SMALL($AA63:$CH63,10)))</f>
        <v>0</v>
      </c>
      <c r="AA63" s="0" t="n">
        <f aca="false">IF(Presupuesto!$B$7='Flujo de Pagos'!$E63,7,9999)</f>
        <v>9999</v>
      </c>
      <c r="AB63" s="0" t="n">
        <f aca="false">IF(Presupuesto!$B$8='Flujo de Pagos'!$E63,8,9999)</f>
        <v>9999</v>
      </c>
      <c r="AC63" s="0" t="n">
        <f aca="false">IF(Presupuesto!$B$9='Flujo de Pagos'!$E63,9,9999)</f>
        <v>9999</v>
      </c>
      <c r="AD63" s="0" t="n">
        <f aca="false">IF(Presupuesto!$B$10='Flujo de Pagos'!$E63,10,9999)</f>
        <v>9999</v>
      </c>
      <c r="AE63" s="0" t="n">
        <f aca="false">IF(Presupuesto!$B$11='Flujo de Pagos'!$E63,11,9999)</f>
        <v>9999</v>
      </c>
      <c r="AF63" s="0" t="n">
        <f aca="false">IF(Presupuesto!$B$12='Flujo de Pagos'!$E63,12,9999)</f>
        <v>12</v>
      </c>
      <c r="AG63" s="0" t="n">
        <f aca="false">IF(Presupuesto!$B$13='Flujo de Pagos'!$E63,13,9999)</f>
        <v>13</v>
      </c>
      <c r="AH63" s="0" t="n">
        <f aca="false">IF(Presupuesto!$B$14='Flujo de Pagos'!$E63,14,9999)</f>
        <v>14</v>
      </c>
      <c r="AI63" s="0" t="n">
        <f aca="false">IF(Presupuesto!$B$15='Flujo de Pagos'!$E63,15,9999)</f>
        <v>15</v>
      </c>
      <c r="AJ63" s="0" t="n">
        <f aca="false">IF(Presupuesto!$B$16='Flujo de Pagos'!$E63,16,9999)</f>
        <v>16</v>
      </c>
      <c r="AK63" s="0" t="n">
        <f aca="false">IF(Presupuesto!$B$17='Flujo de Pagos'!$E63,17,9999)</f>
        <v>17</v>
      </c>
      <c r="AL63" s="0" t="n">
        <f aca="false">IF(Presupuesto!$B$18='Flujo de Pagos'!$E63,18,9999)</f>
        <v>18</v>
      </c>
      <c r="AM63" s="0" t="n">
        <f aca="false">IF(Presupuesto!$B$19='Flujo de Pagos'!$E63,19,9999)</f>
        <v>19</v>
      </c>
      <c r="AN63" s="0" t="n">
        <f aca="false">IF(Presupuesto!$B$20='Flujo de Pagos'!$E63,20,9999)</f>
        <v>20</v>
      </c>
      <c r="AO63" s="0" t="n">
        <f aca="false">IF(Presupuesto!$B$21='Flujo de Pagos'!$E63,21,9999)</f>
        <v>21</v>
      </c>
      <c r="AP63" s="0" t="n">
        <f aca="false">IF(Presupuesto!$B$22='Flujo de Pagos'!$E63,22,9999)</f>
        <v>22</v>
      </c>
      <c r="AQ63" s="0" t="n">
        <f aca="false">IF(Presupuesto!$B$23='Flujo de Pagos'!$E63,23,9999)</f>
        <v>23</v>
      </c>
      <c r="AR63" s="0" t="n">
        <f aca="false">IF(Presupuesto!$B$24='Flujo de Pagos'!$E63,24,9999)</f>
        <v>24</v>
      </c>
      <c r="AS63" s="0" t="n">
        <f aca="false">IF(Presupuesto!$B$25='Flujo de Pagos'!$E63,25,9999)</f>
        <v>25</v>
      </c>
      <c r="AT63" s="0" t="n">
        <f aca="false">IF(Presupuesto!$B$26='Flujo de Pagos'!$E63,26,9999)</f>
        <v>26</v>
      </c>
      <c r="AU63" s="0" t="n">
        <f aca="false">IF(Presupuesto!$B$27='Flujo de Pagos'!$E63,27,9999)</f>
        <v>27</v>
      </c>
      <c r="AV63" s="0" t="n">
        <f aca="false">IF(Presupuesto!$B$28='Flujo de Pagos'!$E63,28,9999)</f>
        <v>28</v>
      </c>
      <c r="AW63" s="0" t="n">
        <f aca="false">IF(Presupuesto!$B$29='Flujo de Pagos'!$E63,29,9999)</f>
        <v>29</v>
      </c>
      <c r="AX63" s="0" t="n">
        <f aca="false">IF(Presupuesto!$B$30='Flujo de Pagos'!$E63,30,9999)</f>
        <v>30</v>
      </c>
      <c r="AY63" s="0" t="n">
        <f aca="false">IF(Presupuesto!$B$31='Flujo de Pagos'!$E63,31,9999)</f>
        <v>31</v>
      </c>
      <c r="AZ63" s="0" t="n">
        <f aca="false">IF(Presupuesto!$B$32='Flujo de Pagos'!$E63,32,9999)</f>
        <v>32</v>
      </c>
      <c r="BA63" s="0" t="n">
        <f aca="false">IF(Presupuesto!$B$33='Flujo de Pagos'!$E63,33,9999)</f>
        <v>33</v>
      </c>
      <c r="BB63" s="0" t="n">
        <f aca="false">IF(Presupuesto!$B$34='Flujo de Pagos'!$E63,34,9999)</f>
        <v>34</v>
      </c>
      <c r="BC63" s="0" t="n">
        <f aca="false">IF(Presupuesto!$B$35='Flujo de Pagos'!$E63,35,9999)</f>
        <v>35</v>
      </c>
      <c r="BD63" s="0" t="n">
        <f aca="false">IF(Presupuesto!$B$36='Flujo de Pagos'!$E63,36,9999)</f>
        <v>36</v>
      </c>
      <c r="BE63" s="0" t="n">
        <f aca="false">IF(Presupuesto!$B$37='Flujo de Pagos'!$E63,37,9999)</f>
        <v>37</v>
      </c>
      <c r="BF63" s="0" t="n">
        <f aca="false">IF(Presupuesto!$B$38='Flujo de Pagos'!$E63,38,9999)</f>
        <v>38</v>
      </c>
      <c r="BG63" s="0" t="n">
        <f aca="false">IF(Presupuesto!$B$39='Flujo de Pagos'!$E63,39,9999)</f>
        <v>39</v>
      </c>
      <c r="BH63" s="0" t="n">
        <f aca="false">IF(Presupuesto!$B$40='Flujo de Pagos'!$E63,40,9999)</f>
        <v>40</v>
      </c>
      <c r="BI63" s="0" t="n">
        <f aca="false">IF(Presupuesto!$B$41='Flujo de Pagos'!$E63,41,9999)</f>
        <v>41</v>
      </c>
      <c r="BJ63" s="0" t="n">
        <f aca="false">IF(Presupuesto!$B$42='Flujo de Pagos'!$E63,42,9999)</f>
        <v>42</v>
      </c>
      <c r="BK63" s="0" t="n">
        <f aca="false">IF(Presupuesto!$B$43='Flujo de Pagos'!$E63,43,9999)</f>
        <v>43</v>
      </c>
      <c r="BL63" s="0" t="n">
        <f aca="false">IF(Presupuesto!$B$44='Flujo de Pagos'!$E63,44,9999)</f>
        <v>44</v>
      </c>
      <c r="BM63" s="0" t="n">
        <f aca="false">IF(Presupuesto!$B$45='Flujo de Pagos'!$E63,45,9999)</f>
        <v>45</v>
      </c>
      <c r="BN63" s="0" t="n">
        <f aca="false">IF(Presupuesto!$B$46='Flujo de Pagos'!$E63,46,9999)</f>
        <v>46</v>
      </c>
      <c r="BO63" s="0" t="n">
        <f aca="false">IF(Presupuesto!$B$47='Flujo de Pagos'!$E63,47,9999)</f>
        <v>47</v>
      </c>
      <c r="BP63" s="0" t="n">
        <f aca="false">IF(Presupuesto!$B$48='Flujo de Pagos'!$E63,48,9999)</f>
        <v>48</v>
      </c>
      <c r="BQ63" s="0" t="n">
        <f aca="false">IF(Presupuesto!$B$49='Flujo de Pagos'!$E63,49,9999)</f>
        <v>49</v>
      </c>
      <c r="BR63" s="0" t="n">
        <f aca="false">IF(Presupuesto!$B$50='Flujo de Pagos'!$E63,50,9999)</f>
        <v>50</v>
      </c>
      <c r="BS63" s="0" t="n">
        <f aca="false">IF(Presupuesto!$B$51='Flujo de Pagos'!$E63,51,9999)</f>
        <v>51</v>
      </c>
      <c r="BT63" s="0" t="n">
        <f aca="false">IF(Presupuesto!$B$52='Flujo de Pagos'!$E63,52,9999)</f>
        <v>52</v>
      </c>
      <c r="BU63" s="0" t="n">
        <f aca="false">IF(Presupuesto!$B$53='Flujo de Pagos'!$E63,53,9999)</f>
        <v>53</v>
      </c>
      <c r="BV63" s="0" t="n">
        <f aca="false">IF(Presupuesto!$B$54='Flujo de Pagos'!$E63,54,9999)</f>
        <v>54</v>
      </c>
      <c r="BW63" s="0" t="n">
        <f aca="false">IF(Presupuesto!$B$55='Flujo de Pagos'!$E63,55,9999)</f>
        <v>55</v>
      </c>
      <c r="BX63" s="0" t="n">
        <f aca="false">IF(Presupuesto!$B$56='Flujo de Pagos'!$E63,56,9999)</f>
        <v>56</v>
      </c>
      <c r="BY63" s="0" t="n">
        <f aca="false">IF(Presupuesto!$B$57='Flujo de Pagos'!$E63,57,9999)</f>
        <v>57</v>
      </c>
      <c r="BZ63" s="0" t="n">
        <f aca="false">IF(Presupuesto!$B$58='Flujo de Pagos'!$E63,58,9999)</f>
        <v>58</v>
      </c>
      <c r="CA63" s="0" t="n">
        <f aca="false">IF(Presupuesto!$B$59='Flujo de Pagos'!$E63,59,9999)</f>
        <v>59</v>
      </c>
      <c r="CB63" s="0" t="n">
        <f aca="false">IF(Presupuesto!$B$60='Flujo de Pagos'!$E63,60,9999)</f>
        <v>60</v>
      </c>
      <c r="CC63" s="0" t="n">
        <f aca="false">IF(Presupuesto!$B$61='Flujo de Pagos'!$E63,61,9999)</f>
        <v>61</v>
      </c>
      <c r="CD63" s="0" t="n">
        <f aca="false">IF(Presupuesto!$B$62='Flujo de Pagos'!$E63,62,9999)</f>
        <v>62</v>
      </c>
      <c r="CE63" s="0" t="n">
        <f aca="false">IF(Presupuesto!$B$63='Flujo de Pagos'!$E63,63,9999)</f>
        <v>63</v>
      </c>
      <c r="CF63" s="0" t="n">
        <f aca="false">IF(Presupuesto!$B$64='Flujo de Pagos'!$E63,64,9999)</f>
        <v>64</v>
      </c>
      <c r="CG63" s="0" t="n">
        <f aca="false">IF(Presupuesto!$B$65='Flujo de Pagos'!$E63,65,9999)</f>
        <v>65</v>
      </c>
      <c r="CH63" s="0" t="n">
        <f aca="false">IF(Presupuesto!$B$66='Flujo de Pagos'!$E63,66,9999)</f>
        <v>66</v>
      </c>
    </row>
    <row r="64" customFormat="false" ht="15" hidden="false" customHeight="true" outlineLevel="0" collapsed="false">
      <c r="B64" s="1" t="n">
        <f aca="false">IF(AND('Flujo de Pagos'!E69=Carátula!$B$2,'Flujo de Pagos'!F69=Carátula!$B$4,'Flujo de Pagos'!H69&lt;&gt;""),69,99999)</f>
        <v>99999</v>
      </c>
      <c r="H64" s="1" t="n">
        <f aca="false">IF(SMALL($AA64:$CH64,1)&gt;=9999,"",INDEX(Presupuesto!$C:$C,SMALL($AA64:$CH64,1)))</f>
        <v>0</v>
      </c>
      <c r="I64" s="1" t="n">
        <f aca="false">IF(SMALL($AA64:$CH64,2)&gt;=9999,"",INDEX(Presupuesto!$C:$C,SMALL($AA64:$CH64,2)))</f>
        <v>0</v>
      </c>
      <c r="J64" s="1" t="n">
        <f aca="false">IF(SMALL($AA64:$CH64,3)&gt;=9999,"",INDEX(Presupuesto!$C:$C,SMALL($AA64:$CH64,3)))</f>
        <v>0</v>
      </c>
      <c r="K64" s="1" t="n">
        <f aca="false">IF(SMALL($AA64:$CH64,4)&gt;=9999,"",INDEX(Presupuesto!$C:$C,SMALL($AA64:$CH64,4)))</f>
        <v>0</v>
      </c>
      <c r="L64" s="1" t="n">
        <f aca="false">IF(SMALL($AA64:$CH64,5)&gt;=9999,"",INDEX(Presupuesto!$C:$C,SMALL($AA64:$CH64,5)))</f>
        <v>0</v>
      </c>
      <c r="M64" s="1" t="n">
        <f aca="false">IF(SMALL($AA64:$CH64,6)&gt;=9999,"",INDEX(Presupuesto!$C:$C,SMALL($AA64:$CH64,6)))</f>
        <v>0</v>
      </c>
      <c r="N64" s="1" t="n">
        <f aca="false">IF(SMALL($AA64:$CH64,7)&gt;=9999,"",INDEX(Presupuesto!$C:$C,SMALL($AA64:$CH64,7)))</f>
        <v>0</v>
      </c>
      <c r="O64" s="1" t="n">
        <f aca="false">IF(SMALL($AA64:$CH64,8)&gt;=9999,"",INDEX(Presupuesto!$C:$C,SMALL($AA64:$CH64,8)))</f>
        <v>0</v>
      </c>
      <c r="P64" s="1" t="n">
        <f aca="false">IF(SMALL($AA64:$CH64,9)&gt;=9999,"",INDEX(Presupuesto!$C:$C,SMALL($AA64:$CH64,9)))</f>
        <v>0</v>
      </c>
      <c r="Q64" s="1" t="n">
        <f aca="false">IF(SMALL($AA64:$CH64,10)&gt;=9999,"",INDEX(Presupuesto!$C:$C,SMALL($AA64:$CH64,10)))</f>
        <v>0</v>
      </c>
      <c r="AA64" s="0" t="n">
        <f aca="false">IF(Presupuesto!$B$7='Flujo de Pagos'!$E64,7,9999)</f>
        <v>9999</v>
      </c>
      <c r="AB64" s="0" t="n">
        <f aca="false">IF(Presupuesto!$B$8='Flujo de Pagos'!$E64,8,9999)</f>
        <v>9999</v>
      </c>
      <c r="AC64" s="0" t="n">
        <f aca="false">IF(Presupuesto!$B$9='Flujo de Pagos'!$E64,9,9999)</f>
        <v>9999</v>
      </c>
      <c r="AD64" s="0" t="n">
        <f aca="false">IF(Presupuesto!$B$10='Flujo de Pagos'!$E64,10,9999)</f>
        <v>9999</v>
      </c>
      <c r="AE64" s="0" t="n">
        <f aca="false">IF(Presupuesto!$B$11='Flujo de Pagos'!$E64,11,9999)</f>
        <v>9999</v>
      </c>
      <c r="AF64" s="0" t="n">
        <f aca="false">IF(Presupuesto!$B$12='Flujo de Pagos'!$E64,12,9999)</f>
        <v>12</v>
      </c>
      <c r="AG64" s="0" t="n">
        <f aca="false">IF(Presupuesto!$B$13='Flujo de Pagos'!$E64,13,9999)</f>
        <v>13</v>
      </c>
      <c r="AH64" s="0" t="n">
        <f aca="false">IF(Presupuesto!$B$14='Flujo de Pagos'!$E64,14,9999)</f>
        <v>14</v>
      </c>
      <c r="AI64" s="0" t="n">
        <f aca="false">IF(Presupuesto!$B$15='Flujo de Pagos'!$E64,15,9999)</f>
        <v>15</v>
      </c>
      <c r="AJ64" s="0" t="n">
        <f aca="false">IF(Presupuesto!$B$16='Flujo de Pagos'!$E64,16,9999)</f>
        <v>16</v>
      </c>
      <c r="AK64" s="0" t="n">
        <f aca="false">IF(Presupuesto!$B$17='Flujo de Pagos'!$E64,17,9999)</f>
        <v>17</v>
      </c>
      <c r="AL64" s="0" t="n">
        <f aca="false">IF(Presupuesto!$B$18='Flujo de Pagos'!$E64,18,9999)</f>
        <v>18</v>
      </c>
      <c r="AM64" s="0" t="n">
        <f aca="false">IF(Presupuesto!$B$19='Flujo de Pagos'!$E64,19,9999)</f>
        <v>19</v>
      </c>
      <c r="AN64" s="0" t="n">
        <f aca="false">IF(Presupuesto!$B$20='Flujo de Pagos'!$E64,20,9999)</f>
        <v>20</v>
      </c>
      <c r="AO64" s="0" t="n">
        <f aca="false">IF(Presupuesto!$B$21='Flujo de Pagos'!$E64,21,9999)</f>
        <v>21</v>
      </c>
      <c r="AP64" s="0" t="n">
        <f aca="false">IF(Presupuesto!$B$22='Flujo de Pagos'!$E64,22,9999)</f>
        <v>22</v>
      </c>
      <c r="AQ64" s="0" t="n">
        <f aca="false">IF(Presupuesto!$B$23='Flujo de Pagos'!$E64,23,9999)</f>
        <v>23</v>
      </c>
      <c r="AR64" s="0" t="n">
        <f aca="false">IF(Presupuesto!$B$24='Flujo de Pagos'!$E64,24,9999)</f>
        <v>24</v>
      </c>
      <c r="AS64" s="0" t="n">
        <f aca="false">IF(Presupuesto!$B$25='Flujo de Pagos'!$E64,25,9999)</f>
        <v>25</v>
      </c>
      <c r="AT64" s="0" t="n">
        <f aca="false">IF(Presupuesto!$B$26='Flujo de Pagos'!$E64,26,9999)</f>
        <v>26</v>
      </c>
      <c r="AU64" s="0" t="n">
        <f aca="false">IF(Presupuesto!$B$27='Flujo de Pagos'!$E64,27,9999)</f>
        <v>27</v>
      </c>
      <c r="AV64" s="0" t="n">
        <f aca="false">IF(Presupuesto!$B$28='Flujo de Pagos'!$E64,28,9999)</f>
        <v>28</v>
      </c>
      <c r="AW64" s="0" t="n">
        <f aca="false">IF(Presupuesto!$B$29='Flujo de Pagos'!$E64,29,9999)</f>
        <v>29</v>
      </c>
      <c r="AX64" s="0" t="n">
        <f aca="false">IF(Presupuesto!$B$30='Flujo de Pagos'!$E64,30,9999)</f>
        <v>30</v>
      </c>
      <c r="AY64" s="0" t="n">
        <f aca="false">IF(Presupuesto!$B$31='Flujo de Pagos'!$E64,31,9999)</f>
        <v>31</v>
      </c>
      <c r="AZ64" s="0" t="n">
        <f aca="false">IF(Presupuesto!$B$32='Flujo de Pagos'!$E64,32,9999)</f>
        <v>32</v>
      </c>
      <c r="BA64" s="0" t="n">
        <f aca="false">IF(Presupuesto!$B$33='Flujo de Pagos'!$E64,33,9999)</f>
        <v>33</v>
      </c>
      <c r="BB64" s="0" t="n">
        <f aca="false">IF(Presupuesto!$B$34='Flujo de Pagos'!$E64,34,9999)</f>
        <v>34</v>
      </c>
      <c r="BC64" s="0" t="n">
        <f aca="false">IF(Presupuesto!$B$35='Flujo de Pagos'!$E64,35,9999)</f>
        <v>35</v>
      </c>
      <c r="BD64" s="0" t="n">
        <f aca="false">IF(Presupuesto!$B$36='Flujo de Pagos'!$E64,36,9999)</f>
        <v>36</v>
      </c>
      <c r="BE64" s="0" t="n">
        <f aca="false">IF(Presupuesto!$B$37='Flujo de Pagos'!$E64,37,9999)</f>
        <v>37</v>
      </c>
      <c r="BF64" s="0" t="n">
        <f aca="false">IF(Presupuesto!$B$38='Flujo de Pagos'!$E64,38,9999)</f>
        <v>38</v>
      </c>
      <c r="BG64" s="0" t="n">
        <f aca="false">IF(Presupuesto!$B$39='Flujo de Pagos'!$E64,39,9999)</f>
        <v>39</v>
      </c>
      <c r="BH64" s="0" t="n">
        <f aca="false">IF(Presupuesto!$B$40='Flujo de Pagos'!$E64,40,9999)</f>
        <v>40</v>
      </c>
      <c r="BI64" s="0" t="n">
        <f aca="false">IF(Presupuesto!$B$41='Flujo de Pagos'!$E64,41,9999)</f>
        <v>41</v>
      </c>
      <c r="BJ64" s="0" t="n">
        <f aca="false">IF(Presupuesto!$B$42='Flujo de Pagos'!$E64,42,9999)</f>
        <v>42</v>
      </c>
      <c r="BK64" s="0" t="n">
        <f aca="false">IF(Presupuesto!$B$43='Flujo de Pagos'!$E64,43,9999)</f>
        <v>43</v>
      </c>
      <c r="BL64" s="0" t="n">
        <f aca="false">IF(Presupuesto!$B$44='Flujo de Pagos'!$E64,44,9999)</f>
        <v>44</v>
      </c>
      <c r="BM64" s="0" t="n">
        <f aca="false">IF(Presupuesto!$B$45='Flujo de Pagos'!$E64,45,9999)</f>
        <v>45</v>
      </c>
      <c r="BN64" s="0" t="n">
        <f aca="false">IF(Presupuesto!$B$46='Flujo de Pagos'!$E64,46,9999)</f>
        <v>46</v>
      </c>
      <c r="BO64" s="0" t="n">
        <f aca="false">IF(Presupuesto!$B$47='Flujo de Pagos'!$E64,47,9999)</f>
        <v>47</v>
      </c>
      <c r="BP64" s="0" t="n">
        <f aca="false">IF(Presupuesto!$B$48='Flujo de Pagos'!$E64,48,9999)</f>
        <v>48</v>
      </c>
      <c r="BQ64" s="0" t="n">
        <f aca="false">IF(Presupuesto!$B$49='Flujo de Pagos'!$E64,49,9999)</f>
        <v>49</v>
      </c>
      <c r="BR64" s="0" t="n">
        <f aca="false">IF(Presupuesto!$B$50='Flujo de Pagos'!$E64,50,9999)</f>
        <v>50</v>
      </c>
      <c r="BS64" s="0" t="n">
        <f aca="false">IF(Presupuesto!$B$51='Flujo de Pagos'!$E64,51,9999)</f>
        <v>51</v>
      </c>
      <c r="BT64" s="0" t="n">
        <f aca="false">IF(Presupuesto!$B$52='Flujo de Pagos'!$E64,52,9999)</f>
        <v>52</v>
      </c>
      <c r="BU64" s="0" t="n">
        <f aca="false">IF(Presupuesto!$B$53='Flujo de Pagos'!$E64,53,9999)</f>
        <v>53</v>
      </c>
      <c r="BV64" s="0" t="n">
        <f aca="false">IF(Presupuesto!$B$54='Flujo de Pagos'!$E64,54,9999)</f>
        <v>54</v>
      </c>
      <c r="BW64" s="0" t="n">
        <f aca="false">IF(Presupuesto!$B$55='Flujo de Pagos'!$E64,55,9999)</f>
        <v>55</v>
      </c>
      <c r="BX64" s="0" t="n">
        <f aca="false">IF(Presupuesto!$B$56='Flujo de Pagos'!$E64,56,9999)</f>
        <v>56</v>
      </c>
      <c r="BY64" s="0" t="n">
        <f aca="false">IF(Presupuesto!$B$57='Flujo de Pagos'!$E64,57,9999)</f>
        <v>57</v>
      </c>
      <c r="BZ64" s="0" t="n">
        <f aca="false">IF(Presupuesto!$B$58='Flujo de Pagos'!$E64,58,9999)</f>
        <v>58</v>
      </c>
      <c r="CA64" s="0" t="n">
        <f aca="false">IF(Presupuesto!$B$59='Flujo de Pagos'!$E64,59,9999)</f>
        <v>59</v>
      </c>
      <c r="CB64" s="0" t="n">
        <f aca="false">IF(Presupuesto!$B$60='Flujo de Pagos'!$E64,60,9999)</f>
        <v>60</v>
      </c>
      <c r="CC64" s="0" t="n">
        <f aca="false">IF(Presupuesto!$B$61='Flujo de Pagos'!$E64,61,9999)</f>
        <v>61</v>
      </c>
      <c r="CD64" s="0" t="n">
        <f aca="false">IF(Presupuesto!$B$62='Flujo de Pagos'!$E64,62,9999)</f>
        <v>62</v>
      </c>
      <c r="CE64" s="0" t="n">
        <f aca="false">IF(Presupuesto!$B$63='Flujo de Pagos'!$E64,63,9999)</f>
        <v>63</v>
      </c>
      <c r="CF64" s="0" t="n">
        <f aca="false">IF(Presupuesto!$B$64='Flujo de Pagos'!$E64,64,9999)</f>
        <v>64</v>
      </c>
      <c r="CG64" s="0" t="n">
        <f aca="false">IF(Presupuesto!$B$65='Flujo de Pagos'!$E64,65,9999)</f>
        <v>65</v>
      </c>
      <c r="CH64" s="0" t="n">
        <f aca="false">IF(Presupuesto!$B$66='Flujo de Pagos'!$E64,66,9999)</f>
        <v>66</v>
      </c>
    </row>
    <row r="65" customFormat="false" ht="15" hidden="false" customHeight="true" outlineLevel="0" collapsed="false">
      <c r="B65" s="1" t="n">
        <f aca="false">IF(AND('Flujo de Pagos'!E70=Carátula!$B$2,'Flujo de Pagos'!F70=Carátula!$B$4,'Flujo de Pagos'!H70&lt;&gt;""),70,99999)</f>
        <v>99999</v>
      </c>
      <c r="H65" s="1" t="n">
        <f aca="false">IF(SMALL($AA65:$CH65,1)&gt;=9999,"",INDEX(Presupuesto!$C:$C,SMALL($AA65:$CH65,1)))</f>
        <v>0</v>
      </c>
      <c r="I65" s="1" t="n">
        <f aca="false">IF(SMALL($AA65:$CH65,2)&gt;=9999,"",INDEX(Presupuesto!$C:$C,SMALL($AA65:$CH65,2)))</f>
        <v>0</v>
      </c>
      <c r="J65" s="1" t="n">
        <f aca="false">IF(SMALL($AA65:$CH65,3)&gt;=9999,"",INDEX(Presupuesto!$C:$C,SMALL($AA65:$CH65,3)))</f>
        <v>0</v>
      </c>
      <c r="K65" s="1" t="n">
        <f aca="false">IF(SMALL($AA65:$CH65,4)&gt;=9999,"",INDEX(Presupuesto!$C:$C,SMALL($AA65:$CH65,4)))</f>
        <v>0</v>
      </c>
      <c r="L65" s="1" t="n">
        <f aca="false">IF(SMALL($AA65:$CH65,5)&gt;=9999,"",INDEX(Presupuesto!$C:$C,SMALL($AA65:$CH65,5)))</f>
        <v>0</v>
      </c>
      <c r="M65" s="1" t="n">
        <f aca="false">IF(SMALL($AA65:$CH65,6)&gt;=9999,"",INDEX(Presupuesto!$C:$C,SMALL($AA65:$CH65,6)))</f>
        <v>0</v>
      </c>
      <c r="N65" s="1" t="n">
        <f aca="false">IF(SMALL($AA65:$CH65,7)&gt;=9999,"",INDEX(Presupuesto!$C:$C,SMALL($AA65:$CH65,7)))</f>
        <v>0</v>
      </c>
      <c r="O65" s="1" t="n">
        <f aca="false">IF(SMALL($AA65:$CH65,8)&gt;=9999,"",INDEX(Presupuesto!$C:$C,SMALL($AA65:$CH65,8)))</f>
        <v>0</v>
      </c>
      <c r="P65" s="1" t="n">
        <f aca="false">IF(SMALL($AA65:$CH65,9)&gt;=9999,"",INDEX(Presupuesto!$C:$C,SMALL($AA65:$CH65,9)))</f>
        <v>0</v>
      </c>
      <c r="Q65" s="1" t="n">
        <f aca="false">IF(SMALL($AA65:$CH65,10)&gt;=9999,"",INDEX(Presupuesto!$C:$C,SMALL($AA65:$CH65,10)))</f>
        <v>0</v>
      </c>
      <c r="AA65" s="0" t="n">
        <f aca="false">IF(Presupuesto!$B$7='Flujo de Pagos'!$E65,7,9999)</f>
        <v>9999</v>
      </c>
      <c r="AB65" s="0" t="n">
        <f aca="false">IF(Presupuesto!$B$8='Flujo de Pagos'!$E65,8,9999)</f>
        <v>9999</v>
      </c>
      <c r="AC65" s="0" t="n">
        <f aca="false">IF(Presupuesto!$B$9='Flujo de Pagos'!$E65,9,9999)</f>
        <v>9999</v>
      </c>
      <c r="AD65" s="0" t="n">
        <f aca="false">IF(Presupuesto!$B$10='Flujo de Pagos'!$E65,10,9999)</f>
        <v>9999</v>
      </c>
      <c r="AE65" s="0" t="n">
        <f aca="false">IF(Presupuesto!$B$11='Flujo de Pagos'!$E65,11,9999)</f>
        <v>9999</v>
      </c>
      <c r="AF65" s="0" t="n">
        <f aca="false">IF(Presupuesto!$B$12='Flujo de Pagos'!$E65,12,9999)</f>
        <v>12</v>
      </c>
      <c r="AG65" s="0" t="n">
        <f aca="false">IF(Presupuesto!$B$13='Flujo de Pagos'!$E65,13,9999)</f>
        <v>13</v>
      </c>
      <c r="AH65" s="0" t="n">
        <f aca="false">IF(Presupuesto!$B$14='Flujo de Pagos'!$E65,14,9999)</f>
        <v>14</v>
      </c>
      <c r="AI65" s="0" t="n">
        <f aca="false">IF(Presupuesto!$B$15='Flujo de Pagos'!$E65,15,9999)</f>
        <v>15</v>
      </c>
      <c r="AJ65" s="0" t="n">
        <f aca="false">IF(Presupuesto!$B$16='Flujo de Pagos'!$E65,16,9999)</f>
        <v>16</v>
      </c>
      <c r="AK65" s="0" t="n">
        <f aca="false">IF(Presupuesto!$B$17='Flujo de Pagos'!$E65,17,9999)</f>
        <v>17</v>
      </c>
      <c r="AL65" s="0" t="n">
        <f aca="false">IF(Presupuesto!$B$18='Flujo de Pagos'!$E65,18,9999)</f>
        <v>18</v>
      </c>
      <c r="AM65" s="0" t="n">
        <f aca="false">IF(Presupuesto!$B$19='Flujo de Pagos'!$E65,19,9999)</f>
        <v>19</v>
      </c>
      <c r="AN65" s="0" t="n">
        <f aca="false">IF(Presupuesto!$B$20='Flujo de Pagos'!$E65,20,9999)</f>
        <v>20</v>
      </c>
      <c r="AO65" s="0" t="n">
        <f aca="false">IF(Presupuesto!$B$21='Flujo de Pagos'!$E65,21,9999)</f>
        <v>21</v>
      </c>
      <c r="AP65" s="0" t="n">
        <f aca="false">IF(Presupuesto!$B$22='Flujo de Pagos'!$E65,22,9999)</f>
        <v>22</v>
      </c>
      <c r="AQ65" s="0" t="n">
        <f aca="false">IF(Presupuesto!$B$23='Flujo de Pagos'!$E65,23,9999)</f>
        <v>23</v>
      </c>
      <c r="AR65" s="0" t="n">
        <f aca="false">IF(Presupuesto!$B$24='Flujo de Pagos'!$E65,24,9999)</f>
        <v>24</v>
      </c>
      <c r="AS65" s="0" t="n">
        <f aca="false">IF(Presupuesto!$B$25='Flujo de Pagos'!$E65,25,9999)</f>
        <v>25</v>
      </c>
      <c r="AT65" s="0" t="n">
        <f aca="false">IF(Presupuesto!$B$26='Flujo de Pagos'!$E65,26,9999)</f>
        <v>26</v>
      </c>
      <c r="AU65" s="0" t="n">
        <f aca="false">IF(Presupuesto!$B$27='Flujo de Pagos'!$E65,27,9999)</f>
        <v>27</v>
      </c>
      <c r="AV65" s="0" t="n">
        <f aca="false">IF(Presupuesto!$B$28='Flujo de Pagos'!$E65,28,9999)</f>
        <v>28</v>
      </c>
      <c r="AW65" s="0" t="n">
        <f aca="false">IF(Presupuesto!$B$29='Flujo de Pagos'!$E65,29,9999)</f>
        <v>29</v>
      </c>
      <c r="AX65" s="0" t="n">
        <f aca="false">IF(Presupuesto!$B$30='Flujo de Pagos'!$E65,30,9999)</f>
        <v>30</v>
      </c>
      <c r="AY65" s="0" t="n">
        <f aca="false">IF(Presupuesto!$B$31='Flujo de Pagos'!$E65,31,9999)</f>
        <v>31</v>
      </c>
      <c r="AZ65" s="0" t="n">
        <f aca="false">IF(Presupuesto!$B$32='Flujo de Pagos'!$E65,32,9999)</f>
        <v>32</v>
      </c>
      <c r="BA65" s="0" t="n">
        <f aca="false">IF(Presupuesto!$B$33='Flujo de Pagos'!$E65,33,9999)</f>
        <v>33</v>
      </c>
      <c r="BB65" s="0" t="n">
        <f aca="false">IF(Presupuesto!$B$34='Flujo de Pagos'!$E65,34,9999)</f>
        <v>34</v>
      </c>
      <c r="BC65" s="0" t="n">
        <f aca="false">IF(Presupuesto!$B$35='Flujo de Pagos'!$E65,35,9999)</f>
        <v>35</v>
      </c>
      <c r="BD65" s="0" t="n">
        <f aca="false">IF(Presupuesto!$B$36='Flujo de Pagos'!$E65,36,9999)</f>
        <v>36</v>
      </c>
      <c r="BE65" s="0" t="n">
        <f aca="false">IF(Presupuesto!$B$37='Flujo de Pagos'!$E65,37,9999)</f>
        <v>37</v>
      </c>
      <c r="BF65" s="0" t="n">
        <f aca="false">IF(Presupuesto!$B$38='Flujo de Pagos'!$E65,38,9999)</f>
        <v>38</v>
      </c>
      <c r="BG65" s="0" t="n">
        <f aca="false">IF(Presupuesto!$B$39='Flujo de Pagos'!$E65,39,9999)</f>
        <v>39</v>
      </c>
      <c r="BH65" s="0" t="n">
        <f aca="false">IF(Presupuesto!$B$40='Flujo de Pagos'!$E65,40,9999)</f>
        <v>40</v>
      </c>
      <c r="BI65" s="0" t="n">
        <f aca="false">IF(Presupuesto!$B$41='Flujo de Pagos'!$E65,41,9999)</f>
        <v>41</v>
      </c>
      <c r="BJ65" s="0" t="n">
        <f aca="false">IF(Presupuesto!$B$42='Flujo de Pagos'!$E65,42,9999)</f>
        <v>42</v>
      </c>
      <c r="BK65" s="0" t="n">
        <f aca="false">IF(Presupuesto!$B$43='Flujo de Pagos'!$E65,43,9999)</f>
        <v>43</v>
      </c>
      <c r="BL65" s="0" t="n">
        <f aca="false">IF(Presupuesto!$B$44='Flujo de Pagos'!$E65,44,9999)</f>
        <v>44</v>
      </c>
      <c r="BM65" s="0" t="n">
        <f aca="false">IF(Presupuesto!$B$45='Flujo de Pagos'!$E65,45,9999)</f>
        <v>45</v>
      </c>
      <c r="BN65" s="0" t="n">
        <f aca="false">IF(Presupuesto!$B$46='Flujo de Pagos'!$E65,46,9999)</f>
        <v>46</v>
      </c>
      <c r="BO65" s="0" t="n">
        <f aca="false">IF(Presupuesto!$B$47='Flujo de Pagos'!$E65,47,9999)</f>
        <v>47</v>
      </c>
      <c r="BP65" s="0" t="n">
        <f aca="false">IF(Presupuesto!$B$48='Flujo de Pagos'!$E65,48,9999)</f>
        <v>48</v>
      </c>
      <c r="BQ65" s="0" t="n">
        <f aca="false">IF(Presupuesto!$B$49='Flujo de Pagos'!$E65,49,9999)</f>
        <v>49</v>
      </c>
      <c r="BR65" s="0" t="n">
        <f aca="false">IF(Presupuesto!$B$50='Flujo de Pagos'!$E65,50,9999)</f>
        <v>50</v>
      </c>
      <c r="BS65" s="0" t="n">
        <f aca="false">IF(Presupuesto!$B$51='Flujo de Pagos'!$E65,51,9999)</f>
        <v>51</v>
      </c>
      <c r="BT65" s="0" t="n">
        <f aca="false">IF(Presupuesto!$B$52='Flujo de Pagos'!$E65,52,9999)</f>
        <v>52</v>
      </c>
      <c r="BU65" s="0" t="n">
        <f aca="false">IF(Presupuesto!$B$53='Flujo de Pagos'!$E65,53,9999)</f>
        <v>53</v>
      </c>
      <c r="BV65" s="0" t="n">
        <f aca="false">IF(Presupuesto!$B$54='Flujo de Pagos'!$E65,54,9999)</f>
        <v>54</v>
      </c>
      <c r="BW65" s="0" t="n">
        <f aca="false">IF(Presupuesto!$B$55='Flujo de Pagos'!$E65,55,9999)</f>
        <v>55</v>
      </c>
      <c r="BX65" s="0" t="n">
        <f aca="false">IF(Presupuesto!$B$56='Flujo de Pagos'!$E65,56,9999)</f>
        <v>56</v>
      </c>
      <c r="BY65" s="0" t="n">
        <f aca="false">IF(Presupuesto!$B$57='Flujo de Pagos'!$E65,57,9999)</f>
        <v>57</v>
      </c>
      <c r="BZ65" s="0" t="n">
        <f aca="false">IF(Presupuesto!$B$58='Flujo de Pagos'!$E65,58,9999)</f>
        <v>58</v>
      </c>
      <c r="CA65" s="0" t="n">
        <f aca="false">IF(Presupuesto!$B$59='Flujo de Pagos'!$E65,59,9999)</f>
        <v>59</v>
      </c>
      <c r="CB65" s="0" t="n">
        <f aca="false">IF(Presupuesto!$B$60='Flujo de Pagos'!$E65,60,9999)</f>
        <v>60</v>
      </c>
      <c r="CC65" s="0" t="n">
        <f aca="false">IF(Presupuesto!$B$61='Flujo de Pagos'!$E65,61,9999)</f>
        <v>61</v>
      </c>
      <c r="CD65" s="0" t="n">
        <f aca="false">IF(Presupuesto!$B$62='Flujo de Pagos'!$E65,62,9999)</f>
        <v>62</v>
      </c>
      <c r="CE65" s="0" t="n">
        <f aca="false">IF(Presupuesto!$B$63='Flujo de Pagos'!$E65,63,9999)</f>
        <v>63</v>
      </c>
      <c r="CF65" s="0" t="n">
        <f aca="false">IF(Presupuesto!$B$64='Flujo de Pagos'!$E65,64,9999)</f>
        <v>64</v>
      </c>
      <c r="CG65" s="0" t="n">
        <f aca="false">IF(Presupuesto!$B$65='Flujo de Pagos'!$E65,65,9999)</f>
        <v>65</v>
      </c>
      <c r="CH65" s="0" t="n">
        <f aca="false">IF(Presupuesto!$B$66='Flujo de Pagos'!$E65,66,9999)</f>
        <v>66</v>
      </c>
    </row>
    <row r="66" customFormat="false" ht="15" hidden="false" customHeight="true" outlineLevel="0" collapsed="false">
      <c r="B66" s="1" t="n">
        <f aca="false">IF(AND('Flujo de Pagos'!E71=Carátula!$B$2,'Flujo de Pagos'!F71=Carátula!$B$4,'Flujo de Pagos'!H71&lt;&gt;""),71,99999)</f>
        <v>99999</v>
      </c>
      <c r="H66" s="1" t="n">
        <f aca="false">IF(SMALL($AA66:$CH66,1)&gt;=9999,"",INDEX(Presupuesto!$C:$C,SMALL($AA66:$CH66,1)))</f>
        <v>0</v>
      </c>
      <c r="I66" s="1" t="n">
        <f aca="false">IF(SMALL($AA66:$CH66,2)&gt;=9999,"",INDEX(Presupuesto!$C:$C,SMALL($AA66:$CH66,2)))</f>
        <v>0</v>
      </c>
      <c r="J66" s="1" t="n">
        <f aca="false">IF(SMALL($AA66:$CH66,3)&gt;=9999,"",INDEX(Presupuesto!$C:$C,SMALL($AA66:$CH66,3)))</f>
        <v>0</v>
      </c>
      <c r="K66" s="1" t="n">
        <f aca="false">IF(SMALL($AA66:$CH66,4)&gt;=9999,"",INDEX(Presupuesto!$C:$C,SMALL($AA66:$CH66,4)))</f>
        <v>0</v>
      </c>
      <c r="L66" s="1" t="n">
        <f aca="false">IF(SMALL($AA66:$CH66,5)&gt;=9999,"",INDEX(Presupuesto!$C:$C,SMALL($AA66:$CH66,5)))</f>
        <v>0</v>
      </c>
      <c r="M66" s="1" t="n">
        <f aca="false">IF(SMALL($AA66:$CH66,6)&gt;=9999,"",INDEX(Presupuesto!$C:$C,SMALL($AA66:$CH66,6)))</f>
        <v>0</v>
      </c>
      <c r="N66" s="1" t="n">
        <f aca="false">IF(SMALL($AA66:$CH66,7)&gt;=9999,"",INDEX(Presupuesto!$C:$C,SMALL($AA66:$CH66,7)))</f>
        <v>0</v>
      </c>
      <c r="O66" s="1" t="n">
        <f aca="false">IF(SMALL($AA66:$CH66,8)&gt;=9999,"",INDEX(Presupuesto!$C:$C,SMALL($AA66:$CH66,8)))</f>
        <v>0</v>
      </c>
      <c r="P66" s="1" t="n">
        <f aca="false">IF(SMALL($AA66:$CH66,9)&gt;=9999,"",INDEX(Presupuesto!$C:$C,SMALL($AA66:$CH66,9)))</f>
        <v>0</v>
      </c>
      <c r="Q66" s="1" t="n">
        <f aca="false">IF(SMALL($AA66:$CH66,10)&gt;=9999,"",INDEX(Presupuesto!$C:$C,SMALL($AA66:$CH66,10)))</f>
        <v>0</v>
      </c>
      <c r="AA66" s="0" t="n">
        <f aca="false">IF(Presupuesto!$B$7='Flujo de Pagos'!$E66,7,9999)</f>
        <v>9999</v>
      </c>
      <c r="AB66" s="0" t="n">
        <f aca="false">IF(Presupuesto!$B$8='Flujo de Pagos'!$E66,8,9999)</f>
        <v>9999</v>
      </c>
      <c r="AC66" s="0" t="n">
        <f aca="false">IF(Presupuesto!$B$9='Flujo de Pagos'!$E66,9,9999)</f>
        <v>9999</v>
      </c>
      <c r="AD66" s="0" t="n">
        <f aca="false">IF(Presupuesto!$B$10='Flujo de Pagos'!$E66,10,9999)</f>
        <v>9999</v>
      </c>
      <c r="AE66" s="0" t="n">
        <f aca="false">IF(Presupuesto!$B$11='Flujo de Pagos'!$E66,11,9999)</f>
        <v>9999</v>
      </c>
      <c r="AF66" s="0" t="n">
        <f aca="false">IF(Presupuesto!$B$12='Flujo de Pagos'!$E66,12,9999)</f>
        <v>12</v>
      </c>
      <c r="AG66" s="0" t="n">
        <f aca="false">IF(Presupuesto!$B$13='Flujo de Pagos'!$E66,13,9999)</f>
        <v>13</v>
      </c>
      <c r="AH66" s="0" t="n">
        <f aca="false">IF(Presupuesto!$B$14='Flujo de Pagos'!$E66,14,9999)</f>
        <v>14</v>
      </c>
      <c r="AI66" s="0" t="n">
        <f aca="false">IF(Presupuesto!$B$15='Flujo de Pagos'!$E66,15,9999)</f>
        <v>15</v>
      </c>
      <c r="AJ66" s="0" t="n">
        <f aca="false">IF(Presupuesto!$B$16='Flujo de Pagos'!$E66,16,9999)</f>
        <v>16</v>
      </c>
      <c r="AK66" s="0" t="n">
        <f aca="false">IF(Presupuesto!$B$17='Flujo de Pagos'!$E66,17,9999)</f>
        <v>17</v>
      </c>
      <c r="AL66" s="0" t="n">
        <f aca="false">IF(Presupuesto!$B$18='Flujo de Pagos'!$E66,18,9999)</f>
        <v>18</v>
      </c>
      <c r="AM66" s="0" t="n">
        <f aca="false">IF(Presupuesto!$B$19='Flujo de Pagos'!$E66,19,9999)</f>
        <v>19</v>
      </c>
      <c r="AN66" s="0" t="n">
        <f aca="false">IF(Presupuesto!$B$20='Flujo de Pagos'!$E66,20,9999)</f>
        <v>20</v>
      </c>
      <c r="AO66" s="0" t="n">
        <f aca="false">IF(Presupuesto!$B$21='Flujo de Pagos'!$E66,21,9999)</f>
        <v>21</v>
      </c>
      <c r="AP66" s="0" t="n">
        <f aca="false">IF(Presupuesto!$B$22='Flujo de Pagos'!$E66,22,9999)</f>
        <v>22</v>
      </c>
      <c r="AQ66" s="0" t="n">
        <f aca="false">IF(Presupuesto!$B$23='Flujo de Pagos'!$E66,23,9999)</f>
        <v>23</v>
      </c>
      <c r="AR66" s="0" t="n">
        <f aca="false">IF(Presupuesto!$B$24='Flujo de Pagos'!$E66,24,9999)</f>
        <v>24</v>
      </c>
      <c r="AS66" s="0" t="n">
        <f aca="false">IF(Presupuesto!$B$25='Flujo de Pagos'!$E66,25,9999)</f>
        <v>25</v>
      </c>
      <c r="AT66" s="0" t="n">
        <f aca="false">IF(Presupuesto!$B$26='Flujo de Pagos'!$E66,26,9999)</f>
        <v>26</v>
      </c>
      <c r="AU66" s="0" t="n">
        <f aca="false">IF(Presupuesto!$B$27='Flujo de Pagos'!$E66,27,9999)</f>
        <v>27</v>
      </c>
      <c r="AV66" s="0" t="n">
        <f aca="false">IF(Presupuesto!$B$28='Flujo de Pagos'!$E66,28,9999)</f>
        <v>28</v>
      </c>
      <c r="AW66" s="0" t="n">
        <f aca="false">IF(Presupuesto!$B$29='Flujo de Pagos'!$E66,29,9999)</f>
        <v>29</v>
      </c>
      <c r="AX66" s="0" t="n">
        <f aca="false">IF(Presupuesto!$B$30='Flujo de Pagos'!$E66,30,9999)</f>
        <v>30</v>
      </c>
      <c r="AY66" s="0" t="n">
        <f aca="false">IF(Presupuesto!$B$31='Flujo de Pagos'!$E66,31,9999)</f>
        <v>31</v>
      </c>
      <c r="AZ66" s="0" t="n">
        <f aca="false">IF(Presupuesto!$B$32='Flujo de Pagos'!$E66,32,9999)</f>
        <v>32</v>
      </c>
      <c r="BA66" s="0" t="n">
        <f aca="false">IF(Presupuesto!$B$33='Flujo de Pagos'!$E66,33,9999)</f>
        <v>33</v>
      </c>
      <c r="BB66" s="0" t="n">
        <f aca="false">IF(Presupuesto!$B$34='Flujo de Pagos'!$E66,34,9999)</f>
        <v>34</v>
      </c>
      <c r="BC66" s="0" t="n">
        <f aca="false">IF(Presupuesto!$B$35='Flujo de Pagos'!$E66,35,9999)</f>
        <v>35</v>
      </c>
      <c r="BD66" s="0" t="n">
        <f aca="false">IF(Presupuesto!$B$36='Flujo de Pagos'!$E66,36,9999)</f>
        <v>36</v>
      </c>
      <c r="BE66" s="0" t="n">
        <f aca="false">IF(Presupuesto!$B$37='Flujo de Pagos'!$E66,37,9999)</f>
        <v>37</v>
      </c>
      <c r="BF66" s="0" t="n">
        <f aca="false">IF(Presupuesto!$B$38='Flujo de Pagos'!$E66,38,9999)</f>
        <v>38</v>
      </c>
      <c r="BG66" s="0" t="n">
        <f aca="false">IF(Presupuesto!$B$39='Flujo de Pagos'!$E66,39,9999)</f>
        <v>39</v>
      </c>
      <c r="BH66" s="0" t="n">
        <f aca="false">IF(Presupuesto!$B$40='Flujo de Pagos'!$E66,40,9999)</f>
        <v>40</v>
      </c>
      <c r="BI66" s="0" t="n">
        <f aca="false">IF(Presupuesto!$B$41='Flujo de Pagos'!$E66,41,9999)</f>
        <v>41</v>
      </c>
      <c r="BJ66" s="0" t="n">
        <f aca="false">IF(Presupuesto!$B$42='Flujo de Pagos'!$E66,42,9999)</f>
        <v>42</v>
      </c>
      <c r="BK66" s="0" t="n">
        <f aca="false">IF(Presupuesto!$B$43='Flujo de Pagos'!$E66,43,9999)</f>
        <v>43</v>
      </c>
      <c r="BL66" s="0" t="n">
        <f aca="false">IF(Presupuesto!$B$44='Flujo de Pagos'!$E66,44,9999)</f>
        <v>44</v>
      </c>
      <c r="BM66" s="0" t="n">
        <f aca="false">IF(Presupuesto!$B$45='Flujo de Pagos'!$E66,45,9999)</f>
        <v>45</v>
      </c>
      <c r="BN66" s="0" t="n">
        <f aca="false">IF(Presupuesto!$B$46='Flujo de Pagos'!$E66,46,9999)</f>
        <v>46</v>
      </c>
      <c r="BO66" s="0" t="n">
        <f aca="false">IF(Presupuesto!$B$47='Flujo de Pagos'!$E66,47,9999)</f>
        <v>47</v>
      </c>
      <c r="BP66" s="0" t="n">
        <f aca="false">IF(Presupuesto!$B$48='Flujo de Pagos'!$E66,48,9999)</f>
        <v>48</v>
      </c>
      <c r="BQ66" s="0" t="n">
        <f aca="false">IF(Presupuesto!$B$49='Flujo de Pagos'!$E66,49,9999)</f>
        <v>49</v>
      </c>
      <c r="BR66" s="0" t="n">
        <f aca="false">IF(Presupuesto!$B$50='Flujo de Pagos'!$E66,50,9999)</f>
        <v>50</v>
      </c>
      <c r="BS66" s="0" t="n">
        <f aca="false">IF(Presupuesto!$B$51='Flujo de Pagos'!$E66,51,9999)</f>
        <v>51</v>
      </c>
      <c r="BT66" s="0" t="n">
        <f aca="false">IF(Presupuesto!$B$52='Flujo de Pagos'!$E66,52,9999)</f>
        <v>52</v>
      </c>
      <c r="BU66" s="0" t="n">
        <f aca="false">IF(Presupuesto!$B$53='Flujo de Pagos'!$E66,53,9999)</f>
        <v>53</v>
      </c>
      <c r="BV66" s="0" t="n">
        <f aca="false">IF(Presupuesto!$B$54='Flujo de Pagos'!$E66,54,9999)</f>
        <v>54</v>
      </c>
      <c r="BW66" s="0" t="n">
        <f aca="false">IF(Presupuesto!$B$55='Flujo de Pagos'!$E66,55,9999)</f>
        <v>55</v>
      </c>
      <c r="BX66" s="0" t="n">
        <f aca="false">IF(Presupuesto!$B$56='Flujo de Pagos'!$E66,56,9999)</f>
        <v>56</v>
      </c>
      <c r="BY66" s="0" t="n">
        <f aca="false">IF(Presupuesto!$B$57='Flujo de Pagos'!$E66,57,9999)</f>
        <v>57</v>
      </c>
      <c r="BZ66" s="0" t="n">
        <f aca="false">IF(Presupuesto!$B$58='Flujo de Pagos'!$E66,58,9999)</f>
        <v>58</v>
      </c>
      <c r="CA66" s="0" t="n">
        <f aca="false">IF(Presupuesto!$B$59='Flujo de Pagos'!$E66,59,9999)</f>
        <v>59</v>
      </c>
      <c r="CB66" s="0" t="n">
        <f aca="false">IF(Presupuesto!$B$60='Flujo de Pagos'!$E66,60,9999)</f>
        <v>60</v>
      </c>
      <c r="CC66" s="0" t="n">
        <f aca="false">IF(Presupuesto!$B$61='Flujo de Pagos'!$E66,61,9999)</f>
        <v>61</v>
      </c>
      <c r="CD66" s="0" t="n">
        <f aca="false">IF(Presupuesto!$B$62='Flujo de Pagos'!$E66,62,9999)</f>
        <v>62</v>
      </c>
      <c r="CE66" s="0" t="n">
        <f aca="false">IF(Presupuesto!$B$63='Flujo de Pagos'!$E66,63,9999)</f>
        <v>63</v>
      </c>
      <c r="CF66" s="0" t="n">
        <f aca="false">IF(Presupuesto!$B$64='Flujo de Pagos'!$E66,64,9999)</f>
        <v>64</v>
      </c>
      <c r="CG66" s="0" t="n">
        <f aca="false">IF(Presupuesto!$B$65='Flujo de Pagos'!$E66,65,9999)</f>
        <v>65</v>
      </c>
      <c r="CH66" s="0" t="n">
        <f aca="false">IF(Presupuesto!$B$66='Flujo de Pagos'!$E66,66,9999)</f>
        <v>66</v>
      </c>
    </row>
    <row r="67" customFormat="false" ht="15" hidden="false" customHeight="true" outlineLevel="0" collapsed="false">
      <c r="B67" s="1" t="n">
        <f aca="false">IF(AND('Flujo de Pagos'!E72=Carátula!$B$2,'Flujo de Pagos'!F72=Carátula!$B$4,'Flujo de Pagos'!H72&lt;&gt;""),72,99999)</f>
        <v>99999</v>
      </c>
      <c r="H67" s="1" t="n">
        <f aca="false">IF(SMALL($AA67:$CH67,1)&gt;=9999,"",INDEX(Presupuesto!$C:$C,SMALL($AA67:$CH67,1)))</f>
        <v>0</v>
      </c>
      <c r="I67" s="1" t="n">
        <f aca="false">IF(SMALL($AA67:$CH67,2)&gt;=9999,"",INDEX(Presupuesto!$C:$C,SMALL($AA67:$CH67,2)))</f>
        <v>0</v>
      </c>
      <c r="J67" s="1" t="n">
        <f aca="false">IF(SMALL($AA67:$CH67,3)&gt;=9999,"",INDEX(Presupuesto!$C:$C,SMALL($AA67:$CH67,3)))</f>
        <v>0</v>
      </c>
      <c r="K67" s="1" t="n">
        <f aca="false">IF(SMALL($AA67:$CH67,4)&gt;=9999,"",INDEX(Presupuesto!$C:$C,SMALL($AA67:$CH67,4)))</f>
        <v>0</v>
      </c>
      <c r="L67" s="1" t="n">
        <f aca="false">IF(SMALL($AA67:$CH67,5)&gt;=9999,"",INDEX(Presupuesto!$C:$C,SMALL($AA67:$CH67,5)))</f>
        <v>0</v>
      </c>
      <c r="M67" s="1" t="n">
        <f aca="false">IF(SMALL($AA67:$CH67,6)&gt;=9999,"",INDEX(Presupuesto!$C:$C,SMALL($AA67:$CH67,6)))</f>
        <v>0</v>
      </c>
      <c r="N67" s="1" t="n">
        <f aca="false">IF(SMALL($AA67:$CH67,7)&gt;=9999,"",INDEX(Presupuesto!$C:$C,SMALL($AA67:$CH67,7)))</f>
        <v>0</v>
      </c>
      <c r="O67" s="1" t="n">
        <f aca="false">IF(SMALL($AA67:$CH67,8)&gt;=9999,"",INDEX(Presupuesto!$C:$C,SMALL($AA67:$CH67,8)))</f>
        <v>0</v>
      </c>
      <c r="P67" s="1" t="n">
        <f aca="false">IF(SMALL($AA67:$CH67,9)&gt;=9999,"",INDEX(Presupuesto!$C:$C,SMALL($AA67:$CH67,9)))</f>
        <v>0</v>
      </c>
      <c r="Q67" s="1" t="n">
        <f aca="false">IF(SMALL($AA67:$CH67,10)&gt;=9999,"",INDEX(Presupuesto!$C:$C,SMALL($AA67:$CH67,10)))</f>
        <v>0</v>
      </c>
      <c r="AA67" s="0" t="n">
        <f aca="false">IF(Presupuesto!$B$7='Flujo de Pagos'!$E67,7,9999)</f>
        <v>9999</v>
      </c>
      <c r="AB67" s="0" t="n">
        <f aca="false">IF(Presupuesto!$B$8='Flujo de Pagos'!$E67,8,9999)</f>
        <v>9999</v>
      </c>
      <c r="AC67" s="0" t="n">
        <f aca="false">IF(Presupuesto!$B$9='Flujo de Pagos'!$E67,9,9999)</f>
        <v>9999</v>
      </c>
      <c r="AD67" s="0" t="n">
        <f aca="false">IF(Presupuesto!$B$10='Flujo de Pagos'!$E67,10,9999)</f>
        <v>9999</v>
      </c>
      <c r="AE67" s="0" t="n">
        <f aca="false">IF(Presupuesto!$B$11='Flujo de Pagos'!$E67,11,9999)</f>
        <v>9999</v>
      </c>
      <c r="AF67" s="0" t="n">
        <f aca="false">IF(Presupuesto!$B$12='Flujo de Pagos'!$E67,12,9999)</f>
        <v>12</v>
      </c>
      <c r="AG67" s="0" t="n">
        <f aca="false">IF(Presupuesto!$B$13='Flujo de Pagos'!$E67,13,9999)</f>
        <v>13</v>
      </c>
      <c r="AH67" s="0" t="n">
        <f aca="false">IF(Presupuesto!$B$14='Flujo de Pagos'!$E67,14,9999)</f>
        <v>14</v>
      </c>
      <c r="AI67" s="0" t="n">
        <f aca="false">IF(Presupuesto!$B$15='Flujo de Pagos'!$E67,15,9999)</f>
        <v>15</v>
      </c>
      <c r="AJ67" s="0" t="n">
        <f aca="false">IF(Presupuesto!$B$16='Flujo de Pagos'!$E67,16,9999)</f>
        <v>16</v>
      </c>
      <c r="AK67" s="0" t="n">
        <f aca="false">IF(Presupuesto!$B$17='Flujo de Pagos'!$E67,17,9999)</f>
        <v>17</v>
      </c>
      <c r="AL67" s="0" t="n">
        <f aca="false">IF(Presupuesto!$B$18='Flujo de Pagos'!$E67,18,9999)</f>
        <v>18</v>
      </c>
      <c r="AM67" s="0" t="n">
        <f aca="false">IF(Presupuesto!$B$19='Flujo de Pagos'!$E67,19,9999)</f>
        <v>19</v>
      </c>
      <c r="AN67" s="0" t="n">
        <f aca="false">IF(Presupuesto!$B$20='Flujo de Pagos'!$E67,20,9999)</f>
        <v>20</v>
      </c>
      <c r="AO67" s="0" t="n">
        <f aca="false">IF(Presupuesto!$B$21='Flujo de Pagos'!$E67,21,9999)</f>
        <v>21</v>
      </c>
      <c r="AP67" s="0" t="n">
        <f aca="false">IF(Presupuesto!$B$22='Flujo de Pagos'!$E67,22,9999)</f>
        <v>22</v>
      </c>
      <c r="AQ67" s="0" t="n">
        <f aca="false">IF(Presupuesto!$B$23='Flujo de Pagos'!$E67,23,9999)</f>
        <v>23</v>
      </c>
      <c r="AR67" s="0" t="n">
        <f aca="false">IF(Presupuesto!$B$24='Flujo de Pagos'!$E67,24,9999)</f>
        <v>24</v>
      </c>
      <c r="AS67" s="0" t="n">
        <f aca="false">IF(Presupuesto!$B$25='Flujo de Pagos'!$E67,25,9999)</f>
        <v>25</v>
      </c>
      <c r="AT67" s="0" t="n">
        <f aca="false">IF(Presupuesto!$B$26='Flujo de Pagos'!$E67,26,9999)</f>
        <v>26</v>
      </c>
      <c r="AU67" s="0" t="n">
        <f aca="false">IF(Presupuesto!$B$27='Flujo de Pagos'!$E67,27,9999)</f>
        <v>27</v>
      </c>
      <c r="AV67" s="0" t="n">
        <f aca="false">IF(Presupuesto!$B$28='Flujo de Pagos'!$E67,28,9999)</f>
        <v>28</v>
      </c>
      <c r="AW67" s="0" t="n">
        <f aca="false">IF(Presupuesto!$B$29='Flujo de Pagos'!$E67,29,9999)</f>
        <v>29</v>
      </c>
      <c r="AX67" s="0" t="n">
        <f aca="false">IF(Presupuesto!$B$30='Flujo de Pagos'!$E67,30,9999)</f>
        <v>30</v>
      </c>
      <c r="AY67" s="0" t="n">
        <f aca="false">IF(Presupuesto!$B$31='Flujo de Pagos'!$E67,31,9999)</f>
        <v>31</v>
      </c>
      <c r="AZ67" s="0" t="n">
        <f aca="false">IF(Presupuesto!$B$32='Flujo de Pagos'!$E67,32,9999)</f>
        <v>32</v>
      </c>
      <c r="BA67" s="0" t="n">
        <f aca="false">IF(Presupuesto!$B$33='Flujo de Pagos'!$E67,33,9999)</f>
        <v>33</v>
      </c>
      <c r="BB67" s="0" t="n">
        <f aca="false">IF(Presupuesto!$B$34='Flujo de Pagos'!$E67,34,9999)</f>
        <v>34</v>
      </c>
      <c r="BC67" s="0" t="n">
        <f aca="false">IF(Presupuesto!$B$35='Flujo de Pagos'!$E67,35,9999)</f>
        <v>35</v>
      </c>
      <c r="BD67" s="0" t="n">
        <f aca="false">IF(Presupuesto!$B$36='Flujo de Pagos'!$E67,36,9999)</f>
        <v>36</v>
      </c>
      <c r="BE67" s="0" t="n">
        <f aca="false">IF(Presupuesto!$B$37='Flujo de Pagos'!$E67,37,9999)</f>
        <v>37</v>
      </c>
      <c r="BF67" s="0" t="n">
        <f aca="false">IF(Presupuesto!$B$38='Flujo de Pagos'!$E67,38,9999)</f>
        <v>38</v>
      </c>
      <c r="BG67" s="0" t="n">
        <f aca="false">IF(Presupuesto!$B$39='Flujo de Pagos'!$E67,39,9999)</f>
        <v>39</v>
      </c>
      <c r="BH67" s="0" t="n">
        <f aca="false">IF(Presupuesto!$B$40='Flujo de Pagos'!$E67,40,9999)</f>
        <v>40</v>
      </c>
      <c r="BI67" s="0" t="n">
        <f aca="false">IF(Presupuesto!$B$41='Flujo de Pagos'!$E67,41,9999)</f>
        <v>41</v>
      </c>
      <c r="BJ67" s="0" t="n">
        <f aca="false">IF(Presupuesto!$B$42='Flujo de Pagos'!$E67,42,9999)</f>
        <v>42</v>
      </c>
      <c r="BK67" s="0" t="n">
        <f aca="false">IF(Presupuesto!$B$43='Flujo de Pagos'!$E67,43,9999)</f>
        <v>43</v>
      </c>
      <c r="BL67" s="0" t="n">
        <f aca="false">IF(Presupuesto!$B$44='Flujo de Pagos'!$E67,44,9999)</f>
        <v>44</v>
      </c>
      <c r="BM67" s="0" t="n">
        <f aca="false">IF(Presupuesto!$B$45='Flujo de Pagos'!$E67,45,9999)</f>
        <v>45</v>
      </c>
      <c r="BN67" s="0" t="n">
        <f aca="false">IF(Presupuesto!$B$46='Flujo de Pagos'!$E67,46,9999)</f>
        <v>46</v>
      </c>
      <c r="BO67" s="0" t="n">
        <f aca="false">IF(Presupuesto!$B$47='Flujo de Pagos'!$E67,47,9999)</f>
        <v>47</v>
      </c>
      <c r="BP67" s="0" t="n">
        <f aca="false">IF(Presupuesto!$B$48='Flujo de Pagos'!$E67,48,9999)</f>
        <v>48</v>
      </c>
      <c r="BQ67" s="0" t="n">
        <f aca="false">IF(Presupuesto!$B$49='Flujo de Pagos'!$E67,49,9999)</f>
        <v>49</v>
      </c>
      <c r="BR67" s="0" t="n">
        <f aca="false">IF(Presupuesto!$B$50='Flujo de Pagos'!$E67,50,9999)</f>
        <v>50</v>
      </c>
      <c r="BS67" s="0" t="n">
        <f aca="false">IF(Presupuesto!$B$51='Flujo de Pagos'!$E67,51,9999)</f>
        <v>51</v>
      </c>
      <c r="BT67" s="0" t="n">
        <f aca="false">IF(Presupuesto!$B$52='Flujo de Pagos'!$E67,52,9999)</f>
        <v>52</v>
      </c>
      <c r="BU67" s="0" t="n">
        <f aca="false">IF(Presupuesto!$B$53='Flujo de Pagos'!$E67,53,9999)</f>
        <v>53</v>
      </c>
      <c r="BV67" s="0" t="n">
        <f aca="false">IF(Presupuesto!$B$54='Flujo de Pagos'!$E67,54,9999)</f>
        <v>54</v>
      </c>
      <c r="BW67" s="0" t="n">
        <f aca="false">IF(Presupuesto!$B$55='Flujo de Pagos'!$E67,55,9999)</f>
        <v>55</v>
      </c>
      <c r="BX67" s="0" t="n">
        <f aca="false">IF(Presupuesto!$B$56='Flujo de Pagos'!$E67,56,9999)</f>
        <v>56</v>
      </c>
      <c r="BY67" s="0" t="n">
        <f aca="false">IF(Presupuesto!$B$57='Flujo de Pagos'!$E67,57,9999)</f>
        <v>57</v>
      </c>
      <c r="BZ67" s="0" t="n">
        <f aca="false">IF(Presupuesto!$B$58='Flujo de Pagos'!$E67,58,9999)</f>
        <v>58</v>
      </c>
      <c r="CA67" s="0" t="n">
        <f aca="false">IF(Presupuesto!$B$59='Flujo de Pagos'!$E67,59,9999)</f>
        <v>59</v>
      </c>
      <c r="CB67" s="0" t="n">
        <f aca="false">IF(Presupuesto!$B$60='Flujo de Pagos'!$E67,60,9999)</f>
        <v>60</v>
      </c>
      <c r="CC67" s="0" t="n">
        <f aca="false">IF(Presupuesto!$B$61='Flujo de Pagos'!$E67,61,9999)</f>
        <v>61</v>
      </c>
      <c r="CD67" s="0" t="n">
        <f aca="false">IF(Presupuesto!$B$62='Flujo de Pagos'!$E67,62,9999)</f>
        <v>62</v>
      </c>
      <c r="CE67" s="0" t="n">
        <f aca="false">IF(Presupuesto!$B$63='Flujo de Pagos'!$E67,63,9999)</f>
        <v>63</v>
      </c>
      <c r="CF67" s="0" t="n">
        <f aca="false">IF(Presupuesto!$B$64='Flujo de Pagos'!$E67,64,9999)</f>
        <v>64</v>
      </c>
      <c r="CG67" s="0" t="n">
        <f aca="false">IF(Presupuesto!$B$65='Flujo de Pagos'!$E67,65,9999)</f>
        <v>65</v>
      </c>
      <c r="CH67" s="0" t="n">
        <f aca="false">IF(Presupuesto!$B$66='Flujo de Pagos'!$E67,66,9999)</f>
        <v>66</v>
      </c>
    </row>
    <row r="68" customFormat="false" ht="15" hidden="false" customHeight="true" outlineLevel="0" collapsed="false">
      <c r="B68" s="1" t="n">
        <f aca="false">IF(AND('Flujo de Pagos'!E73=Carátula!$B$2,'Flujo de Pagos'!F73=Carátula!$B$4,'Flujo de Pagos'!H73&lt;&gt;""),73,99999)</f>
        <v>99999</v>
      </c>
      <c r="H68" s="1" t="n">
        <f aca="false">IF(SMALL($AA68:$CH68,1)&gt;=9999,"",INDEX(Presupuesto!$C:$C,SMALL($AA68:$CH68,1)))</f>
        <v>0</v>
      </c>
      <c r="I68" s="1" t="n">
        <f aca="false">IF(SMALL($AA68:$CH68,2)&gt;=9999,"",INDEX(Presupuesto!$C:$C,SMALL($AA68:$CH68,2)))</f>
        <v>0</v>
      </c>
      <c r="J68" s="1" t="n">
        <f aca="false">IF(SMALL($AA68:$CH68,3)&gt;=9999,"",INDEX(Presupuesto!$C:$C,SMALL($AA68:$CH68,3)))</f>
        <v>0</v>
      </c>
      <c r="K68" s="1" t="n">
        <f aca="false">IF(SMALL($AA68:$CH68,4)&gt;=9999,"",INDEX(Presupuesto!$C:$C,SMALL($AA68:$CH68,4)))</f>
        <v>0</v>
      </c>
      <c r="L68" s="1" t="n">
        <f aca="false">IF(SMALL($AA68:$CH68,5)&gt;=9999,"",INDEX(Presupuesto!$C:$C,SMALL($AA68:$CH68,5)))</f>
        <v>0</v>
      </c>
      <c r="M68" s="1" t="n">
        <f aca="false">IF(SMALL($AA68:$CH68,6)&gt;=9999,"",INDEX(Presupuesto!$C:$C,SMALL($AA68:$CH68,6)))</f>
        <v>0</v>
      </c>
      <c r="N68" s="1" t="n">
        <f aca="false">IF(SMALL($AA68:$CH68,7)&gt;=9999,"",INDEX(Presupuesto!$C:$C,SMALL($AA68:$CH68,7)))</f>
        <v>0</v>
      </c>
      <c r="O68" s="1" t="n">
        <f aca="false">IF(SMALL($AA68:$CH68,8)&gt;=9999,"",INDEX(Presupuesto!$C:$C,SMALL($AA68:$CH68,8)))</f>
        <v>0</v>
      </c>
      <c r="P68" s="1" t="n">
        <f aca="false">IF(SMALL($AA68:$CH68,9)&gt;=9999,"",INDEX(Presupuesto!$C:$C,SMALL($AA68:$CH68,9)))</f>
        <v>0</v>
      </c>
      <c r="Q68" s="1" t="n">
        <f aca="false">IF(SMALL($AA68:$CH68,10)&gt;=9999,"",INDEX(Presupuesto!$C:$C,SMALL($AA68:$CH68,10)))</f>
        <v>0</v>
      </c>
      <c r="AA68" s="0" t="n">
        <f aca="false">IF(Presupuesto!$B$7='Flujo de Pagos'!$E68,7,9999)</f>
        <v>9999</v>
      </c>
      <c r="AB68" s="0" t="n">
        <f aca="false">IF(Presupuesto!$B$8='Flujo de Pagos'!$E68,8,9999)</f>
        <v>9999</v>
      </c>
      <c r="AC68" s="0" t="n">
        <f aca="false">IF(Presupuesto!$B$9='Flujo de Pagos'!$E68,9,9999)</f>
        <v>9999</v>
      </c>
      <c r="AD68" s="0" t="n">
        <f aca="false">IF(Presupuesto!$B$10='Flujo de Pagos'!$E68,10,9999)</f>
        <v>9999</v>
      </c>
      <c r="AE68" s="0" t="n">
        <f aca="false">IF(Presupuesto!$B$11='Flujo de Pagos'!$E68,11,9999)</f>
        <v>9999</v>
      </c>
      <c r="AF68" s="0" t="n">
        <f aca="false">IF(Presupuesto!$B$12='Flujo de Pagos'!$E68,12,9999)</f>
        <v>12</v>
      </c>
      <c r="AG68" s="0" t="n">
        <f aca="false">IF(Presupuesto!$B$13='Flujo de Pagos'!$E68,13,9999)</f>
        <v>13</v>
      </c>
      <c r="AH68" s="0" t="n">
        <f aca="false">IF(Presupuesto!$B$14='Flujo de Pagos'!$E68,14,9999)</f>
        <v>14</v>
      </c>
      <c r="AI68" s="0" t="n">
        <f aca="false">IF(Presupuesto!$B$15='Flujo de Pagos'!$E68,15,9999)</f>
        <v>15</v>
      </c>
      <c r="AJ68" s="0" t="n">
        <f aca="false">IF(Presupuesto!$B$16='Flujo de Pagos'!$E68,16,9999)</f>
        <v>16</v>
      </c>
      <c r="AK68" s="0" t="n">
        <f aca="false">IF(Presupuesto!$B$17='Flujo de Pagos'!$E68,17,9999)</f>
        <v>17</v>
      </c>
      <c r="AL68" s="0" t="n">
        <f aca="false">IF(Presupuesto!$B$18='Flujo de Pagos'!$E68,18,9999)</f>
        <v>18</v>
      </c>
      <c r="AM68" s="0" t="n">
        <f aca="false">IF(Presupuesto!$B$19='Flujo de Pagos'!$E68,19,9999)</f>
        <v>19</v>
      </c>
      <c r="AN68" s="0" t="n">
        <f aca="false">IF(Presupuesto!$B$20='Flujo de Pagos'!$E68,20,9999)</f>
        <v>20</v>
      </c>
      <c r="AO68" s="0" t="n">
        <f aca="false">IF(Presupuesto!$B$21='Flujo de Pagos'!$E68,21,9999)</f>
        <v>21</v>
      </c>
      <c r="AP68" s="0" t="n">
        <f aca="false">IF(Presupuesto!$B$22='Flujo de Pagos'!$E68,22,9999)</f>
        <v>22</v>
      </c>
      <c r="AQ68" s="0" t="n">
        <f aca="false">IF(Presupuesto!$B$23='Flujo de Pagos'!$E68,23,9999)</f>
        <v>23</v>
      </c>
      <c r="AR68" s="0" t="n">
        <f aca="false">IF(Presupuesto!$B$24='Flujo de Pagos'!$E68,24,9999)</f>
        <v>24</v>
      </c>
      <c r="AS68" s="0" t="n">
        <f aca="false">IF(Presupuesto!$B$25='Flujo de Pagos'!$E68,25,9999)</f>
        <v>25</v>
      </c>
      <c r="AT68" s="0" t="n">
        <f aca="false">IF(Presupuesto!$B$26='Flujo de Pagos'!$E68,26,9999)</f>
        <v>26</v>
      </c>
      <c r="AU68" s="0" t="n">
        <f aca="false">IF(Presupuesto!$B$27='Flujo de Pagos'!$E68,27,9999)</f>
        <v>27</v>
      </c>
      <c r="AV68" s="0" t="n">
        <f aca="false">IF(Presupuesto!$B$28='Flujo de Pagos'!$E68,28,9999)</f>
        <v>28</v>
      </c>
      <c r="AW68" s="0" t="n">
        <f aca="false">IF(Presupuesto!$B$29='Flujo de Pagos'!$E68,29,9999)</f>
        <v>29</v>
      </c>
      <c r="AX68" s="0" t="n">
        <f aca="false">IF(Presupuesto!$B$30='Flujo de Pagos'!$E68,30,9999)</f>
        <v>30</v>
      </c>
      <c r="AY68" s="0" t="n">
        <f aca="false">IF(Presupuesto!$B$31='Flujo de Pagos'!$E68,31,9999)</f>
        <v>31</v>
      </c>
      <c r="AZ68" s="0" t="n">
        <f aca="false">IF(Presupuesto!$B$32='Flujo de Pagos'!$E68,32,9999)</f>
        <v>32</v>
      </c>
      <c r="BA68" s="0" t="n">
        <f aca="false">IF(Presupuesto!$B$33='Flujo de Pagos'!$E68,33,9999)</f>
        <v>33</v>
      </c>
      <c r="BB68" s="0" t="n">
        <f aca="false">IF(Presupuesto!$B$34='Flujo de Pagos'!$E68,34,9999)</f>
        <v>34</v>
      </c>
      <c r="BC68" s="0" t="n">
        <f aca="false">IF(Presupuesto!$B$35='Flujo de Pagos'!$E68,35,9999)</f>
        <v>35</v>
      </c>
      <c r="BD68" s="0" t="n">
        <f aca="false">IF(Presupuesto!$B$36='Flujo de Pagos'!$E68,36,9999)</f>
        <v>36</v>
      </c>
      <c r="BE68" s="0" t="n">
        <f aca="false">IF(Presupuesto!$B$37='Flujo de Pagos'!$E68,37,9999)</f>
        <v>37</v>
      </c>
      <c r="BF68" s="0" t="n">
        <f aca="false">IF(Presupuesto!$B$38='Flujo de Pagos'!$E68,38,9999)</f>
        <v>38</v>
      </c>
      <c r="BG68" s="0" t="n">
        <f aca="false">IF(Presupuesto!$B$39='Flujo de Pagos'!$E68,39,9999)</f>
        <v>39</v>
      </c>
      <c r="BH68" s="0" t="n">
        <f aca="false">IF(Presupuesto!$B$40='Flujo de Pagos'!$E68,40,9999)</f>
        <v>40</v>
      </c>
      <c r="BI68" s="0" t="n">
        <f aca="false">IF(Presupuesto!$B$41='Flujo de Pagos'!$E68,41,9999)</f>
        <v>41</v>
      </c>
      <c r="BJ68" s="0" t="n">
        <f aca="false">IF(Presupuesto!$B$42='Flujo de Pagos'!$E68,42,9999)</f>
        <v>42</v>
      </c>
      <c r="BK68" s="0" t="n">
        <f aca="false">IF(Presupuesto!$B$43='Flujo de Pagos'!$E68,43,9999)</f>
        <v>43</v>
      </c>
      <c r="BL68" s="0" t="n">
        <f aca="false">IF(Presupuesto!$B$44='Flujo de Pagos'!$E68,44,9999)</f>
        <v>44</v>
      </c>
      <c r="BM68" s="0" t="n">
        <f aca="false">IF(Presupuesto!$B$45='Flujo de Pagos'!$E68,45,9999)</f>
        <v>45</v>
      </c>
      <c r="BN68" s="0" t="n">
        <f aca="false">IF(Presupuesto!$B$46='Flujo de Pagos'!$E68,46,9999)</f>
        <v>46</v>
      </c>
      <c r="BO68" s="0" t="n">
        <f aca="false">IF(Presupuesto!$B$47='Flujo de Pagos'!$E68,47,9999)</f>
        <v>47</v>
      </c>
      <c r="BP68" s="0" t="n">
        <f aca="false">IF(Presupuesto!$B$48='Flujo de Pagos'!$E68,48,9999)</f>
        <v>48</v>
      </c>
      <c r="BQ68" s="0" t="n">
        <f aca="false">IF(Presupuesto!$B$49='Flujo de Pagos'!$E68,49,9999)</f>
        <v>49</v>
      </c>
      <c r="BR68" s="0" t="n">
        <f aca="false">IF(Presupuesto!$B$50='Flujo de Pagos'!$E68,50,9999)</f>
        <v>50</v>
      </c>
      <c r="BS68" s="0" t="n">
        <f aca="false">IF(Presupuesto!$B$51='Flujo de Pagos'!$E68,51,9999)</f>
        <v>51</v>
      </c>
      <c r="BT68" s="0" t="n">
        <f aca="false">IF(Presupuesto!$B$52='Flujo de Pagos'!$E68,52,9999)</f>
        <v>52</v>
      </c>
      <c r="BU68" s="0" t="n">
        <f aca="false">IF(Presupuesto!$B$53='Flujo de Pagos'!$E68,53,9999)</f>
        <v>53</v>
      </c>
      <c r="BV68" s="0" t="n">
        <f aca="false">IF(Presupuesto!$B$54='Flujo de Pagos'!$E68,54,9999)</f>
        <v>54</v>
      </c>
      <c r="BW68" s="0" t="n">
        <f aca="false">IF(Presupuesto!$B$55='Flujo de Pagos'!$E68,55,9999)</f>
        <v>55</v>
      </c>
      <c r="BX68" s="0" t="n">
        <f aca="false">IF(Presupuesto!$B$56='Flujo de Pagos'!$E68,56,9999)</f>
        <v>56</v>
      </c>
      <c r="BY68" s="0" t="n">
        <f aca="false">IF(Presupuesto!$B$57='Flujo de Pagos'!$E68,57,9999)</f>
        <v>57</v>
      </c>
      <c r="BZ68" s="0" t="n">
        <f aca="false">IF(Presupuesto!$B$58='Flujo de Pagos'!$E68,58,9999)</f>
        <v>58</v>
      </c>
      <c r="CA68" s="0" t="n">
        <f aca="false">IF(Presupuesto!$B$59='Flujo de Pagos'!$E68,59,9999)</f>
        <v>59</v>
      </c>
      <c r="CB68" s="0" t="n">
        <f aca="false">IF(Presupuesto!$B$60='Flujo de Pagos'!$E68,60,9999)</f>
        <v>60</v>
      </c>
      <c r="CC68" s="0" t="n">
        <f aca="false">IF(Presupuesto!$B$61='Flujo de Pagos'!$E68,61,9999)</f>
        <v>61</v>
      </c>
      <c r="CD68" s="0" t="n">
        <f aca="false">IF(Presupuesto!$B$62='Flujo de Pagos'!$E68,62,9999)</f>
        <v>62</v>
      </c>
      <c r="CE68" s="0" t="n">
        <f aca="false">IF(Presupuesto!$B$63='Flujo de Pagos'!$E68,63,9999)</f>
        <v>63</v>
      </c>
      <c r="CF68" s="0" t="n">
        <f aca="false">IF(Presupuesto!$B$64='Flujo de Pagos'!$E68,64,9999)</f>
        <v>64</v>
      </c>
      <c r="CG68" s="0" t="n">
        <f aca="false">IF(Presupuesto!$B$65='Flujo de Pagos'!$E68,65,9999)</f>
        <v>65</v>
      </c>
      <c r="CH68" s="0" t="n">
        <f aca="false">IF(Presupuesto!$B$66='Flujo de Pagos'!$E68,66,9999)</f>
        <v>66</v>
      </c>
    </row>
    <row r="69" customFormat="false" ht="15" hidden="false" customHeight="true" outlineLevel="0" collapsed="false">
      <c r="B69" s="1" t="n">
        <f aca="false">IF(AND('Flujo de Pagos'!E74=Carátula!$B$2,'Flujo de Pagos'!F74=Carátula!$B$4,'Flujo de Pagos'!H74&lt;&gt;""),74,99999)</f>
        <v>99999</v>
      </c>
      <c r="H69" s="1" t="n">
        <f aca="false">IF(SMALL($AA69:$CH69,1)&gt;=9999,"",INDEX(Presupuesto!$C:$C,SMALL($AA69:$CH69,1)))</f>
        <v>0</v>
      </c>
      <c r="I69" s="1" t="n">
        <f aca="false">IF(SMALL($AA69:$CH69,2)&gt;=9999,"",INDEX(Presupuesto!$C:$C,SMALL($AA69:$CH69,2)))</f>
        <v>0</v>
      </c>
      <c r="J69" s="1" t="n">
        <f aca="false">IF(SMALL($AA69:$CH69,3)&gt;=9999,"",INDEX(Presupuesto!$C:$C,SMALL($AA69:$CH69,3)))</f>
        <v>0</v>
      </c>
      <c r="K69" s="1" t="n">
        <f aca="false">IF(SMALL($AA69:$CH69,4)&gt;=9999,"",INDEX(Presupuesto!$C:$C,SMALL($AA69:$CH69,4)))</f>
        <v>0</v>
      </c>
      <c r="L69" s="1" t="n">
        <f aca="false">IF(SMALL($AA69:$CH69,5)&gt;=9999,"",INDEX(Presupuesto!$C:$C,SMALL($AA69:$CH69,5)))</f>
        <v>0</v>
      </c>
      <c r="M69" s="1" t="n">
        <f aca="false">IF(SMALL($AA69:$CH69,6)&gt;=9999,"",INDEX(Presupuesto!$C:$C,SMALL($AA69:$CH69,6)))</f>
        <v>0</v>
      </c>
      <c r="N69" s="1" t="n">
        <f aca="false">IF(SMALL($AA69:$CH69,7)&gt;=9999,"",INDEX(Presupuesto!$C:$C,SMALL($AA69:$CH69,7)))</f>
        <v>0</v>
      </c>
      <c r="O69" s="1" t="n">
        <f aca="false">IF(SMALL($AA69:$CH69,8)&gt;=9999,"",INDEX(Presupuesto!$C:$C,SMALL($AA69:$CH69,8)))</f>
        <v>0</v>
      </c>
      <c r="P69" s="1" t="n">
        <f aca="false">IF(SMALL($AA69:$CH69,9)&gt;=9999,"",INDEX(Presupuesto!$C:$C,SMALL($AA69:$CH69,9)))</f>
        <v>0</v>
      </c>
      <c r="Q69" s="1" t="n">
        <f aca="false">IF(SMALL($AA69:$CH69,10)&gt;=9999,"",INDEX(Presupuesto!$C:$C,SMALL($AA69:$CH69,10)))</f>
        <v>0</v>
      </c>
      <c r="AA69" s="0" t="n">
        <f aca="false">IF(Presupuesto!$B$7='Flujo de Pagos'!$E69,7,9999)</f>
        <v>9999</v>
      </c>
      <c r="AB69" s="0" t="n">
        <f aca="false">IF(Presupuesto!$B$8='Flujo de Pagos'!$E69,8,9999)</f>
        <v>9999</v>
      </c>
      <c r="AC69" s="0" t="n">
        <f aca="false">IF(Presupuesto!$B$9='Flujo de Pagos'!$E69,9,9999)</f>
        <v>9999</v>
      </c>
      <c r="AD69" s="0" t="n">
        <f aca="false">IF(Presupuesto!$B$10='Flujo de Pagos'!$E69,10,9999)</f>
        <v>9999</v>
      </c>
      <c r="AE69" s="0" t="n">
        <f aca="false">IF(Presupuesto!$B$11='Flujo de Pagos'!$E69,11,9999)</f>
        <v>9999</v>
      </c>
      <c r="AF69" s="0" t="n">
        <f aca="false">IF(Presupuesto!$B$12='Flujo de Pagos'!$E69,12,9999)</f>
        <v>12</v>
      </c>
      <c r="AG69" s="0" t="n">
        <f aca="false">IF(Presupuesto!$B$13='Flujo de Pagos'!$E69,13,9999)</f>
        <v>13</v>
      </c>
      <c r="AH69" s="0" t="n">
        <f aca="false">IF(Presupuesto!$B$14='Flujo de Pagos'!$E69,14,9999)</f>
        <v>14</v>
      </c>
      <c r="AI69" s="0" t="n">
        <f aca="false">IF(Presupuesto!$B$15='Flujo de Pagos'!$E69,15,9999)</f>
        <v>15</v>
      </c>
      <c r="AJ69" s="0" t="n">
        <f aca="false">IF(Presupuesto!$B$16='Flujo de Pagos'!$E69,16,9999)</f>
        <v>16</v>
      </c>
      <c r="AK69" s="0" t="n">
        <f aca="false">IF(Presupuesto!$B$17='Flujo de Pagos'!$E69,17,9999)</f>
        <v>17</v>
      </c>
      <c r="AL69" s="0" t="n">
        <f aca="false">IF(Presupuesto!$B$18='Flujo de Pagos'!$E69,18,9999)</f>
        <v>18</v>
      </c>
      <c r="AM69" s="0" t="n">
        <f aca="false">IF(Presupuesto!$B$19='Flujo de Pagos'!$E69,19,9999)</f>
        <v>19</v>
      </c>
      <c r="AN69" s="0" t="n">
        <f aca="false">IF(Presupuesto!$B$20='Flujo de Pagos'!$E69,20,9999)</f>
        <v>20</v>
      </c>
      <c r="AO69" s="0" t="n">
        <f aca="false">IF(Presupuesto!$B$21='Flujo de Pagos'!$E69,21,9999)</f>
        <v>21</v>
      </c>
      <c r="AP69" s="0" t="n">
        <f aca="false">IF(Presupuesto!$B$22='Flujo de Pagos'!$E69,22,9999)</f>
        <v>22</v>
      </c>
      <c r="AQ69" s="0" t="n">
        <f aca="false">IF(Presupuesto!$B$23='Flujo de Pagos'!$E69,23,9999)</f>
        <v>23</v>
      </c>
      <c r="AR69" s="0" t="n">
        <f aca="false">IF(Presupuesto!$B$24='Flujo de Pagos'!$E69,24,9999)</f>
        <v>24</v>
      </c>
      <c r="AS69" s="0" t="n">
        <f aca="false">IF(Presupuesto!$B$25='Flujo de Pagos'!$E69,25,9999)</f>
        <v>25</v>
      </c>
      <c r="AT69" s="0" t="n">
        <f aca="false">IF(Presupuesto!$B$26='Flujo de Pagos'!$E69,26,9999)</f>
        <v>26</v>
      </c>
      <c r="AU69" s="0" t="n">
        <f aca="false">IF(Presupuesto!$B$27='Flujo de Pagos'!$E69,27,9999)</f>
        <v>27</v>
      </c>
      <c r="AV69" s="0" t="n">
        <f aca="false">IF(Presupuesto!$B$28='Flujo de Pagos'!$E69,28,9999)</f>
        <v>28</v>
      </c>
      <c r="AW69" s="0" t="n">
        <f aca="false">IF(Presupuesto!$B$29='Flujo de Pagos'!$E69,29,9999)</f>
        <v>29</v>
      </c>
      <c r="AX69" s="0" t="n">
        <f aca="false">IF(Presupuesto!$B$30='Flujo de Pagos'!$E69,30,9999)</f>
        <v>30</v>
      </c>
      <c r="AY69" s="0" t="n">
        <f aca="false">IF(Presupuesto!$B$31='Flujo de Pagos'!$E69,31,9999)</f>
        <v>31</v>
      </c>
      <c r="AZ69" s="0" t="n">
        <f aca="false">IF(Presupuesto!$B$32='Flujo de Pagos'!$E69,32,9999)</f>
        <v>32</v>
      </c>
      <c r="BA69" s="0" t="n">
        <f aca="false">IF(Presupuesto!$B$33='Flujo de Pagos'!$E69,33,9999)</f>
        <v>33</v>
      </c>
      <c r="BB69" s="0" t="n">
        <f aca="false">IF(Presupuesto!$B$34='Flujo de Pagos'!$E69,34,9999)</f>
        <v>34</v>
      </c>
      <c r="BC69" s="0" t="n">
        <f aca="false">IF(Presupuesto!$B$35='Flujo de Pagos'!$E69,35,9999)</f>
        <v>35</v>
      </c>
      <c r="BD69" s="0" t="n">
        <f aca="false">IF(Presupuesto!$B$36='Flujo de Pagos'!$E69,36,9999)</f>
        <v>36</v>
      </c>
      <c r="BE69" s="0" t="n">
        <f aca="false">IF(Presupuesto!$B$37='Flujo de Pagos'!$E69,37,9999)</f>
        <v>37</v>
      </c>
      <c r="BF69" s="0" t="n">
        <f aca="false">IF(Presupuesto!$B$38='Flujo de Pagos'!$E69,38,9999)</f>
        <v>38</v>
      </c>
      <c r="BG69" s="0" t="n">
        <f aca="false">IF(Presupuesto!$B$39='Flujo de Pagos'!$E69,39,9999)</f>
        <v>39</v>
      </c>
      <c r="BH69" s="0" t="n">
        <f aca="false">IF(Presupuesto!$B$40='Flujo de Pagos'!$E69,40,9999)</f>
        <v>40</v>
      </c>
      <c r="BI69" s="0" t="n">
        <f aca="false">IF(Presupuesto!$B$41='Flujo de Pagos'!$E69,41,9999)</f>
        <v>41</v>
      </c>
      <c r="BJ69" s="0" t="n">
        <f aca="false">IF(Presupuesto!$B$42='Flujo de Pagos'!$E69,42,9999)</f>
        <v>42</v>
      </c>
      <c r="BK69" s="0" t="n">
        <f aca="false">IF(Presupuesto!$B$43='Flujo de Pagos'!$E69,43,9999)</f>
        <v>43</v>
      </c>
      <c r="BL69" s="0" t="n">
        <f aca="false">IF(Presupuesto!$B$44='Flujo de Pagos'!$E69,44,9999)</f>
        <v>44</v>
      </c>
      <c r="BM69" s="0" t="n">
        <f aca="false">IF(Presupuesto!$B$45='Flujo de Pagos'!$E69,45,9999)</f>
        <v>45</v>
      </c>
      <c r="BN69" s="0" t="n">
        <f aca="false">IF(Presupuesto!$B$46='Flujo de Pagos'!$E69,46,9999)</f>
        <v>46</v>
      </c>
      <c r="BO69" s="0" t="n">
        <f aca="false">IF(Presupuesto!$B$47='Flujo de Pagos'!$E69,47,9999)</f>
        <v>47</v>
      </c>
      <c r="BP69" s="0" t="n">
        <f aca="false">IF(Presupuesto!$B$48='Flujo de Pagos'!$E69,48,9999)</f>
        <v>48</v>
      </c>
      <c r="BQ69" s="0" t="n">
        <f aca="false">IF(Presupuesto!$B$49='Flujo de Pagos'!$E69,49,9999)</f>
        <v>49</v>
      </c>
      <c r="BR69" s="0" t="n">
        <f aca="false">IF(Presupuesto!$B$50='Flujo de Pagos'!$E69,50,9999)</f>
        <v>50</v>
      </c>
      <c r="BS69" s="0" t="n">
        <f aca="false">IF(Presupuesto!$B$51='Flujo de Pagos'!$E69,51,9999)</f>
        <v>51</v>
      </c>
      <c r="BT69" s="0" t="n">
        <f aca="false">IF(Presupuesto!$B$52='Flujo de Pagos'!$E69,52,9999)</f>
        <v>52</v>
      </c>
      <c r="BU69" s="0" t="n">
        <f aca="false">IF(Presupuesto!$B$53='Flujo de Pagos'!$E69,53,9999)</f>
        <v>53</v>
      </c>
      <c r="BV69" s="0" t="n">
        <f aca="false">IF(Presupuesto!$B$54='Flujo de Pagos'!$E69,54,9999)</f>
        <v>54</v>
      </c>
      <c r="BW69" s="0" t="n">
        <f aca="false">IF(Presupuesto!$B$55='Flujo de Pagos'!$E69,55,9999)</f>
        <v>55</v>
      </c>
      <c r="BX69" s="0" t="n">
        <f aca="false">IF(Presupuesto!$B$56='Flujo de Pagos'!$E69,56,9999)</f>
        <v>56</v>
      </c>
      <c r="BY69" s="0" t="n">
        <f aca="false">IF(Presupuesto!$B$57='Flujo de Pagos'!$E69,57,9999)</f>
        <v>57</v>
      </c>
      <c r="BZ69" s="0" t="n">
        <f aca="false">IF(Presupuesto!$B$58='Flujo de Pagos'!$E69,58,9999)</f>
        <v>58</v>
      </c>
      <c r="CA69" s="0" t="n">
        <f aca="false">IF(Presupuesto!$B$59='Flujo de Pagos'!$E69,59,9999)</f>
        <v>59</v>
      </c>
      <c r="CB69" s="0" t="n">
        <f aca="false">IF(Presupuesto!$B$60='Flujo de Pagos'!$E69,60,9999)</f>
        <v>60</v>
      </c>
      <c r="CC69" s="0" t="n">
        <f aca="false">IF(Presupuesto!$B$61='Flujo de Pagos'!$E69,61,9999)</f>
        <v>61</v>
      </c>
      <c r="CD69" s="0" t="n">
        <f aca="false">IF(Presupuesto!$B$62='Flujo de Pagos'!$E69,62,9999)</f>
        <v>62</v>
      </c>
      <c r="CE69" s="0" t="n">
        <f aca="false">IF(Presupuesto!$B$63='Flujo de Pagos'!$E69,63,9999)</f>
        <v>63</v>
      </c>
      <c r="CF69" s="0" t="n">
        <f aca="false">IF(Presupuesto!$B$64='Flujo de Pagos'!$E69,64,9999)</f>
        <v>64</v>
      </c>
      <c r="CG69" s="0" t="n">
        <f aca="false">IF(Presupuesto!$B$65='Flujo de Pagos'!$E69,65,9999)</f>
        <v>65</v>
      </c>
      <c r="CH69" s="0" t="n">
        <f aca="false">IF(Presupuesto!$B$66='Flujo de Pagos'!$E69,66,9999)</f>
        <v>66</v>
      </c>
    </row>
    <row r="70" customFormat="false" ht="15" hidden="false" customHeight="true" outlineLevel="0" collapsed="false">
      <c r="B70" s="1" t="n">
        <f aca="false">IF(AND('Flujo de Pagos'!E75=Carátula!$B$2,'Flujo de Pagos'!F75=Carátula!$B$4,'Flujo de Pagos'!H75&lt;&gt;""),75,99999)</f>
        <v>99999</v>
      </c>
      <c r="H70" s="1" t="n">
        <f aca="false">IF(SMALL($AA70:$CH70,1)&gt;=9999,"",INDEX(Presupuesto!$C:$C,SMALL($AA70:$CH70,1)))</f>
        <v>0</v>
      </c>
      <c r="I70" s="1" t="n">
        <f aca="false">IF(SMALL($AA70:$CH70,2)&gt;=9999,"",INDEX(Presupuesto!$C:$C,SMALL($AA70:$CH70,2)))</f>
        <v>0</v>
      </c>
      <c r="J70" s="1" t="n">
        <f aca="false">IF(SMALL($AA70:$CH70,3)&gt;=9999,"",INDEX(Presupuesto!$C:$C,SMALL($AA70:$CH70,3)))</f>
        <v>0</v>
      </c>
      <c r="K70" s="1" t="n">
        <f aca="false">IF(SMALL($AA70:$CH70,4)&gt;=9999,"",INDEX(Presupuesto!$C:$C,SMALL($AA70:$CH70,4)))</f>
        <v>0</v>
      </c>
      <c r="L70" s="1" t="n">
        <f aca="false">IF(SMALL($AA70:$CH70,5)&gt;=9999,"",INDEX(Presupuesto!$C:$C,SMALL($AA70:$CH70,5)))</f>
        <v>0</v>
      </c>
      <c r="M70" s="1" t="n">
        <f aca="false">IF(SMALL($AA70:$CH70,6)&gt;=9999,"",INDEX(Presupuesto!$C:$C,SMALL($AA70:$CH70,6)))</f>
        <v>0</v>
      </c>
      <c r="N70" s="1" t="n">
        <f aca="false">IF(SMALL($AA70:$CH70,7)&gt;=9999,"",INDEX(Presupuesto!$C:$C,SMALL($AA70:$CH70,7)))</f>
        <v>0</v>
      </c>
      <c r="O70" s="1" t="n">
        <f aca="false">IF(SMALL($AA70:$CH70,8)&gt;=9999,"",INDEX(Presupuesto!$C:$C,SMALL($AA70:$CH70,8)))</f>
        <v>0</v>
      </c>
      <c r="P70" s="1" t="n">
        <f aca="false">IF(SMALL($AA70:$CH70,9)&gt;=9999,"",INDEX(Presupuesto!$C:$C,SMALL($AA70:$CH70,9)))</f>
        <v>0</v>
      </c>
      <c r="Q70" s="1" t="n">
        <f aca="false">IF(SMALL($AA70:$CH70,10)&gt;=9999,"",INDEX(Presupuesto!$C:$C,SMALL($AA70:$CH70,10)))</f>
        <v>0</v>
      </c>
      <c r="AA70" s="0" t="n">
        <f aca="false">IF(Presupuesto!$B$7='Flujo de Pagos'!$E70,7,9999)</f>
        <v>9999</v>
      </c>
      <c r="AB70" s="0" t="n">
        <f aca="false">IF(Presupuesto!$B$8='Flujo de Pagos'!$E70,8,9999)</f>
        <v>9999</v>
      </c>
      <c r="AC70" s="0" t="n">
        <f aca="false">IF(Presupuesto!$B$9='Flujo de Pagos'!$E70,9,9999)</f>
        <v>9999</v>
      </c>
      <c r="AD70" s="0" t="n">
        <f aca="false">IF(Presupuesto!$B$10='Flujo de Pagos'!$E70,10,9999)</f>
        <v>9999</v>
      </c>
      <c r="AE70" s="0" t="n">
        <f aca="false">IF(Presupuesto!$B$11='Flujo de Pagos'!$E70,11,9999)</f>
        <v>9999</v>
      </c>
      <c r="AF70" s="0" t="n">
        <f aca="false">IF(Presupuesto!$B$12='Flujo de Pagos'!$E70,12,9999)</f>
        <v>12</v>
      </c>
      <c r="AG70" s="0" t="n">
        <f aca="false">IF(Presupuesto!$B$13='Flujo de Pagos'!$E70,13,9999)</f>
        <v>13</v>
      </c>
      <c r="AH70" s="0" t="n">
        <f aca="false">IF(Presupuesto!$B$14='Flujo de Pagos'!$E70,14,9999)</f>
        <v>14</v>
      </c>
      <c r="AI70" s="0" t="n">
        <f aca="false">IF(Presupuesto!$B$15='Flujo de Pagos'!$E70,15,9999)</f>
        <v>15</v>
      </c>
      <c r="AJ70" s="0" t="n">
        <f aca="false">IF(Presupuesto!$B$16='Flujo de Pagos'!$E70,16,9999)</f>
        <v>16</v>
      </c>
      <c r="AK70" s="0" t="n">
        <f aca="false">IF(Presupuesto!$B$17='Flujo de Pagos'!$E70,17,9999)</f>
        <v>17</v>
      </c>
      <c r="AL70" s="0" t="n">
        <f aca="false">IF(Presupuesto!$B$18='Flujo de Pagos'!$E70,18,9999)</f>
        <v>18</v>
      </c>
      <c r="AM70" s="0" t="n">
        <f aca="false">IF(Presupuesto!$B$19='Flujo de Pagos'!$E70,19,9999)</f>
        <v>19</v>
      </c>
      <c r="AN70" s="0" t="n">
        <f aca="false">IF(Presupuesto!$B$20='Flujo de Pagos'!$E70,20,9999)</f>
        <v>20</v>
      </c>
      <c r="AO70" s="0" t="n">
        <f aca="false">IF(Presupuesto!$B$21='Flujo de Pagos'!$E70,21,9999)</f>
        <v>21</v>
      </c>
      <c r="AP70" s="0" t="n">
        <f aca="false">IF(Presupuesto!$B$22='Flujo de Pagos'!$E70,22,9999)</f>
        <v>22</v>
      </c>
      <c r="AQ70" s="0" t="n">
        <f aca="false">IF(Presupuesto!$B$23='Flujo de Pagos'!$E70,23,9999)</f>
        <v>23</v>
      </c>
      <c r="AR70" s="0" t="n">
        <f aca="false">IF(Presupuesto!$B$24='Flujo de Pagos'!$E70,24,9999)</f>
        <v>24</v>
      </c>
      <c r="AS70" s="0" t="n">
        <f aca="false">IF(Presupuesto!$B$25='Flujo de Pagos'!$E70,25,9999)</f>
        <v>25</v>
      </c>
      <c r="AT70" s="0" t="n">
        <f aca="false">IF(Presupuesto!$B$26='Flujo de Pagos'!$E70,26,9999)</f>
        <v>26</v>
      </c>
      <c r="AU70" s="0" t="n">
        <f aca="false">IF(Presupuesto!$B$27='Flujo de Pagos'!$E70,27,9999)</f>
        <v>27</v>
      </c>
      <c r="AV70" s="0" t="n">
        <f aca="false">IF(Presupuesto!$B$28='Flujo de Pagos'!$E70,28,9999)</f>
        <v>28</v>
      </c>
      <c r="AW70" s="0" t="n">
        <f aca="false">IF(Presupuesto!$B$29='Flujo de Pagos'!$E70,29,9999)</f>
        <v>29</v>
      </c>
      <c r="AX70" s="0" t="n">
        <f aca="false">IF(Presupuesto!$B$30='Flujo de Pagos'!$E70,30,9999)</f>
        <v>30</v>
      </c>
      <c r="AY70" s="0" t="n">
        <f aca="false">IF(Presupuesto!$B$31='Flujo de Pagos'!$E70,31,9999)</f>
        <v>31</v>
      </c>
      <c r="AZ70" s="0" t="n">
        <f aca="false">IF(Presupuesto!$B$32='Flujo de Pagos'!$E70,32,9999)</f>
        <v>32</v>
      </c>
      <c r="BA70" s="0" t="n">
        <f aca="false">IF(Presupuesto!$B$33='Flujo de Pagos'!$E70,33,9999)</f>
        <v>33</v>
      </c>
      <c r="BB70" s="0" t="n">
        <f aca="false">IF(Presupuesto!$B$34='Flujo de Pagos'!$E70,34,9999)</f>
        <v>34</v>
      </c>
      <c r="BC70" s="0" t="n">
        <f aca="false">IF(Presupuesto!$B$35='Flujo de Pagos'!$E70,35,9999)</f>
        <v>35</v>
      </c>
      <c r="BD70" s="0" t="n">
        <f aca="false">IF(Presupuesto!$B$36='Flujo de Pagos'!$E70,36,9999)</f>
        <v>36</v>
      </c>
      <c r="BE70" s="0" t="n">
        <f aca="false">IF(Presupuesto!$B$37='Flujo de Pagos'!$E70,37,9999)</f>
        <v>37</v>
      </c>
      <c r="BF70" s="0" t="n">
        <f aca="false">IF(Presupuesto!$B$38='Flujo de Pagos'!$E70,38,9999)</f>
        <v>38</v>
      </c>
      <c r="BG70" s="0" t="n">
        <f aca="false">IF(Presupuesto!$B$39='Flujo de Pagos'!$E70,39,9999)</f>
        <v>39</v>
      </c>
      <c r="BH70" s="0" t="n">
        <f aca="false">IF(Presupuesto!$B$40='Flujo de Pagos'!$E70,40,9999)</f>
        <v>40</v>
      </c>
      <c r="BI70" s="0" t="n">
        <f aca="false">IF(Presupuesto!$B$41='Flujo de Pagos'!$E70,41,9999)</f>
        <v>41</v>
      </c>
      <c r="BJ70" s="0" t="n">
        <f aca="false">IF(Presupuesto!$B$42='Flujo de Pagos'!$E70,42,9999)</f>
        <v>42</v>
      </c>
      <c r="BK70" s="0" t="n">
        <f aca="false">IF(Presupuesto!$B$43='Flujo de Pagos'!$E70,43,9999)</f>
        <v>43</v>
      </c>
      <c r="BL70" s="0" t="n">
        <f aca="false">IF(Presupuesto!$B$44='Flujo de Pagos'!$E70,44,9999)</f>
        <v>44</v>
      </c>
      <c r="BM70" s="0" t="n">
        <f aca="false">IF(Presupuesto!$B$45='Flujo de Pagos'!$E70,45,9999)</f>
        <v>45</v>
      </c>
      <c r="BN70" s="0" t="n">
        <f aca="false">IF(Presupuesto!$B$46='Flujo de Pagos'!$E70,46,9999)</f>
        <v>46</v>
      </c>
      <c r="BO70" s="0" t="n">
        <f aca="false">IF(Presupuesto!$B$47='Flujo de Pagos'!$E70,47,9999)</f>
        <v>47</v>
      </c>
      <c r="BP70" s="0" t="n">
        <f aca="false">IF(Presupuesto!$B$48='Flujo de Pagos'!$E70,48,9999)</f>
        <v>48</v>
      </c>
      <c r="BQ70" s="0" t="n">
        <f aca="false">IF(Presupuesto!$B$49='Flujo de Pagos'!$E70,49,9999)</f>
        <v>49</v>
      </c>
      <c r="BR70" s="0" t="n">
        <f aca="false">IF(Presupuesto!$B$50='Flujo de Pagos'!$E70,50,9999)</f>
        <v>50</v>
      </c>
      <c r="BS70" s="0" t="n">
        <f aca="false">IF(Presupuesto!$B$51='Flujo de Pagos'!$E70,51,9999)</f>
        <v>51</v>
      </c>
      <c r="BT70" s="0" t="n">
        <f aca="false">IF(Presupuesto!$B$52='Flujo de Pagos'!$E70,52,9999)</f>
        <v>52</v>
      </c>
      <c r="BU70" s="0" t="n">
        <f aca="false">IF(Presupuesto!$B$53='Flujo de Pagos'!$E70,53,9999)</f>
        <v>53</v>
      </c>
      <c r="BV70" s="0" t="n">
        <f aca="false">IF(Presupuesto!$B$54='Flujo de Pagos'!$E70,54,9999)</f>
        <v>54</v>
      </c>
      <c r="BW70" s="0" t="n">
        <f aca="false">IF(Presupuesto!$B$55='Flujo de Pagos'!$E70,55,9999)</f>
        <v>55</v>
      </c>
      <c r="BX70" s="0" t="n">
        <f aca="false">IF(Presupuesto!$B$56='Flujo de Pagos'!$E70,56,9999)</f>
        <v>56</v>
      </c>
      <c r="BY70" s="0" t="n">
        <f aca="false">IF(Presupuesto!$B$57='Flujo de Pagos'!$E70,57,9999)</f>
        <v>57</v>
      </c>
      <c r="BZ70" s="0" t="n">
        <f aca="false">IF(Presupuesto!$B$58='Flujo de Pagos'!$E70,58,9999)</f>
        <v>58</v>
      </c>
      <c r="CA70" s="0" t="n">
        <f aca="false">IF(Presupuesto!$B$59='Flujo de Pagos'!$E70,59,9999)</f>
        <v>59</v>
      </c>
      <c r="CB70" s="0" t="n">
        <f aca="false">IF(Presupuesto!$B$60='Flujo de Pagos'!$E70,60,9999)</f>
        <v>60</v>
      </c>
      <c r="CC70" s="0" t="n">
        <f aca="false">IF(Presupuesto!$B$61='Flujo de Pagos'!$E70,61,9999)</f>
        <v>61</v>
      </c>
      <c r="CD70" s="0" t="n">
        <f aca="false">IF(Presupuesto!$B$62='Flujo de Pagos'!$E70,62,9999)</f>
        <v>62</v>
      </c>
      <c r="CE70" s="0" t="n">
        <f aca="false">IF(Presupuesto!$B$63='Flujo de Pagos'!$E70,63,9999)</f>
        <v>63</v>
      </c>
      <c r="CF70" s="0" t="n">
        <f aca="false">IF(Presupuesto!$B$64='Flujo de Pagos'!$E70,64,9999)</f>
        <v>64</v>
      </c>
      <c r="CG70" s="0" t="n">
        <f aca="false">IF(Presupuesto!$B$65='Flujo de Pagos'!$E70,65,9999)</f>
        <v>65</v>
      </c>
      <c r="CH70" s="0" t="n">
        <f aca="false">IF(Presupuesto!$B$66='Flujo de Pagos'!$E70,66,9999)</f>
        <v>66</v>
      </c>
    </row>
    <row r="71" customFormat="false" ht="15" hidden="false" customHeight="true" outlineLevel="0" collapsed="false">
      <c r="B71" s="1" t="n">
        <f aca="false">IF(AND('Flujo de Pagos'!E76=Carátula!$B$2,'Flujo de Pagos'!F76=Carátula!$B$4,'Flujo de Pagos'!H76&lt;&gt;""),76,99999)</f>
        <v>99999</v>
      </c>
      <c r="H71" s="1" t="n">
        <f aca="false">IF(SMALL($AA71:$CH71,1)&gt;=9999,"",INDEX(Presupuesto!$C:$C,SMALL($AA71:$CH71,1)))</f>
        <v>0</v>
      </c>
      <c r="I71" s="1" t="n">
        <f aca="false">IF(SMALL($AA71:$CH71,2)&gt;=9999,"",INDEX(Presupuesto!$C:$C,SMALL($AA71:$CH71,2)))</f>
        <v>0</v>
      </c>
      <c r="J71" s="1" t="n">
        <f aca="false">IF(SMALL($AA71:$CH71,3)&gt;=9999,"",INDEX(Presupuesto!$C:$C,SMALL($AA71:$CH71,3)))</f>
        <v>0</v>
      </c>
      <c r="K71" s="1" t="n">
        <f aca="false">IF(SMALL($AA71:$CH71,4)&gt;=9999,"",INDEX(Presupuesto!$C:$C,SMALL($AA71:$CH71,4)))</f>
        <v>0</v>
      </c>
      <c r="L71" s="1" t="n">
        <f aca="false">IF(SMALL($AA71:$CH71,5)&gt;=9999,"",INDEX(Presupuesto!$C:$C,SMALL($AA71:$CH71,5)))</f>
        <v>0</v>
      </c>
      <c r="M71" s="1" t="n">
        <f aca="false">IF(SMALL($AA71:$CH71,6)&gt;=9999,"",INDEX(Presupuesto!$C:$C,SMALL($AA71:$CH71,6)))</f>
        <v>0</v>
      </c>
      <c r="N71" s="1" t="n">
        <f aca="false">IF(SMALL($AA71:$CH71,7)&gt;=9999,"",INDEX(Presupuesto!$C:$C,SMALL($AA71:$CH71,7)))</f>
        <v>0</v>
      </c>
      <c r="O71" s="1" t="n">
        <f aca="false">IF(SMALL($AA71:$CH71,8)&gt;=9999,"",INDEX(Presupuesto!$C:$C,SMALL($AA71:$CH71,8)))</f>
        <v>0</v>
      </c>
      <c r="P71" s="1" t="n">
        <f aca="false">IF(SMALL($AA71:$CH71,9)&gt;=9999,"",INDEX(Presupuesto!$C:$C,SMALL($AA71:$CH71,9)))</f>
        <v>0</v>
      </c>
      <c r="Q71" s="1" t="n">
        <f aca="false">IF(SMALL($AA71:$CH71,10)&gt;=9999,"",INDEX(Presupuesto!$C:$C,SMALL($AA71:$CH71,10)))</f>
        <v>0</v>
      </c>
      <c r="AA71" s="0" t="n">
        <f aca="false">IF(Presupuesto!$B$7='Flujo de Pagos'!$E71,7,9999)</f>
        <v>9999</v>
      </c>
      <c r="AB71" s="0" t="n">
        <f aca="false">IF(Presupuesto!$B$8='Flujo de Pagos'!$E71,8,9999)</f>
        <v>9999</v>
      </c>
      <c r="AC71" s="0" t="n">
        <f aca="false">IF(Presupuesto!$B$9='Flujo de Pagos'!$E71,9,9999)</f>
        <v>9999</v>
      </c>
      <c r="AD71" s="0" t="n">
        <f aca="false">IF(Presupuesto!$B$10='Flujo de Pagos'!$E71,10,9999)</f>
        <v>9999</v>
      </c>
      <c r="AE71" s="0" t="n">
        <f aca="false">IF(Presupuesto!$B$11='Flujo de Pagos'!$E71,11,9999)</f>
        <v>9999</v>
      </c>
      <c r="AF71" s="0" t="n">
        <f aca="false">IF(Presupuesto!$B$12='Flujo de Pagos'!$E71,12,9999)</f>
        <v>12</v>
      </c>
      <c r="AG71" s="0" t="n">
        <f aca="false">IF(Presupuesto!$B$13='Flujo de Pagos'!$E71,13,9999)</f>
        <v>13</v>
      </c>
      <c r="AH71" s="0" t="n">
        <f aca="false">IF(Presupuesto!$B$14='Flujo de Pagos'!$E71,14,9999)</f>
        <v>14</v>
      </c>
      <c r="AI71" s="0" t="n">
        <f aca="false">IF(Presupuesto!$B$15='Flujo de Pagos'!$E71,15,9999)</f>
        <v>15</v>
      </c>
      <c r="AJ71" s="0" t="n">
        <f aca="false">IF(Presupuesto!$B$16='Flujo de Pagos'!$E71,16,9999)</f>
        <v>16</v>
      </c>
      <c r="AK71" s="0" t="n">
        <f aca="false">IF(Presupuesto!$B$17='Flujo de Pagos'!$E71,17,9999)</f>
        <v>17</v>
      </c>
      <c r="AL71" s="0" t="n">
        <f aca="false">IF(Presupuesto!$B$18='Flujo de Pagos'!$E71,18,9999)</f>
        <v>18</v>
      </c>
      <c r="AM71" s="0" t="n">
        <f aca="false">IF(Presupuesto!$B$19='Flujo de Pagos'!$E71,19,9999)</f>
        <v>19</v>
      </c>
      <c r="AN71" s="0" t="n">
        <f aca="false">IF(Presupuesto!$B$20='Flujo de Pagos'!$E71,20,9999)</f>
        <v>20</v>
      </c>
      <c r="AO71" s="0" t="n">
        <f aca="false">IF(Presupuesto!$B$21='Flujo de Pagos'!$E71,21,9999)</f>
        <v>21</v>
      </c>
      <c r="AP71" s="0" t="n">
        <f aca="false">IF(Presupuesto!$B$22='Flujo de Pagos'!$E71,22,9999)</f>
        <v>22</v>
      </c>
      <c r="AQ71" s="0" t="n">
        <f aca="false">IF(Presupuesto!$B$23='Flujo de Pagos'!$E71,23,9999)</f>
        <v>23</v>
      </c>
      <c r="AR71" s="0" t="n">
        <f aca="false">IF(Presupuesto!$B$24='Flujo de Pagos'!$E71,24,9999)</f>
        <v>24</v>
      </c>
      <c r="AS71" s="0" t="n">
        <f aca="false">IF(Presupuesto!$B$25='Flujo de Pagos'!$E71,25,9999)</f>
        <v>25</v>
      </c>
      <c r="AT71" s="0" t="n">
        <f aca="false">IF(Presupuesto!$B$26='Flujo de Pagos'!$E71,26,9999)</f>
        <v>26</v>
      </c>
      <c r="AU71" s="0" t="n">
        <f aca="false">IF(Presupuesto!$B$27='Flujo de Pagos'!$E71,27,9999)</f>
        <v>27</v>
      </c>
      <c r="AV71" s="0" t="n">
        <f aca="false">IF(Presupuesto!$B$28='Flujo de Pagos'!$E71,28,9999)</f>
        <v>28</v>
      </c>
      <c r="AW71" s="0" t="n">
        <f aca="false">IF(Presupuesto!$B$29='Flujo de Pagos'!$E71,29,9999)</f>
        <v>29</v>
      </c>
      <c r="AX71" s="0" t="n">
        <f aca="false">IF(Presupuesto!$B$30='Flujo de Pagos'!$E71,30,9999)</f>
        <v>30</v>
      </c>
      <c r="AY71" s="0" t="n">
        <f aca="false">IF(Presupuesto!$B$31='Flujo de Pagos'!$E71,31,9999)</f>
        <v>31</v>
      </c>
      <c r="AZ71" s="0" t="n">
        <f aca="false">IF(Presupuesto!$B$32='Flujo de Pagos'!$E71,32,9999)</f>
        <v>32</v>
      </c>
      <c r="BA71" s="0" t="n">
        <f aca="false">IF(Presupuesto!$B$33='Flujo de Pagos'!$E71,33,9999)</f>
        <v>33</v>
      </c>
      <c r="BB71" s="0" t="n">
        <f aca="false">IF(Presupuesto!$B$34='Flujo de Pagos'!$E71,34,9999)</f>
        <v>34</v>
      </c>
      <c r="BC71" s="0" t="n">
        <f aca="false">IF(Presupuesto!$B$35='Flujo de Pagos'!$E71,35,9999)</f>
        <v>35</v>
      </c>
      <c r="BD71" s="0" t="n">
        <f aca="false">IF(Presupuesto!$B$36='Flujo de Pagos'!$E71,36,9999)</f>
        <v>36</v>
      </c>
      <c r="BE71" s="0" t="n">
        <f aca="false">IF(Presupuesto!$B$37='Flujo de Pagos'!$E71,37,9999)</f>
        <v>37</v>
      </c>
      <c r="BF71" s="0" t="n">
        <f aca="false">IF(Presupuesto!$B$38='Flujo de Pagos'!$E71,38,9999)</f>
        <v>38</v>
      </c>
      <c r="BG71" s="0" t="n">
        <f aca="false">IF(Presupuesto!$B$39='Flujo de Pagos'!$E71,39,9999)</f>
        <v>39</v>
      </c>
      <c r="BH71" s="0" t="n">
        <f aca="false">IF(Presupuesto!$B$40='Flujo de Pagos'!$E71,40,9999)</f>
        <v>40</v>
      </c>
      <c r="BI71" s="0" t="n">
        <f aca="false">IF(Presupuesto!$B$41='Flujo de Pagos'!$E71,41,9999)</f>
        <v>41</v>
      </c>
      <c r="BJ71" s="0" t="n">
        <f aca="false">IF(Presupuesto!$B$42='Flujo de Pagos'!$E71,42,9999)</f>
        <v>42</v>
      </c>
      <c r="BK71" s="0" t="n">
        <f aca="false">IF(Presupuesto!$B$43='Flujo de Pagos'!$E71,43,9999)</f>
        <v>43</v>
      </c>
      <c r="BL71" s="0" t="n">
        <f aca="false">IF(Presupuesto!$B$44='Flujo de Pagos'!$E71,44,9999)</f>
        <v>44</v>
      </c>
      <c r="BM71" s="0" t="n">
        <f aca="false">IF(Presupuesto!$B$45='Flujo de Pagos'!$E71,45,9999)</f>
        <v>45</v>
      </c>
      <c r="BN71" s="0" t="n">
        <f aca="false">IF(Presupuesto!$B$46='Flujo de Pagos'!$E71,46,9999)</f>
        <v>46</v>
      </c>
      <c r="BO71" s="0" t="n">
        <f aca="false">IF(Presupuesto!$B$47='Flujo de Pagos'!$E71,47,9999)</f>
        <v>47</v>
      </c>
      <c r="BP71" s="0" t="n">
        <f aca="false">IF(Presupuesto!$B$48='Flujo de Pagos'!$E71,48,9999)</f>
        <v>48</v>
      </c>
      <c r="BQ71" s="0" t="n">
        <f aca="false">IF(Presupuesto!$B$49='Flujo de Pagos'!$E71,49,9999)</f>
        <v>49</v>
      </c>
      <c r="BR71" s="0" t="n">
        <f aca="false">IF(Presupuesto!$B$50='Flujo de Pagos'!$E71,50,9999)</f>
        <v>50</v>
      </c>
      <c r="BS71" s="0" t="n">
        <f aca="false">IF(Presupuesto!$B$51='Flujo de Pagos'!$E71,51,9999)</f>
        <v>51</v>
      </c>
      <c r="BT71" s="0" t="n">
        <f aca="false">IF(Presupuesto!$B$52='Flujo de Pagos'!$E71,52,9999)</f>
        <v>52</v>
      </c>
      <c r="BU71" s="0" t="n">
        <f aca="false">IF(Presupuesto!$B$53='Flujo de Pagos'!$E71,53,9999)</f>
        <v>53</v>
      </c>
      <c r="BV71" s="0" t="n">
        <f aca="false">IF(Presupuesto!$B$54='Flujo de Pagos'!$E71,54,9999)</f>
        <v>54</v>
      </c>
      <c r="BW71" s="0" t="n">
        <f aca="false">IF(Presupuesto!$B$55='Flujo de Pagos'!$E71,55,9999)</f>
        <v>55</v>
      </c>
      <c r="BX71" s="0" t="n">
        <f aca="false">IF(Presupuesto!$B$56='Flujo de Pagos'!$E71,56,9999)</f>
        <v>56</v>
      </c>
      <c r="BY71" s="0" t="n">
        <f aca="false">IF(Presupuesto!$B$57='Flujo de Pagos'!$E71,57,9999)</f>
        <v>57</v>
      </c>
      <c r="BZ71" s="0" t="n">
        <f aca="false">IF(Presupuesto!$B$58='Flujo de Pagos'!$E71,58,9999)</f>
        <v>58</v>
      </c>
      <c r="CA71" s="0" t="n">
        <f aca="false">IF(Presupuesto!$B$59='Flujo de Pagos'!$E71,59,9999)</f>
        <v>59</v>
      </c>
      <c r="CB71" s="0" t="n">
        <f aca="false">IF(Presupuesto!$B$60='Flujo de Pagos'!$E71,60,9999)</f>
        <v>60</v>
      </c>
      <c r="CC71" s="0" t="n">
        <f aca="false">IF(Presupuesto!$B$61='Flujo de Pagos'!$E71,61,9999)</f>
        <v>61</v>
      </c>
      <c r="CD71" s="0" t="n">
        <f aca="false">IF(Presupuesto!$B$62='Flujo de Pagos'!$E71,62,9999)</f>
        <v>62</v>
      </c>
      <c r="CE71" s="0" t="n">
        <f aca="false">IF(Presupuesto!$B$63='Flujo de Pagos'!$E71,63,9999)</f>
        <v>63</v>
      </c>
      <c r="CF71" s="0" t="n">
        <f aca="false">IF(Presupuesto!$B$64='Flujo de Pagos'!$E71,64,9999)</f>
        <v>64</v>
      </c>
      <c r="CG71" s="0" t="n">
        <f aca="false">IF(Presupuesto!$B$65='Flujo de Pagos'!$E71,65,9999)</f>
        <v>65</v>
      </c>
      <c r="CH71" s="0" t="n">
        <f aca="false">IF(Presupuesto!$B$66='Flujo de Pagos'!$E71,66,9999)</f>
        <v>66</v>
      </c>
    </row>
    <row r="72" customFormat="false" ht="15" hidden="false" customHeight="true" outlineLevel="0" collapsed="false">
      <c r="B72" s="1" t="n">
        <f aca="false">IF(AND('Flujo de Pagos'!E77=Carátula!$B$2,'Flujo de Pagos'!F77=Carátula!$B$4,'Flujo de Pagos'!H77&lt;&gt;""),77,99999)</f>
        <v>99999</v>
      </c>
      <c r="H72" s="1" t="n">
        <f aca="false">IF(SMALL($AA72:$CH72,1)&gt;=9999,"",INDEX(Presupuesto!$C:$C,SMALL($AA72:$CH72,1)))</f>
        <v>0</v>
      </c>
      <c r="I72" s="1" t="n">
        <f aca="false">IF(SMALL($AA72:$CH72,2)&gt;=9999,"",INDEX(Presupuesto!$C:$C,SMALL($AA72:$CH72,2)))</f>
        <v>0</v>
      </c>
      <c r="J72" s="1" t="n">
        <f aca="false">IF(SMALL($AA72:$CH72,3)&gt;=9999,"",INDEX(Presupuesto!$C:$C,SMALL($AA72:$CH72,3)))</f>
        <v>0</v>
      </c>
      <c r="K72" s="1" t="n">
        <f aca="false">IF(SMALL($AA72:$CH72,4)&gt;=9999,"",INDEX(Presupuesto!$C:$C,SMALL($AA72:$CH72,4)))</f>
        <v>0</v>
      </c>
      <c r="L72" s="1" t="n">
        <f aca="false">IF(SMALL($AA72:$CH72,5)&gt;=9999,"",INDEX(Presupuesto!$C:$C,SMALL($AA72:$CH72,5)))</f>
        <v>0</v>
      </c>
      <c r="M72" s="1" t="n">
        <f aca="false">IF(SMALL($AA72:$CH72,6)&gt;=9999,"",INDEX(Presupuesto!$C:$C,SMALL($AA72:$CH72,6)))</f>
        <v>0</v>
      </c>
      <c r="N72" s="1" t="n">
        <f aca="false">IF(SMALL($AA72:$CH72,7)&gt;=9999,"",INDEX(Presupuesto!$C:$C,SMALL($AA72:$CH72,7)))</f>
        <v>0</v>
      </c>
      <c r="O72" s="1" t="n">
        <f aca="false">IF(SMALL($AA72:$CH72,8)&gt;=9999,"",INDEX(Presupuesto!$C:$C,SMALL($AA72:$CH72,8)))</f>
        <v>0</v>
      </c>
      <c r="P72" s="1" t="n">
        <f aca="false">IF(SMALL($AA72:$CH72,9)&gt;=9999,"",INDEX(Presupuesto!$C:$C,SMALL($AA72:$CH72,9)))</f>
        <v>0</v>
      </c>
      <c r="Q72" s="1" t="n">
        <f aca="false">IF(SMALL($AA72:$CH72,10)&gt;=9999,"",INDEX(Presupuesto!$C:$C,SMALL($AA72:$CH72,10)))</f>
        <v>0</v>
      </c>
      <c r="AA72" s="0" t="n">
        <f aca="false">IF(Presupuesto!$B$7='Flujo de Pagos'!$E72,7,9999)</f>
        <v>9999</v>
      </c>
      <c r="AB72" s="0" t="n">
        <f aca="false">IF(Presupuesto!$B$8='Flujo de Pagos'!$E72,8,9999)</f>
        <v>9999</v>
      </c>
      <c r="AC72" s="0" t="n">
        <f aca="false">IF(Presupuesto!$B$9='Flujo de Pagos'!$E72,9,9999)</f>
        <v>9999</v>
      </c>
      <c r="AD72" s="0" t="n">
        <f aca="false">IF(Presupuesto!$B$10='Flujo de Pagos'!$E72,10,9999)</f>
        <v>9999</v>
      </c>
      <c r="AE72" s="0" t="n">
        <f aca="false">IF(Presupuesto!$B$11='Flujo de Pagos'!$E72,11,9999)</f>
        <v>9999</v>
      </c>
      <c r="AF72" s="0" t="n">
        <f aca="false">IF(Presupuesto!$B$12='Flujo de Pagos'!$E72,12,9999)</f>
        <v>12</v>
      </c>
      <c r="AG72" s="0" t="n">
        <f aca="false">IF(Presupuesto!$B$13='Flujo de Pagos'!$E72,13,9999)</f>
        <v>13</v>
      </c>
      <c r="AH72" s="0" t="n">
        <f aca="false">IF(Presupuesto!$B$14='Flujo de Pagos'!$E72,14,9999)</f>
        <v>14</v>
      </c>
      <c r="AI72" s="0" t="n">
        <f aca="false">IF(Presupuesto!$B$15='Flujo de Pagos'!$E72,15,9999)</f>
        <v>15</v>
      </c>
      <c r="AJ72" s="0" t="n">
        <f aca="false">IF(Presupuesto!$B$16='Flujo de Pagos'!$E72,16,9999)</f>
        <v>16</v>
      </c>
      <c r="AK72" s="0" t="n">
        <f aca="false">IF(Presupuesto!$B$17='Flujo de Pagos'!$E72,17,9999)</f>
        <v>17</v>
      </c>
      <c r="AL72" s="0" t="n">
        <f aca="false">IF(Presupuesto!$B$18='Flujo de Pagos'!$E72,18,9999)</f>
        <v>18</v>
      </c>
      <c r="AM72" s="0" t="n">
        <f aca="false">IF(Presupuesto!$B$19='Flujo de Pagos'!$E72,19,9999)</f>
        <v>19</v>
      </c>
      <c r="AN72" s="0" t="n">
        <f aca="false">IF(Presupuesto!$B$20='Flujo de Pagos'!$E72,20,9999)</f>
        <v>20</v>
      </c>
      <c r="AO72" s="0" t="n">
        <f aca="false">IF(Presupuesto!$B$21='Flujo de Pagos'!$E72,21,9999)</f>
        <v>21</v>
      </c>
      <c r="AP72" s="0" t="n">
        <f aca="false">IF(Presupuesto!$B$22='Flujo de Pagos'!$E72,22,9999)</f>
        <v>22</v>
      </c>
      <c r="AQ72" s="0" t="n">
        <f aca="false">IF(Presupuesto!$B$23='Flujo de Pagos'!$E72,23,9999)</f>
        <v>23</v>
      </c>
      <c r="AR72" s="0" t="n">
        <f aca="false">IF(Presupuesto!$B$24='Flujo de Pagos'!$E72,24,9999)</f>
        <v>24</v>
      </c>
      <c r="AS72" s="0" t="n">
        <f aca="false">IF(Presupuesto!$B$25='Flujo de Pagos'!$E72,25,9999)</f>
        <v>25</v>
      </c>
      <c r="AT72" s="0" t="n">
        <f aca="false">IF(Presupuesto!$B$26='Flujo de Pagos'!$E72,26,9999)</f>
        <v>26</v>
      </c>
      <c r="AU72" s="0" t="n">
        <f aca="false">IF(Presupuesto!$B$27='Flujo de Pagos'!$E72,27,9999)</f>
        <v>27</v>
      </c>
      <c r="AV72" s="0" t="n">
        <f aca="false">IF(Presupuesto!$B$28='Flujo de Pagos'!$E72,28,9999)</f>
        <v>28</v>
      </c>
      <c r="AW72" s="0" t="n">
        <f aca="false">IF(Presupuesto!$B$29='Flujo de Pagos'!$E72,29,9999)</f>
        <v>29</v>
      </c>
      <c r="AX72" s="0" t="n">
        <f aca="false">IF(Presupuesto!$B$30='Flujo de Pagos'!$E72,30,9999)</f>
        <v>30</v>
      </c>
      <c r="AY72" s="0" t="n">
        <f aca="false">IF(Presupuesto!$B$31='Flujo de Pagos'!$E72,31,9999)</f>
        <v>31</v>
      </c>
      <c r="AZ72" s="0" t="n">
        <f aca="false">IF(Presupuesto!$B$32='Flujo de Pagos'!$E72,32,9999)</f>
        <v>32</v>
      </c>
      <c r="BA72" s="0" t="n">
        <f aca="false">IF(Presupuesto!$B$33='Flujo de Pagos'!$E72,33,9999)</f>
        <v>33</v>
      </c>
      <c r="BB72" s="0" t="n">
        <f aca="false">IF(Presupuesto!$B$34='Flujo de Pagos'!$E72,34,9999)</f>
        <v>34</v>
      </c>
      <c r="BC72" s="0" t="n">
        <f aca="false">IF(Presupuesto!$B$35='Flujo de Pagos'!$E72,35,9999)</f>
        <v>35</v>
      </c>
      <c r="BD72" s="0" t="n">
        <f aca="false">IF(Presupuesto!$B$36='Flujo de Pagos'!$E72,36,9999)</f>
        <v>36</v>
      </c>
      <c r="BE72" s="0" t="n">
        <f aca="false">IF(Presupuesto!$B$37='Flujo de Pagos'!$E72,37,9999)</f>
        <v>37</v>
      </c>
      <c r="BF72" s="0" t="n">
        <f aca="false">IF(Presupuesto!$B$38='Flujo de Pagos'!$E72,38,9999)</f>
        <v>38</v>
      </c>
      <c r="BG72" s="0" t="n">
        <f aca="false">IF(Presupuesto!$B$39='Flujo de Pagos'!$E72,39,9999)</f>
        <v>39</v>
      </c>
      <c r="BH72" s="0" t="n">
        <f aca="false">IF(Presupuesto!$B$40='Flujo de Pagos'!$E72,40,9999)</f>
        <v>40</v>
      </c>
      <c r="BI72" s="0" t="n">
        <f aca="false">IF(Presupuesto!$B$41='Flujo de Pagos'!$E72,41,9999)</f>
        <v>41</v>
      </c>
      <c r="BJ72" s="0" t="n">
        <f aca="false">IF(Presupuesto!$B$42='Flujo de Pagos'!$E72,42,9999)</f>
        <v>42</v>
      </c>
      <c r="BK72" s="0" t="n">
        <f aca="false">IF(Presupuesto!$B$43='Flujo de Pagos'!$E72,43,9999)</f>
        <v>43</v>
      </c>
      <c r="BL72" s="0" t="n">
        <f aca="false">IF(Presupuesto!$B$44='Flujo de Pagos'!$E72,44,9999)</f>
        <v>44</v>
      </c>
      <c r="BM72" s="0" t="n">
        <f aca="false">IF(Presupuesto!$B$45='Flujo de Pagos'!$E72,45,9999)</f>
        <v>45</v>
      </c>
      <c r="BN72" s="0" t="n">
        <f aca="false">IF(Presupuesto!$B$46='Flujo de Pagos'!$E72,46,9999)</f>
        <v>46</v>
      </c>
      <c r="BO72" s="0" t="n">
        <f aca="false">IF(Presupuesto!$B$47='Flujo de Pagos'!$E72,47,9999)</f>
        <v>47</v>
      </c>
      <c r="BP72" s="0" t="n">
        <f aca="false">IF(Presupuesto!$B$48='Flujo de Pagos'!$E72,48,9999)</f>
        <v>48</v>
      </c>
      <c r="BQ72" s="0" t="n">
        <f aca="false">IF(Presupuesto!$B$49='Flujo de Pagos'!$E72,49,9999)</f>
        <v>49</v>
      </c>
      <c r="BR72" s="0" t="n">
        <f aca="false">IF(Presupuesto!$B$50='Flujo de Pagos'!$E72,50,9999)</f>
        <v>50</v>
      </c>
      <c r="BS72" s="0" t="n">
        <f aca="false">IF(Presupuesto!$B$51='Flujo de Pagos'!$E72,51,9999)</f>
        <v>51</v>
      </c>
      <c r="BT72" s="0" t="n">
        <f aca="false">IF(Presupuesto!$B$52='Flujo de Pagos'!$E72,52,9999)</f>
        <v>52</v>
      </c>
      <c r="BU72" s="0" t="n">
        <f aca="false">IF(Presupuesto!$B$53='Flujo de Pagos'!$E72,53,9999)</f>
        <v>53</v>
      </c>
      <c r="BV72" s="0" t="n">
        <f aca="false">IF(Presupuesto!$B$54='Flujo de Pagos'!$E72,54,9999)</f>
        <v>54</v>
      </c>
      <c r="BW72" s="0" t="n">
        <f aca="false">IF(Presupuesto!$B$55='Flujo de Pagos'!$E72,55,9999)</f>
        <v>55</v>
      </c>
      <c r="BX72" s="0" t="n">
        <f aca="false">IF(Presupuesto!$B$56='Flujo de Pagos'!$E72,56,9999)</f>
        <v>56</v>
      </c>
      <c r="BY72" s="0" t="n">
        <f aca="false">IF(Presupuesto!$B$57='Flujo de Pagos'!$E72,57,9999)</f>
        <v>57</v>
      </c>
      <c r="BZ72" s="0" t="n">
        <f aca="false">IF(Presupuesto!$B$58='Flujo de Pagos'!$E72,58,9999)</f>
        <v>58</v>
      </c>
      <c r="CA72" s="0" t="n">
        <f aca="false">IF(Presupuesto!$B$59='Flujo de Pagos'!$E72,59,9999)</f>
        <v>59</v>
      </c>
      <c r="CB72" s="0" t="n">
        <f aca="false">IF(Presupuesto!$B$60='Flujo de Pagos'!$E72,60,9999)</f>
        <v>60</v>
      </c>
      <c r="CC72" s="0" t="n">
        <f aca="false">IF(Presupuesto!$B$61='Flujo de Pagos'!$E72,61,9999)</f>
        <v>61</v>
      </c>
      <c r="CD72" s="0" t="n">
        <f aca="false">IF(Presupuesto!$B$62='Flujo de Pagos'!$E72,62,9999)</f>
        <v>62</v>
      </c>
      <c r="CE72" s="0" t="n">
        <f aca="false">IF(Presupuesto!$B$63='Flujo de Pagos'!$E72,63,9999)</f>
        <v>63</v>
      </c>
      <c r="CF72" s="0" t="n">
        <f aca="false">IF(Presupuesto!$B$64='Flujo de Pagos'!$E72,64,9999)</f>
        <v>64</v>
      </c>
      <c r="CG72" s="0" t="n">
        <f aca="false">IF(Presupuesto!$B$65='Flujo de Pagos'!$E72,65,9999)</f>
        <v>65</v>
      </c>
      <c r="CH72" s="0" t="n">
        <f aca="false">IF(Presupuesto!$B$66='Flujo de Pagos'!$E72,66,9999)</f>
        <v>66</v>
      </c>
    </row>
    <row r="73" customFormat="false" ht="15" hidden="false" customHeight="true" outlineLevel="0" collapsed="false">
      <c r="B73" s="1" t="n">
        <f aca="false">IF(AND('Flujo de Pagos'!E78=Carátula!$B$2,'Flujo de Pagos'!F78=Carátula!$B$4,'Flujo de Pagos'!H78&lt;&gt;""),78,99999)</f>
        <v>99999</v>
      </c>
      <c r="H73" s="1" t="n">
        <f aca="false">IF(SMALL($AA73:$CH73,1)&gt;=9999,"",INDEX(Presupuesto!$C:$C,SMALL($AA73:$CH73,1)))</f>
        <v>0</v>
      </c>
      <c r="I73" s="1" t="n">
        <f aca="false">IF(SMALL($AA73:$CH73,2)&gt;=9999,"",INDEX(Presupuesto!$C:$C,SMALL($AA73:$CH73,2)))</f>
        <v>0</v>
      </c>
      <c r="J73" s="1" t="n">
        <f aca="false">IF(SMALL($AA73:$CH73,3)&gt;=9999,"",INDEX(Presupuesto!$C:$C,SMALL($AA73:$CH73,3)))</f>
        <v>0</v>
      </c>
      <c r="K73" s="1" t="n">
        <f aca="false">IF(SMALL($AA73:$CH73,4)&gt;=9999,"",INDEX(Presupuesto!$C:$C,SMALL($AA73:$CH73,4)))</f>
        <v>0</v>
      </c>
      <c r="L73" s="1" t="n">
        <f aca="false">IF(SMALL($AA73:$CH73,5)&gt;=9999,"",INDEX(Presupuesto!$C:$C,SMALL($AA73:$CH73,5)))</f>
        <v>0</v>
      </c>
      <c r="M73" s="1" t="n">
        <f aca="false">IF(SMALL($AA73:$CH73,6)&gt;=9999,"",INDEX(Presupuesto!$C:$C,SMALL($AA73:$CH73,6)))</f>
        <v>0</v>
      </c>
      <c r="N73" s="1" t="n">
        <f aca="false">IF(SMALL($AA73:$CH73,7)&gt;=9999,"",INDEX(Presupuesto!$C:$C,SMALL($AA73:$CH73,7)))</f>
        <v>0</v>
      </c>
      <c r="O73" s="1" t="n">
        <f aca="false">IF(SMALL($AA73:$CH73,8)&gt;=9999,"",INDEX(Presupuesto!$C:$C,SMALL($AA73:$CH73,8)))</f>
        <v>0</v>
      </c>
      <c r="P73" s="1" t="n">
        <f aca="false">IF(SMALL($AA73:$CH73,9)&gt;=9999,"",INDEX(Presupuesto!$C:$C,SMALL($AA73:$CH73,9)))</f>
        <v>0</v>
      </c>
      <c r="Q73" s="1" t="n">
        <f aca="false">IF(SMALL($AA73:$CH73,10)&gt;=9999,"",INDEX(Presupuesto!$C:$C,SMALL($AA73:$CH73,10)))</f>
        <v>0</v>
      </c>
      <c r="AA73" s="0" t="n">
        <f aca="false">IF(Presupuesto!$B$7='Flujo de Pagos'!$E73,7,9999)</f>
        <v>9999</v>
      </c>
      <c r="AB73" s="0" t="n">
        <f aca="false">IF(Presupuesto!$B$8='Flujo de Pagos'!$E73,8,9999)</f>
        <v>9999</v>
      </c>
      <c r="AC73" s="0" t="n">
        <f aca="false">IF(Presupuesto!$B$9='Flujo de Pagos'!$E73,9,9999)</f>
        <v>9999</v>
      </c>
      <c r="AD73" s="0" t="n">
        <f aca="false">IF(Presupuesto!$B$10='Flujo de Pagos'!$E73,10,9999)</f>
        <v>9999</v>
      </c>
      <c r="AE73" s="0" t="n">
        <f aca="false">IF(Presupuesto!$B$11='Flujo de Pagos'!$E73,11,9999)</f>
        <v>9999</v>
      </c>
      <c r="AF73" s="0" t="n">
        <f aca="false">IF(Presupuesto!$B$12='Flujo de Pagos'!$E73,12,9999)</f>
        <v>12</v>
      </c>
      <c r="AG73" s="0" t="n">
        <f aca="false">IF(Presupuesto!$B$13='Flujo de Pagos'!$E73,13,9999)</f>
        <v>13</v>
      </c>
      <c r="AH73" s="0" t="n">
        <f aca="false">IF(Presupuesto!$B$14='Flujo de Pagos'!$E73,14,9999)</f>
        <v>14</v>
      </c>
      <c r="AI73" s="0" t="n">
        <f aca="false">IF(Presupuesto!$B$15='Flujo de Pagos'!$E73,15,9999)</f>
        <v>15</v>
      </c>
      <c r="AJ73" s="0" t="n">
        <f aca="false">IF(Presupuesto!$B$16='Flujo de Pagos'!$E73,16,9999)</f>
        <v>16</v>
      </c>
      <c r="AK73" s="0" t="n">
        <f aca="false">IF(Presupuesto!$B$17='Flujo de Pagos'!$E73,17,9999)</f>
        <v>17</v>
      </c>
      <c r="AL73" s="0" t="n">
        <f aca="false">IF(Presupuesto!$B$18='Flujo de Pagos'!$E73,18,9999)</f>
        <v>18</v>
      </c>
      <c r="AM73" s="0" t="n">
        <f aca="false">IF(Presupuesto!$B$19='Flujo de Pagos'!$E73,19,9999)</f>
        <v>19</v>
      </c>
      <c r="AN73" s="0" t="n">
        <f aca="false">IF(Presupuesto!$B$20='Flujo de Pagos'!$E73,20,9999)</f>
        <v>20</v>
      </c>
      <c r="AO73" s="0" t="n">
        <f aca="false">IF(Presupuesto!$B$21='Flujo de Pagos'!$E73,21,9999)</f>
        <v>21</v>
      </c>
      <c r="AP73" s="0" t="n">
        <f aca="false">IF(Presupuesto!$B$22='Flujo de Pagos'!$E73,22,9999)</f>
        <v>22</v>
      </c>
      <c r="AQ73" s="0" t="n">
        <f aca="false">IF(Presupuesto!$B$23='Flujo de Pagos'!$E73,23,9999)</f>
        <v>23</v>
      </c>
      <c r="AR73" s="0" t="n">
        <f aca="false">IF(Presupuesto!$B$24='Flujo de Pagos'!$E73,24,9999)</f>
        <v>24</v>
      </c>
      <c r="AS73" s="0" t="n">
        <f aca="false">IF(Presupuesto!$B$25='Flujo de Pagos'!$E73,25,9999)</f>
        <v>25</v>
      </c>
      <c r="AT73" s="0" t="n">
        <f aca="false">IF(Presupuesto!$B$26='Flujo de Pagos'!$E73,26,9999)</f>
        <v>26</v>
      </c>
      <c r="AU73" s="0" t="n">
        <f aca="false">IF(Presupuesto!$B$27='Flujo de Pagos'!$E73,27,9999)</f>
        <v>27</v>
      </c>
      <c r="AV73" s="0" t="n">
        <f aca="false">IF(Presupuesto!$B$28='Flujo de Pagos'!$E73,28,9999)</f>
        <v>28</v>
      </c>
      <c r="AW73" s="0" t="n">
        <f aca="false">IF(Presupuesto!$B$29='Flujo de Pagos'!$E73,29,9999)</f>
        <v>29</v>
      </c>
      <c r="AX73" s="0" t="n">
        <f aca="false">IF(Presupuesto!$B$30='Flujo de Pagos'!$E73,30,9999)</f>
        <v>30</v>
      </c>
      <c r="AY73" s="0" t="n">
        <f aca="false">IF(Presupuesto!$B$31='Flujo de Pagos'!$E73,31,9999)</f>
        <v>31</v>
      </c>
      <c r="AZ73" s="0" t="n">
        <f aca="false">IF(Presupuesto!$B$32='Flujo de Pagos'!$E73,32,9999)</f>
        <v>32</v>
      </c>
      <c r="BA73" s="0" t="n">
        <f aca="false">IF(Presupuesto!$B$33='Flujo de Pagos'!$E73,33,9999)</f>
        <v>33</v>
      </c>
      <c r="BB73" s="0" t="n">
        <f aca="false">IF(Presupuesto!$B$34='Flujo de Pagos'!$E73,34,9999)</f>
        <v>34</v>
      </c>
      <c r="BC73" s="0" t="n">
        <f aca="false">IF(Presupuesto!$B$35='Flujo de Pagos'!$E73,35,9999)</f>
        <v>35</v>
      </c>
      <c r="BD73" s="0" t="n">
        <f aca="false">IF(Presupuesto!$B$36='Flujo de Pagos'!$E73,36,9999)</f>
        <v>36</v>
      </c>
      <c r="BE73" s="0" t="n">
        <f aca="false">IF(Presupuesto!$B$37='Flujo de Pagos'!$E73,37,9999)</f>
        <v>37</v>
      </c>
      <c r="BF73" s="0" t="n">
        <f aca="false">IF(Presupuesto!$B$38='Flujo de Pagos'!$E73,38,9999)</f>
        <v>38</v>
      </c>
      <c r="BG73" s="0" t="n">
        <f aca="false">IF(Presupuesto!$B$39='Flujo de Pagos'!$E73,39,9999)</f>
        <v>39</v>
      </c>
      <c r="BH73" s="0" t="n">
        <f aca="false">IF(Presupuesto!$B$40='Flujo de Pagos'!$E73,40,9999)</f>
        <v>40</v>
      </c>
      <c r="BI73" s="0" t="n">
        <f aca="false">IF(Presupuesto!$B$41='Flujo de Pagos'!$E73,41,9999)</f>
        <v>41</v>
      </c>
      <c r="BJ73" s="0" t="n">
        <f aca="false">IF(Presupuesto!$B$42='Flujo de Pagos'!$E73,42,9999)</f>
        <v>42</v>
      </c>
      <c r="BK73" s="0" t="n">
        <f aca="false">IF(Presupuesto!$B$43='Flujo de Pagos'!$E73,43,9999)</f>
        <v>43</v>
      </c>
      <c r="BL73" s="0" t="n">
        <f aca="false">IF(Presupuesto!$B$44='Flujo de Pagos'!$E73,44,9999)</f>
        <v>44</v>
      </c>
      <c r="BM73" s="0" t="n">
        <f aca="false">IF(Presupuesto!$B$45='Flujo de Pagos'!$E73,45,9999)</f>
        <v>45</v>
      </c>
      <c r="BN73" s="0" t="n">
        <f aca="false">IF(Presupuesto!$B$46='Flujo de Pagos'!$E73,46,9999)</f>
        <v>46</v>
      </c>
      <c r="BO73" s="0" t="n">
        <f aca="false">IF(Presupuesto!$B$47='Flujo de Pagos'!$E73,47,9999)</f>
        <v>47</v>
      </c>
      <c r="BP73" s="0" t="n">
        <f aca="false">IF(Presupuesto!$B$48='Flujo de Pagos'!$E73,48,9999)</f>
        <v>48</v>
      </c>
      <c r="BQ73" s="0" t="n">
        <f aca="false">IF(Presupuesto!$B$49='Flujo de Pagos'!$E73,49,9999)</f>
        <v>49</v>
      </c>
      <c r="BR73" s="0" t="n">
        <f aca="false">IF(Presupuesto!$B$50='Flujo de Pagos'!$E73,50,9999)</f>
        <v>50</v>
      </c>
      <c r="BS73" s="0" t="n">
        <f aca="false">IF(Presupuesto!$B$51='Flujo de Pagos'!$E73,51,9999)</f>
        <v>51</v>
      </c>
      <c r="BT73" s="0" t="n">
        <f aca="false">IF(Presupuesto!$B$52='Flujo de Pagos'!$E73,52,9999)</f>
        <v>52</v>
      </c>
      <c r="BU73" s="0" t="n">
        <f aca="false">IF(Presupuesto!$B$53='Flujo de Pagos'!$E73,53,9999)</f>
        <v>53</v>
      </c>
      <c r="BV73" s="0" t="n">
        <f aca="false">IF(Presupuesto!$B$54='Flujo de Pagos'!$E73,54,9999)</f>
        <v>54</v>
      </c>
      <c r="BW73" s="0" t="n">
        <f aca="false">IF(Presupuesto!$B$55='Flujo de Pagos'!$E73,55,9999)</f>
        <v>55</v>
      </c>
      <c r="BX73" s="0" t="n">
        <f aca="false">IF(Presupuesto!$B$56='Flujo de Pagos'!$E73,56,9999)</f>
        <v>56</v>
      </c>
      <c r="BY73" s="0" t="n">
        <f aca="false">IF(Presupuesto!$B$57='Flujo de Pagos'!$E73,57,9999)</f>
        <v>57</v>
      </c>
      <c r="BZ73" s="0" t="n">
        <f aca="false">IF(Presupuesto!$B$58='Flujo de Pagos'!$E73,58,9999)</f>
        <v>58</v>
      </c>
      <c r="CA73" s="0" t="n">
        <f aca="false">IF(Presupuesto!$B$59='Flujo de Pagos'!$E73,59,9999)</f>
        <v>59</v>
      </c>
      <c r="CB73" s="0" t="n">
        <f aca="false">IF(Presupuesto!$B$60='Flujo de Pagos'!$E73,60,9999)</f>
        <v>60</v>
      </c>
      <c r="CC73" s="0" t="n">
        <f aca="false">IF(Presupuesto!$B$61='Flujo de Pagos'!$E73,61,9999)</f>
        <v>61</v>
      </c>
      <c r="CD73" s="0" t="n">
        <f aca="false">IF(Presupuesto!$B$62='Flujo de Pagos'!$E73,62,9999)</f>
        <v>62</v>
      </c>
      <c r="CE73" s="0" t="n">
        <f aca="false">IF(Presupuesto!$B$63='Flujo de Pagos'!$E73,63,9999)</f>
        <v>63</v>
      </c>
      <c r="CF73" s="0" t="n">
        <f aca="false">IF(Presupuesto!$B$64='Flujo de Pagos'!$E73,64,9999)</f>
        <v>64</v>
      </c>
      <c r="CG73" s="0" t="n">
        <f aca="false">IF(Presupuesto!$B$65='Flujo de Pagos'!$E73,65,9999)</f>
        <v>65</v>
      </c>
      <c r="CH73" s="0" t="n">
        <f aca="false">IF(Presupuesto!$B$66='Flujo de Pagos'!$E73,66,9999)</f>
        <v>66</v>
      </c>
    </row>
    <row r="74" customFormat="false" ht="15" hidden="false" customHeight="true" outlineLevel="0" collapsed="false">
      <c r="B74" s="1" t="n">
        <f aca="false">IF(AND('Flujo de Pagos'!E79=Carátula!$B$2,'Flujo de Pagos'!F79=Carátula!$B$4,'Flujo de Pagos'!H79&lt;&gt;""),79,99999)</f>
        <v>99999</v>
      </c>
      <c r="H74" s="1" t="n">
        <f aca="false">IF(SMALL($AA74:$CH74,1)&gt;=9999,"",INDEX(Presupuesto!$C:$C,SMALL($AA74:$CH74,1)))</f>
        <v>0</v>
      </c>
      <c r="I74" s="1" t="n">
        <f aca="false">IF(SMALL($AA74:$CH74,2)&gt;=9999,"",INDEX(Presupuesto!$C:$C,SMALL($AA74:$CH74,2)))</f>
        <v>0</v>
      </c>
      <c r="J74" s="1" t="n">
        <f aca="false">IF(SMALL($AA74:$CH74,3)&gt;=9999,"",INDEX(Presupuesto!$C:$C,SMALL($AA74:$CH74,3)))</f>
        <v>0</v>
      </c>
      <c r="K74" s="1" t="n">
        <f aca="false">IF(SMALL($AA74:$CH74,4)&gt;=9999,"",INDEX(Presupuesto!$C:$C,SMALL($AA74:$CH74,4)))</f>
        <v>0</v>
      </c>
      <c r="L74" s="1" t="n">
        <f aca="false">IF(SMALL($AA74:$CH74,5)&gt;=9999,"",INDEX(Presupuesto!$C:$C,SMALL($AA74:$CH74,5)))</f>
        <v>0</v>
      </c>
      <c r="M74" s="1" t="n">
        <f aca="false">IF(SMALL($AA74:$CH74,6)&gt;=9999,"",INDEX(Presupuesto!$C:$C,SMALL($AA74:$CH74,6)))</f>
        <v>0</v>
      </c>
      <c r="N74" s="1" t="n">
        <f aca="false">IF(SMALL($AA74:$CH74,7)&gt;=9999,"",INDEX(Presupuesto!$C:$C,SMALL($AA74:$CH74,7)))</f>
        <v>0</v>
      </c>
      <c r="O74" s="1" t="n">
        <f aca="false">IF(SMALL($AA74:$CH74,8)&gt;=9999,"",INDEX(Presupuesto!$C:$C,SMALL($AA74:$CH74,8)))</f>
        <v>0</v>
      </c>
      <c r="P74" s="1" t="n">
        <f aca="false">IF(SMALL($AA74:$CH74,9)&gt;=9999,"",INDEX(Presupuesto!$C:$C,SMALL($AA74:$CH74,9)))</f>
        <v>0</v>
      </c>
      <c r="Q74" s="1" t="n">
        <f aca="false">IF(SMALL($AA74:$CH74,10)&gt;=9999,"",INDEX(Presupuesto!$C:$C,SMALL($AA74:$CH74,10)))</f>
        <v>0</v>
      </c>
      <c r="AA74" s="0" t="n">
        <f aca="false">IF(Presupuesto!$B$7='Flujo de Pagos'!$E74,7,9999)</f>
        <v>9999</v>
      </c>
      <c r="AB74" s="0" t="n">
        <f aca="false">IF(Presupuesto!$B$8='Flujo de Pagos'!$E74,8,9999)</f>
        <v>9999</v>
      </c>
      <c r="AC74" s="0" t="n">
        <f aca="false">IF(Presupuesto!$B$9='Flujo de Pagos'!$E74,9,9999)</f>
        <v>9999</v>
      </c>
      <c r="AD74" s="0" t="n">
        <f aca="false">IF(Presupuesto!$B$10='Flujo de Pagos'!$E74,10,9999)</f>
        <v>9999</v>
      </c>
      <c r="AE74" s="0" t="n">
        <f aca="false">IF(Presupuesto!$B$11='Flujo de Pagos'!$E74,11,9999)</f>
        <v>9999</v>
      </c>
      <c r="AF74" s="0" t="n">
        <f aca="false">IF(Presupuesto!$B$12='Flujo de Pagos'!$E74,12,9999)</f>
        <v>12</v>
      </c>
      <c r="AG74" s="0" t="n">
        <f aca="false">IF(Presupuesto!$B$13='Flujo de Pagos'!$E74,13,9999)</f>
        <v>13</v>
      </c>
      <c r="AH74" s="0" t="n">
        <f aca="false">IF(Presupuesto!$B$14='Flujo de Pagos'!$E74,14,9999)</f>
        <v>14</v>
      </c>
      <c r="AI74" s="0" t="n">
        <f aca="false">IF(Presupuesto!$B$15='Flujo de Pagos'!$E74,15,9999)</f>
        <v>15</v>
      </c>
      <c r="AJ74" s="0" t="n">
        <f aca="false">IF(Presupuesto!$B$16='Flujo de Pagos'!$E74,16,9999)</f>
        <v>16</v>
      </c>
      <c r="AK74" s="0" t="n">
        <f aca="false">IF(Presupuesto!$B$17='Flujo de Pagos'!$E74,17,9999)</f>
        <v>17</v>
      </c>
      <c r="AL74" s="0" t="n">
        <f aca="false">IF(Presupuesto!$B$18='Flujo de Pagos'!$E74,18,9999)</f>
        <v>18</v>
      </c>
      <c r="AM74" s="0" t="n">
        <f aca="false">IF(Presupuesto!$B$19='Flujo de Pagos'!$E74,19,9999)</f>
        <v>19</v>
      </c>
      <c r="AN74" s="0" t="n">
        <f aca="false">IF(Presupuesto!$B$20='Flujo de Pagos'!$E74,20,9999)</f>
        <v>20</v>
      </c>
      <c r="AO74" s="0" t="n">
        <f aca="false">IF(Presupuesto!$B$21='Flujo de Pagos'!$E74,21,9999)</f>
        <v>21</v>
      </c>
      <c r="AP74" s="0" t="n">
        <f aca="false">IF(Presupuesto!$B$22='Flujo de Pagos'!$E74,22,9999)</f>
        <v>22</v>
      </c>
      <c r="AQ74" s="0" t="n">
        <f aca="false">IF(Presupuesto!$B$23='Flujo de Pagos'!$E74,23,9999)</f>
        <v>23</v>
      </c>
      <c r="AR74" s="0" t="n">
        <f aca="false">IF(Presupuesto!$B$24='Flujo de Pagos'!$E74,24,9999)</f>
        <v>24</v>
      </c>
      <c r="AS74" s="0" t="n">
        <f aca="false">IF(Presupuesto!$B$25='Flujo de Pagos'!$E74,25,9999)</f>
        <v>25</v>
      </c>
      <c r="AT74" s="0" t="n">
        <f aca="false">IF(Presupuesto!$B$26='Flujo de Pagos'!$E74,26,9999)</f>
        <v>26</v>
      </c>
      <c r="AU74" s="0" t="n">
        <f aca="false">IF(Presupuesto!$B$27='Flujo de Pagos'!$E74,27,9999)</f>
        <v>27</v>
      </c>
      <c r="AV74" s="0" t="n">
        <f aca="false">IF(Presupuesto!$B$28='Flujo de Pagos'!$E74,28,9999)</f>
        <v>28</v>
      </c>
      <c r="AW74" s="0" t="n">
        <f aca="false">IF(Presupuesto!$B$29='Flujo de Pagos'!$E74,29,9999)</f>
        <v>29</v>
      </c>
      <c r="AX74" s="0" t="n">
        <f aca="false">IF(Presupuesto!$B$30='Flujo de Pagos'!$E74,30,9999)</f>
        <v>30</v>
      </c>
      <c r="AY74" s="0" t="n">
        <f aca="false">IF(Presupuesto!$B$31='Flujo de Pagos'!$E74,31,9999)</f>
        <v>31</v>
      </c>
      <c r="AZ74" s="0" t="n">
        <f aca="false">IF(Presupuesto!$B$32='Flujo de Pagos'!$E74,32,9999)</f>
        <v>32</v>
      </c>
      <c r="BA74" s="0" t="n">
        <f aca="false">IF(Presupuesto!$B$33='Flujo de Pagos'!$E74,33,9999)</f>
        <v>33</v>
      </c>
      <c r="BB74" s="0" t="n">
        <f aca="false">IF(Presupuesto!$B$34='Flujo de Pagos'!$E74,34,9999)</f>
        <v>34</v>
      </c>
      <c r="BC74" s="0" t="n">
        <f aca="false">IF(Presupuesto!$B$35='Flujo de Pagos'!$E74,35,9999)</f>
        <v>35</v>
      </c>
      <c r="BD74" s="0" t="n">
        <f aca="false">IF(Presupuesto!$B$36='Flujo de Pagos'!$E74,36,9999)</f>
        <v>36</v>
      </c>
      <c r="BE74" s="0" t="n">
        <f aca="false">IF(Presupuesto!$B$37='Flujo de Pagos'!$E74,37,9999)</f>
        <v>37</v>
      </c>
      <c r="BF74" s="0" t="n">
        <f aca="false">IF(Presupuesto!$B$38='Flujo de Pagos'!$E74,38,9999)</f>
        <v>38</v>
      </c>
      <c r="BG74" s="0" t="n">
        <f aca="false">IF(Presupuesto!$B$39='Flujo de Pagos'!$E74,39,9999)</f>
        <v>39</v>
      </c>
      <c r="BH74" s="0" t="n">
        <f aca="false">IF(Presupuesto!$B$40='Flujo de Pagos'!$E74,40,9999)</f>
        <v>40</v>
      </c>
      <c r="BI74" s="0" t="n">
        <f aca="false">IF(Presupuesto!$B$41='Flujo de Pagos'!$E74,41,9999)</f>
        <v>41</v>
      </c>
      <c r="BJ74" s="0" t="n">
        <f aca="false">IF(Presupuesto!$B$42='Flujo de Pagos'!$E74,42,9999)</f>
        <v>42</v>
      </c>
      <c r="BK74" s="0" t="n">
        <f aca="false">IF(Presupuesto!$B$43='Flujo de Pagos'!$E74,43,9999)</f>
        <v>43</v>
      </c>
      <c r="BL74" s="0" t="n">
        <f aca="false">IF(Presupuesto!$B$44='Flujo de Pagos'!$E74,44,9999)</f>
        <v>44</v>
      </c>
      <c r="BM74" s="0" t="n">
        <f aca="false">IF(Presupuesto!$B$45='Flujo de Pagos'!$E74,45,9999)</f>
        <v>45</v>
      </c>
      <c r="BN74" s="0" t="n">
        <f aca="false">IF(Presupuesto!$B$46='Flujo de Pagos'!$E74,46,9999)</f>
        <v>46</v>
      </c>
      <c r="BO74" s="0" t="n">
        <f aca="false">IF(Presupuesto!$B$47='Flujo de Pagos'!$E74,47,9999)</f>
        <v>47</v>
      </c>
      <c r="BP74" s="0" t="n">
        <f aca="false">IF(Presupuesto!$B$48='Flujo de Pagos'!$E74,48,9999)</f>
        <v>48</v>
      </c>
      <c r="BQ74" s="0" t="n">
        <f aca="false">IF(Presupuesto!$B$49='Flujo de Pagos'!$E74,49,9999)</f>
        <v>49</v>
      </c>
      <c r="BR74" s="0" t="n">
        <f aca="false">IF(Presupuesto!$B$50='Flujo de Pagos'!$E74,50,9999)</f>
        <v>50</v>
      </c>
      <c r="BS74" s="0" t="n">
        <f aca="false">IF(Presupuesto!$B$51='Flujo de Pagos'!$E74,51,9999)</f>
        <v>51</v>
      </c>
      <c r="BT74" s="0" t="n">
        <f aca="false">IF(Presupuesto!$B$52='Flujo de Pagos'!$E74,52,9999)</f>
        <v>52</v>
      </c>
      <c r="BU74" s="0" t="n">
        <f aca="false">IF(Presupuesto!$B$53='Flujo de Pagos'!$E74,53,9999)</f>
        <v>53</v>
      </c>
      <c r="BV74" s="0" t="n">
        <f aca="false">IF(Presupuesto!$B$54='Flujo de Pagos'!$E74,54,9999)</f>
        <v>54</v>
      </c>
      <c r="BW74" s="0" t="n">
        <f aca="false">IF(Presupuesto!$B$55='Flujo de Pagos'!$E74,55,9999)</f>
        <v>55</v>
      </c>
      <c r="BX74" s="0" t="n">
        <f aca="false">IF(Presupuesto!$B$56='Flujo de Pagos'!$E74,56,9999)</f>
        <v>56</v>
      </c>
      <c r="BY74" s="0" t="n">
        <f aca="false">IF(Presupuesto!$B$57='Flujo de Pagos'!$E74,57,9999)</f>
        <v>57</v>
      </c>
      <c r="BZ74" s="0" t="n">
        <f aca="false">IF(Presupuesto!$B$58='Flujo de Pagos'!$E74,58,9999)</f>
        <v>58</v>
      </c>
      <c r="CA74" s="0" t="n">
        <f aca="false">IF(Presupuesto!$B$59='Flujo de Pagos'!$E74,59,9999)</f>
        <v>59</v>
      </c>
      <c r="CB74" s="0" t="n">
        <f aca="false">IF(Presupuesto!$B$60='Flujo de Pagos'!$E74,60,9999)</f>
        <v>60</v>
      </c>
      <c r="CC74" s="0" t="n">
        <f aca="false">IF(Presupuesto!$B$61='Flujo de Pagos'!$E74,61,9999)</f>
        <v>61</v>
      </c>
      <c r="CD74" s="0" t="n">
        <f aca="false">IF(Presupuesto!$B$62='Flujo de Pagos'!$E74,62,9999)</f>
        <v>62</v>
      </c>
      <c r="CE74" s="0" t="n">
        <f aca="false">IF(Presupuesto!$B$63='Flujo de Pagos'!$E74,63,9999)</f>
        <v>63</v>
      </c>
      <c r="CF74" s="0" t="n">
        <f aca="false">IF(Presupuesto!$B$64='Flujo de Pagos'!$E74,64,9999)</f>
        <v>64</v>
      </c>
      <c r="CG74" s="0" t="n">
        <f aca="false">IF(Presupuesto!$B$65='Flujo de Pagos'!$E74,65,9999)</f>
        <v>65</v>
      </c>
      <c r="CH74" s="0" t="n">
        <f aca="false">IF(Presupuesto!$B$66='Flujo de Pagos'!$E74,66,9999)</f>
        <v>66</v>
      </c>
    </row>
    <row r="75" customFormat="false" ht="15" hidden="false" customHeight="true" outlineLevel="0" collapsed="false">
      <c r="B75" s="1" t="n">
        <f aca="false">IF(AND('Flujo de Pagos'!E80=Carátula!$B$2,'Flujo de Pagos'!F80=Carátula!$B$4,'Flujo de Pagos'!H80&lt;&gt;""),80,99999)</f>
        <v>99999</v>
      </c>
      <c r="H75" s="1" t="n">
        <f aca="false">IF(SMALL($AA75:$CH75,1)&gt;=9999,"",INDEX(Presupuesto!$C:$C,SMALL($AA75:$CH75,1)))</f>
        <v>0</v>
      </c>
      <c r="I75" s="1" t="n">
        <f aca="false">IF(SMALL($AA75:$CH75,2)&gt;=9999,"",INDEX(Presupuesto!$C:$C,SMALL($AA75:$CH75,2)))</f>
        <v>0</v>
      </c>
      <c r="J75" s="1" t="n">
        <f aca="false">IF(SMALL($AA75:$CH75,3)&gt;=9999,"",INDEX(Presupuesto!$C:$C,SMALL($AA75:$CH75,3)))</f>
        <v>0</v>
      </c>
      <c r="K75" s="1" t="n">
        <f aca="false">IF(SMALL($AA75:$CH75,4)&gt;=9999,"",INDEX(Presupuesto!$C:$C,SMALL($AA75:$CH75,4)))</f>
        <v>0</v>
      </c>
      <c r="L75" s="1" t="n">
        <f aca="false">IF(SMALL($AA75:$CH75,5)&gt;=9999,"",INDEX(Presupuesto!$C:$C,SMALL($AA75:$CH75,5)))</f>
        <v>0</v>
      </c>
      <c r="M75" s="1" t="n">
        <f aca="false">IF(SMALL($AA75:$CH75,6)&gt;=9999,"",INDEX(Presupuesto!$C:$C,SMALL($AA75:$CH75,6)))</f>
        <v>0</v>
      </c>
      <c r="N75" s="1" t="n">
        <f aca="false">IF(SMALL($AA75:$CH75,7)&gt;=9999,"",INDEX(Presupuesto!$C:$C,SMALL($AA75:$CH75,7)))</f>
        <v>0</v>
      </c>
      <c r="O75" s="1" t="n">
        <f aca="false">IF(SMALL($AA75:$CH75,8)&gt;=9999,"",INDEX(Presupuesto!$C:$C,SMALL($AA75:$CH75,8)))</f>
        <v>0</v>
      </c>
      <c r="P75" s="1" t="n">
        <f aca="false">IF(SMALL($AA75:$CH75,9)&gt;=9999,"",INDEX(Presupuesto!$C:$C,SMALL($AA75:$CH75,9)))</f>
        <v>0</v>
      </c>
      <c r="Q75" s="1" t="n">
        <f aca="false">IF(SMALL($AA75:$CH75,10)&gt;=9999,"",INDEX(Presupuesto!$C:$C,SMALL($AA75:$CH75,10)))</f>
        <v>0</v>
      </c>
      <c r="AA75" s="0" t="n">
        <f aca="false">IF(Presupuesto!$B$7='Flujo de Pagos'!$E75,7,9999)</f>
        <v>9999</v>
      </c>
      <c r="AB75" s="0" t="n">
        <f aca="false">IF(Presupuesto!$B$8='Flujo de Pagos'!$E75,8,9999)</f>
        <v>9999</v>
      </c>
      <c r="AC75" s="0" t="n">
        <f aca="false">IF(Presupuesto!$B$9='Flujo de Pagos'!$E75,9,9999)</f>
        <v>9999</v>
      </c>
      <c r="AD75" s="0" t="n">
        <f aca="false">IF(Presupuesto!$B$10='Flujo de Pagos'!$E75,10,9999)</f>
        <v>9999</v>
      </c>
      <c r="AE75" s="0" t="n">
        <f aca="false">IF(Presupuesto!$B$11='Flujo de Pagos'!$E75,11,9999)</f>
        <v>9999</v>
      </c>
      <c r="AF75" s="0" t="n">
        <f aca="false">IF(Presupuesto!$B$12='Flujo de Pagos'!$E75,12,9999)</f>
        <v>12</v>
      </c>
      <c r="AG75" s="0" t="n">
        <f aca="false">IF(Presupuesto!$B$13='Flujo de Pagos'!$E75,13,9999)</f>
        <v>13</v>
      </c>
      <c r="AH75" s="0" t="n">
        <f aca="false">IF(Presupuesto!$B$14='Flujo de Pagos'!$E75,14,9999)</f>
        <v>14</v>
      </c>
      <c r="AI75" s="0" t="n">
        <f aca="false">IF(Presupuesto!$B$15='Flujo de Pagos'!$E75,15,9999)</f>
        <v>15</v>
      </c>
      <c r="AJ75" s="0" t="n">
        <f aca="false">IF(Presupuesto!$B$16='Flujo de Pagos'!$E75,16,9999)</f>
        <v>16</v>
      </c>
      <c r="AK75" s="0" t="n">
        <f aca="false">IF(Presupuesto!$B$17='Flujo de Pagos'!$E75,17,9999)</f>
        <v>17</v>
      </c>
      <c r="AL75" s="0" t="n">
        <f aca="false">IF(Presupuesto!$B$18='Flujo de Pagos'!$E75,18,9999)</f>
        <v>18</v>
      </c>
      <c r="AM75" s="0" t="n">
        <f aca="false">IF(Presupuesto!$B$19='Flujo de Pagos'!$E75,19,9999)</f>
        <v>19</v>
      </c>
      <c r="AN75" s="0" t="n">
        <f aca="false">IF(Presupuesto!$B$20='Flujo de Pagos'!$E75,20,9999)</f>
        <v>20</v>
      </c>
      <c r="AO75" s="0" t="n">
        <f aca="false">IF(Presupuesto!$B$21='Flujo de Pagos'!$E75,21,9999)</f>
        <v>21</v>
      </c>
      <c r="AP75" s="0" t="n">
        <f aca="false">IF(Presupuesto!$B$22='Flujo de Pagos'!$E75,22,9999)</f>
        <v>22</v>
      </c>
      <c r="AQ75" s="0" t="n">
        <f aca="false">IF(Presupuesto!$B$23='Flujo de Pagos'!$E75,23,9999)</f>
        <v>23</v>
      </c>
      <c r="AR75" s="0" t="n">
        <f aca="false">IF(Presupuesto!$B$24='Flujo de Pagos'!$E75,24,9999)</f>
        <v>24</v>
      </c>
      <c r="AS75" s="0" t="n">
        <f aca="false">IF(Presupuesto!$B$25='Flujo de Pagos'!$E75,25,9999)</f>
        <v>25</v>
      </c>
      <c r="AT75" s="0" t="n">
        <f aca="false">IF(Presupuesto!$B$26='Flujo de Pagos'!$E75,26,9999)</f>
        <v>26</v>
      </c>
      <c r="AU75" s="0" t="n">
        <f aca="false">IF(Presupuesto!$B$27='Flujo de Pagos'!$E75,27,9999)</f>
        <v>27</v>
      </c>
      <c r="AV75" s="0" t="n">
        <f aca="false">IF(Presupuesto!$B$28='Flujo de Pagos'!$E75,28,9999)</f>
        <v>28</v>
      </c>
      <c r="AW75" s="0" t="n">
        <f aca="false">IF(Presupuesto!$B$29='Flujo de Pagos'!$E75,29,9999)</f>
        <v>29</v>
      </c>
      <c r="AX75" s="0" t="n">
        <f aca="false">IF(Presupuesto!$B$30='Flujo de Pagos'!$E75,30,9999)</f>
        <v>30</v>
      </c>
      <c r="AY75" s="0" t="n">
        <f aca="false">IF(Presupuesto!$B$31='Flujo de Pagos'!$E75,31,9999)</f>
        <v>31</v>
      </c>
      <c r="AZ75" s="0" t="n">
        <f aca="false">IF(Presupuesto!$B$32='Flujo de Pagos'!$E75,32,9999)</f>
        <v>32</v>
      </c>
      <c r="BA75" s="0" t="n">
        <f aca="false">IF(Presupuesto!$B$33='Flujo de Pagos'!$E75,33,9999)</f>
        <v>33</v>
      </c>
      <c r="BB75" s="0" t="n">
        <f aca="false">IF(Presupuesto!$B$34='Flujo de Pagos'!$E75,34,9999)</f>
        <v>34</v>
      </c>
      <c r="BC75" s="0" t="n">
        <f aca="false">IF(Presupuesto!$B$35='Flujo de Pagos'!$E75,35,9999)</f>
        <v>35</v>
      </c>
      <c r="BD75" s="0" t="n">
        <f aca="false">IF(Presupuesto!$B$36='Flujo de Pagos'!$E75,36,9999)</f>
        <v>36</v>
      </c>
      <c r="BE75" s="0" t="n">
        <f aca="false">IF(Presupuesto!$B$37='Flujo de Pagos'!$E75,37,9999)</f>
        <v>37</v>
      </c>
      <c r="BF75" s="0" t="n">
        <f aca="false">IF(Presupuesto!$B$38='Flujo de Pagos'!$E75,38,9999)</f>
        <v>38</v>
      </c>
      <c r="BG75" s="0" t="n">
        <f aca="false">IF(Presupuesto!$B$39='Flujo de Pagos'!$E75,39,9999)</f>
        <v>39</v>
      </c>
      <c r="BH75" s="0" t="n">
        <f aca="false">IF(Presupuesto!$B$40='Flujo de Pagos'!$E75,40,9999)</f>
        <v>40</v>
      </c>
      <c r="BI75" s="0" t="n">
        <f aca="false">IF(Presupuesto!$B$41='Flujo de Pagos'!$E75,41,9999)</f>
        <v>41</v>
      </c>
      <c r="BJ75" s="0" t="n">
        <f aca="false">IF(Presupuesto!$B$42='Flujo de Pagos'!$E75,42,9999)</f>
        <v>42</v>
      </c>
      <c r="BK75" s="0" t="n">
        <f aca="false">IF(Presupuesto!$B$43='Flujo de Pagos'!$E75,43,9999)</f>
        <v>43</v>
      </c>
      <c r="BL75" s="0" t="n">
        <f aca="false">IF(Presupuesto!$B$44='Flujo de Pagos'!$E75,44,9999)</f>
        <v>44</v>
      </c>
      <c r="BM75" s="0" t="n">
        <f aca="false">IF(Presupuesto!$B$45='Flujo de Pagos'!$E75,45,9999)</f>
        <v>45</v>
      </c>
      <c r="BN75" s="0" t="n">
        <f aca="false">IF(Presupuesto!$B$46='Flujo de Pagos'!$E75,46,9999)</f>
        <v>46</v>
      </c>
      <c r="BO75" s="0" t="n">
        <f aca="false">IF(Presupuesto!$B$47='Flujo de Pagos'!$E75,47,9999)</f>
        <v>47</v>
      </c>
      <c r="BP75" s="0" t="n">
        <f aca="false">IF(Presupuesto!$B$48='Flujo de Pagos'!$E75,48,9999)</f>
        <v>48</v>
      </c>
      <c r="BQ75" s="0" t="n">
        <f aca="false">IF(Presupuesto!$B$49='Flujo de Pagos'!$E75,49,9999)</f>
        <v>49</v>
      </c>
      <c r="BR75" s="0" t="n">
        <f aca="false">IF(Presupuesto!$B$50='Flujo de Pagos'!$E75,50,9999)</f>
        <v>50</v>
      </c>
      <c r="BS75" s="0" t="n">
        <f aca="false">IF(Presupuesto!$B$51='Flujo de Pagos'!$E75,51,9999)</f>
        <v>51</v>
      </c>
      <c r="BT75" s="0" t="n">
        <f aca="false">IF(Presupuesto!$B$52='Flujo de Pagos'!$E75,52,9999)</f>
        <v>52</v>
      </c>
      <c r="BU75" s="0" t="n">
        <f aca="false">IF(Presupuesto!$B$53='Flujo de Pagos'!$E75,53,9999)</f>
        <v>53</v>
      </c>
      <c r="BV75" s="0" t="n">
        <f aca="false">IF(Presupuesto!$B$54='Flujo de Pagos'!$E75,54,9999)</f>
        <v>54</v>
      </c>
      <c r="BW75" s="0" t="n">
        <f aca="false">IF(Presupuesto!$B$55='Flujo de Pagos'!$E75,55,9999)</f>
        <v>55</v>
      </c>
      <c r="BX75" s="0" t="n">
        <f aca="false">IF(Presupuesto!$B$56='Flujo de Pagos'!$E75,56,9999)</f>
        <v>56</v>
      </c>
      <c r="BY75" s="0" t="n">
        <f aca="false">IF(Presupuesto!$B$57='Flujo de Pagos'!$E75,57,9999)</f>
        <v>57</v>
      </c>
      <c r="BZ75" s="0" t="n">
        <f aca="false">IF(Presupuesto!$B$58='Flujo de Pagos'!$E75,58,9999)</f>
        <v>58</v>
      </c>
      <c r="CA75" s="0" t="n">
        <f aca="false">IF(Presupuesto!$B$59='Flujo de Pagos'!$E75,59,9999)</f>
        <v>59</v>
      </c>
      <c r="CB75" s="0" t="n">
        <f aca="false">IF(Presupuesto!$B$60='Flujo de Pagos'!$E75,60,9999)</f>
        <v>60</v>
      </c>
      <c r="CC75" s="0" t="n">
        <f aca="false">IF(Presupuesto!$B$61='Flujo de Pagos'!$E75,61,9999)</f>
        <v>61</v>
      </c>
      <c r="CD75" s="0" t="n">
        <f aca="false">IF(Presupuesto!$B$62='Flujo de Pagos'!$E75,62,9999)</f>
        <v>62</v>
      </c>
      <c r="CE75" s="0" t="n">
        <f aca="false">IF(Presupuesto!$B$63='Flujo de Pagos'!$E75,63,9999)</f>
        <v>63</v>
      </c>
      <c r="CF75" s="0" t="n">
        <f aca="false">IF(Presupuesto!$B$64='Flujo de Pagos'!$E75,64,9999)</f>
        <v>64</v>
      </c>
      <c r="CG75" s="0" t="n">
        <f aca="false">IF(Presupuesto!$B$65='Flujo de Pagos'!$E75,65,9999)</f>
        <v>65</v>
      </c>
      <c r="CH75" s="0" t="n">
        <f aca="false">IF(Presupuesto!$B$66='Flujo de Pagos'!$E75,66,9999)</f>
        <v>66</v>
      </c>
    </row>
    <row r="76" customFormat="false" ht="15" hidden="false" customHeight="true" outlineLevel="0" collapsed="false">
      <c r="B76" s="1" t="n">
        <f aca="false">IF(AND('Flujo de Pagos'!E81=Carátula!$B$2,'Flujo de Pagos'!F81=Carátula!$B$4,'Flujo de Pagos'!H81&lt;&gt;""),81,99999)</f>
        <v>99999</v>
      </c>
      <c r="H76" s="1" t="n">
        <f aca="false">IF(SMALL($AA76:$CH76,1)&gt;=9999,"",INDEX(Presupuesto!$C:$C,SMALL($AA76:$CH76,1)))</f>
        <v>0</v>
      </c>
      <c r="I76" s="1" t="n">
        <f aca="false">IF(SMALL($AA76:$CH76,2)&gt;=9999,"",INDEX(Presupuesto!$C:$C,SMALL($AA76:$CH76,2)))</f>
        <v>0</v>
      </c>
      <c r="J76" s="1" t="n">
        <f aca="false">IF(SMALL($AA76:$CH76,3)&gt;=9999,"",INDEX(Presupuesto!$C:$C,SMALL($AA76:$CH76,3)))</f>
        <v>0</v>
      </c>
      <c r="K76" s="1" t="n">
        <f aca="false">IF(SMALL($AA76:$CH76,4)&gt;=9999,"",INDEX(Presupuesto!$C:$C,SMALL($AA76:$CH76,4)))</f>
        <v>0</v>
      </c>
      <c r="L76" s="1" t="n">
        <f aca="false">IF(SMALL($AA76:$CH76,5)&gt;=9999,"",INDEX(Presupuesto!$C:$C,SMALL($AA76:$CH76,5)))</f>
        <v>0</v>
      </c>
      <c r="M76" s="1" t="n">
        <f aca="false">IF(SMALL($AA76:$CH76,6)&gt;=9999,"",INDEX(Presupuesto!$C:$C,SMALL($AA76:$CH76,6)))</f>
        <v>0</v>
      </c>
      <c r="N76" s="1" t="n">
        <f aca="false">IF(SMALL($AA76:$CH76,7)&gt;=9999,"",INDEX(Presupuesto!$C:$C,SMALL($AA76:$CH76,7)))</f>
        <v>0</v>
      </c>
      <c r="O76" s="1" t="n">
        <f aca="false">IF(SMALL($AA76:$CH76,8)&gt;=9999,"",INDEX(Presupuesto!$C:$C,SMALL($AA76:$CH76,8)))</f>
        <v>0</v>
      </c>
      <c r="P76" s="1" t="n">
        <f aca="false">IF(SMALL($AA76:$CH76,9)&gt;=9999,"",INDEX(Presupuesto!$C:$C,SMALL($AA76:$CH76,9)))</f>
        <v>0</v>
      </c>
      <c r="Q76" s="1" t="n">
        <f aca="false">IF(SMALL($AA76:$CH76,10)&gt;=9999,"",INDEX(Presupuesto!$C:$C,SMALL($AA76:$CH76,10)))</f>
        <v>0</v>
      </c>
      <c r="AA76" s="0" t="n">
        <f aca="false">IF(Presupuesto!$B$7='Flujo de Pagos'!$E76,7,9999)</f>
        <v>9999</v>
      </c>
      <c r="AB76" s="0" t="n">
        <f aca="false">IF(Presupuesto!$B$8='Flujo de Pagos'!$E76,8,9999)</f>
        <v>9999</v>
      </c>
      <c r="AC76" s="0" t="n">
        <f aca="false">IF(Presupuesto!$B$9='Flujo de Pagos'!$E76,9,9999)</f>
        <v>9999</v>
      </c>
      <c r="AD76" s="0" t="n">
        <f aca="false">IF(Presupuesto!$B$10='Flujo de Pagos'!$E76,10,9999)</f>
        <v>9999</v>
      </c>
      <c r="AE76" s="0" t="n">
        <f aca="false">IF(Presupuesto!$B$11='Flujo de Pagos'!$E76,11,9999)</f>
        <v>9999</v>
      </c>
      <c r="AF76" s="0" t="n">
        <f aca="false">IF(Presupuesto!$B$12='Flujo de Pagos'!$E76,12,9999)</f>
        <v>12</v>
      </c>
      <c r="AG76" s="0" t="n">
        <f aca="false">IF(Presupuesto!$B$13='Flujo de Pagos'!$E76,13,9999)</f>
        <v>13</v>
      </c>
      <c r="AH76" s="0" t="n">
        <f aca="false">IF(Presupuesto!$B$14='Flujo de Pagos'!$E76,14,9999)</f>
        <v>14</v>
      </c>
      <c r="AI76" s="0" t="n">
        <f aca="false">IF(Presupuesto!$B$15='Flujo de Pagos'!$E76,15,9999)</f>
        <v>15</v>
      </c>
      <c r="AJ76" s="0" t="n">
        <f aca="false">IF(Presupuesto!$B$16='Flujo de Pagos'!$E76,16,9999)</f>
        <v>16</v>
      </c>
      <c r="AK76" s="0" t="n">
        <f aca="false">IF(Presupuesto!$B$17='Flujo de Pagos'!$E76,17,9999)</f>
        <v>17</v>
      </c>
      <c r="AL76" s="0" t="n">
        <f aca="false">IF(Presupuesto!$B$18='Flujo de Pagos'!$E76,18,9999)</f>
        <v>18</v>
      </c>
      <c r="AM76" s="0" t="n">
        <f aca="false">IF(Presupuesto!$B$19='Flujo de Pagos'!$E76,19,9999)</f>
        <v>19</v>
      </c>
      <c r="AN76" s="0" t="n">
        <f aca="false">IF(Presupuesto!$B$20='Flujo de Pagos'!$E76,20,9999)</f>
        <v>20</v>
      </c>
      <c r="AO76" s="0" t="n">
        <f aca="false">IF(Presupuesto!$B$21='Flujo de Pagos'!$E76,21,9999)</f>
        <v>21</v>
      </c>
      <c r="AP76" s="0" t="n">
        <f aca="false">IF(Presupuesto!$B$22='Flujo de Pagos'!$E76,22,9999)</f>
        <v>22</v>
      </c>
      <c r="AQ76" s="0" t="n">
        <f aca="false">IF(Presupuesto!$B$23='Flujo de Pagos'!$E76,23,9999)</f>
        <v>23</v>
      </c>
      <c r="AR76" s="0" t="n">
        <f aca="false">IF(Presupuesto!$B$24='Flujo de Pagos'!$E76,24,9999)</f>
        <v>24</v>
      </c>
      <c r="AS76" s="0" t="n">
        <f aca="false">IF(Presupuesto!$B$25='Flujo de Pagos'!$E76,25,9999)</f>
        <v>25</v>
      </c>
      <c r="AT76" s="0" t="n">
        <f aca="false">IF(Presupuesto!$B$26='Flujo de Pagos'!$E76,26,9999)</f>
        <v>26</v>
      </c>
      <c r="AU76" s="0" t="n">
        <f aca="false">IF(Presupuesto!$B$27='Flujo de Pagos'!$E76,27,9999)</f>
        <v>27</v>
      </c>
      <c r="AV76" s="0" t="n">
        <f aca="false">IF(Presupuesto!$B$28='Flujo de Pagos'!$E76,28,9999)</f>
        <v>28</v>
      </c>
      <c r="AW76" s="0" t="n">
        <f aca="false">IF(Presupuesto!$B$29='Flujo de Pagos'!$E76,29,9999)</f>
        <v>29</v>
      </c>
      <c r="AX76" s="0" t="n">
        <f aca="false">IF(Presupuesto!$B$30='Flujo de Pagos'!$E76,30,9999)</f>
        <v>30</v>
      </c>
      <c r="AY76" s="0" t="n">
        <f aca="false">IF(Presupuesto!$B$31='Flujo de Pagos'!$E76,31,9999)</f>
        <v>31</v>
      </c>
      <c r="AZ76" s="0" t="n">
        <f aca="false">IF(Presupuesto!$B$32='Flujo de Pagos'!$E76,32,9999)</f>
        <v>32</v>
      </c>
      <c r="BA76" s="0" t="n">
        <f aca="false">IF(Presupuesto!$B$33='Flujo de Pagos'!$E76,33,9999)</f>
        <v>33</v>
      </c>
      <c r="BB76" s="0" t="n">
        <f aca="false">IF(Presupuesto!$B$34='Flujo de Pagos'!$E76,34,9999)</f>
        <v>34</v>
      </c>
      <c r="BC76" s="0" t="n">
        <f aca="false">IF(Presupuesto!$B$35='Flujo de Pagos'!$E76,35,9999)</f>
        <v>35</v>
      </c>
      <c r="BD76" s="0" t="n">
        <f aca="false">IF(Presupuesto!$B$36='Flujo de Pagos'!$E76,36,9999)</f>
        <v>36</v>
      </c>
      <c r="BE76" s="0" t="n">
        <f aca="false">IF(Presupuesto!$B$37='Flujo de Pagos'!$E76,37,9999)</f>
        <v>37</v>
      </c>
      <c r="BF76" s="0" t="n">
        <f aca="false">IF(Presupuesto!$B$38='Flujo de Pagos'!$E76,38,9999)</f>
        <v>38</v>
      </c>
      <c r="BG76" s="0" t="n">
        <f aca="false">IF(Presupuesto!$B$39='Flujo de Pagos'!$E76,39,9999)</f>
        <v>39</v>
      </c>
      <c r="BH76" s="0" t="n">
        <f aca="false">IF(Presupuesto!$B$40='Flujo de Pagos'!$E76,40,9999)</f>
        <v>40</v>
      </c>
      <c r="BI76" s="0" t="n">
        <f aca="false">IF(Presupuesto!$B$41='Flujo de Pagos'!$E76,41,9999)</f>
        <v>41</v>
      </c>
      <c r="BJ76" s="0" t="n">
        <f aca="false">IF(Presupuesto!$B$42='Flujo de Pagos'!$E76,42,9999)</f>
        <v>42</v>
      </c>
      <c r="BK76" s="0" t="n">
        <f aca="false">IF(Presupuesto!$B$43='Flujo de Pagos'!$E76,43,9999)</f>
        <v>43</v>
      </c>
      <c r="BL76" s="0" t="n">
        <f aca="false">IF(Presupuesto!$B$44='Flujo de Pagos'!$E76,44,9999)</f>
        <v>44</v>
      </c>
      <c r="BM76" s="0" t="n">
        <f aca="false">IF(Presupuesto!$B$45='Flujo de Pagos'!$E76,45,9999)</f>
        <v>45</v>
      </c>
      <c r="BN76" s="0" t="n">
        <f aca="false">IF(Presupuesto!$B$46='Flujo de Pagos'!$E76,46,9999)</f>
        <v>46</v>
      </c>
      <c r="BO76" s="0" t="n">
        <f aca="false">IF(Presupuesto!$B$47='Flujo de Pagos'!$E76,47,9999)</f>
        <v>47</v>
      </c>
      <c r="BP76" s="0" t="n">
        <f aca="false">IF(Presupuesto!$B$48='Flujo de Pagos'!$E76,48,9999)</f>
        <v>48</v>
      </c>
      <c r="BQ76" s="0" t="n">
        <f aca="false">IF(Presupuesto!$B$49='Flujo de Pagos'!$E76,49,9999)</f>
        <v>49</v>
      </c>
      <c r="BR76" s="0" t="n">
        <f aca="false">IF(Presupuesto!$B$50='Flujo de Pagos'!$E76,50,9999)</f>
        <v>50</v>
      </c>
      <c r="BS76" s="0" t="n">
        <f aca="false">IF(Presupuesto!$B$51='Flujo de Pagos'!$E76,51,9999)</f>
        <v>51</v>
      </c>
      <c r="BT76" s="0" t="n">
        <f aca="false">IF(Presupuesto!$B$52='Flujo de Pagos'!$E76,52,9999)</f>
        <v>52</v>
      </c>
      <c r="BU76" s="0" t="n">
        <f aca="false">IF(Presupuesto!$B$53='Flujo de Pagos'!$E76,53,9999)</f>
        <v>53</v>
      </c>
      <c r="BV76" s="0" t="n">
        <f aca="false">IF(Presupuesto!$B$54='Flujo de Pagos'!$E76,54,9999)</f>
        <v>54</v>
      </c>
      <c r="BW76" s="0" t="n">
        <f aca="false">IF(Presupuesto!$B$55='Flujo de Pagos'!$E76,55,9999)</f>
        <v>55</v>
      </c>
      <c r="BX76" s="0" t="n">
        <f aca="false">IF(Presupuesto!$B$56='Flujo de Pagos'!$E76,56,9999)</f>
        <v>56</v>
      </c>
      <c r="BY76" s="0" t="n">
        <f aca="false">IF(Presupuesto!$B$57='Flujo de Pagos'!$E76,57,9999)</f>
        <v>57</v>
      </c>
      <c r="BZ76" s="0" t="n">
        <f aca="false">IF(Presupuesto!$B$58='Flujo de Pagos'!$E76,58,9999)</f>
        <v>58</v>
      </c>
      <c r="CA76" s="0" t="n">
        <f aca="false">IF(Presupuesto!$B$59='Flujo de Pagos'!$E76,59,9999)</f>
        <v>59</v>
      </c>
      <c r="CB76" s="0" t="n">
        <f aca="false">IF(Presupuesto!$B$60='Flujo de Pagos'!$E76,60,9999)</f>
        <v>60</v>
      </c>
      <c r="CC76" s="0" t="n">
        <f aca="false">IF(Presupuesto!$B$61='Flujo de Pagos'!$E76,61,9999)</f>
        <v>61</v>
      </c>
      <c r="CD76" s="0" t="n">
        <f aca="false">IF(Presupuesto!$B$62='Flujo de Pagos'!$E76,62,9999)</f>
        <v>62</v>
      </c>
      <c r="CE76" s="0" t="n">
        <f aca="false">IF(Presupuesto!$B$63='Flujo de Pagos'!$E76,63,9999)</f>
        <v>63</v>
      </c>
      <c r="CF76" s="0" t="n">
        <f aca="false">IF(Presupuesto!$B$64='Flujo de Pagos'!$E76,64,9999)</f>
        <v>64</v>
      </c>
      <c r="CG76" s="0" t="n">
        <f aca="false">IF(Presupuesto!$B$65='Flujo de Pagos'!$E76,65,9999)</f>
        <v>65</v>
      </c>
      <c r="CH76" s="0" t="n">
        <f aca="false">IF(Presupuesto!$B$66='Flujo de Pagos'!$E76,66,9999)</f>
        <v>66</v>
      </c>
    </row>
    <row r="77" customFormat="false" ht="15" hidden="false" customHeight="true" outlineLevel="0" collapsed="false">
      <c r="B77" s="1" t="n">
        <f aca="false">IF(AND('Flujo de Pagos'!E82=Carátula!$B$2,'Flujo de Pagos'!F82=Carátula!$B$4,'Flujo de Pagos'!H82&lt;&gt;""),82,99999)</f>
        <v>99999</v>
      </c>
      <c r="H77" s="1" t="n">
        <f aca="false">IF(SMALL($AA77:$CH77,1)&gt;=9999,"",INDEX(Presupuesto!$C:$C,SMALL($AA77:$CH77,1)))</f>
        <v>0</v>
      </c>
      <c r="I77" s="1" t="n">
        <f aca="false">IF(SMALL($AA77:$CH77,2)&gt;=9999,"",INDEX(Presupuesto!$C:$C,SMALL($AA77:$CH77,2)))</f>
        <v>0</v>
      </c>
      <c r="J77" s="1" t="n">
        <f aca="false">IF(SMALL($AA77:$CH77,3)&gt;=9999,"",INDEX(Presupuesto!$C:$C,SMALL($AA77:$CH77,3)))</f>
        <v>0</v>
      </c>
      <c r="K77" s="1" t="n">
        <f aca="false">IF(SMALL($AA77:$CH77,4)&gt;=9999,"",INDEX(Presupuesto!$C:$C,SMALL($AA77:$CH77,4)))</f>
        <v>0</v>
      </c>
      <c r="L77" s="1" t="n">
        <f aca="false">IF(SMALL($AA77:$CH77,5)&gt;=9999,"",INDEX(Presupuesto!$C:$C,SMALL($AA77:$CH77,5)))</f>
        <v>0</v>
      </c>
      <c r="M77" s="1" t="n">
        <f aca="false">IF(SMALL($AA77:$CH77,6)&gt;=9999,"",INDEX(Presupuesto!$C:$C,SMALL($AA77:$CH77,6)))</f>
        <v>0</v>
      </c>
      <c r="N77" s="1" t="n">
        <f aca="false">IF(SMALL($AA77:$CH77,7)&gt;=9999,"",INDEX(Presupuesto!$C:$C,SMALL($AA77:$CH77,7)))</f>
        <v>0</v>
      </c>
      <c r="O77" s="1" t="n">
        <f aca="false">IF(SMALL($AA77:$CH77,8)&gt;=9999,"",INDEX(Presupuesto!$C:$C,SMALL($AA77:$CH77,8)))</f>
        <v>0</v>
      </c>
      <c r="P77" s="1" t="n">
        <f aca="false">IF(SMALL($AA77:$CH77,9)&gt;=9999,"",INDEX(Presupuesto!$C:$C,SMALL($AA77:$CH77,9)))</f>
        <v>0</v>
      </c>
      <c r="Q77" s="1" t="n">
        <f aca="false">IF(SMALL($AA77:$CH77,10)&gt;=9999,"",INDEX(Presupuesto!$C:$C,SMALL($AA77:$CH77,10)))</f>
        <v>0</v>
      </c>
      <c r="AA77" s="0" t="n">
        <f aca="false">IF(Presupuesto!$B$7='Flujo de Pagos'!$E77,7,9999)</f>
        <v>9999</v>
      </c>
      <c r="AB77" s="0" t="n">
        <f aca="false">IF(Presupuesto!$B$8='Flujo de Pagos'!$E77,8,9999)</f>
        <v>9999</v>
      </c>
      <c r="AC77" s="0" t="n">
        <f aca="false">IF(Presupuesto!$B$9='Flujo de Pagos'!$E77,9,9999)</f>
        <v>9999</v>
      </c>
      <c r="AD77" s="0" t="n">
        <f aca="false">IF(Presupuesto!$B$10='Flujo de Pagos'!$E77,10,9999)</f>
        <v>9999</v>
      </c>
      <c r="AE77" s="0" t="n">
        <f aca="false">IF(Presupuesto!$B$11='Flujo de Pagos'!$E77,11,9999)</f>
        <v>9999</v>
      </c>
      <c r="AF77" s="0" t="n">
        <f aca="false">IF(Presupuesto!$B$12='Flujo de Pagos'!$E77,12,9999)</f>
        <v>12</v>
      </c>
      <c r="AG77" s="0" t="n">
        <f aca="false">IF(Presupuesto!$B$13='Flujo de Pagos'!$E77,13,9999)</f>
        <v>13</v>
      </c>
      <c r="AH77" s="0" t="n">
        <f aca="false">IF(Presupuesto!$B$14='Flujo de Pagos'!$E77,14,9999)</f>
        <v>14</v>
      </c>
      <c r="AI77" s="0" t="n">
        <f aca="false">IF(Presupuesto!$B$15='Flujo de Pagos'!$E77,15,9999)</f>
        <v>15</v>
      </c>
      <c r="AJ77" s="0" t="n">
        <f aca="false">IF(Presupuesto!$B$16='Flujo de Pagos'!$E77,16,9999)</f>
        <v>16</v>
      </c>
      <c r="AK77" s="0" t="n">
        <f aca="false">IF(Presupuesto!$B$17='Flujo de Pagos'!$E77,17,9999)</f>
        <v>17</v>
      </c>
      <c r="AL77" s="0" t="n">
        <f aca="false">IF(Presupuesto!$B$18='Flujo de Pagos'!$E77,18,9999)</f>
        <v>18</v>
      </c>
      <c r="AM77" s="0" t="n">
        <f aca="false">IF(Presupuesto!$B$19='Flujo de Pagos'!$E77,19,9999)</f>
        <v>19</v>
      </c>
      <c r="AN77" s="0" t="n">
        <f aca="false">IF(Presupuesto!$B$20='Flujo de Pagos'!$E77,20,9999)</f>
        <v>20</v>
      </c>
      <c r="AO77" s="0" t="n">
        <f aca="false">IF(Presupuesto!$B$21='Flujo de Pagos'!$E77,21,9999)</f>
        <v>21</v>
      </c>
      <c r="AP77" s="0" t="n">
        <f aca="false">IF(Presupuesto!$B$22='Flujo de Pagos'!$E77,22,9999)</f>
        <v>22</v>
      </c>
      <c r="AQ77" s="0" t="n">
        <f aca="false">IF(Presupuesto!$B$23='Flujo de Pagos'!$E77,23,9999)</f>
        <v>23</v>
      </c>
      <c r="AR77" s="0" t="n">
        <f aca="false">IF(Presupuesto!$B$24='Flujo de Pagos'!$E77,24,9999)</f>
        <v>24</v>
      </c>
      <c r="AS77" s="0" t="n">
        <f aca="false">IF(Presupuesto!$B$25='Flujo de Pagos'!$E77,25,9999)</f>
        <v>25</v>
      </c>
      <c r="AT77" s="0" t="n">
        <f aca="false">IF(Presupuesto!$B$26='Flujo de Pagos'!$E77,26,9999)</f>
        <v>26</v>
      </c>
      <c r="AU77" s="0" t="n">
        <f aca="false">IF(Presupuesto!$B$27='Flujo de Pagos'!$E77,27,9999)</f>
        <v>27</v>
      </c>
      <c r="AV77" s="0" t="n">
        <f aca="false">IF(Presupuesto!$B$28='Flujo de Pagos'!$E77,28,9999)</f>
        <v>28</v>
      </c>
      <c r="AW77" s="0" t="n">
        <f aca="false">IF(Presupuesto!$B$29='Flujo de Pagos'!$E77,29,9999)</f>
        <v>29</v>
      </c>
      <c r="AX77" s="0" t="n">
        <f aca="false">IF(Presupuesto!$B$30='Flujo de Pagos'!$E77,30,9999)</f>
        <v>30</v>
      </c>
      <c r="AY77" s="0" t="n">
        <f aca="false">IF(Presupuesto!$B$31='Flujo de Pagos'!$E77,31,9999)</f>
        <v>31</v>
      </c>
      <c r="AZ77" s="0" t="n">
        <f aca="false">IF(Presupuesto!$B$32='Flujo de Pagos'!$E77,32,9999)</f>
        <v>32</v>
      </c>
      <c r="BA77" s="0" t="n">
        <f aca="false">IF(Presupuesto!$B$33='Flujo de Pagos'!$E77,33,9999)</f>
        <v>33</v>
      </c>
      <c r="BB77" s="0" t="n">
        <f aca="false">IF(Presupuesto!$B$34='Flujo de Pagos'!$E77,34,9999)</f>
        <v>34</v>
      </c>
      <c r="BC77" s="0" t="n">
        <f aca="false">IF(Presupuesto!$B$35='Flujo de Pagos'!$E77,35,9999)</f>
        <v>35</v>
      </c>
      <c r="BD77" s="0" t="n">
        <f aca="false">IF(Presupuesto!$B$36='Flujo de Pagos'!$E77,36,9999)</f>
        <v>36</v>
      </c>
      <c r="BE77" s="0" t="n">
        <f aca="false">IF(Presupuesto!$B$37='Flujo de Pagos'!$E77,37,9999)</f>
        <v>37</v>
      </c>
      <c r="BF77" s="0" t="n">
        <f aca="false">IF(Presupuesto!$B$38='Flujo de Pagos'!$E77,38,9999)</f>
        <v>38</v>
      </c>
      <c r="BG77" s="0" t="n">
        <f aca="false">IF(Presupuesto!$B$39='Flujo de Pagos'!$E77,39,9999)</f>
        <v>39</v>
      </c>
      <c r="BH77" s="0" t="n">
        <f aca="false">IF(Presupuesto!$B$40='Flujo de Pagos'!$E77,40,9999)</f>
        <v>40</v>
      </c>
      <c r="BI77" s="0" t="n">
        <f aca="false">IF(Presupuesto!$B$41='Flujo de Pagos'!$E77,41,9999)</f>
        <v>41</v>
      </c>
      <c r="BJ77" s="0" t="n">
        <f aca="false">IF(Presupuesto!$B$42='Flujo de Pagos'!$E77,42,9999)</f>
        <v>42</v>
      </c>
      <c r="BK77" s="0" t="n">
        <f aca="false">IF(Presupuesto!$B$43='Flujo de Pagos'!$E77,43,9999)</f>
        <v>43</v>
      </c>
      <c r="BL77" s="0" t="n">
        <f aca="false">IF(Presupuesto!$B$44='Flujo de Pagos'!$E77,44,9999)</f>
        <v>44</v>
      </c>
      <c r="BM77" s="0" t="n">
        <f aca="false">IF(Presupuesto!$B$45='Flujo de Pagos'!$E77,45,9999)</f>
        <v>45</v>
      </c>
      <c r="BN77" s="0" t="n">
        <f aca="false">IF(Presupuesto!$B$46='Flujo de Pagos'!$E77,46,9999)</f>
        <v>46</v>
      </c>
      <c r="BO77" s="0" t="n">
        <f aca="false">IF(Presupuesto!$B$47='Flujo de Pagos'!$E77,47,9999)</f>
        <v>47</v>
      </c>
      <c r="BP77" s="0" t="n">
        <f aca="false">IF(Presupuesto!$B$48='Flujo de Pagos'!$E77,48,9999)</f>
        <v>48</v>
      </c>
      <c r="BQ77" s="0" t="n">
        <f aca="false">IF(Presupuesto!$B$49='Flujo de Pagos'!$E77,49,9999)</f>
        <v>49</v>
      </c>
      <c r="BR77" s="0" t="n">
        <f aca="false">IF(Presupuesto!$B$50='Flujo de Pagos'!$E77,50,9999)</f>
        <v>50</v>
      </c>
      <c r="BS77" s="0" t="n">
        <f aca="false">IF(Presupuesto!$B$51='Flujo de Pagos'!$E77,51,9999)</f>
        <v>51</v>
      </c>
      <c r="BT77" s="0" t="n">
        <f aca="false">IF(Presupuesto!$B$52='Flujo de Pagos'!$E77,52,9999)</f>
        <v>52</v>
      </c>
      <c r="BU77" s="0" t="n">
        <f aca="false">IF(Presupuesto!$B$53='Flujo de Pagos'!$E77,53,9999)</f>
        <v>53</v>
      </c>
      <c r="BV77" s="0" t="n">
        <f aca="false">IF(Presupuesto!$B$54='Flujo de Pagos'!$E77,54,9999)</f>
        <v>54</v>
      </c>
      <c r="BW77" s="0" t="n">
        <f aca="false">IF(Presupuesto!$B$55='Flujo de Pagos'!$E77,55,9999)</f>
        <v>55</v>
      </c>
      <c r="BX77" s="0" t="n">
        <f aca="false">IF(Presupuesto!$B$56='Flujo de Pagos'!$E77,56,9999)</f>
        <v>56</v>
      </c>
      <c r="BY77" s="0" t="n">
        <f aca="false">IF(Presupuesto!$B$57='Flujo de Pagos'!$E77,57,9999)</f>
        <v>57</v>
      </c>
      <c r="BZ77" s="0" t="n">
        <f aca="false">IF(Presupuesto!$B$58='Flujo de Pagos'!$E77,58,9999)</f>
        <v>58</v>
      </c>
      <c r="CA77" s="0" t="n">
        <f aca="false">IF(Presupuesto!$B$59='Flujo de Pagos'!$E77,59,9999)</f>
        <v>59</v>
      </c>
      <c r="CB77" s="0" t="n">
        <f aca="false">IF(Presupuesto!$B$60='Flujo de Pagos'!$E77,60,9999)</f>
        <v>60</v>
      </c>
      <c r="CC77" s="0" t="n">
        <f aca="false">IF(Presupuesto!$B$61='Flujo de Pagos'!$E77,61,9999)</f>
        <v>61</v>
      </c>
      <c r="CD77" s="0" t="n">
        <f aca="false">IF(Presupuesto!$B$62='Flujo de Pagos'!$E77,62,9999)</f>
        <v>62</v>
      </c>
      <c r="CE77" s="0" t="n">
        <f aca="false">IF(Presupuesto!$B$63='Flujo de Pagos'!$E77,63,9999)</f>
        <v>63</v>
      </c>
      <c r="CF77" s="0" t="n">
        <f aca="false">IF(Presupuesto!$B$64='Flujo de Pagos'!$E77,64,9999)</f>
        <v>64</v>
      </c>
      <c r="CG77" s="0" t="n">
        <f aca="false">IF(Presupuesto!$B$65='Flujo de Pagos'!$E77,65,9999)</f>
        <v>65</v>
      </c>
      <c r="CH77" s="0" t="n">
        <f aca="false">IF(Presupuesto!$B$66='Flujo de Pagos'!$E77,66,9999)</f>
        <v>66</v>
      </c>
    </row>
    <row r="78" customFormat="false" ht="15" hidden="false" customHeight="true" outlineLevel="0" collapsed="false">
      <c r="B78" s="1" t="n">
        <f aca="false">IF(AND('Flujo de Pagos'!E83=Carátula!$B$2,'Flujo de Pagos'!F83=Carátula!$B$4,'Flujo de Pagos'!H83&lt;&gt;""),83,99999)</f>
        <v>99999</v>
      </c>
      <c r="H78" s="1" t="n">
        <f aca="false">IF(SMALL($AA78:$CH78,1)&gt;=9999,"",INDEX(Presupuesto!$C:$C,SMALL($AA78:$CH78,1)))</f>
        <v>0</v>
      </c>
      <c r="I78" s="1" t="n">
        <f aca="false">IF(SMALL($AA78:$CH78,2)&gt;=9999,"",INDEX(Presupuesto!$C:$C,SMALL($AA78:$CH78,2)))</f>
        <v>0</v>
      </c>
      <c r="J78" s="1" t="n">
        <f aca="false">IF(SMALL($AA78:$CH78,3)&gt;=9999,"",INDEX(Presupuesto!$C:$C,SMALL($AA78:$CH78,3)))</f>
        <v>0</v>
      </c>
      <c r="K78" s="1" t="n">
        <f aca="false">IF(SMALL($AA78:$CH78,4)&gt;=9999,"",INDEX(Presupuesto!$C:$C,SMALL($AA78:$CH78,4)))</f>
        <v>0</v>
      </c>
      <c r="L78" s="1" t="n">
        <f aca="false">IF(SMALL($AA78:$CH78,5)&gt;=9999,"",INDEX(Presupuesto!$C:$C,SMALL($AA78:$CH78,5)))</f>
        <v>0</v>
      </c>
      <c r="M78" s="1" t="n">
        <f aca="false">IF(SMALL($AA78:$CH78,6)&gt;=9999,"",INDEX(Presupuesto!$C:$C,SMALL($AA78:$CH78,6)))</f>
        <v>0</v>
      </c>
      <c r="N78" s="1" t="n">
        <f aca="false">IF(SMALL($AA78:$CH78,7)&gt;=9999,"",INDEX(Presupuesto!$C:$C,SMALL($AA78:$CH78,7)))</f>
        <v>0</v>
      </c>
      <c r="O78" s="1" t="n">
        <f aca="false">IF(SMALL($AA78:$CH78,8)&gt;=9999,"",INDEX(Presupuesto!$C:$C,SMALL($AA78:$CH78,8)))</f>
        <v>0</v>
      </c>
      <c r="P78" s="1" t="n">
        <f aca="false">IF(SMALL($AA78:$CH78,9)&gt;=9999,"",INDEX(Presupuesto!$C:$C,SMALL($AA78:$CH78,9)))</f>
        <v>0</v>
      </c>
      <c r="Q78" s="1" t="n">
        <f aca="false">IF(SMALL($AA78:$CH78,10)&gt;=9999,"",INDEX(Presupuesto!$C:$C,SMALL($AA78:$CH78,10)))</f>
        <v>0</v>
      </c>
      <c r="AA78" s="0" t="n">
        <f aca="false">IF(Presupuesto!$B$7='Flujo de Pagos'!$E78,7,9999)</f>
        <v>9999</v>
      </c>
      <c r="AB78" s="0" t="n">
        <f aca="false">IF(Presupuesto!$B$8='Flujo de Pagos'!$E78,8,9999)</f>
        <v>9999</v>
      </c>
      <c r="AC78" s="0" t="n">
        <f aca="false">IF(Presupuesto!$B$9='Flujo de Pagos'!$E78,9,9999)</f>
        <v>9999</v>
      </c>
      <c r="AD78" s="0" t="n">
        <f aca="false">IF(Presupuesto!$B$10='Flujo de Pagos'!$E78,10,9999)</f>
        <v>9999</v>
      </c>
      <c r="AE78" s="0" t="n">
        <f aca="false">IF(Presupuesto!$B$11='Flujo de Pagos'!$E78,11,9999)</f>
        <v>9999</v>
      </c>
      <c r="AF78" s="0" t="n">
        <f aca="false">IF(Presupuesto!$B$12='Flujo de Pagos'!$E78,12,9999)</f>
        <v>12</v>
      </c>
      <c r="AG78" s="0" t="n">
        <f aca="false">IF(Presupuesto!$B$13='Flujo de Pagos'!$E78,13,9999)</f>
        <v>13</v>
      </c>
      <c r="AH78" s="0" t="n">
        <f aca="false">IF(Presupuesto!$B$14='Flujo de Pagos'!$E78,14,9999)</f>
        <v>14</v>
      </c>
      <c r="AI78" s="0" t="n">
        <f aca="false">IF(Presupuesto!$B$15='Flujo de Pagos'!$E78,15,9999)</f>
        <v>15</v>
      </c>
      <c r="AJ78" s="0" t="n">
        <f aca="false">IF(Presupuesto!$B$16='Flujo de Pagos'!$E78,16,9999)</f>
        <v>16</v>
      </c>
      <c r="AK78" s="0" t="n">
        <f aca="false">IF(Presupuesto!$B$17='Flujo de Pagos'!$E78,17,9999)</f>
        <v>17</v>
      </c>
      <c r="AL78" s="0" t="n">
        <f aca="false">IF(Presupuesto!$B$18='Flujo de Pagos'!$E78,18,9999)</f>
        <v>18</v>
      </c>
      <c r="AM78" s="0" t="n">
        <f aca="false">IF(Presupuesto!$B$19='Flujo de Pagos'!$E78,19,9999)</f>
        <v>19</v>
      </c>
      <c r="AN78" s="0" t="n">
        <f aca="false">IF(Presupuesto!$B$20='Flujo de Pagos'!$E78,20,9999)</f>
        <v>20</v>
      </c>
      <c r="AO78" s="0" t="n">
        <f aca="false">IF(Presupuesto!$B$21='Flujo de Pagos'!$E78,21,9999)</f>
        <v>21</v>
      </c>
      <c r="AP78" s="0" t="n">
        <f aca="false">IF(Presupuesto!$B$22='Flujo de Pagos'!$E78,22,9999)</f>
        <v>22</v>
      </c>
      <c r="AQ78" s="0" t="n">
        <f aca="false">IF(Presupuesto!$B$23='Flujo de Pagos'!$E78,23,9999)</f>
        <v>23</v>
      </c>
      <c r="AR78" s="0" t="n">
        <f aca="false">IF(Presupuesto!$B$24='Flujo de Pagos'!$E78,24,9999)</f>
        <v>24</v>
      </c>
      <c r="AS78" s="0" t="n">
        <f aca="false">IF(Presupuesto!$B$25='Flujo de Pagos'!$E78,25,9999)</f>
        <v>25</v>
      </c>
      <c r="AT78" s="0" t="n">
        <f aca="false">IF(Presupuesto!$B$26='Flujo de Pagos'!$E78,26,9999)</f>
        <v>26</v>
      </c>
      <c r="AU78" s="0" t="n">
        <f aca="false">IF(Presupuesto!$B$27='Flujo de Pagos'!$E78,27,9999)</f>
        <v>27</v>
      </c>
      <c r="AV78" s="0" t="n">
        <f aca="false">IF(Presupuesto!$B$28='Flujo de Pagos'!$E78,28,9999)</f>
        <v>28</v>
      </c>
      <c r="AW78" s="0" t="n">
        <f aca="false">IF(Presupuesto!$B$29='Flujo de Pagos'!$E78,29,9999)</f>
        <v>29</v>
      </c>
      <c r="AX78" s="0" t="n">
        <f aca="false">IF(Presupuesto!$B$30='Flujo de Pagos'!$E78,30,9999)</f>
        <v>30</v>
      </c>
      <c r="AY78" s="0" t="n">
        <f aca="false">IF(Presupuesto!$B$31='Flujo de Pagos'!$E78,31,9999)</f>
        <v>31</v>
      </c>
      <c r="AZ78" s="0" t="n">
        <f aca="false">IF(Presupuesto!$B$32='Flujo de Pagos'!$E78,32,9999)</f>
        <v>32</v>
      </c>
      <c r="BA78" s="0" t="n">
        <f aca="false">IF(Presupuesto!$B$33='Flujo de Pagos'!$E78,33,9999)</f>
        <v>33</v>
      </c>
      <c r="BB78" s="0" t="n">
        <f aca="false">IF(Presupuesto!$B$34='Flujo de Pagos'!$E78,34,9999)</f>
        <v>34</v>
      </c>
      <c r="BC78" s="0" t="n">
        <f aca="false">IF(Presupuesto!$B$35='Flujo de Pagos'!$E78,35,9999)</f>
        <v>35</v>
      </c>
      <c r="BD78" s="0" t="n">
        <f aca="false">IF(Presupuesto!$B$36='Flujo de Pagos'!$E78,36,9999)</f>
        <v>36</v>
      </c>
      <c r="BE78" s="0" t="n">
        <f aca="false">IF(Presupuesto!$B$37='Flujo de Pagos'!$E78,37,9999)</f>
        <v>37</v>
      </c>
      <c r="BF78" s="0" t="n">
        <f aca="false">IF(Presupuesto!$B$38='Flujo de Pagos'!$E78,38,9999)</f>
        <v>38</v>
      </c>
      <c r="BG78" s="0" t="n">
        <f aca="false">IF(Presupuesto!$B$39='Flujo de Pagos'!$E78,39,9999)</f>
        <v>39</v>
      </c>
      <c r="BH78" s="0" t="n">
        <f aca="false">IF(Presupuesto!$B$40='Flujo de Pagos'!$E78,40,9999)</f>
        <v>40</v>
      </c>
      <c r="BI78" s="0" t="n">
        <f aca="false">IF(Presupuesto!$B$41='Flujo de Pagos'!$E78,41,9999)</f>
        <v>41</v>
      </c>
      <c r="BJ78" s="0" t="n">
        <f aca="false">IF(Presupuesto!$B$42='Flujo de Pagos'!$E78,42,9999)</f>
        <v>42</v>
      </c>
      <c r="BK78" s="0" t="n">
        <f aca="false">IF(Presupuesto!$B$43='Flujo de Pagos'!$E78,43,9999)</f>
        <v>43</v>
      </c>
      <c r="BL78" s="0" t="n">
        <f aca="false">IF(Presupuesto!$B$44='Flujo de Pagos'!$E78,44,9999)</f>
        <v>44</v>
      </c>
      <c r="BM78" s="0" t="n">
        <f aca="false">IF(Presupuesto!$B$45='Flujo de Pagos'!$E78,45,9999)</f>
        <v>45</v>
      </c>
      <c r="BN78" s="0" t="n">
        <f aca="false">IF(Presupuesto!$B$46='Flujo de Pagos'!$E78,46,9999)</f>
        <v>46</v>
      </c>
      <c r="BO78" s="0" t="n">
        <f aca="false">IF(Presupuesto!$B$47='Flujo de Pagos'!$E78,47,9999)</f>
        <v>47</v>
      </c>
      <c r="BP78" s="0" t="n">
        <f aca="false">IF(Presupuesto!$B$48='Flujo de Pagos'!$E78,48,9999)</f>
        <v>48</v>
      </c>
      <c r="BQ78" s="0" t="n">
        <f aca="false">IF(Presupuesto!$B$49='Flujo de Pagos'!$E78,49,9999)</f>
        <v>49</v>
      </c>
      <c r="BR78" s="0" t="n">
        <f aca="false">IF(Presupuesto!$B$50='Flujo de Pagos'!$E78,50,9999)</f>
        <v>50</v>
      </c>
      <c r="BS78" s="0" t="n">
        <f aca="false">IF(Presupuesto!$B$51='Flujo de Pagos'!$E78,51,9999)</f>
        <v>51</v>
      </c>
      <c r="BT78" s="0" t="n">
        <f aca="false">IF(Presupuesto!$B$52='Flujo de Pagos'!$E78,52,9999)</f>
        <v>52</v>
      </c>
      <c r="BU78" s="0" t="n">
        <f aca="false">IF(Presupuesto!$B$53='Flujo de Pagos'!$E78,53,9999)</f>
        <v>53</v>
      </c>
      <c r="BV78" s="0" t="n">
        <f aca="false">IF(Presupuesto!$B$54='Flujo de Pagos'!$E78,54,9999)</f>
        <v>54</v>
      </c>
      <c r="BW78" s="0" t="n">
        <f aca="false">IF(Presupuesto!$B$55='Flujo de Pagos'!$E78,55,9999)</f>
        <v>55</v>
      </c>
      <c r="BX78" s="0" t="n">
        <f aca="false">IF(Presupuesto!$B$56='Flujo de Pagos'!$E78,56,9999)</f>
        <v>56</v>
      </c>
      <c r="BY78" s="0" t="n">
        <f aca="false">IF(Presupuesto!$B$57='Flujo de Pagos'!$E78,57,9999)</f>
        <v>57</v>
      </c>
      <c r="BZ78" s="0" t="n">
        <f aca="false">IF(Presupuesto!$B$58='Flujo de Pagos'!$E78,58,9999)</f>
        <v>58</v>
      </c>
      <c r="CA78" s="0" t="n">
        <f aca="false">IF(Presupuesto!$B$59='Flujo de Pagos'!$E78,59,9999)</f>
        <v>59</v>
      </c>
      <c r="CB78" s="0" t="n">
        <f aca="false">IF(Presupuesto!$B$60='Flujo de Pagos'!$E78,60,9999)</f>
        <v>60</v>
      </c>
      <c r="CC78" s="0" t="n">
        <f aca="false">IF(Presupuesto!$B$61='Flujo de Pagos'!$E78,61,9999)</f>
        <v>61</v>
      </c>
      <c r="CD78" s="0" t="n">
        <f aca="false">IF(Presupuesto!$B$62='Flujo de Pagos'!$E78,62,9999)</f>
        <v>62</v>
      </c>
      <c r="CE78" s="0" t="n">
        <f aca="false">IF(Presupuesto!$B$63='Flujo de Pagos'!$E78,63,9999)</f>
        <v>63</v>
      </c>
      <c r="CF78" s="0" t="n">
        <f aca="false">IF(Presupuesto!$B$64='Flujo de Pagos'!$E78,64,9999)</f>
        <v>64</v>
      </c>
      <c r="CG78" s="0" t="n">
        <f aca="false">IF(Presupuesto!$B$65='Flujo de Pagos'!$E78,65,9999)</f>
        <v>65</v>
      </c>
      <c r="CH78" s="0" t="n">
        <f aca="false">IF(Presupuesto!$B$66='Flujo de Pagos'!$E78,66,9999)</f>
        <v>66</v>
      </c>
    </row>
    <row r="79" customFormat="false" ht="15" hidden="false" customHeight="true" outlineLevel="0" collapsed="false">
      <c r="B79" s="1" t="n">
        <f aca="false">IF(AND('Flujo de Pagos'!E84=Carátula!$B$2,'Flujo de Pagos'!F84=Carátula!$B$4,'Flujo de Pagos'!H84&lt;&gt;""),84,99999)</f>
        <v>99999</v>
      </c>
      <c r="H79" s="1" t="n">
        <f aca="false">IF(SMALL($AA79:$CH79,1)&gt;=9999,"",INDEX(Presupuesto!$C:$C,SMALL($AA79:$CH79,1)))</f>
        <v>0</v>
      </c>
      <c r="I79" s="1" t="n">
        <f aca="false">IF(SMALL($AA79:$CH79,2)&gt;=9999,"",INDEX(Presupuesto!$C:$C,SMALL($AA79:$CH79,2)))</f>
        <v>0</v>
      </c>
      <c r="J79" s="1" t="n">
        <f aca="false">IF(SMALL($AA79:$CH79,3)&gt;=9999,"",INDEX(Presupuesto!$C:$C,SMALL($AA79:$CH79,3)))</f>
        <v>0</v>
      </c>
      <c r="K79" s="1" t="n">
        <f aca="false">IF(SMALL($AA79:$CH79,4)&gt;=9999,"",INDEX(Presupuesto!$C:$C,SMALL($AA79:$CH79,4)))</f>
        <v>0</v>
      </c>
      <c r="L79" s="1" t="n">
        <f aca="false">IF(SMALL($AA79:$CH79,5)&gt;=9999,"",INDEX(Presupuesto!$C:$C,SMALL($AA79:$CH79,5)))</f>
        <v>0</v>
      </c>
      <c r="M79" s="1" t="n">
        <f aca="false">IF(SMALL($AA79:$CH79,6)&gt;=9999,"",INDEX(Presupuesto!$C:$C,SMALL($AA79:$CH79,6)))</f>
        <v>0</v>
      </c>
      <c r="N79" s="1" t="n">
        <f aca="false">IF(SMALL($AA79:$CH79,7)&gt;=9999,"",INDEX(Presupuesto!$C:$C,SMALL($AA79:$CH79,7)))</f>
        <v>0</v>
      </c>
      <c r="O79" s="1" t="n">
        <f aca="false">IF(SMALL($AA79:$CH79,8)&gt;=9999,"",INDEX(Presupuesto!$C:$C,SMALL($AA79:$CH79,8)))</f>
        <v>0</v>
      </c>
      <c r="P79" s="1" t="n">
        <f aca="false">IF(SMALL($AA79:$CH79,9)&gt;=9999,"",INDEX(Presupuesto!$C:$C,SMALL($AA79:$CH79,9)))</f>
        <v>0</v>
      </c>
      <c r="Q79" s="1" t="n">
        <f aca="false">IF(SMALL($AA79:$CH79,10)&gt;=9999,"",INDEX(Presupuesto!$C:$C,SMALL($AA79:$CH79,10)))</f>
        <v>0</v>
      </c>
      <c r="AA79" s="0" t="n">
        <f aca="false">IF(Presupuesto!$B$7='Flujo de Pagos'!$E79,7,9999)</f>
        <v>9999</v>
      </c>
      <c r="AB79" s="0" t="n">
        <f aca="false">IF(Presupuesto!$B$8='Flujo de Pagos'!$E79,8,9999)</f>
        <v>9999</v>
      </c>
      <c r="AC79" s="0" t="n">
        <f aca="false">IF(Presupuesto!$B$9='Flujo de Pagos'!$E79,9,9999)</f>
        <v>9999</v>
      </c>
      <c r="AD79" s="0" t="n">
        <f aca="false">IF(Presupuesto!$B$10='Flujo de Pagos'!$E79,10,9999)</f>
        <v>9999</v>
      </c>
      <c r="AE79" s="0" t="n">
        <f aca="false">IF(Presupuesto!$B$11='Flujo de Pagos'!$E79,11,9999)</f>
        <v>9999</v>
      </c>
      <c r="AF79" s="0" t="n">
        <f aca="false">IF(Presupuesto!$B$12='Flujo de Pagos'!$E79,12,9999)</f>
        <v>12</v>
      </c>
      <c r="AG79" s="0" t="n">
        <f aca="false">IF(Presupuesto!$B$13='Flujo de Pagos'!$E79,13,9999)</f>
        <v>13</v>
      </c>
      <c r="AH79" s="0" t="n">
        <f aca="false">IF(Presupuesto!$B$14='Flujo de Pagos'!$E79,14,9999)</f>
        <v>14</v>
      </c>
      <c r="AI79" s="0" t="n">
        <f aca="false">IF(Presupuesto!$B$15='Flujo de Pagos'!$E79,15,9999)</f>
        <v>15</v>
      </c>
      <c r="AJ79" s="0" t="n">
        <f aca="false">IF(Presupuesto!$B$16='Flujo de Pagos'!$E79,16,9999)</f>
        <v>16</v>
      </c>
      <c r="AK79" s="0" t="n">
        <f aca="false">IF(Presupuesto!$B$17='Flujo de Pagos'!$E79,17,9999)</f>
        <v>17</v>
      </c>
      <c r="AL79" s="0" t="n">
        <f aca="false">IF(Presupuesto!$B$18='Flujo de Pagos'!$E79,18,9999)</f>
        <v>18</v>
      </c>
      <c r="AM79" s="0" t="n">
        <f aca="false">IF(Presupuesto!$B$19='Flujo de Pagos'!$E79,19,9999)</f>
        <v>19</v>
      </c>
      <c r="AN79" s="0" t="n">
        <f aca="false">IF(Presupuesto!$B$20='Flujo de Pagos'!$E79,20,9999)</f>
        <v>20</v>
      </c>
      <c r="AO79" s="0" t="n">
        <f aca="false">IF(Presupuesto!$B$21='Flujo de Pagos'!$E79,21,9999)</f>
        <v>21</v>
      </c>
      <c r="AP79" s="0" t="n">
        <f aca="false">IF(Presupuesto!$B$22='Flujo de Pagos'!$E79,22,9999)</f>
        <v>22</v>
      </c>
      <c r="AQ79" s="0" t="n">
        <f aca="false">IF(Presupuesto!$B$23='Flujo de Pagos'!$E79,23,9999)</f>
        <v>23</v>
      </c>
      <c r="AR79" s="0" t="n">
        <f aca="false">IF(Presupuesto!$B$24='Flujo de Pagos'!$E79,24,9999)</f>
        <v>24</v>
      </c>
      <c r="AS79" s="0" t="n">
        <f aca="false">IF(Presupuesto!$B$25='Flujo de Pagos'!$E79,25,9999)</f>
        <v>25</v>
      </c>
      <c r="AT79" s="0" t="n">
        <f aca="false">IF(Presupuesto!$B$26='Flujo de Pagos'!$E79,26,9999)</f>
        <v>26</v>
      </c>
      <c r="AU79" s="0" t="n">
        <f aca="false">IF(Presupuesto!$B$27='Flujo de Pagos'!$E79,27,9999)</f>
        <v>27</v>
      </c>
      <c r="AV79" s="0" t="n">
        <f aca="false">IF(Presupuesto!$B$28='Flujo de Pagos'!$E79,28,9999)</f>
        <v>28</v>
      </c>
      <c r="AW79" s="0" t="n">
        <f aca="false">IF(Presupuesto!$B$29='Flujo de Pagos'!$E79,29,9999)</f>
        <v>29</v>
      </c>
      <c r="AX79" s="0" t="n">
        <f aca="false">IF(Presupuesto!$B$30='Flujo de Pagos'!$E79,30,9999)</f>
        <v>30</v>
      </c>
      <c r="AY79" s="0" t="n">
        <f aca="false">IF(Presupuesto!$B$31='Flujo de Pagos'!$E79,31,9999)</f>
        <v>31</v>
      </c>
      <c r="AZ79" s="0" t="n">
        <f aca="false">IF(Presupuesto!$B$32='Flujo de Pagos'!$E79,32,9999)</f>
        <v>32</v>
      </c>
      <c r="BA79" s="0" t="n">
        <f aca="false">IF(Presupuesto!$B$33='Flujo de Pagos'!$E79,33,9999)</f>
        <v>33</v>
      </c>
      <c r="BB79" s="0" t="n">
        <f aca="false">IF(Presupuesto!$B$34='Flujo de Pagos'!$E79,34,9999)</f>
        <v>34</v>
      </c>
      <c r="BC79" s="0" t="n">
        <f aca="false">IF(Presupuesto!$B$35='Flujo de Pagos'!$E79,35,9999)</f>
        <v>35</v>
      </c>
      <c r="BD79" s="0" t="n">
        <f aca="false">IF(Presupuesto!$B$36='Flujo de Pagos'!$E79,36,9999)</f>
        <v>36</v>
      </c>
      <c r="BE79" s="0" t="n">
        <f aca="false">IF(Presupuesto!$B$37='Flujo de Pagos'!$E79,37,9999)</f>
        <v>37</v>
      </c>
      <c r="BF79" s="0" t="n">
        <f aca="false">IF(Presupuesto!$B$38='Flujo de Pagos'!$E79,38,9999)</f>
        <v>38</v>
      </c>
      <c r="BG79" s="0" t="n">
        <f aca="false">IF(Presupuesto!$B$39='Flujo de Pagos'!$E79,39,9999)</f>
        <v>39</v>
      </c>
      <c r="BH79" s="0" t="n">
        <f aca="false">IF(Presupuesto!$B$40='Flujo de Pagos'!$E79,40,9999)</f>
        <v>40</v>
      </c>
      <c r="BI79" s="0" t="n">
        <f aca="false">IF(Presupuesto!$B$41='Flujo de Pagos'!$E79,41,9999)</f>
        <v>41</v>
      </c>
      <c r="BJ79" s="0" t="n">
        <f aca="false">IF(Presupuesto!$B$42='Flujo de Pagos'!$E79,42,9999)</f>
        <v>42</v>
      </c>
      <c r="BK79" s="0" t="n">
        <f aca="false">IF(Presupuesto!$B$43='Flujo de Pagos'!$E79,43,9999)</f>
        <v>43</v>
      </c>
      <c r="BL79" s="0" t="n">
        <f aca="false">IF(Presupuesto!$B$44='Flujo de Pagos'!$E79,44,9999)</f>
        <v>44</v>
      </c>
      <c r="BM79" s="0" t="n">
        <f aca="false">IF(Presupuesto!$B$45='Flujo de Pagos'!$E79,45,9999)</f>
        <v>45</v>
      </c>
      <c r="BN79" s="0" t="n">
        <f aca="false">IF(Presupuesto!$B$46='Flujo de Pagos'!$E79,46,9999)</f>
        <v>46</v>
      </c>
      <c r="BO79" s="0" t="n">
        <f aca="false">IF(Presupuesto!$B$47='Flujo de Pagos'!$E79,47,9999)</f>
        <v>47</v>
      </c>
      <c r="BP79" s="0" t="n">
        <f aca="false">IF(Presupuesto!$B$48='Flujo de Pagos'!$E79,48,9999)</f>
        <v>48</v>
      </c>
      <c r="BQ79" s="0" t="n">
        <f aca="false">IF(Presupuesto!$B$49='Flujo de Pagos'!$E79,49,9999)</f>
        <v>49</v>
      </c>
      <c r="BR79" s="0" t="n">
        <f aca="false">IF(Presupuesto!$B$50='Flujo de Pagos'!$E79,50,9999)</f>
        <v>50</v>
      </c>
      <c r="BS79" s="0" t="n">
        <f aca="false">IF(Presupuesto!$B$51='Flujo de Pagos'!$E79,51,9999)</f>
        <v>51</v>
      </c>
      <c r="BT79" s="0" t="n">
        <f aca="false">IF(Presupuesto!$B$52='Flujo de Pagos'!$E79,52,9999)</f>
        <v>52</v>
      </c>
      <c r="BU79" s="0" t="n">
        <f aca="false">IF(Presupuesto!$B$53='Flujo de Pagos'!$E79,53,9999)</f>
        <v>53</v>
      </c>
      <c r="BV79" s="0" t="n">
        <f aca="false">IF(Presupuesto!$B$54='Flujo de Pagos'!$E79,54,9999)</f>
        <v>54</v>
      </c>
      <c r="BW79" s="0" t="n">
        <f aca="false">IF(Presupuesto!$B$55='Flujo de Pagos'!$E79,55,9999)</f>
        <v>55</v>
      </c>
      <c r="BX79" s="0" t="n">
        <f aca="false">IF(Presupuesto!$B$56='Flujo de Pagos'!$E79,56,9999)</f>
        <v>56</v>
      </c>
      <c r="BY79" s="0" t="n">
        <f aca="false">IF(Presupuesto!$B$57='Flujo de Pagos'!$E79,57,9999)</f>
        <v>57</v>
      </c>
      <c r="BZ79" s="0" t="n">
        <f aca="false">IF(Presupuesto!$B$58='Flujo de Pagos'!$E79,58,9999)</f>
        <v>58</v>
      </c>
      <c r="CA79" s="0" t="n">
        <f aca="false">IF(Presupuesto!$B$59='Flujo de Pagos'!$E79,59,9999)</f>
        <v>59</v>
      </c>
      <c r="CB79" s="0" t="n">
        <f aca="false">IF(Presupuesto!$B$60='Flujo de Pagos'!$E79,60,9999)</f>
        <v>60</v>
      </c>
      <c r="CC79" s="0" t="n">
        <f aca="false">IF(Presupuesto!$B$61='Flujo de Pagos'!$E79,61,9999)</f>
        <v>61</v>
      </c>
      <c r="CD79" s="0" t="n">
        <f aca="false">IF(Presupuesto!$B$62='Flujo de Pagos'!$E79,62,9999)</f>
        <v>62</v>
      </c>
      <c r="CE79" s="0" t="n">
        <f aca="false">IF(Presupuesto!$B$63='Flujo de Pagos'!$E79,63,9999)</f>
        <v>63</v>
      </c>
      <c r="CF79" s="0" t="n">
        <f aca="false">IF(Presupuesto!$B$64='Flujo de Pagos'!$E79,64,9999)</f>
        <v>64</v>
      </c>
      <c r="CG79" s="0" t="n">
        <f aca="false">IF(Presupuesto!$B$65='Flujo de Pagos'!$E79,65,9999)</f>
        <v>65</v>
      </c>
      <c r="CH79" s="0" t="n">
        <f aca="false">IF(Presupuesto!$B$66='Flujo de Pagos'!$E79,66,9999)</f>
        <v>66</v>
      </c>
    </row>
    <row r="80" customFormat="false" ht="15" hidden="false" customHeight="true" outlineLevel="0" collapsed="false">
      <c r="B80" s="1" t="n">
        <f aca="false">IF(AND('Flujo de Pagos'!E85=Carátula!$B$2,'Flujo de Pagos'!F85=Carátula!$B$4,'Flujo de Pagos'!H85&lt;&gt;""),85,99999)</f>
        <v>99999</v>
      </c>
      <c r="H80" s="1" t="n">
        <f aca="false">IF(SMALL($AA80:$CH80,1)&gt;=9999,"",INDEX(Presupuesto!$C:$C,SMALL($AA80:$CH80,1)))</f>
        <v>0</v>
      </c>
      <c r="I80" s="1" t="n">
        <f aca="false">IF(SMALL($AA80:$CH80,2)&gt;=9999,"",INDEX(Presupuesto!$C:$C,SMALL($AA80:$CH80,2)))</f>
        <v>0</v>
      </c>
      <c r="J80" s="1" t="n">
        <f aca="false">IF(SMALL($AA80:$CH80,3)&gt;=9999,"",INDEX(Presupuesto!$C:$C,SMALL($AA80:$CH80,3)))</f>
        <v>0</v>
      </c>
      <c r="K80" s="1" t="n">
        <f aca="false">IF(SMALL($AA80:$CH80,4)&gt;=9999,"",INDEX(Presupuesto!$C:$C,SMALL($AA80:$CH80,4)))</f>
        <v>0</v>
      </c>
      <c r="L80" s="1" t="n">
        <f aca="false">IF(SMALL($AA80:$CH80,5)&gt;=9999,"",INDEX(Presupuesto!$C:$C,SMALL($AA80:$CH80,5)))</f>
        <v>0</v>
      </c>
      <c r="M80" s="1" t="n">
        <f aca="false">IF(SMALL($AA80:$CH80,6)&gt;=9999,"",INDEX(Presupuesto!$C:$C,SMALL($AA80:$CH80,6)))</f>
        <v>0</v>
      </c>
      <c r="N80" s="1" t="n">
        <f aca="false">IF(SMALL($AA80:$CH80,7)&gt;=9999,"",INDEX(Presupuesto!$C:$C,SMALL($AA80:$CH80,7)))</f>
        <v>0</v>
      </c>
      <c r="O80" s="1" t="n">
        <f aca="false">IF(SMALL($AA80:$CH80,8)&gt;=9999,"",INDEX(Presupuesto!$C:$C,SMALL($AA80:$CH80,8)))</f>
        <v>0</v>
      </c>
      <c r="P80" s="1" t="n">
        <f aca="false">IF(SMALL($AA80:$CH80,9)&gt;=9999,"",INDEX(Presupuesto!$C:$C,SMALL($AA80:$CH80,9)))</f>
        <v>0</v>
      </c>
      <c r="Q80" s="1" t="n">
        <f aca="false">IF(SMALL($AA80:$CH80,10)&gt;=9999,"",INDEX(Presupuesto!$C:$C,SMALL($AA80:$CH80,10)))</f>
        <v>0</v>
      </c>
      <c r="AA80" s="0" t="n">
        <f aca="false">IF(Presupuesto!$B$7='Flujo de Pagos'!$E80,7,9999)</f>
        <v>9999</v>
      </c>
      <c r="AB80" s="0" t="n">
        <f aca="false">IF(Presupuesto!$B$8='Flujo de Pagos'!$E80,8,9999)</f>
        <v>9999</v>
      </c>
      <c r="AC80" s="0" t="n">
        <f aca="false">IF(Presupuesto!$B$9='Flujo de Pagos'!$E80,9,9999)</f>
        <v>9999</v>
      </c>
      <c r="AD80" s="0" t="n">
        <f aca="false">IF(Presupuesto!$B$10='Flujo de Pagos'!$E80,10,9999)</f>
        <v>9999</v>
      </c>
      <c r="AE80" s="0" t="n">
        <f aca="false">IF(Presupuesto!$B$11='Flujo de Pagos'!$E80,11,9999)</f>
        <v>9999</v>
      </c>
      <c r="AF80" s="0" t="n">
        <f aca="false">IF(Presupuesto!$B$12='Flujo de Pagos'!$E80,12,9999)</f>
        <v>12</v>
      </c>
      <c r="AG80" s="0" t="n">
        <f aca="false">IF(Presupuesto!$B$13='Flujo de Pagos'!$E80,13,9999)</f>
        <v>13</v>
      </c>
      <c r="AH80" s="0" t="n">
        <f aca="false">IF(Presupuesto!$B$14='Flujo de Pagos'!$E80,14,9999)</f>
        <v>14</v>
      </c>
      <c r="AI80" s="0" t="n">
        <f aca="false">IF(Presupuesto!$B$15='Flujo de Pagos'!$E80,15,9999)</f>
        <v>15</v>
      </c>
      <c r="AJ80" s="0" t="n">
        <f aca="false">IF(Presupuesto!$B$16='Flujo de Pagos'!$E80,16,9999)</f>
        <v>16</v>
      </c>
      <c r="AK80" s="0" t="n">
        <f aca="false">IF(Presupuesto!$B$17='Flujo de Pagos'!$E80,17,9999)</f>
        <v>17</v>
      </c>
      <c r="AL80" s="0" t="n">
        <f aca="false">IF(Presupuesto!$B$18='Flujo de Pagos'!$E80,18,9999)</f>
        <v>18</v>
      </c>
      <c r="AM80" s="0" t="n">
        <f aca="false">IF(Presupuesto!$B$19='Flujo de Pagos'!$E80,19,9999)</f>
        <v>19</v>
      </c>
      <c r="AN80" s="0" t="n">
        <f aca="false">IF(Presupuesto!$B$20='Flujo de Pagos'!$E80,20,9999)</f>
        <v>20</v>
      </c>
      <c r="AO80" s="0" t="n">
        <f aca="false">IF(Presupuesto!$B$21='Flujo de Pagos'!$E80,21,9999)</f>
        <v>21</v>
      </c>
      <c r="AP80" s="0" t="n">
        <f aca="false">IF(Presupuesto!$B$22='Flujo de Pagos'!$E80,22,9999)</f>
        <v>22</v>
      </c>
      <c r="AQ80" s="0" t="n">
        <f aca="false">IF(Presupuesto!$B$23='Flujo de Pagos'!$E80,23,9999)</f>
        <v>23</v>
      </c>
      <c r="AR80" s="0" t="n">
        <f aca="false">IF(Presupuesto!$B$24='Flujo de Pagos'!$E80,24,9999)</f>
        <v>24</v>
      </c>
      <c r="AS80" s="0" t="n">
        <f aca="false">IF(Presupuesto!$B$25='Flujo de Pagos'!$E80,25,9999)</f>
        <v>25</v>
      </c>
      <c r="AT80" s="0" t="n">
        <f aca="false">IF(Presupuesto!$B$26='Flujo de Pagos'!$E80,26,9999)</f>
        <v>26</v>
      </c>
      <c r="AU80" s="0" t="n">
        <f aca="false">IF(Presupuesto!$B$27='Flujo de Pagos'!$E80,27,9999)</f>
        <v>27</v>
      </c>
      <c r="AV80" s="0" t="n">
        <f aca="false">IF(Presupuesto!$B$28='Flujo de Pagos'!$E80,28,9999)</f>
        <v>28</v>
      </c>
      <c r="AW80" s="0" t="n">
        <f aca="false">IF(Presupuesto!$B$29='Flujo de Pagos'!$E80,29,9999)</f>
        <v>29</v>
      </c>
      <c r="AX80" s="0" t="n">
        <f aca="false">IF(Presupuesto!$B$30='Flujo de Pagos'!$E80,30,9999)</f>
        <v>30</v>
      </c>
      <c r="AY80" s="0" t="n">
        <f aca="false">IF(Presupuesto!$B$31='Flujo de Pagos'!$E80,31,9999)</f>
        <v>31</v>
      </c>
      <c r="AZ80" s="0" t="n">
        <f aca="false">IF(Presupuesto!$B$32='Flujo de Pagos'!$E80,32,9999)</f>
        <v>32</v>
      </c>
      <c r="BA80" s="0" t="n">
        <f aca="false">IF(Presupuesto!$B$33='Flujo de Pagos'!$E80,33,9999)</f>
        <v>33</v>
      </c>
      <c r="BB80" s="0" t="n">
        <f aca="false">IF(Presupuesto!$B$34='Flujo de Pagos'!$E80,34,9999)</f>
        <v>34</v>
      </c>
      <c r="BC80" s="0" t="n">
        <f aca="false">IF(Presupuesto!$B$35='Flujo de Pagos'!$E80,35,9999)</f>
        <v>35</v>
      </c>
      <c r="BD80" s="0" t="n">
        <f aca="false">IF(Presupuesto!$B$36='Flujo de Pagos'!$E80,36,9999)</f>
        <v>36</v>
      </c>
      <c r="BE80" s="0" t="n">
        <f aca="false">IF(Presupuesto!$B$37='Flujo de Pagos'!$E80,37,9999)</f>
        <v>37</v>
      </c>
      <c r="BF80" s="0" t="n">
        <f aca="false">IF(Presupuesto!$B$38='Flujo de Pagos'!$E80,38,9999)</f>
        <v>38</v>
      </c>
      <c r="BG80" s="0" t="n">
        <f aca="false">IF(Presupuesto!$B$39='Flujo de Pagos'!$E80,39,9999)</f>
        <v>39</v>
      </c>
      <c r="BH80" s="0" t="n">
        <f aca="false">IF(Presupuesto!$B$40='Flujo de Pagos'!$E80,40,9999)</f>
        <v>40</v>
      </c>
      <c r="BI80" s="0" t="n">
        <f aca="false">IF(Presupuesto!$B$41='Flujo de Pagos'!$E80,41,9999)</f>
        <v>41</v>
      </c>
      <c r="BJ80" s="0" t="n">
        <f aca="false">IF(Presupuesto!$B$42='Flujo de Pagos'!$E80,42,9999)</f>
        <v>42</v>
      </c>
      <c r="BK80" s="0" t="n">
        <f aca="false">IF(Presupuesto!$B$43='Flujo de Pagos'!$E80,43,9999)</f>
        <v>43</v>
      </c>
      <c r="BL80" s="0" t="n">
        <f aca="false">IF(Presupuesto!$B$44='Flujo de Pagos'!$E80,44,9999)</f>
        <v>44</v>
      </c>
      <c r="BM80" s="0" t="n">
        <f aca="false">IF(Presupuesto!$B$45='Flujo de Pagos'!$E80,45,9999)</f>
        <v>45</v>
      </c>
      <c r="BN80" s="0" t="n">
        <f aca="false">IF(Presupuesto!$B$46='Flujo de Pagos'!$E80,46,9999)</f>
        <v>46</v>
      </c>
      <c r="BO80" s="0" t="n">
        <f aca="false">IF(Presupuesto!$B$47='Flujo de Pagos'!$E80,47,9999)</f>
        <v>47</v>
      </c>
      <c r="BP80" s="0" t="n">
        <f aca="false">IF(Presupuesto!$B$48='Flujo de Pagos'!$E80,48,9999)</f>
        <v>48</v>
      </c>
      <c r="BQ80" s="0" t="n">
        <f aca="false">IF(Presupuesto!$B$49='Flujo de Pagos'!$E80,49,9999)</f>
        <v>49</v>
      </c>
      <c r="BR80" s="0" t="n">
        <f aca="false">IF(Presupuesto!$B$50='Flujo de Pagos'!$E80,50,9999)</f>
        <v>50</v>
      </c>
      <c r="BS80" s="0" t="n">
        <f aca="false">IF(Presupuesto!$B$51='Flujo de Pagos'!$E80,51,9999)</f>
        <v>51</v>
      </c>
      <c r="BT80" s="0" t="n">
        <f aca="false">IF(Presupuesto!$B$52='Flujo de Pagos'!$E80,52,9999)</f>
        <v>52</v>
      </c>
      <c r="BU80" s="0" t="n">
        <f aca="false">IF(Presupuesto!$B$53='Flujo de Pagos'!$E80,53,9999)</f>
        <v>53</v>
      </c>
      <c r="BV80" s="0" t="n">
        <f aca="false">IF(Presupuesto!$B$54='Flujo de Pagos'!$E80,54,9999)</f>
        <v>54</v>
      </c>
      <c r="BW80" s="0" t="n">
        <f aca="false">IF(Presupuesto!$B$55='Flujo de Pagos'!$E80,55,9999)</f>
        <v>55</v>
      </c>
      <c r="BX80" s="0" t="n">
        <f aca="false">IF(Presupuesto!$B$56='Flujo de Pagos'!$E80,56,9999)</f>
        <v>56</v>
      </c>
      <c r="BY80" s="0" t="n">
        <f aca="false">IF(Presupuesto!$B$57='Flujo de Pagos'!$E80,57,9999)</f>
        <v>57</v>
      </c>
      <c r="BZ80" s="0" t="n">
        <f aca="false">IF(Presupuesto!$B$58='Flujo de Pagos'!$E80,58,9999)</f>
        <v>58</v>
      </c>
      <c r="CA80" s="0" t="n">
        <f aca="false">IF(Presupuesto!$B$59='Flujo de Pagos'!$E80,59,9999)</f>
        <v>59</v>
      </c>
      <c r="CB80" s="0" t="n">
        <f aca="false">IF(Presupuesto!$B$60='Flujo de Pagos'!$E80,60,9999)</f>
        <v>60</v>
      </c>
      <c r="CC80" s="0" t="n">
        <f aca="false">IF(Presupuesto!$B$61='Flujo de Pagos'!$E80,61,9999)</f>
        <v>61</v>
      </c>
      <c r="CD80" s="0" t="n">
        <f aca="false">IF(Presupuesto!$B$62='Flujo de Pagos'!$E80,62,9999)</f>
        <v>62</v>
      </c>
      <c r="CE80" s="0" t="n">
        <f aca="false">IF(Presupuesto!$B$63='Flujo de Pagos'!$E80,63,9999)</f>
        <v>63</v>
      </c>
      <c r="CF80" s="0" t="n">
        <f aca="false">IF(Presupuesto!$B$64='Flujo de Pagos'!$E80,64,9999)</f>
        <v>64</v>
      </c>
      <c r="CG80" s="0" t="n">
        <f aca="false">IF(Presupuesto!$B$65='Flujo de Pagos'!$E80,65,9999)</f>
        <v>65</v>
      </c>
      <c r="CH80" s="0" t="n">
        <f aca="false">IF(Presupuesto!$B$66='Flujo de Pagos'!$E80,66,9999)</f>
        <v>66</v>
      </c>
    </row>
    <row r="81" customFormat="false" ht="15" hidden="false" customHeight="true" outlineLevel="0" collapsed="false">
      <c r="B81" s="1" t="n">
        <f aca="false">IF(AND('Flujo de Pagos'!E86=Carátula!$B$2,'Flujo de Pagos'!F86=Carátula!$B$4,'Flujo de Pagos'!H86&lt;&gt;""),86,99999)</f>
        <v>99999</v>
      </c>
      <c r="H81" s="1" t="n">
        <f aca="false">IF(SMALL($AA81:$CH81,1)&gt;=9999,"",INDEX(Presupuesto!$C:$C,SMALL($AA81:$CH81,1)))</f>
        <v>0</v>
      </c>
      <c r="I81" s="1" t="n">
        <f aca="false">IF(SMALL($AA81:$CH81,2)&gt;=9999,"",INDEX(Presupuesto!$C:$C,SMALL($AA81:$CH81,2)))</f>
        <v>0</v>
      </c>
      <c r="J81" s="1" t="n">
        <f aca="false">IF(SMALL($AA81:$CH81,3)&gt;=9999,"",INDEX(Presupuesto!$C:$C,SMALL($AA81:$CH81,3)))</f>
        <v>0</v>
      </c>
      <c r="K81" s="1" t="n">
        <f aca="false">IF(SMALL($AA81:$CH81,4)&gt;=9999,"",INDEX(Presupuesto!$C:$C,SMALL($AA81:$CH81,4)))</f>
        <v>0</v>
      </c>
      <c r="L81" s="1" t="n">
        <f aca="false">IF(SMALL($AA81:$CH81,5)&gt;=9999,"",INDEX(Presupuesto!$C:$C,SMALL($AA81:$CH81,5)))</f>
        <v>0</v>
      </c>
      <c r="M81" s="1" t="n">
        <f aca="false">IF(SMALL($AA81:$CH81,6)&gt;=9999,"",INDEX(Presupuesto!$C:$C,SMALL($AA81:$CH81,6)))</f>
        <v>0</v>
      </c>
      <c r="N81" s="1" t="n">
        <f aca="false">IF(SMALL($AA81:$CH81,7)&gt;=9999,"",INDEX(Presupuesto!$C:$C,SMALL($AA81:$CH81,7)))</f>
        <v>0</v>
      </c>
      <c r="O81" s="1" t="n">
        <f aca="false">IF(SMALL($AA81:$CH81,8)&gt;=9999,"",INDEX(Presupuesto!$C:$C,SMALL($AA81:$CH81,8)))</f>
        <v>0</v>
      </c>
      <c r="P81" s="1" t="n">
        <f aca="false">IF(SMALL($AA81:$CH81,9)&gt;=9999,"",INDEX(Presupuesto!$C:$C,SMALL($AA81:$CH81,9)))</f>
        <v>0</v>
      </c>
      <c r="Q81" s="1" t="n">
        <f aca="false">IF(SMALL($AA81:$CH81,10)&gt;=9999,"",INDEX(Presupuesto!$C:$C,SMALL($AA81:$CH81,10)))</f>
        <v>0</v>
      </c>
      <c r="AA81" s="0" t="n">
        <f aca="false">IF(Presupuesto!$B$7='Flujo de Pagos'!$E81,7,9999)</f>
        <v>9999</v>
      </c>
      <c r="AB81" s="0" t="n">
        <f aca="false">IF(Presupuesto!$B$8='Flujo de Pagos'!$E81,8,9999)</f>
        <v>9999</v>
      </c>
      <c r="AC81" s="0" t="n">
        <f aca="false">IF(Presupuesto!$B$9='Flujo de Pagos'!$E81,9,9999)</f>
        <v>9999</v>
      </c>
      <c r="AD81" s="0" t="n">
        <f aca="false">IF(Presupuesto!$B$10='Flujo de Pagos'!$E81,10,9999)</f>
        <v>9999</v>
      </c>
      <c r="AE81" s="0" t="n">
        <f aca="false">IF(Presupuesto!$B$11='Flujo de Pagos'!$E81,11,9999)</f>
        <v>9999</v>
      </c>
      <c r="AF81" s="0" t="n">
        <f aca="false">IF(Presupuesto!$B$12='Flujo de Pagos'!$E81,12,9999)</f>
        <v>12</v>
      </c>
      <c r="AG81" s="0" t="n">
        <f aca="false">IF(Presupuesto!$B$13='Flujo de Pagos'!$E81,13,9999)</f>
        <v>13</v>
      </c>
      <c r="AH81" s="0" t="n">
        <f aca="false">IF(Presupuesto!$B$14='Flujo de Pagos'!$E81,14,9999)</f>
        <v>14</v>
      </c>
      <c r="AI81" s="0" t="n">
        <f aca="false">IF(Presupuesto!$B$15='Flujo de Pagos'!$E81,15,9999)</f>
        <v>15</v>
      </c>
      <c r="AJ81" s="0" t="n">
        <f aca="false">IF(Presupuesto!$B$16='Flujo de Pagos'!$E81,16,9999)</f>
        <v>16</v>
      </c>
      <c r="AK81" s="0" t="n">
        <f aca="false">IF(Presupuesto!$B$17='Flujo de Pagos'!$E81,17,9999)</f>
        <v>17</v>
      </c>
      <c r="AL81" s="0" t="n">
        <f aca="false">IF(Presupuesto!$B$18='Flujo de Pagos'!$E81,18,9999)</f>
        <v>18</v>
      </c>
      <c r="AM81" s="0" t="n">
        <f aca="false">IF(Presupuesto!$B$19='Flujo de Pagos'!$E81,19,9999)</f>
        <v>19</v>
      </c>
      <c r="AN81" s="0" t="n">
        <f aca="false">IF(Presupuesto!$B$20='Flujo de Pagos'!$E81,20,9999)</f>
        <v>20</v>
      </c>
      <c r="AO81" s="0" t="n">
        <f aca="false">IF(Presupuesto!$B$21='Flujo de Pagos'!$E81,21,9999)</f>
        <v>21</v>
      </c>
      <c r="AP81" s="0" t="n">
        <f aca="false">IF(Presupuesto!$B$22='Flujo de Pagos'!$E81,22,9999)</f>
        <v>22</v>
      </c>
      <c r="AQ81" s="0" t="n">
        <f aca="false">IF(Presupuesto!$B$23='Flujo de Pagos'!$E81,23,9999)</f>
        <v>23</v>
      </c>
      <c r="AR81" s="0" t="n">
        <f aca="false">IF(Presupuesto!$B$24='Flujo de Pagos'!$E81,24,9999)</f>
        <v>24</v>
      </c>
      <c r="AS81" s="0" t="n">
        <f aca="false">IF(Presupuesto!$B$25='Flujo de Pagos'!$E81,25,9999)</f>
        <v>25</v>
      </c>
      <c r="AT81" s="0" t="n">
        <f aca="false">IF(Presupuesto!$B$26='Flujo de Pagos'!$E81,26,9999)</f>
        <v>26</v>
      </c>
      <c r="AU81" s="0" t="n">
        <f aca="false">IF(Presupuesto!$B$27='Flujo de Pagos'!$E81,27,9999)</f>
        <v>27</v>
      </c>
      <c r="AV81" s="0" t="n">
        <f aca="false">IF(Presupuesto!$B$28='Flujo de Pagos'!$E81,28,9999)</f>
        <v>28</v>
      </c>
      <c r="AW81" s="0" t="n">
        <f aca="false">IF(Presupuesto!$B$29='Flujo de Pagos'!$E81,29,9999)</f>
        <v>29</v>
      </c>
      <c r="AX81" s="0" t="n">
        <f aca="false">IF(Presupuesto!$B$30='Flujo de Pagos'!$E81,30,9999)</f>
        <v>30</v>
      </c>
      <c r="AY81" s="0" t="n">
        <f aca="false">IF(Presupuesto!$B$31='Flujo de Pagos'!$E81,31,9999)</f>
        <v>31</v>
      </c>
      <c r="AZ81" s="0" t="n">
        <f aca="false">IF(Presupuesto!$B$32='Flujo de Pagos'!$E81,32,9999)</f>
        <v>32</v>
      </c>
      <c r="BA81" s="0" t="n">
        <f aca="false">IF(Presupuesto!$B$33='Flujo de Pagos'!$E81,33,9999)</f>
        <v>33</v>
      </c>
      <c r="BB81" s="0" t="n">
        <f aca="false">IF(Presupuesto!$B$34='Flujo de Pagos'!$E81,34,9999)</f>
        <v>34</v>
      </c>
      <c r="BC81" s="0" t="n">
        <f aca="false">IF(Presupuesto!$B$35='Flujo de Pagos'!$E81,35,9999)</f>
        <v>35</v>
      </c>
      <c r="BD81" s="0" t="n">
        <f aca="false">IF(Presupuesto!$B$36='Flujo de Pagos'!$E81,36,9999)</f>
        <v>36</v>
      </c>
      <c r="BE81" s="0" t="n">
        <f aca="false">IF(Presupuesto!$B$37='Flujo de Pagos'!$E81,37,9999)</f>
        <v>37</v>
      </c>
      <c r="BF81" s="0" t="n">
        <f aca="false">IF(Presupuesto!$B$38='Flujo de Pagos'!$E81,38,9999)</f>
        <v>38</v>
      </c>
      <c r="BG81" s="0" t="n">
        <f aca="false">IF(Presupuesto!$B$39='Flujo de Pagos'!$E81,39,9999)</f>
        <v>39</v>
      </c>
      <c r="BH81" s="0" t="n">
        <f aca="false">IF(Presupuesto!$B$40='Flujo de Pagos'!$E81,40,9999)</f>
        <v>40</v>
      </c>
      <c r="BI81" s="0" t="n">
        <f aca="false">IF(Presupuesto!$B$41='Flujo de Pagos'!$E81,41,9999)</f>
        <v>41</v>
      </c>
      <c r="BJ81" s="0" t="n">
        <f aca="false">IF(Presupuesto!$B$42='Flujo de Pagos'!$E81,42,9999)</f>
        <v>42</v>
      </c>
      <c r="BK81" s="0" t="n">
        <f aca="false">IF(Presupuesto!$B$43='Flujo de Pagos'!$E81,43,9999)</f>
        <v>43</v>
      </c>
      <c r="BL81" s="0" t="n">
        <f aca="false">IF(Presupuesto!$B$44='Flujo de Pagos'!$E81,44,9999)</f>
        <v>44</v>
      </c>
      <c r="BM81" s="0" t="n">
        <f aca="false">IF(Presupuesto!$B$45='Flujo de Pagos'!$E81,45,9999)</f>
        <v>45</v>
      </c>
      <c r="BN81" s="0" t="n">
        <f aca="false">IF(Presupuesto!$B$46='Flujo de Pagos'!$E81,46,9999)</f>
        <v>46</v>
      </c>
      <c r="BO81" s="0" t="n">
        <f aca="false">IF(Presupuesto!$B$47='Flujo de Pagos'!$E81,47,9999)</f>
        <v>47</v>
      </c>
      <c r="BP81" s="0" t="n">
        <f aca="false">IF(Presupuesto!$B$48='Flujo de Pagos'!$E81,48,9999)</f>
        <v>48</v>
      </c>
      <c r="BQ81" s="0" t="n">
        <f aca="false">IF(Presupuesto!$B$49='Flujo de Pagos'!$E81,49,9999)</f>
        <v>49</v>
      </c>
      <c r="BR81" s="0" t="n">
        <f aca="false">IF(Presupuesto!$B$50='Flujo de Pagos'!$E81,50,9999)</f>
        <v>50</v>
      </c>
      <c r="BS81" s="0" t="n">
        <f aca="false">IF(Presupuesto!$B$51='Flujo de Pagos'!$E81,51,9999)</f>
        <v>51</v>
      </c>
      <c r="BT81" s="0" t="n">
        <f aca="false">IF(Presupuesto!$B$52='Flujo de Pagos'!$E81,52,9999)</f>
        <v>52</v>
      </c>
      <c r="BU81" s="0" t="n">
        <f aca="false">IF(Presupuesto!$B$53='Flujo de Pagos'!$E81,53,9999)</f>
        <v>53</v>
      </c>
      <c r="BV81" s="0" t="n">
        <f aca="false">IF(Presupuesto!$B$54='Flujo de Pagos'!$E81,54,9999)</f>
        <v>54</v>
      </c>
      <c r="BW81" s="0" t="n">
        <f aca="false">IF(Presupuesto!$B$55='Flujo de Pagos'!$E81,55,9999)</f>
        <v>55</v>
      </c>
      <c r="BX81" s="0" t="n">
        <f aca="false">IF(Presupuesto!$B$56='Flujo de Pagos'!$E81,56,9999)</f>
        <v>56</v>
      </c>
      <c r="BY81" s="0" t="n">
        <f aca="false">IF(Presupuesto!$B$57='Flujo de Pagos'!$E81,57,9999)</f>
        <v>57</v>
      </c>
      <c r="BZ81" s="0" t="n">
        <f aca="false">IF(Presupuesto!$B$58='Flujo de Pagos'!$E81,58,9999)</f>
        <v>58</v>
      </c>
      <c r="CA81" s="0" t="n">
        <f aca="false">IF(Presupuesto!$B$59='Flujo de Pagos'!$E81,59,9999)</f>
        <v>59</v>
      </c>
      <c r="CB81" s="0" t="n">
        <f aca="false">IF(Presupuesto!$B$60='Flujo de Pagos'!$E81,60,9999)</f>
        <v>60</v>
      </c>
      <c r="CC81" s="0" t="n">
        <f aca="false">IF(Presupuesto!$B$61='Flujo de Pagos'!$E81,61,9999)</f>
        <v>61</v>
      </c>
      <c r="CD81" s="0" t="n">
        <f aca="false">IF(Presupuesto!$B$62='Flujo de Pagos'!$E81,62,9999)</f>
        <v>62</v>
      </c>
      <c r="CE81" s="0" t="n">
        <f aca="false">IF(Presupuesto!$B$63='Flujo de Pagos'!$E81,63,9999)</f>
        <v>63</v>
      </c>
      <c r="CF81" s="0" t="n">
        <f aca="false">IF(Presupuesto!$B$64='Flujo de Pagos'!$E81,64,9999)</f>
        <v>64</v>
      </c>
      <c r="CG81" s="0" t="n">
        <f aca="false">IF(Presupuesto!$B$65='Flujo de Pagos'!$E81,65,9999)</f>
        <v>65</v>
      </c>
      <c r="CH81" s="0" t="n">
        <f aca="false">IF(Presupuesto!$B$66='Flujo de Pagos'!$E81,66,9999)</f>
        <v>66</v>
      </c>
    </row>
    <row r="82" customFormat="false" ht="15" hidden="false" customHeight="true" outlineLevel="0" collapsed="false">
      <c r="B82" s="1" t="n">
        <f aca="false">IF(AND('Flujo de Pagos'!E87=Carátula!$B$2,'Flujo de Pagos'!F87=Carátula!$B$4,'Flujo de Pagos'!H87&lt;&gt;""),87,99999)</f>
        <v>99999</v>
      </c>
      <c r="H82" s="1" t="n">
        <f aca="false">IF(SMALL($AA82:$CH82,1)&gt;=9999,"",INDEX(Presupuesto!$C:$C,SMALL($AA82:$CH82,1)))</f>
        <v>0</v>
      </c>
      <c r="I82" s="1" t="n">
        <f aca="false">IF(SMALL($AA82:$CH82,2)&gt;=9999,"",INDEX(Presupuesto!$C:$C,SMALL($AA82:$CH82,2)))</f>
        <v>0</v>
      </c>
      <c r="J82" s="1" t="n">
        <f aca="false">IF(SMALL($AA82:$CH82,3)&gt;=9999,"",INDEX(Presupuesto!$C:$C,SMALL($AA82:$CH82,3)))</f>
        <v>0</v>
      </c>
      <c r="K82" s="1" t="n">
        <f aca="false">IF(SMALL($AA82:$CH82,4)&gt;=9999,"",INDEX(Presupuesto!$C:$C,SMALL($AA82:$CH82,4)))</f>
        <v>0</v>
      </c>
      <c r="L82" s="1" t="n">
        <f aca="false">IF(SMALL($AA82:$CH82,5)&gt;=9999,"",INDEX(Presupuesto!$C:$C,SMALL($AA82:$CH82,5)))</f>
        <v>0</v>
      </c>
      <c r="M82" s="1" t="n">
        <f aca="false">IF(SMALL($AA82:$CH82,6)&gt;=9999,"",INDEX(Presupuesto!$C:$C,SMALL($AA82:$CH82,6)))</f>
        <v>0</v>
      </c>
      <c r="N82" s="1" t="n">
        <f aca="false">IF(SMALL($AA82:$CH82,7)&gt;=9999,"",INDEX(Presupuesto!$C:$C,SMALL($AA82:$CH82,7)))</f>
        <v>0</v>
      </c>
      <c r="O82" s="1" t="n">
        <f aca="false">IF(SMALL($AA82:$CH82,8)&gt;=9999,"",INDEX(Presupuesto!$C:$C,SMALL($AA82:$CH82,8)))</f>
        <v>0</v>
      </c>
      <c r="P82" s="1" t="n">
        <f aca="false">IF(SMALL($AA82:$CH82,9)&gt;=9999,"",INDEX(Presupuesto!$C:$C,SMALL($AA82:$CH82,9)))</f>
        <v>0</v>
      </c>
      <c r="Q82" s="1" t="n">
        <f aca="false">IF(SMALL($AA82:$CH82,10)&gt;=9999,"",INDEX(Presupuesto!$C:$C,SMALL($AA82:$CH82,10)))</f>
        <v>0</v>
      </c>
      <c r="AA82" s="0" t="n">
        <f aca="false">IF(Presupuesto!$B$7='Flujo de Pagos'!$E82,7,9999)</f>
        <v>9999</v>
      </c>
      <c r="AB82" s="0" t="n">
        <f aca="false">IF(Presupuesto!$B$8='Flujo de Pagos'!$E82,8,9999)</f>
        <v>9999</v>
      </c>
      <c r="AC82" s="0" t="n">
        <f aca="false">IF(Presupuesto!$B$9='Flujo de Pagos'!$E82,9,9999)</f>
        <v>9999</v>
      </c>
      <c r="AD82" s="0" t="n">
        <f aca="false">IF(Presupuesto!$B$10='Flujo de Pagos'!$E82,10,9999)</f>
        <v>9999</v>
      </c>
      <c r="AE82" s="0" t="n">
        <f aca="false">IF(Presupuesto!$B$11='Flujo de Pagos'!$E82,11,9999)</f>
        <v>9999</v>
      </c>
      <c r="AF82" s="0" t="n">
        <f aca="false">IF(Presupuesto!$B$12='Flujo de Pagos'!$E82,12,9999)</f>
        <v>12</v>
      </c>
      <c r="AG82" s="0" t="n">
        <f aca="false">IF(Presupuesto!$B$13='Flujo de Pagos'!$E82,13,9999)</f>
        <v>13</v>
      </c>
      <c r="AH82" s="0" t="n">
        <f aca="false">IF(Presupuesto!$B$14='Flujo de Pagos'!$E82,14,9999)</f>
        <v>14</v>
      </c>
      <c r="AI82" s="0" t="n">
        <f aca="false">IF(Presupuesto!$B$15='Flujo de Pagos'!$E82,15,9999)</f>
        <v>15</v>
      </c>
      <c r="AJ82" s="0" t="n">
        <f aca="false">IF(Presupuesto!$B$16='Flujo de Pagos'!$E82,16,9999)</f>
        <v>16</v>
      </c>
      <c r="AK82" s="0" t="n">
        <f aca="false">IF(Presupuesto!$B$17='Flujo de Pagos'!$E82,17,9999)</f>
        <v>17</v>
      </c>
      <c r="AL82" s="0" t="n">
        <f aca="false">IF(Presupuesto!$B$18='Flujo de Pagos'!$E82,18,9999)</f>
        <v>18</v>
      </c>
      <c r="AM82" s="0" t="n">
        <f aca="false">IF(Presupuesto!$B$19='Flujo de Pagos'!$E82,19,9999)</f>
        <v>19</v>
      </c>
      <c r="AN82" s="0" t="n">
        <f aca="false">IF(Presupuesto!$B$20='Flujo de Pagos'!$E82,20,9999)</f>
        <v>20</v>
      </c>
      <c r="AO82" s="0" t="n">
        <f aca="false">IF(Presupuesto!$B$21='Flujo de Pagos'!$E82,21,9999)</f>
        <v>21</v>
      </c>
      <c r="AP82" s="0" t="n">
        <f aca="false">IF(Presupuesto!$B$22='Flujo de Pagos'!$E82,22,9999)</f>
        <v>22</v>
      </c>
      <c r="AQ82" s="0" t="n">
        <f aca="false">IF(Presupuesto!$B$23='Flujo de Pagos'!$E82,23,9999)</f>
        <v>23</v>
      </c>
      <c r="AR82" s="0" t="n">
        <f aca="false">IF(Presupuesto!$B$24='Flujo de Pagos'!$E82,24,9999)</f>
        <v>24</v>
      </c>
      <c r="AS82" s="0" t="n">
        <f aca="false">IF(Presupuesto!$B$25='Flujo de Pagos'!$E82,25,9999)</f>
        <v>25</v>
      </c>
      <c r="AT82" s="0" t="n">
        <f aca="false">IF(Presupuesto!$B$26='Flujo de Pagos'!$E82,26,9999)</f>
        <v>26</v>
      </c>
      <c r="AU82" s="0" t="n">
        <f aca="false">IF(Presupuesto!$B$27='Flujo de Pagos'!$E82,27,9999)</f>
        <v>27</v>
      </c>
      <c r="AV82" s="0" t="n">
        <f aca="false">IF(Presupuesto!$B$28='Flujo de Pagos'!$E82,28,9999)</f>
        <v>28</v>
      </c>
      <c r="AW82" s="0" t="n">
        <f aca="false">IF(Presupuesto!$B$29='Flujo de Pagos'!$E82,29,9999)</f>
        <v>29</v>
      </c>
      <c r="AX82" s="0" t="n">
        <f aca="false">IF(Presupuesto!$B$30='Flujo de Pagos'!$E82,30,9999)</f>
        <v>30</v>
      </c>
      <c r="AY82" s="0" t="n">
        <f aca="false">IF(Presupuesto!$B$31='Flujo de Pagos'!$E82,31,9999)</f>
        <v>31</v>
      </c>
      <c r="AZ82" s="0" t="n">
        <f aca="false">IF(Presupuesto!$B$32='Flujo de Pagos'!$E82,32,9999)</f>
        <v>32</v>
      </c>
      <c r="BA82" s="0" t="n">
        <f aca="false">IF(Presupuesto!$B$33='Flujo de Pagos'!$E82,33,9999)</f>
        <v>33</v>
      </c>
      <c r="BB82" s="0" t="n">
        <f aca="false">IF(Presupuesto!$B$34='Flujo de Pagos'!$E82,34,9999)</f>
        <v>34</v>
      </c>
      <c r="BC82" s="0" t="n">
        <f aca="false">IF(Presupuesto!$B$35='Flujo de Pagos'!$E82,35,9999)</f>
        <v>35</v>
      </c>
      <c r="BD82" s="0" t="n">
        <f aca="false">IF(Presupuesto!$B$36='Flujo de Pagos'!$E82,36,9999)</f>
        <v>36</v>
      </c>
      <c r="BE82" s="0" t="n">
        <f aca="false">IF(Presupuesto!$B$37='Flujo de Pagos'!$E82,37,9999)</f>
        <v>37</v>
      </c>
      <c r="BF82" s="0" t="n">
        <f aca="false">IF(Presupuesto!$B$38='Flujo de Pagos'!$E82,38,9999)</f>
        <v>38</v>
      </c>
      <c r="BG82" s="0" t="n">
        <f aca="false">IF(Presupuesto!$B$39='Flujo de Pagos'!$E82,39,9999)</f>
        <v>39</v>
      </c>
      <c r="BH82" s="0" t="n">
        <f aca="false">IF(Presupuesto!$B$40='Flujo de Pagos'!$E82,40,9999)</f>
        <v>40</v>
      </c>
      <c r="BI82" s="0" t="n">
        <f aca="false">IF(Presupuesto!$B$41='Flujo de Pagos'!$E82,41,9999)</f>
        <v>41</v>
      </c>
      <c r="BJ82" s="0" t="n">
        <f aca="false">IF(Presupuesto!$B$42='Flujo de Pagos'!$E82,42,9999)</f>
        <v>42</v>
      </c>
      <c r="BK82" s="0" t="n">
        <f aca="false">IF(Presupuesto!$B$43='Flujo de Pagos'!$E82,43,9999)</f>
        <v>43</v>
      </c>
      <c r="BL82" s="0" t="n">
        <f aca="false">IF(Presupuesto!$B$44='Flujo de Pagos'!$E82,44,9999)</f>
        <v>44</v>
      </c>
      <c r="BM82" s="0" t="n">
        <f aca="false">IF(Presupuesto!$B$45='Flujo de Pagos'!$E82,45,9999)</f>
        <v>45</v>
      </c>
      <c r="BN82" s="0" t="n">
        <f aca="false">IF(Presupuesto!$B$46='Flujo de Pagos'!$E82,46,9999)</f>
        <v>46</v>
      </c>
      <c r="BO82" s="0" t="n">
        <f aca="false">IF(Presupuesto!$B$47='Flujo de Pagos'!$E82,47,9999)</f>
        <v>47</v>
      </c>
      <c r="BP82" s="0" t="n">
        <f aca="false">IF(Presupuesto!$B$48='Flujo de Pagos'!$E82,48,9999)</f>
        <v>48</v>
      </c>
      <c r="BQ82" s="0" t="n">
        <f aca="false">IF(Presupuesto!$B$49='Flujo de Pagos'!$E82,49,9999)</f>
        <v>49</v>
      </c>
      <c r="BR82" s="0" t="n">
        <f aca="false">IF(Presupuesto!$B$50='Flujo de Pagos'!$E82,50,9999)</f>
        <v>50</v>
      </c>
      <c r="BS82" s="0" t="n">
        <f aca="false">IF(Presupuesto!$B$51='Flujo de Pagos'!$E82,51,9999)</f>
        <v>51</v>
      </c>
      <c r="BT82" s="0" t="n">
        <f aca="false">IF(Presupuesto!$B$52='Flujo de Pagos'!$E82,52,9999)</f>
        <v>52</v>
      </c>
      <c r="BU82" s="0" t="n">
        <f aca="false">IF(Presupuesto!$B$53='Flujo de Pagos'!$E82,53,9999)</f>
        <v>53</v>
      </c>
      <c r="BV82" s="0" t="n">
        <f aca="false">IF(Presupuesto!$B$54='Flujo de Pagos'!$E82,54,9999)</f>
        <v>54</v>
      </c>
      <c r="BW82" s="0" t="n">
        <f aca="false">IF(Presupuesto!$B$55='Flujo de Pagos'!$E82,55,9999)</f>
        <v>55</v>
      </c>
      <c r="BX82" s="0" t="n">
        <f aca="false">IF(Presupuesto!$B$56='Flujo de Pagos'!$E82,56,9999)</f>
        <v>56</v>
      </c>
      <c r="BY82" s="0" t="n">
        <f aca="false">IF(Presupuesto!$B$57='Flujo de Pagos'!$E82,57,9999)</f>
        <v>57</v>
      </c>
      <c r="BZ82" s="0" t="n">
        <f aca="false">IF(Presupuesto!$B$58='Flujo de Pagos'!$E82,58,9999)</f>
        <v>58</v>
      </c>
      <c r="CA82" s="0" t="n">
        <f aca="false">IF(Presupuesto!$B$59='Flujo de Pagos'!$E82,59,9999)</f>
        <v>59</v>
      </c>
      <c r="CB82" s="0" t="n">
        <f aca="false">IF(Presupuesto!$B$60='Flujo de Pagos'!$E82,60,9999)</f>
        <v>60</v>
      </c>
      <c r="CC82" s="0" t="n">
        <f aca="false">IF(Presupuesto!$B$61='Flujo de Pagos'!$E82,61,9999)</f>
        <v>61</v>
      </c>
      <c r="CD82" s="0" t="n">
        <f aca="false">IF(Presupuesto!$B$62='Flujo de Pagos'!$E82,62,9999)</f>
        <v>62</v>
      </c>
      <c r="CE82" s="0" t="n">
        <f aca="false">IF(Presupuesto!$B$63='Flujo de Pagos'!$E82,63,9999)</f>
        <v>63</v>
      </c>
      <c r="CF82" s="0" t="n">
        <f aca="false">IF(Presupuesto!$B$64='Flujo de Pagos'!$E82,64,9999)</f>
        <v>64</v>
      </c>
      <c r="CG82" s="0" t="n">
        <f aca="false">IF(Presupuesto!$B$65='Flujo de Pagos'!$E82,65,9999)</f>
        <v>65</v>
      </c>
      <c r="CH82" s="0" t="n">
        <f aca="false">IF(Presupuesto!$B$66='Flujo de Pagos'!$E82,66,9999)</f>
        <v>66</v>
      </c>
    </row>
    <row r="83" customFormat="false" ht="15" hidden="false" customHeight="true" outlineLevel="0" collapsed="false">
      <c r="B83" s="1" t="n">
        <f aca="false">IF(AND('Flujo de Pagos'!E88=Carátula!$B$2,'Flujo de Pagos'!F88=Carátula!$B$4,'Flujo de Pagos'!H88&lt;&gt;""),88,99999)</f>
        <v>99999</v>
      </c>
      <c r="H83" s="1" t="n">
        <f aca="false">IF(SMALL($AA83:$CH83,1)&gt;=9999,"",INDEX(Presupuesto!$C:$C,SMALL($AA83:$CH83,1)))</f>
        <v>0</v>
      </c>
      <c r="I83" s="1" t="n">
        <f aca="false">IF(SMALL($AA83:$CH83,2)&gt;=9999,"",INDEX(Presupuesto!$C:$C,SMALL($AA83:$CH83,2)))</f>
        <v>0</v>
      </c>
      <c r="J83" s="1" t="n">
        <f aca="false">IF(SMALL($AA83:$CH83,3)&gt;=9999,"",INDEX(Presupuesto!$C:$C,SMALL($AA83:$CH83,3)))</f>
        <v>0</v>
      </c>
      <c r="K83" s="1" t="n">
        <f aca="false">IF(SMALL($AA83:$CH83,4)&gt;=9999,"",INDEX(Presupuesto!$C:$C,SMALL($AA83:$CH83,4)))</f>
        <v>0</v>
      </c>
      <c r="L83" s="1" t="n">
        <f aca="false">IF(SMALL($AA83:$CH83,5)&gt;=9999,"",INDEX(Presupuesto!$C:$C,SMALL($AA83:$CH83,5)))</f>
        <v>0</v>
      </c>
      <c r="M83" s="1" t="n">
        <f aca="false">IF(SMALL($AA83:$CH83,6)&gt;=9999,"",INDEX(Presupuesto!$C:$C,SMALL($AA83:$CH83,6)))</f>
        <v>0</v>
      </c>
      <c r="N83" s="1" t="n">
        <f aca="false">IF(SMALL($AA83:$CH83,7)&gt;=9999,"",INDEX(Presupuesto!$C:$C,SMALL($AA83:$CH83,7)))</f>
        <v>0</v>
      </c>
      <c r="O83" s="1" t="n">
        <f aca="false">IF(SMALL($AA83:$CH83,8)&gt;=9999,"",INDEX(Presupuesto!$C:$C,SMALL($AA83:$CH83,8)))</f>
        <v>0</v>
      </c>
      <c r="P83" s="1" t="n">
        <f aca="false">IF(SMALL($AA83:$CH83,9)&gt;=9999,"",INDEX(Presupuesto!$C:$C,SMALL($AA83:$CH83,9)))</f>
        <v>0</v>
      </c>
      <c r="Q83" s="1" t="n">
        <f aca="false">IF(SMALL($AA83:$CH83,10)&gt;=9999,"",INDEX(Presupuesto!$C:$C,SMALL($AA83:$CH83,10)))</f>
        <v>0</v>
      </c>
      <c r="AA83" s="0" t="n">
        <f aca="false">IF(Presupuesto!$B$7='Flujo de Pagos'!$E83,7,9999)</f>
        <v>9999</v>
      </c>
      <c r="AB83" s="0" t="n">
        <f aca="false">IF(Presupuesto!$B$8='Flujo de Pagos'!$E83,8,9999)</f>
        <v>9999</v>
      </c>
      <c r="AC83" s="0" t="n">
        <f aca="false">IF(Presupuesto!$B$9='Flujo de Pagos'!$E83,9,9999)</f>
        <v>9999</v>
      </c>
      <c r="AD83" s="0" t="n">
        <f aca="false">IF(Presupuesto!$B$10='Flujo de Pagos'!$E83,10,9999)</f>
        <v>9999</v>
      </c>
      <c r="AE83" s="0" t="n">
        <f aca="false">IF(Presupuesto!$B$11='Flujo de Pagos'!$E83,11,9999)</f>
        <v>9999</v>
      </c>
      <c r="AF83" s="0" t="n">
        <f aca="false">IF(Presupuesto!$B$12='Flujo de Pagos'!$E83,12,9999)</f>
        <v>12</v>
      </c>
      <c r="AG83" s="0" t="n">
        <f aca="false">IF(Presupuesto!$B$13='Flujo de Pagos'!$E83,13,9999)</f>
        <v>13</v>
      </c>
      <c r="AH83" s="0" t="n">
        <f aca="false">IF(Presupuesto!$B$14='Flujo de Pagos'!$E83,14,9999)</f>
        <v>14</v>
      </c>
      <c r="AI83" s="0" t="n">
        <f aca="false">IF(Presupuesto!$B$15='Flujo de Pagos'!$E83,15,9999)</f>
        <v>15</v>
      </c>
      <c r="AJ83" s="0" t="n">
        <f aca="false">IF(Presupuesto!$B$16='Flujo de Pagos'!$E83,16,9999)</f>
        <v>16</v>
      </c>
      <c r="AK83" s="0" t="n">
        <f aca="false">IF(Presupuesto!$B$17='Flujo de Pagos'!$E83,17,9999)</f>
        <v>17</v>
      </c>
      <c r="AL83" s="0" t="n">
        <f aca="false">IF(Presupuesto!$B$18='Flujo de Pagos'!$E83,18,9999)</f>
        <v>18</v>
      </c>
      <c r="AM83" s="0" t="n">
        <f aca="false">IF(Presupuesto!$B$19='Flujo de Pagos'!$E83,19,9999)</f>
        <v>19</v>
      </c>
      <c r="AN83" s="0" t="n">
        <f aca="false">IF(Presupuesto!$B$20='Flujo de Pagos'!$E83,20,9999)</f>
        <v>20</v>
      </c>
      <c r="AO83" s="0" t="n">
        <f aca="false">IF(Presupuesto!$B$21='Flujo de Pagos'!$E83,21,9999)</f>
        <v>21</v>
      </c>
      <c r="AP83" s="0" t="n">
        <f aca="false">IF(Presupuesto!$B$22='Flujo de Pagos'!$E83,22,9999)</f>
        <v>22</v>
      </c>
      <c r="AQ83" s="0" t="n">
        <f aca="false">IF(Presupuesto!$B$23='Flujo de Pagos'!$E83,23,9999)</f>
        <v>23</v>
      </c>
      <c r="AR83" s="0" t="n">
        <f aca="false">IF(Presupuesto!$B$24='Flujo de Pagos'!$E83,24,9999)</f>
        <v>24</v>
      </c>
      <c r="AS83" s="0" t="n">
        <f aca="false">IF(Presupuesto!$B$25='Flujo de Pagos'!$E83,25,9999)</f>
        <v>25</v>
      </c>
      <c r="AT83" s="0" t="n">
        <f aca="false">IF(Presupuesto!$B$26='Flujo de Pagos'!$E83,26,9999)</f>
        <v>26</v>
      </c>
      <c r="AU83" s="0" t="n">
        <f aca="false">IF(Presupuesto!$B$27='Flujo de Pagos'!$E83,27,9999)</f>
        <v>27</v>
      </c>
      <c r="AV83" s="0" t="n">
        <f aca="false">IF(Presupuesto!$B$28='Flujo de Pagos'!$E83,28,9999)</f>
        <v>28</v>
      </c>
      <c r="AW83" s="0" t="n">
        <f aca="false">IF(Presupuesto!$B$29='Flujo de Pagos'!$E83,29,9999)</f>
        <v>29</v>
      </c>
      <c r="AX83" s="0" t="n">
        <f aca="false">IF(Presupuesto!$B$30='Flujo de Pagos'!$E83,30,9999)</f>
        <v>30</v>
      </c>
      <c r="AY83" s="0" t="n">
        <f aca="false">IF(Presupuesto!$B$31='Flujo de Pagos'!$E83,31,9999)</f>
        <v>31</v>
      </c>
      <c r="AZ83" s="0" t="n">
        <f aca="false">IF(Presupuesto!$B$32='Flujo de Pagos'!$E83,32,9999)</f>
        <v>32</v>
      </c>
      <c r="BA83" s="0" t="n">
        <f aca="false">IF(Presupuesto!$B$33='Flujo de Pagos'!$E83,33,9999)</f>
        <v>33</v>
      </c>
      <c r="BB83" s="0" t="n">
        <f aca="false">IF(Presupuesto!$B$34='Flujo de Pagos'!$E83,34,9999)</f>
        <v>34</v>
      </c>
      <c r="BC83" s="0" t="n">
        <f aca="false">IF(Presupuesto!$B$35='Flujo de Pagos'!$E83,35,9999)</f>
        <v>35</v>
      </c>
      <c r="BD83" s="0" t="n">
        <f aca="false">IF(Presupuesto!$B$36='Flujo de Pagos'!$E83,36,9999)</f>
        <v>36</v>
      </c>
      <c r="BE83" s="0" t="n">
        <f aca="false">IF(Presupuesto!$B$37='Flujo de Pagos'!$E83,37,9999)</f>
        <v>37</v>
      </c>
      <c r="BF83" s="0" t="n">
        <f aca="false">IF(Presupuesto!$B$38='Flujo de Pagos'!$E83,38,9999)</f>
        <v>38</v>
      </c>
      <c r="BG83" s="0" t="n">
        <f aca="false">IF(Presupuesto!$B$39='Flujo de Pagos'!$E83,39,9999)</f>
        <v>39</v>
      </c>
      <c r="BH83" s="0" t="n">
        <f aca="false">IF(Presupuesto!$B$40='Flujo de Pagos'!$E83,40,9999)</f>
        <v>40</v>
      </c>
      <c r="BI83" s="0" t="n">
        <f aca="false">IF(Presupuesto!$B$41='Flujo de Pagos'!$E83,41,9999)</f>
        <v>41</v>
      </c>
      <c r="BJ83" s="0" t="n">
        <f aca="false">IF(Presupuesto!$B$42='Flujo de Pagos'!$E83,42,9999)</f>
        <v>42</v>
      </c>
      <c r="BK83" s="0" t="n">
        <f aca="false">IF(Presupuesto!$B$43='Flujo de Pagos'!$E83,43,9999)</f>
        <v>43</v>
      </c>
      <c r="BL83" s="0" t="n">
        <f aca="false">IF(Presupuesto!$B$44='Flujo de Pagos'!$E83,44,9999)</f>
        <v>44</v>
      </c>
      <c r="BM83" s="0" t="n">
        <f aca="false">IF(Presupuesto!$B$45='Flujo de Pagos'!$E83,45,9999)</f>
        <v>45</v>
      </c>
      <c r="BN83" s="0" t="n">
        <f aca="false">IF(Presupuesto!$B$46='Flujo de Pagos'!$E83,46,9999)</f>
        <v>46</v>
      </c>
      <c r="BO83" s="0" t="n">
        <f aca="false">IF(Presupuesto!$B$47='Flujo de Pagos'!$E83,47,9999)</f>
        <v>47</v>
      </c>
      <c r="BP83" s="0" t="n">
        <f aca="false">IF(Presupuesto!$B$48='Flujo de Pagos'!$E83,48,9999)</f>
        <v>48</v>
      </c>
      <c r="BQ83" s="0" t="n">
        <f aca="false">IF(Presupuesto!$B$49='Flujo de Pagos'!$E83,49,9999)</f>
        <v>49</v>
      </c>
      <c r="BR83" s="0" t="n">
        <f aca="false">IF(Presupuesto!$B$50='Flujo de Pagos'!$E83,50,9999)</f>
        <v>50</v>
      </c>
      <c r="BS83" s="0" t="n">
        <f aca="false">IF(Presupuesto!$B$51='Flujo de Pagos'!$E83,51,9999)</f>
        <v>51</v>
      </c>
      <c r="BT83" s="0" t="n">
        <f aca="false">IF(Presupuesto!$B$52='Flujo de Pagos'!$E83,52,9999)</f>
        <v>52</v>
      </c>
      <c r="BU83" s="0" t="n">
        <f aca="false">IF(Presupuesto!$B$53='Flujo de Pagos'!$E83,53,9999)</f>
        <v>53</v>
      </c>
      <c r="BV83" s="0" t="n">
        <f aca="false">IF(Presupuesto!$B$54='Flujo de Pagos'!$E83,54,9999)</f>
        <v>54</v>
      </c>
      <c r="BW83" s="0" t="n">
        <f aca="false">IF(Presupuesto!$B$55='Flujo de Pagos'!$E83,55,9999)</f>
        <v>55</v>
      </c>
      <c r="BX83" s="0" t="n">
        <f aca="false">IF(Presupuesto!$B$56='Flujo de Pagos'!$E83,56,9999)</f>
        <v>56</v>
      </c>
      <c r="BY83" s="0" t="n">
        <f aca="false">IF(Presupuesto!$B$57='Flujo de Pagos'!$E83,57,9999)</f>
        <v>57</v>
      </c>
      <c r="BZ83" s="0" t="n">
        <f aca="false">IF(Presupuesto!$B$58='Flujo de Pagos'!$E83,58,9999)</f>
        <v>58</v>
      </c>
      <c r="CA83" s="0" t="n">
        <f aca="false">IF(Presupuesto!$B$59='Flujo de Pagos'!$E83,59,9999)</f>
        <v>59</v>
      </c>
      <c r="CB83" s="0" t="n">
        <f aca="false">IF(Presupuesto!$B$60='Flujo de Pagos'!$E83,60,9999)</f>
        <v>60</v>
      </c>
      <c r="CC83" s="0" t="n">
        <f aca="false">IF(Presupuesto!$B$61='Flujo de Pagos'!$E83,61,9999)</f>
        <v>61</v>
      </c>
      <c r="CD83" s="0" t="n">
        <f aca="false">IF(Presupuesto!$B$62='Flujo de Pagos'!$E83,62,9999)</f>
        <v>62</v>
      </c>
      <c r="CE83" s="0" t="n">
        <f aca="false">IF(Presupuesto!$B$63='Flujo de Pagos'!$E83,63,9999)</f>
        <v>63</v>
      </c>
      <c r="CF83" s="0" t="n">
        <f aca="false">IF(Presupuesto!$B$64='Flujo de Pagos'!$E83,64,9999)</f>
        <v>64</v>
      </c>
      <c r="CG83" s="0" t="n">
        <f aca="false">IF(Presupuesto!$B$65='Flujo de Pagos'!$E83,65,9999)</f>
        <v>65</v>
      </c>
      <c r="CH83" s="0" t="n">
        <f aca="false">IF(Presupuesto!$B$66='Flujo de Pagos'!$E83,66,9999)</f>
        <v>66</v>
      </c>
    </row>
    <row r="84" customFormat="false" ht="15" hidden="false" customHeight="true" outlineLevel="0" collapsed="false">
      <c r="B84" s="1" t="n">
        <f aca="false">IF(AND('Flujo de Pagos'!E89=Carátula!$B$2,'Flujo de Pagos'!F89=Carátula!$B$4,'Flujo de Pagos'!H89&lt;&gt;""),89,99999)</f>
        <v>99999</v>
      </c>
      <c r="H84" s="1" t="n">
        <f aca="false">IF(SMALL($AA84:$CH84,1)&gt;=9999,"",INDEX(Presupuesto!$C:$C,SMALL($AA84:$CH84,1)))</f>
        <v>0</v>
      </c>
      <c r="I84" s="1" t="n">
        <f aca="false">IF(SMALL($AA84:$CH84,2)&gt;=9999,"",INDEX(Presupuesto!$C:$C,SMALL($AA84:$CH84,2)))</f>
        <v>0</v>
      </c>
      <c r="J84" s="1" t="n">
        <f aca="false">IF(SMALL($AA84:$CH84,3)&gt;=9999,"",INDEX(Presupuesto!$C:$C,SMALL($AA84:$CH84,3)))</f>
        <v>0</v>
      </c>
      <c r="K84" s="1" t="n">
        <f aca="false">IF(SMALL($AA84:$CH84,4)&gt;=9999,"",INDEX(Presupuesto!$C:$C,SMALL($AA84:$CH84,4)))</f>
        <v>0</v>
      </c>
      <c r="L84" s="1" t="n">
        <f aca="false">IF(SMALL($AA84:$CH84,5)&gt;=9999,"",INDEX(Presupuesto!$C:$C,SMALL($AA84:$CH84,5)))</f>
        <v>0</v>
      </c>
      <c r="M84" s="1" t="n">
        <f aca="false">IF(SMALL($AA84:$CH84,6)&gt;=9999,"",INDEX(Presupuesto!$C:$C,SMALL($AA84:$CH84,6)))</f>
        <v>0</v>
      </c>
      <c r="N84" s="1" t="n">
        <f aca="false">IF(SMALL($AA84:$CH84,7)&gt;=9999,"",INDEX(Presupuesto!$C:$C,SMALL($AA84:$CH84,7)))</f>
        <v>0</v>
      </c>
      <c r="O84" s="1" t="n">
        <f aca="false">IF(SMALL($AA84:$CH84,8)&gt;=9999,"",INDEX(Presupuesto!$C:$C,SMALL($AA84:$CH84,8)))</f>
        <v>0</v>
      </c>
      <c r="P84" s="1" t="n">
        <f aca="false">IF(SMALL($AA84:$CH84,9)&gt;=9999,"",INDEX(Presupuesto!$C:$C,SMALL($AA84:$CH84,9)))</f>
        <v>0</v>
      </c>
      <c r="Q84" s="1" t="n">
        <f aca="false">IF(SMALL($AA84:$CH84,10)&gt;=9999,"",INDEX(Presupuesto!$C:$C,SMALL($AA84:$CH84,10)))</f>
        <v>0</v>
      </c>
      <c r="AA84" s="0" t="n">
        <f aca="false">IF(Presupuesto!$B$7='Flujo de Pagos'!$E84,7,9999)</f>
        <v>9999</v>
      </c>
      <c r="AB84" s="0" t="n">
        <f aca="false">IF(Presupuesto!$B$8='Flujo de Pagos'!$E84,8,9999)</f>
        <v>9999</v>
      </c>
      <c r="AC84" s="0" t="n">
        <f aca="false">IF(Presupuesto!$B$9='Flujo de Pagos'!$E84,9,9999)</f>
        <v>9999</v>
      </c>
      <c r="AD84" s="0" t="n">
        <f aca="false">IF(Presupuesto!$B$10='Flujo de Pagos'!$E84,10,9999)</f>
        <v>9999</v>
      </c>
      <c r="AE84" s="0" t="n">
        <f aca="false">IF(Presupuesto!$B$11='Flujo de Pagos'!$E84,11,9999)</f>
        <v>9999</v>
      </c>
      <c r="AF84" s="0" t="n">
        <f aca="false">IF(Presupuesto!$B$12='Flujo de Pagos'!$E84,12,9999)</f>
        <v>12</v>
      </c>
      <c r="AG84" s="0" t="n">
        <f aca="false">IF(Presupuesto!$B$13='Flujo de Pagos'!$E84,13,9999)</f>
        <v>13</v>
      </c>
      <c r="AH84" s="0" t="n">
        <f aca="false">IF(Presupuesto!$B$14='Flujo de Pagos'!$E84,14,9999)</f>
        <v>14</v>
      </c>
      <c r="AI84" s="0" t="n">
        <f aca="false">IF(Presupuesto!$B$15='Flujo de Pagos'!$E84,15,9999)</f>
        <v>15</v>
      </c>
      <c r="AJ84" s="0" t="n">
        <f aca="false">IF(Presupuesto!$B$16='Flujo de Pagos'!$E84,16,9999)</f>
        <v>16</v>
      </c>
      <c r="AK84" s="0" t="n">
        <f aca="false">IF(Presupuesto!$B$17='Flujo de Pagos'!$E84,17,9999)</f>
        <v>17</v>
      </c>
      <c r="AL84" s="0" t="n">
        <f aca="false">IF(Presupuesto!$B$18='Flujo de Pagos'!$E84,18,9999)</f>
        <v>18</v>
      </c>
      <c r="AM84" s="0" t="n">
        <f aca="false">IF(Presupuesto!$B$19='Flujo de Pagos'!$E84,19,9999)</f>
        <v>19</v>
      </c>
      <c r="AN84" s="0" t="n">
        <f aca="false">IF(Presupuesto!$B$20='Flujo de Pagos'!$E84,20,9999)</f>
        <v>20</v>
      </c>
      <c r="AO84" s="0" t="n">
        <f aca="false">IF(Presupuesto!$B$21='Flujo de Pagos'!$E84,21,9999)</f>
        <v>21</v>
      </c>
      <c r="AP84" s="0" t="n">
        <f aca="false">IF(Presupuesto!$B$22='Flujo de Pagos'!$E84,22,9999)</f>
        <v>22</v>
      </c>
      <c r="AQ84" s="0" t="n">
        <f aca="false">IF(Presupuesto!$B$23='Flujo de Pagos'!$E84,23,9999)</f>
        <v>23</v>
      </c>
      <c r="AR84" s="0" t="n">
        <f aca="false">IF(Presupuesto!$B$24='Flujo de Pagos'!$E84,24,9999)</f>
        <v>24</v>
      </c>
      <c r="AS84" s="0" t="n">
        <f aca="false">IF(Presupuesto!$B$25='Flujo de Pagos'!$E84,25,9999)</f>
        <v>25</v>
      </c>
      <c r="AT84" s="0" t="n">
        <f aca="false">IF(Presupuesto!$B$26='Flujo de Pagos'!$E84,26,9999)</f>
        <v>26</v>
      </c>
      <c r="AU84" s="0" t="n">
        <f aca="false">IF(Presupuesto!$B$27='Flujo de Pagos'!$E84,27,9999)</f>
        <v>27</v>
      </c>
      <c r="AV84" s="0" t="n">
        <f aca="false">IF(Presupuesto!$B$28='Flujo de Pagos'!$E84,28,9999)</f>
        <v>28</v>
      </c>
      <c r="AW84" s="0" t="n">
        <f aca="false">IF(Presupuesto!$B$29='Flujo de Pagos'!$E84,29,9999)</f>
        <v>29</v>
      </c>
      <c r="AX84" s="0" t="n">
        <f aca="false">IF(Presupuesto!$B$30='Flujo de Pagos'!$E84,30,9999)</f>
        <v>30</v>
      </c>
      <c r="AY84" s="0" t="n">
        <f aca="false">IF(Presupuesto!$B$31='Flujo de Pagos'!$E84,31,9999)</f>
        <v>31</v>
      </c>
      <c r="AZ84" s="0" t="n">
        <f aca="false">IF(Presupuesto!$B$32='Flujo de Pagos'!$E84,32,9999)</f>
        <v>32</v>
      </c>
      <c r="BA84" s="0" t="n">
        <f aca="false">IF(Presupuesto!$B$33='Flujo de Pagos'!$E84,33,9999)</f>
        <v>33</v>
      </c>
      <c r="BB84" s="0" t="n">
        <f aca="false">IF(Presupuesto!$B$34='Flujo de Pagos'!$E84,34,9999)</f>
        <v>34</v>
      </c>
      <c r="BC84" s="0" t="n">
        <f aca="false">IF(Presupuesto!$B$35='Flujo de Pagos'!$E84,35,9999)</f>
        <v>35</v>
      </c>
      <c r="BD84" s="0" t="n">
        <f aca="false">IF(Presupuesto!$B$36='Flujo de Pagos'!$E84,36,9999)</f>
        <v>36</v>
      </c>
      <c r="BE84" s="0" t="n">
        <f aca="false">IF(Presupuesto!$B$37='Flujo de Pagos'!$E84,37,9999)</f>
        <v>37</v>
      </c>
      <c r="BF84" s="0" t="n">
        <f aca="false">IF(Presupuesto!$B$38='Flujo de Pagos'!$E84,38,9999)</f>
        <v>38</v>
      </c>
      <c r="BG84" s="0" t="n">
        <f aca="false">IF(Presupuesto!$B$39='Flujo de Pagos'!$E84,39,9999)</f>
        <v>39</v>
      </c>
      <c r="BH84" s="0" t="n">
        <f aca="false">IF(Presupuesto!$B$40='Flujo de Pagos'!$E84,40,9999)</f>
        <v>40</v>
      </c>
      <c r="BI84" s="0" t="n">
        <f aca="false">IF(Presupuesto!$B$41='Flujo de Pagos'!$E84,41,9999)</f>
        <v>41</v>
      </c>
      <c r="BJ84" s="0" t="n">
        <f aca="false">IF(Presupuesto!$B$42='Flujo de Pagos'!$E84,42,9999)</f>
        <v>42</v>
      </c>
      <c r="BK84" s="0" t="n">
        <f aca="false">IF(Presupuesto!$B$43='Flujo de Pagos'!$E84,43,9999)</f>
        <v>43</v>
      </c>
      <c r="BL84" s="0" t="n">
        <f aca="false">IF(Presupuesto!$B$44='Flujo de Pagos'!$E84,44,9999)</f>
        <v>44</v>
      </c>
      <c r="BM84" s="0" t="n">
        <f aca="false">IF(Presupuesto!$B$45='Flujo de Pagos'!$E84,45,9999)</f>
        <v>45</v>
      </c>
      <c r="BN84" s="0" t="n">
        <f aca="false">IF(Presupuesto!$B$46='Flujo de Pagos'!$E84,46,9999)</f>
        <v>46</v>
      </c>
      <c r="BO84" s="0" t="n">
        <f aca="false">IF(Presupuesto!$B$47='Flujo de Pagos'!$E84,47,9999)</f>
        <v>47</v>
      </c>
      <c r="BP84" s="0" t="n">
        <f aca="false">IF(Presupuesto!$B$48='Flujo de Pagos'!$E84,48,9999)</f>
        <v>48</v>
      </c>
      <c r="BQ84" s="0" t="n">
        <f aca="false">IF(Presupuesto!$B$49='Flujo de Pagos'!$E84,49,9999)</f>
        <v>49</v>
      </c>
      <c r="BR84" s="0" t="n">
        <f aca="false">IF(Presupuesto!$B$50='Flujo de Pagos'!$E84,50,9999)</f>
        <v>50</v>
      </c>
      <c r="BS84" s="0" t="n">
        <f aca="false">IF(Presupuesto!$B$51='Flujo de Pagos'!$E84,51,9999)</f>
        <v>51</v>
      </c>
      <c r="BT84" s="0" t="n">
        <f aca="false">IF(Presupuesto!$B$52='Flujo de Pagos'!$E84,52,9999)</f>
        <v>52</v>
      </c>
      <c r="BU84" s="0" t="n">
        <f aca="false">IF(Presupuesto!$B$53='Flujo de Pagos'!$E84,53,9999)</f>
        <v>53</v>
      </c>
      <c r="BV84" s="0" t="n">
        <f aca="false">IF(Presupuesto!$B$54='Flujo de Pagos'!$E84,54,9999)</f>
        <v>54</v>
      </c>
      <c r="BW84" s="0" t="n">
        <f aca="false">IF(Presupuesto!$B$55='Flujo de Pagos'!$E84,55,9999)</f>
        <v>55</v>
      </c>
      <c r="BX84" s="0" t="n">
        <f aca="false">IF(Presupuesto!$B$56='Flujo de Pagos'!$E84,56,9999)</f>
        <v>56</v>
      </c>
      <c r="BY84" s="0" t="n">
        <f aca="false">IF(Presupuesto!$B$57='Flujo de Pagos'!$E84,57,9999)</f>
        <v>57</v>
      </c>
      <c r="BZ84" s="0" t="n">
        <f aca="false">IF(Presupuesto!$B$58='Flujo de Pagos'!$E84,58,9999)</f>
        <v>58</v>
      </c>
      <c r="CA84" s="0" t="n">
        <f aca="false">IF(Presupuesto!$B$59='Flujo de Pagos'!$E84,59,9999)</f>
        <v>59</v>
      </c>
      <c r="CB84" s="0" t="n">
        <f aca="false">IF(Presupuesto!$B$60='Flujo de Pagos'!$E84,60,9999)</f>
        <v>60</v>
      </c>
      <c r="CC84" s="0" t="n">
        <f aca="false">IF(Presupuesto!$B$61='Flujo de Pagos'!$E84,61,9999)</f>
        <v>61</v>
      </c>
      <c r="CD84" s="0" t="n">
        <f aca="false">IF(Presupuesto!$B$62='Flujo de Pagos'!$E84,62,9999)</f>
        <v>62</v>
      </c>
      <c r="CE84" s="0" t="n">
        <f aca="false">IF(Presupuesto!$B$63='Flujo de Pagos'!$E84,63,9999)</f>
        <v>63</v>
      </c>
      <c r="CF84" s="0" t="n">
        <f aca="false">IF(Presupuesto!$B$64='Flujo de Pagos'!$E84,64,9999)</f>
        <v>64</v>
      </c>
      <c r="CG84" s="0" t="n">
        <f aca="false">IF(Presupuesto!$B$65='Flujo de Pagos'!$E84,65,9999)</f>
        <v>65</v>
      </c>
      <c r="CH84" s="0" t="n">
        <f aca="false">IF(Presupuesto!$B$66='Flujo de Pagos'!$E84,66,9999)</f>
        <v>66</v>
      </c>
    </row>
    <row r="85" customFormat="false" ht="15" hidden="false" customHeight="true" outlineLevel="0" collapsed="false">
      <c r="B85" s="1" t="n">
        <f aca="false">IF(AND('Flujo de Pagos'!E90=Carátula!$B$2,'Flujo de Pagos'!F90=Carátula!$B$4,'Flujo de Pagos'!H90&lt;&gt;""),90,99999)</f>
        <v>99999</v>
      </c>
      <c r="H85" s="1" t="n">
        <f aca="false">IF(SMALL($AA85:$CH85,1)&gt;=9999,"",INDEX(Presupuesto!$C:$C,SMALL($AA85:$CH85,1)))</f>
        <v>0</v>
      </c>
      <c r="I85" s="1" t="n">
        <f aca="false">IF(SMALL($AA85:$CH85,2)&gt;=9999,"",INDEX(Presupuesto!$C:$C,SMALL($AA85:$CH85,2)))</f>
        <v>0</v>
      </c>
      <c r="J85" s="1" t="n">
        <f aca="false">IF(SMALL($AA85:$CH85,3)&gt;=9999,"",INDEX(Presupuesto!$C:$C,SMALL($AA85:$CH85,3)))</f>
        <v>0</v>
      </c>
      <c r="K85" s="1" t="n">
        <f aca="false">IF(SMALL($AA85:$CH85,4)&gt;=9999,"",INDEX(Presupuesto!$C:$C,SMALL($AA85:$CH85,4)))</f>
        <v>0</v>
      </c>
      <c r="L85" s="1" t="n">
        <f aca="false">IF(SMALL($AA85:$CH85,5)&gt;=9999,"",INDEX(Presupuesto!$C:$C,SMALL($AA85:$CH85,5)))</f>
        <v>0</v>
      </c>
      <c r="M85" s="1" t="n">
        <f aca="false">IF(SMALL($AA85:$CH85,6)&gt;=9999,"",INDEX(Presupuesto!$C:$C,SMALL($AA85:$CH85,6)))</f>
        <v>0</v>
      </c>
      <c r="N85" s="1" t="n">
        <f aca="false">IF(SMALL($AA85:$CH85,7)&gt;=9999,"",INDEX(Presupuesto!$C:$C,SMALL($AA85:$CH85,7)))</f>
        <v>0</v>
      </c>
      <c r="O85" s="1" t="n">
        <f aca="false">IF(SMALL($AA85:$CH85,8)&gt;=9999,"",INDEX(Presupuesto!$C:$C,SMALL($AA85:$CH85,8)))</f>
        <v>0</v>
      </c>
      <c r="P85" s="1" t="n">
        <f aca="false">IF(SMALL($AA85:$CH85,9)&gt;=9999,"",INDEX(Presupuesto!$C:$C,SMALL($AA85:$CH85,9)))</f>
        <v>0</v>
      </c>
      <c r="Q85" s="1" t="n">
        <f aca="false">IF(SMALL($AA85:$CH85,10)&gt;=9999,"",INDEX(Presupuesto!$C:$C,SMALL($AA85:$CH85,10)))</f>
        <v>0</v>
      </c>
      <c r="AA85" s="0" t="n">
        <f aca="false">IF(Presupuesto!$B$7='Flujo de Pagos'!$E85,7,9999)</f>
        <v>9999</v>
      </c>
      <c r="AB85" s="0" t="n">
        <f aca="false">IF(Presupuesto!$B$8='Flujo de Pagos'!$E85,8,9999)</f>
        <v>9999</v>
      </c>
      <c r="AC85" s="0" t="n">
        <f aca="false">IF(Presupuesto!$B$9='Flujo de Pagos'!$E85,9,9999)</f>
        <v>9999</v>
      </c>
      <c r="AD85" s="0" t="n">
        <f aca="false">IF(Presupuesto!$B$10='Flujo de Pagos'!$E85,10,9999)</f>
        <v>9999</v>
      </c>
      <c r="AE85" s="0" t="n">
        <f aca="false">IF(Presupuesto!$B$11='Flujo de Pagos'!$E85,11,9999)</f>
        <v>9999</v>
      </c>
      <c r="AF85" s="0" t="n">
        <f aca="false">IF(Presupuesto!$B$12='Flujo de Pagos'!$E85,12,9999)</f>
        <v>12</v>
      </c>
      <c r="AG85" s="0" t="n">
        <f aca="false">IF(Presupuesto!$B$13='Flujo de Pagos'!$E85,13,9999)</f>
        <v>13</v>
      </c>
      <c r="AH85" s="0" t="n">
        <f aca="false">IF(Presupuesto!$B$14='Flujo de Pagos'!$E85,14,9999)</f>
        <v>14</v>
      </c>
      <c r="AI85" s="0" t="n">
        <f aca="false">IF(Presupuesto!$B$15='Flujo de Pagos'!$E85,15,9999)</f>
        <v>15</v>
      </c>
      <c r="AJ85" s="0" t="n">
        <f aca="false">IF(Presupuesto!$B$16='Flujo de Pagos'!$E85,16,9999)</f>
        <v>16</v>
      </c>
      <c r="AK85" s="0" t="n">
        <f aca="false">IF(Presupuesto!$B$17='Flujo de Pagos'!$E85,17,9999)</f>
        <v>17</v>
      </c>
      <c r="AL85" s="0" t="n">
        <f aca="false">IF(Presupuesto!$B$18='Flujo de Pagos'!$E85,18,9999)</f>
        <v>18</v>
      </c>
      <c r="AM85" s="0" t="n">
        <f aca="false">IF(Presupuesto!$B$19='Flujo de Pagos'!$E85,19,9999)</f>
        <v>19</v>
      </c>
      <c r="AN85" s="0" t="n">
        <f aca="false">IF(Presupuesto!$B$20='Flujo de Pagos'!$E85,20,9999)</f>
        <v>20</v>
      </c>
      <c r="AO85" s="0" t="n">
        <f aca="false">IF(Presupuesto!$B$21='Flujo de Pagos'!$E85,21,9999)</f>
        <v>21</v>
      </c>
      <c r="AP85" s="0" t="n">
        <f aca="false">IF(Presupuesto!$B$22='Flujo de Pagos'!$E85,22,9999)</f>
        <v>22</v>
      </c>
      <c r="AQ85" s="0" t="n">
        <f aca="false">IF(Presupuesto!$B$23='Flujo de Pagos'!$E85,23,9999)</f>
        <v>23</v>
      </c>
      <c r="AR85" s="0" t="n">
        <f aca="false">IF(Presupuesto!$B$24='Flujo de Pagos'!$E85,24,9999)</f>
        <v>24</v>
      </c>
      <c r="AS85" s="0" t="n">
        <f aca="false">IF(Presupuesto!$B$25='Flujo de Pagos'!$E85,25,9999)</f>
        <v>25</v>
      </c>
      <c r="AT85" s="0" t="n">
        <f aca="false">IF(Presupuesto!$B$26='Flujo de Pagos'!$E85,26,9999)</f>
        <v>26</v>
      </c>
      <c r="AU85" s="0" t="n">
        <f aca="false">IF(Presupuesto!$B$27='Flujo de Pagos'!$E85,27,9999)</f>
        <v>27</v>
      </c>
      <c r="AV85" s="0" t="n">
        <f aca="false">IF(Presupuesto!$B$28='Flujo de Pagos'!$E85,28,9999)</f>
        <v>28</v>
      </c>
      <c r="AW85" s="0" t="n">
        <f aca="false">IF(Presupuesto!$B$29='Flujo de Pagos'!$E85,29,9999)</f>
        <v>29</v>
      </c>
      <c r="AX85" s="0" t="n">
        <f aca="false">IF(Presupuesto!$B$30='Flujo de Pagos'!$E85,30,9999)</f>
        <v>30</v>
      </c>
      <c r="AY85" s="0" t="n">
        <f aca="false">IF(Presupuesto!$B$31='Flujo de Pagos'!$E85,31,9999)</f>
        <v>31</v>
      </c>
      <c r="AZ85" s="0" t="n">
        <f aca="false">IF(Presupuesto!$B$32='Flujo de Pagos'!$E85,32,9999)</f>
        <v>32</v>
      </c>
      <c r="BA85" s="0" t="n">
        <f aca="false">IF(Presupuesto!$B$33='Flujo de Pagos'!$E85,33,9999)</f>
        <v>33</v>
      </c>
      <c r="BB85" s="0" t="n">
        <f aca="false">IF(Presupuesto!$B$34='Flujo de Pagos'!$E85,34,9999)</f>
        <v>34</v>
      </c>
      <c r="BC85" s="0" t="n">
        <f aca="false">IF(Presupuesto!$B$35='Flujo de Pagos'!$E85,35,9999)</f>
        <v>35</v>
      </c>
      <c r="BD85" s="0" t="n">
        <f aca="false">IF(Presupuesto!$B$36='Flujo de Pagos'!$E85,36,9999)</f>
        <v>36</v>
      </c>
      <c r="BE85" s="0" t="n">
        <f aca="false">IF(Presupuesto!$B$37='Flujo de Pagos'!$E85,37,9999)</f>
        <v>37</v>
      </c>
      <c r="BF85" s="0" t="n">
        <f aca="false">IF(Presupuesto!$B$38='Flujo de Pagos'!$E85,38,9999)</f>
        <v>38</v>
      </c>
      <c r="BG85" s="0" t="n">
        <f aca="false">IF(Presupuesto!$B$39='Flujo de Pagos'!$E85,39,9999)</f>
        <v>39</v>
      </c>
      <c r="BH85" s="0" t="n">
        <f aca="false">IF(Presupuesto!$B$40='Flujo de Pagos'!$E85,40,9999)</f>
        <v>40</v>
      </c>
      <c r="BI85" s="0" t="n">
        <f aca="false">IF(Presupuesto!$B$41='Flujo de Pagos'!$E85,41,9999)</f>
        <v>41</v>
      </c>
      <c r="BJ85" s="0" t="n">
        <f aca="false">IF(Presupuesto!$B$42='Flujo de Pagos'!$E85,42,9999)</f>
        <v>42</v>
      </c>
      <c r="BK85" s="0" t="n">
        <f aca="false">IF(Presupuesto!$B$43='Flujo de Pagos'!$E85,43,9999)</f>
        <v>43</v>
      </c>
      <c r="BL85" s="0" t="n">
        <f aca="false">IF(Presupuesto!$B$44='Flujo de Pagos'!$E85,44,9999)</f>
        <v>44</v>
      </c>
      <c r="BM85" s="0" t="n">
        <f aca="false">IF(Presupuesto!$B$45='Flujo de Pagos'!$E85,45,9999)</f>
        <v>45</v>
      </c>
      <c r="BN85" s="0" t="n">
        <f aca="false">IF(Presupuesto!$B$46='Flujo de Pagos'!$E85,46,9999)</f>
        <v>46</v>
      </c>
      <c r="BO85" s="0" t="n">
        <f aca="false">IF(Presupuesto!$B$47='Flujo de Pagos'!$E85,47,9999)</f>
        <v>47</v>
      </c>
      <c r="BP85" s="0" t="n">
        <f aca="false">IF(Presupuesto!$B$48='Flujo de Pagos'!$E85,48,9999)</f>
        <v>48</v>
      </c>
      <c r="BQ85" s="0" t="n">
        <f aca="false">IF(Presupuesto!$B$49='Flujo de Pagos'!$E85,49,9999)</f>
        <v>49</v>
      </c>
      <c r="BR85" s="0" t="n">
        <f aca="false">IF(Presupuesto!$B$50='Flujo de Pagos'!$E85,50,9999)</f>
        <v>50</v>
      </c>
      <c r="BS85" s="0" t="n">
        <f aca="false">IF(Presupuesto!$B$51='Flujo de Pagos'!$E85,51,9999)</f>
        <v>51</v>
      </c>
      <c r="BT85" s="0" t="n">
        <f aca="false">IF(Presupuesto!$B$52='Flujo de Pagos'!$E85,52,9999)</f>
        <v>52</v>
      </c>
      <c r="BU85" s="0" t="n">
        <f aca="false">IF(Presupuesto!$B$53='Flujo de Pagos'!$E85,53,9999)</f>
        <v>53</v>
      </c>
      <c r="BV85" s="0" t="n">
        <f aca="false">IF(Presupuesto!$B$54='Flujo de Pagos'!$E85,54,9999)</f>
        <v>54</v>
      </c>
      <c r="BW85" s="0" t="n">
        <f aca="false">IF(Presupuesto!$B$55='Flujo de Pagos'!$E85,55,9999)</f>
        <v>55</v>
      </c>
      <c r="BX85" s="0" t="n">
        <f aca="false">IF(Presupuesto!$B$56='Flujo de Pagos'!$E85,56,9999)</f>
        <v>56</v>
      </c>
      <c r="BY85" s="0" t="n">
        <f aca="false">IF(Presupuesto!$B$57='Flujo de Pagos'!$E85,57,9999)</f>
        <v>57</v>
      </c>
      <c r="BZ85" s="0" t="n">
        <f aca="false">IF(Presupuesto!$B$58='Flujo de Pagos'!$E85,58,9999)</f>
        <v>58</v>
      </c>
      <c r="CA85" s="0" t="n">
        <f aca="false">IF(Presupuesto!$B$59='Flujo de Pagos'!$E85,59,9999)</f>
        <v>59</v>
      </c>
      <c r="CB85" s="0" t="n">
        <f aca="false">IF(Presupuesto!$B$60='Flujo de Pagos'!$E85,60,9999)</f>
        <v>60</v>
      </c>
      <c r="CC85" s="0" t="n">
        <f aca="false">IF(Presupuesto!$B$61='Flujo de Pagos'!$E85,61,9999)</f>
        <v>61</v>
      </c>
      <c r="CD85" s="0" t="n">
        <f aca="false">IF(Presupuesto!$B$62='Flujo de Pagos'!$E85,62,9999)</f>
        <v>62</v>
      </c>
      <c r="CE85" s="0" t="n">
        <f aca="false">IF(Presupuesto!$B$63='Flujo de Pagos'!$E85,63,9999)</f>
        <v>63</v>
      </c>
      <c r="CF85" s="0" t="n">
        <f aca="false">IF(Presupuesto!$B$64='Flujo de Pagos'!$E85,64,9999)</f>
        <v>64</v>
      </c>
      <c r="CG85" s="0" t="n">
        <f aca="false">IF(Presupuesto!$B$65='Flujo de Pagos'!$E85,65,9999)</f>
        <v>65</v>
      </c>
      <c r="CH85" s="0" t="n">
        <f aca="false">IF(Presupuesto!$B$66='Flujo de Pagos'!$E85,66,9999)</f>
        <v>66</v>
      </c>
    </row>
    <row r="86" customFormat="false" ht="15" hidden="false" customHeight="true" outlineLevel="0" collapsed="false">
      <c r="B86" s="1" t="n">
        <f aca="false">IF(AND('Flujo de Pagos'!E91=Carátula!$B$2,'Flujo de Pagos'!F91=Carátula!$B$4,'Flujo de Pagos'!H91&lt;&gt;""),91,99999)</f>
        <v>99999</v>
      </c>
      <c r="H86" s="1" t="n">
        <f aca="false">IF(SMALL($AA86:$CH86,1)&gt;=9999,"",INDEX(Presupuesto!$C:$C,SMALL($AA86:$CH86,1)))</f>
        <v>0</v>
      </c>
      <c r="I86" s="1" t="n">
        <f aca="false">IF(SMALL($AA86:$CH86,2)&gt;=9999,"",INDEX(Presupuesto!$C:$C,SMALL($AA86:$CH86,2)))</f>
        <v>0</v>
      </c>
      <c r="J86" s="1" t="n">
        <f aca="false">IF(SMALL($AA86:$CH86,3)&gt;=9999,"",INDEX(Presupuesto!$C:$C,SMALL($AA86:$CH86,3)))</f>
        <v>0</v>
      </c>
      <c r="K86" s="1" t="n">
        <f aca="false">IF(SMALL($AA86:$CH86,4)&gt;=9999,"",INDEX(Presupuesto!$C:$C,SMALL($AA86:$CH86,4)))</f>
        <v>0</v>
      </c>
      <c r="L86" s="1" t="n">
        <f aca="false">IF(SMALL($AA86:$CH86,5)&gt;=9999,"",INDEX(Presupuesto!$C:$C,SMALL($AA86:$CH86,5)))</f>
        <v>0</v>
      </c>
      <c r="M86" s="1" t="n">
        <f aca="false">IF(SMALL($AA86:$CH86,6)&gt;=9999,"",INDEX(Presupuesto!$C:$C,SMALL($AA86:$CH86,6)))</f>
        <v>0</v>
      </c>
      <c r="N86" s="1" t="n">
        <f aca="false">IF(SMALL($AA86:$CH86,7)&gt;=9999,"",INDEX(Presupuesto!$C:$C,SMALL($AA86:$CH86,7)))</f>
        <v>0</v>
      </c>
      <c r="O86" s="1" t="n">
        <f aca="false">IF(SMALL($AA86:$CH86,8)&gt;=9999,"",INDEX(Presupuesto!$C:$C,SMALL($AA86:$CH86,8)))</f>
        <v>0</v>
      </c>
      <c r="P86" s="1" t="n">
        <f aca="false">IF(SMALL($AA86:$CH86,9)&gt;=9999,"",INDEX(Presupuesto!$C:$C,SMALL($AA86:$CH86,9)))</f>
        <v>0</v>
      </c>
      <c r="Q86" s="1" t="n">
        <f aca="false">IF(SMALL($AA86:$CH86,10)&gt;=9999,"",INDEX(Presupuesto!$C:$C,SMALL($AA86:$CH86,10)))</f>
        <v>0</v>
      </c>
      <c r="AA86" s="0" t="n">
        <f aca="false">IF(Presupuesto!$B$7='Flujo de Pagos'!$E86,7,9999)</f>
        <v>9999</v>
      </c>
      <c r="AB86" s="0" t="n">
        <f aca="false">IF(Presupuesto!$B$8='Flujo de Pagos'!$E86,8,9999)</f>
        <v>9999</v>
      </c>
      <c r="AC86" s="0" t="n">
        <f aca="false">IF(Presupuesto!$B$9='Flujo de Pagos'!$E86,9,9999)</f>
        <v>9999</v>
      </c>
      <c r="AD86" s="0" t="n">
        <f aca="false">IF(Presupuesto!$B$10='Flujo de Pagos'!$E86,10,9999)</f>
        <v>9999</v>
      </c>
      <c r="AE86" s="0" t="n">
        <f aca="false">IF(Presupuesto!$B$11='Flujo de Pagos'!$E86,11,9999)</f>
        <v>9999</v>
      </c>
      <c r="AF86" s="0" t="n">
        <f aca="false">IF(Presupuesto!$B$12='Flujo de Pagos'!$E86,12,9999)</f>
        <v>12</v>
      </c>
      <c r="AG86" s="0" t="n">
        <f aca="false">IF(Presupuesto!$B$13='Flujo de Pagos'!$E86,13,9999)</f>
        <v>13</v>
      </c>
      <c r="AH86" s="0" t="n">
        <f aca="false">IF(Presupuesto!$B$14='Flujo de Pagos'!$E86,14,9999)</f>
        <v>14</v>
      </c>
      <c r="AI86" s="0" t="n">
        <f aca="false">IF(Presupuesto!$B$15='Flujo de Pagos'!$E86,15,9999)</f>
        <v>15</v>
      </c>
      <c r="AJ86" s="0" t="n">
        <f aca="false">IF(Presupuesto!$B$16='Flujo de Pagos'!$E86,16,9999)</f>
        <v>16</v>
      </c>
      <c r="AK86" s="0" t="n">
        <f aca="false">IF(Presupuesto!$B$17='Flujo de Pagos'!$E86,17,9999)</f>
        <v>17</v>
      </c>
      <c r="AL86" s="0" t="n">
        <f aca="false">IF(Presupuesto!$B$18='Flujo de Pagos'!$E86,18,9999)</f>
        <v>18</v>
      </c>
      <c r="AM86" s="0" t="n">
        <f aca="false">IF(Presupuesto!$B$19='Flujo de Pagos'!$E86,19,9999)</f>
        <v>19</v>
      </c>
      <c r="AN86" s="0" t="n">
        <f aca="false">IF(Presupuesto!$B$20='Flujo de Pagos'!$E86,20,9999)</f>
        <v>20</v>
      </c>
      <c r="AO86" s="0" t="n">
        <f aca="false">IF(Presupuesto!$B$21='Flujo de Pagos'!$E86,21,9999)</f>
        <v>21</v>
      </c>
      <c r="AP86" s="0" t="n">
        <f aca="false">IF(Presupuesto!$B$22='Flujo de Pagos'!$E86,22,9999)</f>
        <v>22</v>
      </c>
      <c r="AQ86" s="0" t="n">
        <f aca="false">IF(Presupuesto!$B$23='Flujo de Pagos'!$E86,23,9999)</f>
        <v>23</v>
      </c>
      <c r="AR86" s="0" t="n">
        <f aca="false">IF(Presupuesto!$B$24='Flujo de Pagos'!$E86,24,9999)</f>
        <v>24</v>
      </c>
      <c r="AS86" s="0" t="n">
        <f aca="false">IF(Presupuesto!$B$25='Flujo de Pagos'!$E86,25,9999)</f>
        <v>25</v>
      </c>
      <c r="AT86" s="0" t="n">
        <f aca="false">IF(Presupuesto!$B$26='Flujo de Pagos'!$E86,26,9999)</f>
        <v>26</v>
      </c>
      <c r="AU86" s="0" t="n">
        <f aca="false">IF(Presupuesto!$B$27='Flujo de Pagos'!$E86,27,9999)</f>
        <v>27</v>
      </c>
      <c r="AV86" s="0" t="n">
        <f aca="false">IF(Presupuesto!$B$28='Flujo de Pagos'!$E86,28,9999)</f>
        <v>28</v>
      </c>
      <c r="AW86" s="0" t="n">
        <f aca="false">IF(Presupuesto!$B$29='Flujo de Pagos'!$E86,29,9999)</f>
        <v>29</v>
      </c>
      <c r="AX86" s="0" t="n">
        <f aca="false">IF(Presupuesto!$B$30='Flujo de Pagos'!$E86,30,9999)</f>
        <v>30</v>
      </c>
      <c r="AY86" s="0" t="n">
        <f aca="false">IF(Presupuesto!$B$31='Flujo de Pagos'!$E86,31,9999)</f>
        <v>31</v>
      </c>
      <c r="AZ86" s="0" t="n">
        <f aca="false">IF(Presupuesto!$B$32='Flujo de Pagos'!$E86,32,9999)</f>
        <v>32</v>
      </c>
      <c r="BA86" s="0" t="n">
        <f aca="false">IF(Presupuesto!$B$33='Flujo de Pagos'!$E86,33,9999)</f>
        <v>33</v>
      </c>
      <c r="BB86" s="0" t="n">
        <f aca="false">IF(Presupuesto!$B$34='Flujo de Pagos'!$E86,34,9999)</f>
        <v>34</v>
      </c>
      <c r="BC86" s="0" t="n">
        <f aca="false">IF(Presupuesto!$B$35='Flujo de Pagos'!$E86,35,9999)</f>
        <v>35</v>
      </c>
      <c r="BD86" s="0" t="n">
        <f aca="false">IF(Presupuesto!$B$36='Flujo de Pagos'!$E86,36,9999)</f>
        <v>36</v>
      </c>
      <c r="BE86" s="0" t="n">
        <f aca="false">IF(Presupuesto!$B$37='Flujo de Pagos'!$E86,37,9999)</f>
        <v>37</v>
      </c>
      <c r="BF86" s="0" t="n">
        <f aca="false">IF(Presupuesto!$B$38='Flujo de Pagos'!$E86,38,9999)</f>
        <v>38</v>
      </c>
      <c r="BG86" s="0" t="n">
        <f aca="false">IF(Presupuesto!$B$39='Flujo de Pagos'!$E86,39,9999)</f>
        <v>39</v>
      </c>
      <c r="BH86" s="0" t="n">
        <f aca="false">IF(Presupuesto!$B$40='Flujo de Pagos'!$E86,40,9999)</f>
        <v>40</v>
      </c>
      <c r="BI86" s="0" t="n">
        <f aca="false">IF(Presupuesto!$B$41='Flujo de Pagos'!$E86,41,9999)</f>
        <v>41</v>
      </c>
      <c r="BJ86" s="0" t="n">
        <f aca="false">IF(Presupuesto!$B$42='Flujo de Pagos'!$E86,42,9999)</f>
        <v>42</v>
      </c>
      <c r="BK86" s="0" t="n">
        <f aca="false">IF(Presupuesto!$B$43='Flujo de Pagos'!$E86,43,9999)</f>
        <v>43</v>
      </c>
      <c r="BL86" s="0" t="n">
        <f aca="false">IF(Presupuesto!$B$44='Flujo de Pagos'!$E86,44,9999)</f>
        <v>44</v>
      </c>
      <c r="BM86" s="0" t="n">
        <f aca="false">IF(Presupuesto!$B$45='Flujo de Pagos'!$E86,45,9999)</f>
        <v>45</v>
      </c>
      <c r="BN86" s="0" t="n">
        <f aca="false">IF(Presupuesto!$B$46='Flujo de Pagos'!$E86,46,9999)</f>
        <v>46</v>
      </c>
      <c r="BO86" s="0" t="n">
        <f aca="false">IF(Presupuesto!$B$47='Flujo de Pagos'!$E86,47,9999)</f>
        <v>47</v>
      </c>
      <c r="BP86" s="0" t="n">
        <f aca="false">IF(Presupuesto!$B$48='Flujo de Pagos'!$E86,48,9999)</f>
        <v>48</v>
      </c>
      <c r="BQ86" s="0" t="n">
        <f aca="false">IF(Presupuesto!$B$49='Flujo de Pagos'!$E86,49,9999)</f>
        <v>49</v>
      </c>
      <c r="BR86" s="0" t="n">
        <f aca="false">IF(Presupuesto!$B$50='Flujo de Pagos'!$E86,50,9999)</f>
        <v>50</v>
      </c>
      <c r="BS86" s="0" t="n">
        <f aca="false">IF(Presupuesto!$B$51='Flujo de Pagos'!$E86,51,9999)</f>
        <v>51</v>
      </c>
      <c r="BT86" s="0" t="n">
        <f aca="false">IF(Presupuesto!$B$52='Flujo de Pagos'!$E86,52,9999)</f>
        <v>52</v>
      </c>
      <c r="BU86" s="0" t="n">
        <f aca="false">IF(Presupuesto!$B$53='Flujo de Pagos'!$E86,53,9999)</f>
        <v>53</v>
      </c>
      <c r="BV86" s="0" t="n">
        <f aca="false">IF(Presupuesto!$B$54='Flujo de Pagos'!$E86,54,9999)</f>
        <v>54</v>
      </c>
      <c r="BW86" s="0" t="n">
        <f aca="false">IF(Presupuesto!$B$55='Flujo de Pagos'!$E86,55,9999)</f>
        <v>55</v>
      </c>
      <c r="BX86" s="0" t="n">
        <f aca="false">IF(Presupuesto!$B$56='Flujo de Pagos'!$E86,56,9999)</f>
        <v>56</v>
      </c>
      <c r="BY86" s="0" t="n">
        <f aca="false">IF(Presupuesto!$B$57='Flujo de Pagos'!$E86,57,9999)</f>
        <v>57</v>
      </c>
      <c r="BZ86" s="0" t="n">
        <f aca="false">IF(Presupuesto!$B$58='Flujo de Pagos'!$E86,58,9999)</f>
        <v>58</v>
      </c>
      <c r="CA86" s="0" t="n">
        <f aca="false">IF(Presupuesto!$B$59='Flujo de Pagos'!$E86,59,9999)</f>
        <v>59</v>
      </c>
      <c r="CB86" s="0" t="n">
        <f aca="false">IF(Presupuesto!$B$60='Flujo de Pagos'!$E86,60,9999)</f>
        <v>60</v>
      </c>
      <c r="CC86" s="0" t="n">
        <f aca="false">IF(Presupuesto!$B$61='Flujo de Pagos'!$E86,61,9999)</f>
        <v>61</v>
      </c>
      <c r="CD86" s="0" t="n">
        <f aca="false">IF(Presupuesto!$B$62='Flujo de Pagos'!$E86,62,9999)</f>
        <v>62</v>
      </c>
      <c r="CE86" s="0" t="n">
        <f aca="false">IF(Presupuesto!$B$63='Flujo de Pagos'!$E86,63,9999)</f>
        <v>63</v>
      </c>
      <c r="CF86" s="0" t="n">
        <f aca="false">IF(Presupuesto!$B$64='Flujo de Pagos'!$E86,64,9999)</f>
        <v>64</v>
      </c>
      <c r="CG86" s="0" t="n">
        <f aca="false">IF(Presupuesto!$B$65='Flujo de Pagos'!$E86,65,9999)</f>
        <v>65</v>
      </c>
      <c r="CH86" s="0" t="n">
        <f aca="false">IF(Presupuesto!$B$66='Flujo de Pagos'!$E86,66,9999)</f>
        <v>66</v>
      </c>
    </row>
    <row r="87" customFormat="false" ht="15" hidden="false" customHeight="true" outlineLevel="0" collapsed="false">
      <c r="B87" s="1" t="n">
        <f aca="false">IF(AND('Flujo de Pagos'!E92=Carátula!$B$2,'Flujo de Pagos'!F92=Carátula!$B$4,'Flujo de Pagos'!H92&lt;&gt;""),92,99999)</f>
        <v>99999</v>
      </c>
      <c r="H87" s="1" t="n">
        <f aca="false">IF(SMALL($AA87:$CH87,1)&gt;=9999,"",INDEX(Presupuesto!$C:$C,SMALL($AA87:$CH87,1)))</f>
        <v>0</v>
      </c>
      <c r="I87" s="1" t="n">
        <f aca="false">IF(SMALL($AA87:$CH87,2)&gt;=9999,"",INDEX(Presupuesto!$C:$C,SMALL($AA87:$CH87,2)))</f>
        <v>0</v>
      </c>
      <c r="J87" s="1" t="n">
        <f aca="false">IF(SMALL($AA87:$CH87,3)&gt;=9999,"",INDEX(Presupuesto!$C:$C,SMALL($AA87:$CH87,3)))</f>
        <v>0</v>
      </c>
      <c r="K87" s="1" t="n">
        <f aca="false">IF(SMALL($AA87:$CH87,4)&gt;=9999,"",INDEX(Presupuesto!$C:$C,SMALL($AA87:$CH87,4)))</f>
        <v>0</v>
      </c>
      <c r="L87" s="1" t="n">
        <f aca="false">IF(SMALL($AA87:$CH87,5)&gt;=9999,"",INDEX(Presupuesto!$C:$C,SMALL($AA87:$CH87,5)))</f>
        <v>0</v>
      </c>
      <c r="M87" s="1" t="n">
        <f aca="false">IF(SMALL($AA87:$CH87,6)&gt;=9999,"",INDEX(Presupuesto!$C:$C,SMALL($AA87:$CH87,6)))</f>
        <v>0</v>
      </c>
      <c r="N87" s="1" t="n">
        <f aca="false">IF(SMALL($AA87:$CH87,7)&gt;=9999,"",INDEX(Presupuesto!$C:$C,SMALL($AA87:$CH87,7)))</f>
        <v>0</v>
      </c>
      <c r="O87" s="1" t="n">
        <f aca="false">IF(SMALL($AA87:$CH87,8)&gt;=9999,"",INDEX(Presupuesto!$C:$C,SMALL($AA87:$CH87,8)))</f>
        <v>0</v>
      </c>
      <c r="P87" s="1" t="n">
        <f aca="false">IF(SMALL($AA87:$CH87,9)&gt;=9999,"",INDEX(Presupuesto!$C:$C,SMALL($AA87:$CH87,9)))</f>
        <v>0</v>
      </c>
      <c r="Q87" s="1" t="n">
        <f aca="false">IF(SMALL($AA87:$CH87,10)&gt;=9999,"",INDEX(Presupuesto!$C:$C,SMALL($AA87:$CH87,10)))</f>
        <v>0</v>
      </c>
      <c r="AA87" s="0" t="n">
        <f aca="false">IF(Presupuesto!$B$7='Flujo de Pagos'!$E87,7,9999)</f>
        <v>9999</v>
      </c>
      <c r="AB87" s="0" t="n">
        <f aca="false">IF(Presupuesto!$B$8='Flujo de Pagos'!$E87,8,9999)</f>
        <v>9999</v>
      </c>
      <c r="AC87" s="0" t="n">
        <f aca="false">IF(Presupuesto!$B$9='Flujo de Pagos'!$E87,9,9999)</f>
        <v>9999</v>
      </c>
      <c r="AD87" s="0" t="n">
        <f aca="false">IF(Presupuesto!$B$10='Flujo de Pagos'!$E87,10,9999)</f>
        <v>9999</v>
      </c>
      <c r="AE87" s="0" t="n">
        <f aca="false">IF(Presupuesto!$B$11='Flujo de Pagos'!$E87,11,9999)</f>
        <v>9999</v>
      </c>
      <c r="AF87" s="0" t="n">
        <f aca="false">IF(Presupuesto!$B$12='Flujo de Pagos'!$E87,12,9999)</f>
        <v>12</v>
      </c>
      <c r="AG87" s="0" t="n">
        <f aca="false">IF(Presupuesto!$B$13='Flujo de Pagos'!$E87,13,9999)</f>
        <v>13</v>
      </c>
      <c r="AH87" s="0" t="n">
        <f aca="false">IF(Presupuesto!$B$14='Flujo de Pagos'!$E87,14,9999)</f>
        <v>14</v>
      </c>
      <c r="AI87" s="0" t="n">
        <f aca="false">IF(Presupuesto!$B$15='Flujo de Pagos'!$E87,15,9999)</f>
        <v>15</v>
      </c>
      <c r="AJ87" s="0" t="n">
        <f aca="false">IF(Presupuesto!$B$16='Flujo de Pagos'!$E87,16,9999)</f>
        <v>16</v>
      </c>
      <c r="AK87" s="0" t="n">
        <f aca="false">IF(Presupuesto!$B$17='Flujo de Pagos'!$E87,17,9999)</f>
        <v>17</v>
      </c>
      <c r="AL87" s="0" t="n">
        <f aca="false">IF(Presupuesto!$B$18='Flujo de Pagos'!$E87,18,9999)</f>
        <v>18</v>
      </c>
      <c r="AM87" s="0" t="n">
        <f aca="false">IF(Presupuesto!$B$19='Flujo de Pagos'!$E87,19,9999)</f>
        <v>19</v>
      </c>
      <c r="AN87" s="0" t="n">
        <f aca="false">IF(Presupuesto!$B$20='Flujo de Pagos'!$E87,20,9999)</f>
        <v>20</v>
      </c>
      <c r="AO87" s="0" t="n">
        <f aca="false">IF(Presupuesto!$B$21='Flujo de Pagos'!$E87,21,9999)</f>
        <v>21</v>
      </c>
      <c r="AP87" s="0" t="n">
        <f aca="false">IF(Presupuesto!$B$22='Flujo de Pagos'!$E87,22,9999)</f>
        <v>22</v>
      </c>
      <c r="AQ87" s="0" t="n">
        <f aca="false">IF(Presupuesto!$B$23='Flujo de Pagos'!$E87,23,9999)</f>
        <v>23</v>
      </c>
      <c r="AR87" s="0" t="n">
        <f aca="false">IF(Presupuesto!$B$24='Flujo de Pagos'!$E87,24,9999)</f>
        <v>24</v>
      </c>
      <c r="AS87" s="0" t="n">
        <f aca="false">IF(Presupuesto!$B$25='Flujo de Pagos'!$E87,25,9999)</f>
        <v>25</v>
      </c>
      <c r="AT87" s="0" t="n">
        <f aca="false">IF(Presupuesto!$B$26='Flujo de Pagos'!$E87,26,9999)</f>
        <v>26</v>
      </c>
      <c r="AU87" s="0" t="n">
        <f aca="false">IF(Presupuesto!$B$27='Flujo de Pagos'!$E87,27,9999)</f>
        <v>27</v>
      </c>
      <c r="AV87" s="0" t="n">
        <f aca="false">IF(Presupuesto!$B$28='Flujo de Pagos'!$E87,28,9999)</f>
        <v>28</v>
      </c>
      <c r="AW87" s="0" t="n">
        <f aca="false">IF(Presupuesto!$B$29='Flujo de Pagos'!$E87,29,9999)</f>
        <v>29</v>
      </c>
      <c r="AX87" s="0" t="n">
        <f aca="false">IF(Presupuesto!$B$30='Flujo de Pagos'!$E87,30,9999)</f>
        <v>30</v>
      </c>
      <c r="AY87" s="0" t="n">
        <f aca="false">IF(Presupuesto!$B$31='Flujo de Pagos'!$E87,31,9999)</f>
        <v>31</v>
      </c>
      <c r="AZ87" s="0" t="n">
        <f aca="false">IF(Presupuesto!$B$32='Flujo de Pagos'!$E87,32,9999)</f>
        <v>32</v>
      </c>
      <c r="BA87" s="0" t="n">
        <f aca="false">IF(Presupuesto!$B$33='Flujo de Pagos'!$E87,33,9999)</f>
        <v>33</v>
      </c>
      <c r="BB87" s="0" t="n">
        <f aca="false">IF(Presupuesto!$B$34='Flujo de Pagos'!$E87,34,9999)</f>
        <v>34</v>
      </c>
      <c r="BC87" s="0" t="n">
        <f aca="false">IF(Presupuesto!$B$35='Flujo de Pagos'!$E87,35,9999)</f>
        <v>35</v>
      </c>
      <c r="BD87" s="0" t="n">
        <f aca="false">IF(Presupuesto!$B$36='Flujo de Pagos'!$E87,36,9999)</f>
        <v>36</v>
      </c>
      <c r="BE87" s="0" t="n">
        <f aca="false">IF(Presupuesto!$B$37='Flujo de Pagos'!$E87,37,9999)</f>
        <v>37</v>
      </c>
      <c r="BF87" s="0" t="n">
        <f aca="false">IF(Presupuesto!$B$38='Flujo de Pagos'!$E87,38,9999)</f>
        <v>38</v>
      </c>
      <c r="BG87" s="0" t="n">
        <f aca="false">IF(Presupuesto!$B$39='Flujo de Pagos'!$E87,39,9999)</f>
        <v>39</v>
      </c>
      <c r="BH87" s="0" t="n">
        <f aca="false">IF(Presupuesto!$B$40='Flujo de Pagos'!$E87,40,9999)</f>
        <v>40</v>
      </c>
      <c r="BI87" s="0" t="n">
        <f aca="false">IF(Presupuesto!$B$41='Flujo de Pagos'!$E87,41,9999)</f>
        <v>41</v>
      </c>
      <c r="BJ87" s="0" t="n">
        <f aca="false">IF(Presupuesto!$B$42='Flujo de Pagos'!$E87,42,9999)</f>
        <v>42</v>
      </c>
      <c r="BK87" s="0" t="n">
        <f aca="false">IF(Presupuesto!$B$43='Flujo de Pagos'!$E87,43,9999)</f>
        <v>43</v>
      </c>
      <c r="BL87" s="0" t="n">
        <f aca="false">IF(Presupuesto!$B$44='Flujo de Pagos'!$E87,44,9999)</f>
        <v>44</v>
      </c>
      <c r="BM87" s="0" t="n">
        <f aca="false">IF(Presupuesto!$B$45='Flujo de Pagos'!$E87,45,9999)</f>
        <v>45</v>
      </c>
      <c r="BN87" s="0" t="n">
        <f aca="false">IF(Presupuesto!$B$46='Flujo de Pagos'!$E87,46,9999)</f>
        <v>46</v>
      </c>
      <c r="BO87" s="0" t="n">
        <f aca="false">IF(Presupuesto!$B$47='Flujo de Pagos'!$E87,47,9999)</f>
        <v>47</v>
      </c>
      <c r="BP87" s="0" t="n">
        <f aca="false">IF(Presupuesto!$B$48='Flujo de Pagos'!$E87,48,9999)</f>
        <v>48</v>
      </c>
      <c r="BQ87" s="0" t="n">
        <f aca="false">IF(Presupuesto!$B$49='Flujo de Pagos'!$E87,49,9999)</f>
        <v>49</v>
      </c>
      <c r="BR87" s="0" t="n">
        <f aca="false">IF(Presupuesto!$B$50='Flujo de Pagos'!$E87,50,9999)</f>
        <v>50</v>
      </c>
      <c r="BS87" s="0" t="n">
        <f aca="false">IF(Presupuesto!$B$51='Flujo de Pagos'!$E87,51,9999)</f>
        <v>51</v>
      </c>
      <c r="BT87" s="0" t="n">
        <f aca="false">IF(Presupuesto!$B$52='Flujo de Pagos'!$E87,52,9999)</f>
        <v>52</v>
      </c>
      <c r="BU87" s="0" t="n">
        <f aca="false">IF(Presupuesto!$B$53='Flujo de Pagos'!$E87,53,9999)</f>
        <v>53</v>
      </c>
      <c r="BV87" s="0" t="n">
        <f aca="false">IF(Presupuesto!$B$54='Flujo de Pagos'!$E87,54,9999)</f>
        <v>54</v>
      </c>
      <c r="BW87" s="0" t="n">
        <f aca="false">IF(Presupuesto!$B$55='Flujo de Pagos'!$E87,55,9999)</f>
        <v>55</v>
      </c>
      <c r="BX87" s="0" t="n">
        <f aca="false">IF(Presupuesto!$B$56='Flujo de Pagos'!$E87,56,9999)</f>
        <v>56</v>
      </c>
      <c r="BY87" s="0" t="n">
        <f aca="false">IF(Presupuesto!$B$57='Flujo de Pagos'!$E87,57,9999)</f>
        <v>57</v>
      </c>
      <c r="BZ87" s="0" t="n">
        <f aca="false">IF(Presupuesto!$B$58='Flujo de Pagos'!$E87,58,9999)</f>
        <v>58</v>
      </c>
      <c r="CA87" s="0" t="n">
        <f aca="false">IF(Presupuesto!$B$59='Flujo de Pagos'!$E87,59,9999)</f>
        <v>59</v>
      </c>
      <c r="CB87" s="0" t="n">
        <f aca="false">IF(Presupuesto!$B$60='Flujo de Pagos'!$E87,60,9999)</f>
        <v>60</v>
      </c>
      <c r="CC87" s="0" t="n">
        <f aca="false">IF(Presupuesto!$B$61='Flujo de Pagos'!$E87,61,9999)</f>
        <v>61</v>
      </c>
      <c r="CD87" s="0" t="n">
        <f aca="false">IF(Presupuesto!$B$62='Flujo de Pagos'!$E87,62,9999)</f>
        <v>62</v>
      </c>
      <c r="CE87" s="0" t="n">
        <f aca="false">IF(Presupuesto!$B$63='Flujo de Pagos'!$E87,63,9999)</f>
        <v>63</v>
      </c>
      <c r="CF87" s="0" t="n">
        <f aca="false">IF(Presupuesto!$B$64='Flujo de Pagos'!$E87,64,9999)</f>
        <v>64</v>
      </c>
      <c r="CG87" s="0" t="n">
        <f aca="false">IF(Presupuesto!$B$65='Flujo de Pagos'!$E87,65,9999)</f>
        <v>65</v>
      </c>
      <c r="CH87" s="0" t="n">
        <f aca="false">IF(Presupuesto!$B$66='Flujo de Pagos'!$E87,66,9999)</f>
        <v>66</v>
      </c>
    </row>
    <row r="88" customFormat="false" ht="15" hidden="false" customHeight="true" outlineLevel="0" collapsed="false">
      <c r="B88" s="1" t="n">
        <f aca="false">IF(AND('Flujo de Pagos'!E93=Carátula!$B$2,'Flujo de Pagos'!F93=Carátula!$B$4,'Flujo de Pagos'!H93&lt;&gt;""),93,99999)</f>
        <v>99999</v>
      </c>
      <c r="H88" s="1" t="n">
        <f aca="false">IF(SMALL($AA88:$CH88,1)&gt;=9999,"",INDEX(Presupuesto!$C:$C,SMALL($AA88:$CH88,1)))</f>
        <v>0</v>
      </c>
      <c r="I88" s="1" t="n">
        <f aca="false">IF(SMALL($AA88:$CH88,2)&gt;=9999,"",INDEX(Presupuesto!$C:$C,SMALL($AA88:$CH88,2)))</f>
        <v>0</v>
      </c>
      <c r="J88" s="1" t="n">
        <f aca="false">IF(SMALL($AA88:$CH88,3)&gt;=9999,"",INDEX(Presupuesto!$C:$C,SMALL($AA88:$CH88,3)))</f>
        <v>0</v>
      </c>
      <c r="K88" s="1" t="n">
        <f aca="false">IF(SMALL($AA88:$CH88,4)&gt;=9999,"",INDEX(Presupuesto!$C:$C,SMALL($AA88:$CH88,4)))</f>
        <v>0</v>
      </c>
      <c r="L88" s="1" t="n">
        <f aca="false">IF(SMALL($AA88:$CH88,5)&gt;=9999,"",INDEX(Presupuesto!$C:$C,SMALL($AA88:$CH88,5)))</f>
        <v>0</v>
      </c>
      <c r="M88" s="1" t="n">
        <f aca="false">IF(SMALL($AA88:$CH88,6)&gt;=9999,"",INDEX(Presupuesto!$C:$C,SMALL($AA88:$CH88,6)))</f>
        <v>0</v>
      </c>
      <c r="N88" s="1" t="n">
        <f aca="false">IF(SMALL($AA88:$CH88,7)&gt;=9999,"",INDEX(Presupuesto!$C:$C,SMALL($AA88:$CH88,7)))</f>
        <v>0</v>
      </c>
      <c r="O88" s="1" t="n">
        <f aca="false">IF(SMALL($AA88:$CH88,8)&gt;=9999,"",INDEX(Presupuesto!$C:$C,SMALL($AA88:$CH88,8)))</f>
        <v>0</v>
      </c>
      <c r="P88" s="1" t="n">
        <f aca="false">IF(SMALL($AA88:$CH88,9)&gt;=9999,"",INDEX(Presupuesto!$C:$C,SMALL($AA88:$CH88,9)))</f>
        <v>0</v>
      </c>
      <c r="Q88" s="1" t="n">
        <f aca="false">IF(SMALL($AA88:$CH88,10)&gt;=9999,"",INDEX(Presupuesto!$C:$C,SMALL($AA88:$CH88,10)))</f>
        <v>0</v>
      </c>
      <c r="AA88" s="0" t="n">
        <f aca="false">IF(Presupuesto!$B$7='Flujo de Pagos'!$E88,7,9999)</f>
        <v>9999</v>
      </c>
      <c r="AB88" s="0" t="n">
        <f aca="false">IF(Presupuesto!$B$8='Flujo de Pagos'!$E88,8,9999)</f>
        <v>9999</v>
      </c>
      <c r="AC88" s="0" t="n">
        <f aca="false">IF(Presupuesto!$B$9='Flujo de Pagos'!$E88,9,9999)</f>
        <v>9999</v>
      </c>
      <c r="AD88" s="0" t="n">
        <f aca="false">IF(Presupuesto!$B$10='Flujo de Pagos'!$E88,10,9999)</f>
        <v>9999</v>
      </c>
      <c r="AE88" s="0" t="n">
        <f aca="false">IF(Presupuesto!$B$11='Flujo de Pagos'!$E88,11,9999)</f>
        <v>9999</v>
      </c>
      <c r="AF88" s="0" t="n">
        <f aca="false">IF(Presupuesto!$B$12='Flujo de Pagos'!$E88,12,9999)</f>
        <v>12</v>
      </c>
      <c r="AG88" s="0" t="n">
        <f aca="false">IF(Presupuesto!$B$13='Flujo de Pagos'!$E88,13,9999)</f>
        <v>13</v>
      </c>
      <c r="AH88" s="0" t="n">
        <f aca="false">IF(Presupuesto!$B$14='Flujo de Pagos'!$E88,14,9999)</f>
        <v>14</v>
      </c>
      <c r="AI88" s="0" t="n">
        <f aca="false">IF(Presupuesto!$B$15='Flujo de Pagos'!$E88,15,9999)</f>
        <v>15</v>
      </c>
      <c r="AJ88" s="0" t="n">
        <f aca="false">IF(Presupuesto!$B$16='Flujo de Pagos'!$E88,16,9999)</f>
        <v>16</v>
      </c>
      <c r="AK88" s="0" t="n">
        <f aca="false">IF(Presupuesto!$B$17='Flujo de Pagos'!$E88,17,9999)</f>
        <v>17</v>
      </c>
      <c r="AL88" s="0" t="n">
        <f aca="false">IF(Presupuesto!$B$18='Flujo de Pagos'!$E88,18,9999)</f>
        <v>18</v>
      </c>
      <c r="AM88" s="0" t="n">
        <f aca="false">IF(Presupuesto!$B$19='Flujo de Pagos'!$E88,19,9999)</f>
        <v>19</v>
      </c>
      <c r="AN88" s="0" t="n">
        <f aca="false">IF(Presupuesto!$B$20='Flujo de Pagos'!$E88,20,9999)</f>
        <v>20</v>
      </c>
      <c r="AO88" s="0" t="n">
        <f aca="false">IF(Presupuesto!$B$21='Flujo de Pagos'!$E88,21,9999)</f>
        <v>21</v>
      </c>
      <c r="AP88" s="0" t="n">
        <f aca="false">IF(Presupuesto!$B$22='Flujo de Pagos'!$E88,22,9999)</f>
        <v>22</v>
      </c>
      <c r="AQ88" s="0" t="n">
        <f aca="false">IF(Presupuesto!$B$23='Flujo de Pagos'!$E88,23,9999)</f>
        <v>23</v>
      </c>
      <c r="AR88" s="0" t="n">
        <f aca="false">IF(Presupuesto!$B$24='Flujo de Pagos'!$E88,24,9999)</f>
        <v>24</v>
      </c>
      <c r="AS88" s="0" t="n">
        <f aca="false">IF(Presupuesto!$B$25='Flujo de Pagos'!$E88,25,9999)</f>
        <v>25</v>
      </c>
      <c r="AT88" s="0" t="n">
        <f aca="false">IF(Presupuesto!$B$26='Flujo de Pagos'!$E88,26,9999)</f>
        <v>26</v>
      </c>
      <c r="AU88" s="0" t="n">
        <f aca="false">IF(Presupuesto!$B$27='Flujo de Pagos'!$E88,27,9999)</f>
        <v>27</v>
      </c>
      <c r="AV88" s="0" t="n">
        <f aca="false">IF(Presupuesto!$B$28='Flujo de Pagos'!$E88,28,9999)</f>
        <v>28</v>
      </c>
      <c r="AW88" s="0" t="n">
        <f aca="false">IF(Presupuesto!$B$29='Flujo de Pagos'!$E88,29,9999)</f>
        <v>29</v>
      </c>
      <c r="AX88" s="0" t="n">
        <f aca="false">IF(Presupuesto!$B$30='Flujo de Pagos'!$E88,30,9999)</f>
        <v>30</v>
      </c>
      <c r="AY88" s="0" t="n">
        <f aca="false">IF(Presupuesto!$B$31='Flujo de Pagos'!$E88,31,9999)</f>
        <v>31</v>
      </c>
      <c r="AZ88" s="0" t="n">
        <f aca="false">IF(Presupuesto!$B$32='Flujo de Pagos'!$E88,32,9999)</f>
        <v>32</v>
      </c>
      <c r="BA88" s="0" t="n">
        <f aca="false">IF(Presupuesto!$B$33='Flujo de Pagos'!$E88,33,9999)</f>
        <v>33</v>
      </c>
      <c r="BB88" s="0" t="n">
        <f aca="false">IF(Presupuesto!$B$34='Flujo de Pagos'!$E88,34,9999)</f>
        <v>34</v>
      </c>
      <c r="BC88" s="0" t="n">
        <f aca="false">IF(Presupuesto!$B$35='Flujo de Pagos'!$E88,35,9999)</f>
        <v>35</v>
      </c>
      <c r="BD88" s="0" t="n">
        <f aca="false">IF(Presupuesto!$B$36='Flujo de Pagos'!$E88,36,9999)</f>
        <v>36</v>
      </c>
      <c r="BE88" s="0" t="n">
        <f aca="false">IF(Presupuesto!$B$37='Flujo de Pagos'!$E88,37,9999)</f>
        <v>37</v>
      </c>
      <c r="BF88" s="0" t="n">
        <f aca="false">IF(Presupuesto!$B$38='Flujo de Pagos'!$E88,38,9999)</f>
        <v>38</v>
      </c>
      <c r="BG88" s="0" t="n">
        <f aca="false">IF(Presupuesto!$B$39='Flujo de Pagos'!$E88,39,9999)</f>
        <v>39</v>
      </c>
      <c r="BH88" s="0" t="n">
        <f aca="false">IF(Presupuesto!$B$40='Flujo de Pagos'!$E88,40,9999)</f>
        <v>40</v>
      </c>
      <c r="BI88" s="0" t="n">
        <f aca="false">IF(Presupuesto!$B$41='Flujo de Pagos'!$E88,41,9999)</f>
        <v>41</v>
      </c>
      <c r="BJ88" s="0" t="n">
        <f aca="false">IF(Presupuesto!$B$42='Flujo de Pagos'!$E88,42,9999)</f>
        <v>42</v>
      </c>
      <c r="BK88" s="0" t="n">
        <f aca="false">IF(Presupuesto!$B$43='Flujo de Pagos'!$E88,43,9999)</f>
        <v>43</v>
      </c>
      <c r="BL88" s="0" t="n">
        <f aca="false">IF(Presupuesto!$B$44='Flujo de Pagos'!$E88,44,9999)</f>
        <v>44</v>
      </c>
      <c r="BM88" s="0" t="n">
        <f aca="false">IF(Presupuesto!$B$45='Flujo de Pagos'!$E88,45,9999)</f>
        <v>45</v>
      </c>
      <c r="BN88" s="0" t="n">
        <f aca="false">IF(Presupuesto!$B$46='Flujo de Pagos'!$E88,46,9999)</f>
        <v>46</v>
      </c>
      <c r="BO88" s="0" t="n">
        <f aca="false">IF(Presupuesto!$B$47='Flujo de Pagos'!$E88,47,9999)</f>
        <v>47</v>
      </c>
      <c r="BP88" s="0" t="n">
        <f aca="false">IF(Presupuesto!$B$48='Flujo de Pagos'!$E88,48,9999)</f>
        <v>48</v>
      </c>
      <c r="BQ88" s="0" t="n">
        <f aca="false">IF(Presupuesto!$B$49='Flujo de Pagos'!$E88,49,9999)</f>
        <v>49</v>
      </c>
      <c r="BR88" s="0" t="n">
        <f aca="false">IF(Presupuesto!$B$50='Flujo de Pagos'!$E88,50,9999)</f>
        <v>50</v>
      </c>
      <c r="BS88" s="0" t="n">
        <f aca="false">IF(Presupuesto!$B$51='Flujo de Pagos'!$E88,51,9999)</f>
        <v>51</v>
      </c>
      <c r="BT88" s="0" t="n">
        <f aca="false">IF(Presupuesto!$B$52='Flujo de Pagos'!$E88,52,9999)</f>
        <v>52</v>
      </c>
      <c r="BU88" s="0" t="n">
        <f aca="false">IF(Presupuesto!$B$53='Flujo de Pagos'!$E88,53,9999)</f>
        <v>53</v>
      </c>
      <c r="BV88" s="0" t="n">
        <f aca="false">IF(Presupuesto!$B$54='Flujo de Pagos'!$E88,54,9999)</f>
        <v>54</v>
      </c>
      <c r="BW88" s="0" t="n">
        <f aca="false">IF(Presupuesto!$B$55='Flujo de Pagos'!$E88,55,9999)</f>
        <v>55</v>
      </c>
      <c r="BX88" s="0" t="n">
        <f aca="false">IF(Presupuesto!$B$56='Flujo de Pagos'!$E88,56,9999)</f>
        <v>56</v>
      </c>
      <c r="BY88" s="0" t="n">
        <f aca="false">IF(Presupuesto!$B$57='Flujo de Pagos'!$E88,57,9999)</f>
        <v>57</v>
      </c>
      <c r="BZ88" s="0" t="n">
        <f aca="false">IF(Presupuesto!$B$58='Flujo de Pagos'!$E88,58,9999)</f>
        <v>58</v>
      </c>
      <c r="CA88" s="0" t="n">
        <f aca="false">IF(Presupuesto!$B$59='Flujo de Pagos'!$E88,59,9999)</f>
        <v>59</v>
      </c>
      <c r="CB88" s="0" t="n">
        <f aca="false">IF(Presupuesto!$B$60='Flujo de Pagos'!$E88,60,9999)</f>
        <v>60</v>
      </c>
      <c r="CC88" s="0" t="n">
        <f aca="false">IF(Presupuesto!$B$61='Flujo de Pagos'!$E88,61,9999)</f>
        <v>61</v>
      </c>
      <c r="CD88" s="0" t="n">
        <f aca="false">IF(Presupuesto!$B$62='Flujo de Pagos'!$E88,62,9999)</f>
        <v>62</v>
      </c>
      <c r="CE88" s="0" t="n">
        <f aca="false">IF(Presupuesto!$B$63='Flujo de Pagos'!$E88,63,9999)</f>
        <v>63</v>
      </c>
      <c r="CF88" s="0" t="n">
        <f aca="false">IF(Presupuesto!$B$64='Flujo de Pagos'!$E88,64,9999)</f>
        <v>64</v>
      </c>
      <c r="CG88" s="0" t="n">
        <f aca="false">IF(Presupuesto!$B$65='Flujo de Pagos'!$E88,65,9999)</f>
        <v>65</v>
      </c>
      <c r="CH88" s="0" t="n">
        <f aca="false">IF(Presupuesto!$B$66='Flujo de Pagos'!$E88,66,9999)</f>
        <v>66</v>
      </c>
    </row>
    <row r="89" customFormat="false" ht="15" hidden="false" customHeight="true" outlineLevel="0" collapsed="false">
      <c r="B89" s="1" t="n">
        <f aca="false">IF(AND('Flujo de Pagos'!E94=Carátula!$B$2,'Flujo de Pagos'!F94=Carátula!$B$4,'Flujo de Pagos'!H94&lt;&gt;""),94,99999)</f>
        <v>99999</v>
      </c>
      <c r="H89" s="1" t="n">
        <f aca="false">IF(SMALL($AA89:$CH89,1)&gt;=9999,"",INDEX(Presupuesto!$C:$C,SMALL($AA89:$CH89,1)))</f>
        <v>0</v>
      </c>
      <c r="I89" s="1" t="n">
        <f aca="false">IF(SMALL($AA89:$CH89,2)&gt;=9999,"",INDEX(Presupuesto!$C:$C,SMALL($AA89:$CH89,2)))</f>
        <v>0</v>
      </c>
      <c r="J89" s="1" t="n">
        <f aca="false">IF(SMALL($AA89:$CH89,3)&gt;=9999,"",INDEX(Presupuesto!$C:$C,SMALL($AA89:$CH89,3)))</f>
        <v>0</v>
      </c>
      <c r="K89" s="1" t="n">
        <f aca="false">IF(SMALL($AA89:$CH89,4)&gt;=9999,"",INDEX(Presupuesto!$C:$C,SMALL($AA89:$CH89,4)))</f>
        <v>0</v>
      </c>
      <c r="L89" s="1" t="n">
        <f aca="false">IF(SMALL($AA89:$CH89,5)&gt;=9999,"",INDEX(Presupuesto!$C:$C,SMALL($AA89:$CH89,5)))</f>
        <v>0</v>
      </c>
      <c r="M89" s="1" t="n">
        <f aca="false">IF(SMALL($AA89:$CH89,6)&gt;=9999,"",INDEX(Presupuesto!$C:$C,SMALL($AA89:$CH89,6)))</f>
        <v>0</v>
      </c>
      <c r="N89" s="1" t="n">
        <f aca="false">IF(SMALL($AA89:$CH89,7)&gt;=9999,"",INDEX(Presupuesto!$C:$C,SMALL($AA89:$CH89,7)))</f>
        <v>0</v>
      </c>
      <c r="O89" s="1" t="n">
        <f aca="false">IF(SMALL($AA89:$CH89,8)&gt;=9999,"",INDEX(Presupuesto!$C:$C,SMALL($AA89:$CH89,8)))</f>
        <v>0</v>
      </c>
      <c r="P89" s="1" t="n">
        <f aca="false">IF(SMALL($AA89:$CH89,9)&gt;=9999,"",INDEX(Presupuesto!$C:$C,SMALL($AA89:$CH89,9)))</f>
        <v>0</v>
      </c>
      <c r="Q89" s="1" t="n">
        <f aca="false">IF(SMALL($AA89:$CH89,10)&gt;=9999,"",INDEX(Presupuesto!$C:$C,SMALL($AA89:$CH89,10)))</f>
        <v>0</v>
      </c>
      <c r="AA89" s="0" t="n">
        <f aca="false">IF(Presupuesto!$B$7='Flujo de Pagos'!$E89,7,9999)</f>
        <v>9999</v>
      </c>
      <c r="AB89" s="0" t="n">
        <f aca="false">IF(Presupuesto!$B$8='Flujo de Pagos'!$E89,8,9999)</f>
        <v>9999</v>
      </c>
      <c r="AC89" s="0" t="n">
        <f aca="false">IF(Presupuesto!$B$9='Flujo de Pagos'!$E89,9,9999)</f>
        <v>9999</v>
      </c>
      <c r="AD89" s="0" t="n">
        <f aca="false">IF(Presupuesto!$B$10='Flujo de Pagos'!$E89,10,9999)</f>
        <v>9999</v>
      </c>
      <c r="AE89" s="0" t="n">
        <f aca="false">IF(Presupuesto!$B$11='Flujo de Pagos'!$E89,11,9999)</f>
        <v>9999</v>
      </c>
      <c r="AF89" s="0" t="n">
        <f aca="false">IF(Presupuesto!$B$12='Flujo de Pagos'!$E89,12,9999)</f>
        <v>12</v>
      </c>
      <c r="AG89" s="0" t="n">
        <f aca="false">IF(Presupuesto!$B$13='Flujo de Pagos'!$E89,13,9999)</f>
        <v>13</v>
      </c>
      <c r="AH89" s="0" t="n">
        <f aca="false">IF(Presupuesto!$B$14='Flujo de Pagos'!$E89,14,9999)</f>
        <v>14</v>
      </c>
      <c r="AI89" s="0" t="n">
        <f aca="false">IF(Presupuesto!$B$15='Flujo de Pagos'!$E89,15,9999)</f>
        <v>15</v>
      </c>
      <c r="AJ89" s="0" t="n">
        <f aca="false">IF(Presupuesto!$B$16='Flujo de Pagos'!$E89,16,9999)</f>
        <v>16</v>
      </c>
      <c r="AK89" s="0" t="n">
        <f aca="false">IF(Presupuesto!$B$17='Flujo de Pagos'!$E89,17,9999)</f>
        <v>17</v>
      </c>
      <c r="AL89" s="0" t="n">
        <f aca="false">IF(Presupuesto!$B$18='Flujo de Pagos'!$E89,18,9999)</f>
        <v>18</v>
      </c>
      <c r="AM89" s="0" t="n">
        <f aca="false">IF(Presupuesto!$B$19='Flujo de Pagos'!$E89,19,9999)</f>
        <v>19</v>
      </c>
      <c r="AN89" s="0" t="n">
        <f aca="false">IF(Presupuesto!$B$20='Flujo de Pagos'!$E89,20,9999)</f>
        <v>20</v>
      </c>
      <c r="AO89" s="0" t="n">
        <f aca="false">IF(Presupuesto!$B$21='Flujo de Pagos'!$E89,21,9999)</f>
        <v>21</v>
      </c>
      <c r="AP89" s="0" t="n">
        <f aca="false">IF(Presupuesto!$B$22='Flujo de Pagos'!$E89,22,9999)</f>
        <v>22</v>
      </c>
      <c r="AQ89" s="0" t="n">
        <f aca="false">IF(Presupuesto!$B$23='Flujo de Pagos'!$E89,23,9999)</f>
        <v>23</v>
      </c>
      <c r="AR89" s="0" t="n">
        <f aca="false">IF(Presupuesto!$B$24='Flujo de Pagos'!$E89,24,9999)</f>
        <v>24</v>
      </c>
      <c r="AS89" s="0" t="n">
        <f aca="false">IF(Presupuesto!$B$25='Flujo de Pagos'!$E89,25,9999)</f>
        <v>25</v>
      </c>
      <c r="AT89" s="0" t="n">
        <f aca="false">IF(Presupuesto!$B$26='Flujo de Pagos'!$E89,26,9999)</f>
        <v>26</v>
      </c>
      <c r="AU89" s="0" t="n">
        <f aca="false">IF(Presupuesto!$B$27='Flujo de Pagos'!$E89,27,9999)</f>
        <v>27</v>
      </c>
      <c r="AV89" s="0" t="n">
        <f aca="false">IF(Presupuesto!$B$28='Flujo de Pagos'!$E89,28,9999)</f>
        <v>28</v>
      </c>
      <c r="AW89" s="0" t="n">
        <f aca="false">IF(Presupuesto!$B$29='Flujo de Pagos'!$E89,29,9999)</f>
        <v>29</v>
      </c>
      <c r="AX89" s="0" t="n">
        <f aca="false">IF(Presupuesto!$B$30='Flujo de Pagos'!$E89,30,9999)</f>
        <v>30</v>
      </c>
      <c r="AY89" s="0" t="n">
        <f aca="false">IF(Presupuesto!$B$31='Flujo de Pagos'!$E89,31,9999)</f>
        <v>31</v>
      </c>
      <c r="AZ89" s="0" t="n">
        <f aca="false">IF(Presupuesto!$B$32='Flujo de Pagos'!$E89,32,9999)</f>
        <v>32</v>
      </c>
      <c r="BA89" s="0" t="n">
        <f aca="false">IF(Presupuesto!$B$33='Flujo de Pagos'!$E89,33,9999)</f>
        <v>33</v>
      </c>
      <c r="BB89" s="0" t="n">
        <f aca="false">IF(Presupuesto!$B$34='Flujo de Pagos'!$E89,34,9999)</f>
        <v>34</v>
      </c>
      <c r="BC89" s="0" t="n">
        <f aca="false">IF(Presupuesto!$B$35='Flujo de Pagos'!$E89,35,9999)</f>
        <v>35</v>
      </c>
      <c r="BD89" s="0" t="n">
        <f aca="false">IF(Presupuesto!$B$36='Flujo de Pagos'!$E89,36,9999)</f>
        <v>36</v>
      </c>
      <c r="BE89" s="0" t="n">
        <f aca="false">IF(Presupuesto!$B$37='Flujo de Pagos'!$E89,37,9999)</f>
        <v>37</v>
      </c>
      <c r="BF89" s="0" t="n">
        <f aca="false">IF(Presupuesto!$B$38='Flujo de Pagos'!$E89,38,9999)</f>
        <v>38</v>
      </c>
      <c r="BG89" s="0" t="n">
        <f aca="false">IF(Presupuesto!$B$39='Flujo de Pagos'!$E89,39,9999)</f>
        <v>39</v>
      </c>
      <c r="BH89" s="0" t="n">
        <f aca="false">IF(Presupuesto!$B$40='Flujo de Pagos'!$E89,40,9999)</f>
        <v>40</v>
      </c>
      <c r="BI89" s="0" t="n">
        <f aca="false">IF(Presupuesto!$B$41='Flujo de Pagos'!$E89,41,9999)</f>
        <v>41</v>
      </c>
      <c r="BJ89" s="0" t="n">
        <f aca="false">IF(Presupuesto!$B$42='Flujo de Pagos'!$E89,42,9999)</f>
        <v>42</v>
      </c>
      <c r="BK89" s="0" t="n">
        <f aca="false">IF(Presupuesto!$B$43='Flujo de Pagos'!$E89,43,9999)</f>
        <v>43</v>
      </c>
      <c r="BL89" s="0" t="n">
        <f aca="false">IF(Presupuesto!$B$44='Flujo de Pagos'!$E89,44,9999)</f>
        <v>44</v>
      </c>
      <c r="BM89" s="0" t="n">
        <f aca="false">IF(Presupuesto!$B$45='Flujo de Pagos'!$E89,45,9999)</f>
        <v>45</v>
      </c>
      <c r="BN89" s="0" t="n">
        <f aca="false">IF(Presupuesto!$B$46='Flujo de Pagos'!$E89,46,9999)</f>
        <v>46</v>
      </c>
      <c r="BO89" s="0" t="n">
        <f aca="false">IF(Presupuesto!$B$47='Flujo de Pagos'!$E89,47,9999)</f>
        <v>47</v>
      </c>
      <c r="BP89" s="0" t="n">
        <f aca="false">IF(Presupuesto!$B$48='Flujo de Pagos'!$E89,48,9999)</f>
        <v>48</v>
      </c>
      <c r="BQ89" s="0" t="n">
        <f aca="false">IF(Presupuesto!$B$49='Flujo de Pagos'!$E89,49,9999)</f>
        <v>49</v>
      </c>
      <c r="BR89" s="0" t="n">
        <f aca="false">IF(Presupuesto!$B$50='Flujo de Pagos'!$E89,50,9999)</f>
        <v>50</v>
      </c>
      <c r="BS89" s="0" t="n">
        <f aca="false">IF(Presupuesto!$B$51='Flujo de Pagos'!$E89,51,9999)</f>
        <v>51</v>
      </c>
      <c r="BT89" s="0" t="n">
        <f aca="false">IF(Presupuesto!$B$52='Flujo de Pagos'!$E89,52,9999)</f>
        <v>52</v>
      </c>
      <c r="BU89" s="0" t="n">
        <f aca="false">IF(Presupuesto!$B$53='Flujo de Pagos'!$E89,53,9999)</f>
        <v>53</v>
      </c>
      <c r="BV89" s="0" t="n">
        <f aca="false">IF(Presupuesto!$B$54='Flujo de Pagos'!$E89,54,9999)</f>
        <v>54</v>
      </c>
      <c r="BW89" s="0" t="n">
        <f aca="false">IF(Presupuesto!$B$55='Flujo de Pagos'!$E89,55,9999)</f>
        <v>55</v>
      </c>
      <c r="BX89" s="0" t="n">
        <f aca="false">IF(Presupuesto!$B$56='Flujo de Pagos'!$E89,56,9999)</f>
        <v>56</v>
      </c>
      <c r="BY89" s="0" t="n">
        <f aca="false">IF(Presupuesto!$B$57='Flujo de Pagos'!$E89,57,9999)</f>
        <v>57</v>
      </c>
      <c r="BZ89" s="0" t="n">
        <f aca="false">IF(Presupuesto!$B$58='Flujo de Pagos'!$E89,58,9999)</f>
        <v>58</v>
      </c>
      <c r="CA89" s="0" t="n">
        <f aca="false">IF(Presupuesto!$B$59='Flujo de Pagos'!$E89,59,9999)</f>
        <v>59</v>
      </c>
      <c r="CB89" s="0" t="n">
        <f aca="false">IF(Presupuesto!$B$60='Flujo de Pagos'!$E89,60,9999)</f>
        <v>60</v>
      </c>
      <c r="CC89" s="0" t="n">
        <f aca="false">IF(Presupuesto!$B$61='Flujo de Pagos'!$E89,61,9999)</f>
        <v>61</v>
      </c>
      <c r="CD89" s="0" t="n">
        <f aca="false">IF(Presupuesto!$B$62='Flujo de Pagos'!$E89,62,9999)</f>
        <v>62</v>
      </c>
      <c r="CE89" s="0" t="n">
        <f aca="false">IF(Presupuesto!$B$63='Flujo de Pagos'!$E89,63,9999)</f>
        <v>63</v>
      </c>
      <c r="CF89" s="0" t="n">
        <f aca="false">IF(Presupuesto!$B$64='Flujo de Pagos'!$E89,64,9999)</f>
        <v>64</v>
      </c>
      <c r="CG89" s="0" t="n">
        <f aca="false">IF(Presupuesto!$B$65='Flujo de Pagos'!$E89,65,9999)</f>
        <v>65</v>
      </c>
      <c r="CH89" s="0" t="n">
        <f aca="false">IF(Presupuesto!$B$66='Flujo de Pagos'!$E89,66,9999)</f>
        <v>66</v>
      </c>
    </row>
    <row r="90" customFormat="false" ht="15" hidden="false" customHeight="true" outlineLevel="0" collapsed="false">
      <c r="B90" s="1" t="n">
        <f aca="false">IF(AND('Flujo de Pagos'!E95=Carátula!$B$2,'Flujo de Pagos'!F95=Carátula!$B$4,'Flujo de Pagos'!H95&lt;&gt;""),95,99999)</f>
        <v>99999</v>
      </c>
      <c r="H90" s="1" t="n">
        <f aca="false">IF(SMALL($AA90:$CH90,1)&gt;=9999,"",INDEX(Presupuesto!$C:$C,SMALL($AA90:$CH90,1)))</f>
        <v>0</v>
      </c>
      <c r="I90" s="1" t="n">
        <f aca="false">IF(SMALL($AA90:$CH90,2)&gt;=9999,"",INDEX(Presupuesto!$C:$C,SMALL($AA90:$CH90,2)))</f>
        <v>0</v>
      </c>
      <c r="J90" s="1" t="n">
        <f aca="false">IF(SMALL($AA90:$CH90,3)&gt;=9999,"",INDEX(Presupuesto!$C:$C,SMALL($AA90:$CH90,3)))</f>
        <v>0</v>
      </c>
      <c r="K90" s="1" t="n">
        <f aca="false">IF(SMALL($AA90:$CH90,4)&gt;=9999,"",INDEX(Presupuesto!$C:$C,SMALL($AA90:$CH90,4)))</f>
        <v>0</v>
      </c>
      <c r="L90" s="1" t="n">
        <f aca="false">IF(SMALL($AA90:$CH90,5)&gt;=9999,"",INDEX(Presupuesto!$C:$C,SMALL($AA90:$CH90,5)))</f>
        <v>0</v>
      </c>
      <c r="M90" s="1" t="n">
        <f aca="false">IF(SMALL($AA90:$CH90,6)&gt;=9999,"",INDEX(Presupuesto!$C:$C,SMALL($AA90:$CH90,6)))</f>
        <v>0</v>
      </c>
      <c r="N90" s="1" t="n">
        <f aca="false">IF(SMALL($AA90:$CH90,7)&gt;=9999,"",INDEX(Presupuesto!$C:$C,SMALL($AA90:$CH90,7)))</f>
        <v>0</v>
      </c>
      <c r="O90" s="1" t="n">
        <f aca="false">IF(SMALL($AA90:$CH90,8)&gt;=9999,"",INDEX(Presupuesto!$C:$C,SMALL($AA90:$CH90,8)))</f>
        <v>0</v>
      </c>
      <c r="P90" s="1" t="n">
        <f aca="false">IF(SMALL($AA90:$CH90,9)&gt;=9999,"",INDEX(Presupuesto!$C:$C,SMALL($AA90:$CH90,9)))</f>
        <v>0</v>
      </c>
      <c r="Q90" s="1" t="n">
        <f aca="false">IF(SMALL($AA90:$CH90,10)&gt;=9999,"",INDEX(Presupuesto!$C:$C,SMALL($AA90:$CH90,10)))</f>
        <v>0</v>
      </c>
      <c r="AA90" s="0" t="n">
        <f aca="false">IF(Presupuesto!$B$7='Flujo de Pagos'!$E90,7,9999)</f>
        <v>9999</v>
      </c>
      <c r="AB90" s="0" t="n">
        <f aca="false">IF(Presupuesto!$B$8='Flujo de Pagos'!$E90,8,9999)</f>
        <v>9999</v>
      </c>
      <c r="AC90" s="0" t="n">
        <f aca="false">IF(Presupuesto!$B$9='Flujo de Pagos'!$E90,9,9999)</f>
        <v>9999</v>
      </c>
      <c r="AD90" s="0" t="n">
        <f aca="false">IF(Presupuesto!$B$10='Flujo de Pagos'!$E90,10,9999)</f>
        <v>9999</v>
      </c>
      <c r="AE90" s="0" t="n">
        <f aca="false">IF(Presupuesto!$B$11='Flujo de Pagos'!$E90,11,9999)</f>
        <v>9999</v>
      </c>
      <c r="AF90" s="0" t="n">
        <f aca="false">IF(Presupuesto!$B$12='Flujo de Pagos'!$E90,12,9999)</f>
        <v>12</v>
      </c>
      <c r="AG90" s="0" t="n">
        <f aca="false">IF(Presupuesto!$B$13='Flujo de Pagos'!$E90,13,9999)</f>
        <v>13</v>
      </c>
      <c r="AH90" s="0" t="n">
        <f aca="false">IF(Presupuesto!$B$14='Flujo de Pagos'!$E90,14,9999)</f>
        <v>14</v>
      </c>
      <c r="AI90" s="0" t="n">
        <f aca="false">IF(Presupuesto!$B$15='Flujo de Pagos'!$E90,15,9999)</f>
        <v>15</v>
      </c>
      <c r="AJ90" s="0" t="n">
        <f aca="false">IF(Presupuesto!$B$16='Flujo de Pagos'!$E90,16,9999)</f>
        <v>16</v>
      </c>
      <c r="AK90" s="0" t="n">
        <f aca="false">IF(Presupuesto!$B$17='Flujo de Pagos'!$E90,17,9999)</f>
        <v>17</v>
      </c>
      <c r="AL90" s="0" t="n">
        <f aca="false">IF(Presupuesto!$B$18='Flujo de Pagos'!$E90,18,9999)</f>
        <v>18</v>
      </c>
      <c r="AM90" s="0" t="n">
        <f aca="false">IF(Presupuesto!$B$19='Flujo de Pagos'!$E90,19,9999)</f>
        <v>19</v>
      </c>
      <c r="AN90" s="0" t="n">
        <f aca="false">IF(Presupuesto!$B$20='Flujo de Pagos'!$E90,20,9999)</f>
        <v>20</v>
      </c>
      <c r="AO90" s="0" t="n">
        <f aca="false">IF(Presupuesto!$B$21='Flujo de Pagos'!$E90,21,9999)</f>
        <v>21</v>
      </c>
      <c r="AP90" s="0" t="n">
        <f aca="false">IF(Presupuesto!$B$22='Flujo de Pagos'!$E90,22,9999)</f>
        <v>22</v>
      </c>
      <c r="AQ90" s="0" t="n">
        <f aca="false">IF(Presupuesto!$B$23='Flujo de Pagos'!$E90,23,9999)</f>
        <v>23</v>
      </c>
      <c r="AR90" s="0" t="n">
        <f aca="false">IF(Presupuesto!$B$24='Flujo de Pagos'!$E90,24,9999)</f>
        <v>24</v>
      </c>
      <c r="AS90" s="0" t="n">
        <f aca="false">IF(Presupuesto!$B$25='Flujo de Pagos'!$E90,25,9999)</f>
        <v>25</v>
      </c>
      <c r="AT90" s="0" t="n">
        <f aca="false">IF(Presupuesto!$B$26='Flujo de Pagos'!$E90,26,9999)</f>
        <v>26</v>
      </c>
      <c r="AU90" s="0" t="n">
        <f aca="false">IF(Presupuesto!$B$27='Flujo de Pagos'!$E90,27,9999)</f>
        <v>27</v>
      </c>
      <c r="AV90" s="0" t="n">
        <f aca="false">IF(Presupuesto!$B$28='Flujo de Pagos'!$E90,28,9999)</f>
        <v>28</v>
      </c>
      <c r="AW90" s="0" t="n">
        <f aca="false">IF(Presupuesto!$B$29='Flujo de Pagos'!$E90,29,9999)</f>
        <v>29</v>
      </c>
      <c r="AX90" s="0" t="n">
        <f aca="false">IF(Presupuesto!$B$30='Flujo de Pagos'!$E90,30,9999)</f>
        <v>30</v>
      </c>
      <c r="AY90" s="0" t="n">
        <f aca="false">IF(Presupuesto!$B$31='Flujo de Pagos'!$E90,31,9999)</f>
        <v>31</v>
      </c>
      <c r="AZ90" s="0" t="n">
        <f aca="false">IF(Presupuesto!$B$32='Flujo de Pagos'!$E90,32,9999)</f>
        <v>32</v>
      </c>
      <c r="BA90" s="0" t="n">
        <f aca="false">IF(Presupuesto!$B$33='Flujo de Pagos'!$E90,33,9999)</f>
        <v>33</v>
      </c>
      <c r="BB90" s="0" t="n">
        <f aca="false">IF(Presupuesto!$B$34='Flujo de Pagos'!$E90,34,9999)</f>
        <v>34</v>
      </c>
      <c r="BC90" s="0" t="n">
        <f aca="false">IF(Presupuesto!$B$35='Flujo de Pagos'!$E90,35,9999)</f>
        <v>35</v>
      </c>
      <c r="BD90" s="0" t="n">
        <f aca="false">IF(Presupuesto!$B$36='Flujo de Pagos'!$E90,36,9999)</f>
        <v>36</v>
      </c>
      <c r="BE90" s="0" t="n">
        <f aca="false">IF(Presupuesto!$B$37='Flujo de Pagos'!$E90,37,9999)</f>
        <v>37</v>
      </c>
      <c r="BF90" s="0" t="n">
        <f aca="false">IF(Presupuesto!$B$38='Flujo de Pagos'!$E90,38,9999)</f>
        <v>38</v>
      </c>
      <c r="BG90" s="0" t="n">
        <f aca="false">IF(Presupuesto!$B$39='Flujo de Pagos'!$E90,39,9999)</f>
        <v>39</v>
      </c>
      <c r="BH90" s="0" t="n">
        <f aca="false">IF(Presupuesto!$B$40='Flujo de Pagos'!$E90,40,9999)</f>
        <v>40</v>
      </c>
      <c r="BI90" s="0" t="n">
        <f aca="false">IF(Presupuesto!$B$41='Flujo de Pagos'!$E90,41,9999)</f>
        <v>41</v>
      </c>
      <c r="BJ90" s="0" t="n">
        <f aca="false">IF(Presupuesto!$B$42='Flujo de Pagos'!$E90,42,9999)</f>
        <v>42</v>
      </c>
      <c r="BK90" s="0" t="n">
        <f aca="false">IF(Presupuesto!$B$43='Flujo de Pagos'!$E90,43,9999)</f>
        <v>43</v>
      </c>
      <c r="BL90" s="0" t="n">
        <f aca="false">IF(Presupuesto!$B$44='Flujo de Pagos'!$E90,44,9999)</f>
        <v>44</v>
      </c>
      <c r="BM90" s="0" t="n">
        <f aca="false">IF(Presupuesto!$B$45='Flujo de Pagos'!$E90,45,9999)</f>
        <v>45</v>
      </c>
      <c r="BN90" s="0" t="n">
        <f aca="false">IF(Presupuesto!$B$46='Flujo de Pagos'!$E90,46,9999)</f>
        <v>46</v>
      </c>
      <c r="BO90" s="0" t="n">
        <f aca="false">IF(Presupuesto!$B$47='Flujo de Pagos'!$E90,47,9999)</f>
        <v>47</v>
      </c>
      <c r="BP90" s="0" t="n">
        <f aca="false">IF(Presupuesto!$B$48='Flujo de Pagos'!$E90,48,9999)</f>
        <v>48</v>
      </c>
      <c r="BQ90" s="0" t="n">
        <f aca="false">IF(Presupuesto!$B$49='Flujo de Pagos'!$E90,49,9999)</f>
        <v>49</v>
      </c>
      <c r="BR90" s="0" t="n">
        <f aca="false">IF(Presupuesto!$B$50='Flujo de Pagos'!$E90,50,9999)</f>
        <v>50</v>
      </c>
      <c r="BS90" s="0" t="n">
        <f aca="false">IF(Presupuesto!$B$51='Flujo de Pagos'!$E90,51,9999)</f>
        <v>51</v>
      </c>
      <c r="BT90" s="0" t="n">
        <f aca="false">IF(Presupuesto!$B$52='Flujo de Pagos'!$E90,52,9999)</f>
        <v>52</v>
      </c>
      <c r="BU90" s="0" t="n">
        <f aca="false">IF(Presupuesto!$B$53='Flujo de Pagos'!$E90,53,9999)</f>
        <v>53</v>
      </c>
      <c r="BV90" s="0" t="n">
        <f aca="false">IF(Presupuesto!$B$54='Flujo de Pagos'!$E90,54,9999)</f>
        <v>54</v>
      </c>
      <c r="BW90" s="0" t="n">
        <f aca="false">IF(Presupuesto!$B$55='Flujo de Pagos'!$E90,55,9999)</f>
        <v>55</v>
      </c>
      <c r="BX90" s="0" t="n">
        <f aca="false">IF(Presupuesto!$B$56='Flujo de Pagos'!$E90,56,9999)</f>
        <v>56</v>
      </c>
      <c r="BY90" s="0" t="n">
        <f aca="false">IF(Presupuesto!$B$57='Flujo de Pagos'!$E90,57,9999)</f>
        <v>57</v>
      </c>
      <c r="BZ90" s="0" t="n">
        <f aca="false">IF(Presupuesto!$B$58='Flujo de Pagos'!$E90,58,9999)</f>
        <v>58</v>
      </c>
      <c r="CA90" s="0" t="n">
        <f aca="false">IF(Presupuesto!$B$59='Flujo de Pagos'!$E90,59,9999)</f>
        <v>59</v>
      </c>
      <c r="CB90" s="0" t="n">
        <f aca="false">IF(Presupuesto!$B$60='Flujo de Pagos'!$E90,60,9999)</f>
        <v>60</v>
      </c>
      <c r="CC90" s="0" t="n">
        <f aca="false">IF(Presupuesto!$B$61='Flujo de Pagos'!$E90,61,9999)</f>
        <v>61</v>
      </c>
      <c r="CD90" s="0" t="n">
        <f aca="false">IF(Presupuesto!$B$62='Flujo de Pagos'!$E90,62,9999)</f>
        <v>62</v>
      </c>
      <c r="CE90" s="0" t="n">
        <f aca="false">IF(Presupuesto!$B$63='Flujo de Pagos'!$E90,63,9999)</f>
        <v>63</v>
      </c>
      <c r="CF90" s="0" t="n">
        <f aca="false">IF(Presupuesto!$B$64='Flujo de Pagos'!$E90,64,9999)</f>
        <v>64</v>
      </c>
      <c r="CG90" s="0" t="n">
        <f aca="false">IF(Presupuesto!$B$65='Flujo de Pagos'!$E90,65,9999)</f>
        <v>65</v>
      </c>
      <c r="CH90" s="0" t="n">
        <f aca="false">IF(Presupuesto!$B$66='Flujo de Pagos'!$E90,66,9999)</f>
        <v>66</v>
      </c>
    </row>
    <row r="91" customFormat="false" ht="15" hidden="false" customHeight="true" outlineLevel="0" collapsed="false">
      <c r="B91" s="1" t="n">
        <f aca="false">IF(AND('Flujo de Pagos'!E96=Carátula!$B$2,'Flujo de Pagos'!F96=Carátula!$B$4,'Flujo de Pagos'!H96&lt;&gt;""),96,99999)</f>
        <v>99999</v>
      </c>
      <c r="H91" s="1" t="n">
        <f aca="false">IF(SMALL($AA91:$CH91,1)&gt;=9999,"",INDEX(Presupuesto!$C:$C,SMALL($AA91:$CH91,1)))</f>
        <v>0</v>
      </c>
      <c r="I91" s="1" t="n">
        <f aca="false">IF(SMALL($AA91:$CH91,2)&gt;=9999,"",INDEX(Presupuesto!$C:$C,SMALL($AA91:$CH91,2)))</f>
        <v>0</v>
      </c>
      <c r="J91" s="1" t="n">
        <f aca="false">IF(SMALL($AA91:$CH91,3)&gt;=9999,"",INDEX(Presupuesto!$C:$C,SMALL($AA91:$CH91,3)))</f>
        <v>0</v>
      </c>
      <c r="K91" s="1" t="n">
        <f aca="false">IF(SMALL($AA91:$CH91,4)&gt;=9999,"",INDEX(Presupuesto!$C:$C,SMALL($AA91:$CH91,4)))</f>
        <v>0</v>
      </c>
      <c r="L91" s="1" t="n">
        <f aca="false">IF(SMALL($AA91:$CH91,5)&gt;=9999,"",INDEX(Presupuesto!$C:$C,SMALL($AA91:$CH91,5)))</f>
        <v>0</v>
      </c>
      <c r="M91" s="1" t="n">
        <f aca="false">IF(SMALL($AA91:$CH91,6)&gt;=9999,"",INDEX(Presupuesto!$C:$C,SMALL($AA91:$CH91,6)))</f>
        <v>0</v>
      </c>
      <c r="N91" s="1" t="n">
        <f aca="false">IF(SMALL($AA91:$CH91,7)&gt;=9999,"",INDEX(Presupuesto!$C:$C,SMALL($AA91:$CH91,7)))</f>
        <v>0</v>
      </c>
      <c r="O91" s="1" t="n">
        <f aca="false">IF(SMALL($AA91:$CH91,8)&gt;=9999,"",INDEX(Presupuesto!$C:$C,SMALL($AA91:$CH91,8)))</f>
        <v>0</v>
      </c>
      <c r="P91" s="1" t="n">
        <f aca="false">IF(SMALL($AA91:$CH91,9)&gt;=9999,"",INDEX(Presupuesto!$C:$C,SMALL($AA91:$CH91,9)))</f>
        <v>0</v>
      </c>
      <c r="Q91" s="1" t="n">
        <f aca="false">IF(SMALL($AA91:$CH91,10)&gt;=9999,"",INDEX(Presupuesto!$C:$C,SMALL($AA91:$CH91,10)))</f>
        <v>0</v>
      </c>
      <c r="AA91" s="0" t="n">
        <f aca="false">IF(Presupuesto!$B$7='Flujo de Pagos'!$E91,7,9999)</f>
        <v>9999</v>
      </c>
      <c r="AB91" s="0" t="n">
        <f aca="false">IF(Presupuesto!$B$8='Flujo de Pagos'!$E91,8,9999)</f>
        <v>9999</v>
      </c>
      <c r="AC91" s="0" t="n">
        <f aca="false">IF(Presupuesto!$B$9='Flujo de Pagos'!$E91,9,9999)</f>
        <v>9999</v>
      </c>
      <c r="AD91" s="0" t="n">
        <f aca="false">IF(Presupuesto!$B$10='Flujo de Pagos'!$E91,10,9999)</f>
        <v>9999</v>
      </c>
      <c r="AE91" s="0" t="n">
        <f aca="false">IF(Presupuesto!$B$11='Flujo de Pagos'!$E91,11,9999)</f>
        <v>9999</v>
      </c>
      <c r="AF91" s="0" t="n">
        <f aca="false">IF(Presupuesto!$B$12='Flujo de Pagos'!$E91,12,9999)</f>
        <v>12</v>
      </c>
      <c r="AG91" s="0" t="n">
        <f aca="false">IF(Presupuesto!$B$13='Flujo de Pagos'!$E91,13,9999)</f>
        <v>13</v>
      </c>
      <c r="AH91" s="0" t="n">
        <f aca="false">IF(Presupuesto!$B$14='Flujo de Pagos'!$E91,14,9999)</f>
        <v>14</v>
      </c>
      <c r="AI91" s="0" t="n">
        <f aca="false">IF(Presupuesto!$B$15='Flujo de Pagos'!$E91,15,9999)</f>
        <v>15</v>
      </c>
      <c r="AJ91" s="0" t="n">
        <f aca="false">IF(Presupuesto!$B$16='Flujo de Pagos'!$E91,16,9999)</f>
        <v>16</v>
      </c>
      <c r="AK91" s="0" t="n">
        <f aca="false">IF(Presupuesto!$B$17='Flujo de Pagos'!$E91,17,9999)</f>
        <v>17</v>
      </c>
      <c r="AL91" s="0" t="n">
        <f aca="false">IF(Presupuesto!$B$18='Flujo de Pagos'!$E91,18,9999)</f>
        <v>18</v>
      </c>
      <c r="AM91" s="0" t="n">
        <f aca="false">IF(Presupuesto!$B$19='Flujo de Pagos'!$E91,19,9999)</f>
        <v>19</v>
      </c>
      <c r="AN91" s="0" t="n">
        <f aca="false">IF(Presupuesto!$B$20='Flujo de Pagos'!$E91,20,9999)</f>
        <v>20</v>
      </c>
      <c r="AO91" s="0" t="n">
        <f aca="false">IF(Presupuesto!$B$21='Flujo de Pagos'!$E91,21,9999)</f>
        <v>21</v>
      </c>
      <c r="AP91" s="0" t="n">
        <f aca="false">IF(Presupuesto!$B$22='Flujo de Pagos'!$E91,22,9999)</f>
        <v>22</v>
      </c>
      <c r="AQ91" s="0" t="n">
        <f aca="false">IF(Presupuesto!$B$23='Flujo de Pagos'!$E91,23,9999)</f>
        <v>23</v>
      </c>
      <c r="AR91" s="0" t="n">
        <f aca="false">IF(Presupuesto!$B$24='Flujo de Pagos'!$E91,24,9999)</f>
        <v>24</v>
      </c>
      <c r="AS91" s="0" t="n">
        <f aca="false">IF(Presupuesto!$B$25='Flujo de Pagos'!$E91,25,9999)</f>
        <v>25</v>
      </c>
      <c r="AT91" s="0" t="n">
        <f aca="false">IF(Presupuesto!$B$26='Flujo de Pagos'!$E91,26,9999)</f>
        <v>26</v>
      </c>
      <c r="AU91" s="0" t="n">
        <f aca="false">IF(Presupuesto!$B$27='Flujo de Pagos'!$E91,27,9999)</f>
        <v>27</v>
      </c>
      <c r="AV91" s="0" t="n">
        <f aca="false">IF(Presupuesto!$B$28='Flujo de Pagos'!$E91,28,9999)</f>
        <v>28</v>
      </c>
      <c r="AW91" s="0" t="n">
        <f aca="false">IF(Presupuesto!$B$29='Flujo de Pagos'!$E91,29,9999)</f>
        <v>29</v>
      </c>
      <c r="AX91" s="0" t="n">
        <f aca="false">IF(Presupuesto!$B$30='Flujo de Pagos'!$E91,30,9999)</f>
        <v>30</v>
      </c>
      <c r="AY91" s="0" t="n">
        <f aca="false">IF(Presupuesto!$B$31='Flujo de Pagos'!$E91,31,9999)</f>
        <v>31</v>
      </c>
      <c r="AZ91" s="0" t="n">
        <f aca="false">IF(Presupuesto!$B$32='Flujo de Pagos'!$E91,32,9999)</f>
        <v>32</v>
      </c>
      <c r="BA91" s="0" t="n">
        <f aca="false">IF(Presupuesto!$B$33='Flujo de Pagos'!$E91,33,9999)</f>
        <v>33</v>
      </c>
      <c r="BB91" s="0" t="n">
        <f aca="false">IF(Presupuesto!$B$34='Flujo de Pagos'!$E91,34,9999)</f>
        <v>34</v>
      </c>
      <c r="BC91" s="0" t="n">
        <f aca="false">IF(Presupuesto!$B$35='Flujo de Pagos'!$E91,35,9999)</f>
        <v>35</v>
      </c>
      <c r="BD91" s="0" t="n">
        <f aca="false">IF(Presupuesto!$B$36='Flujo de Pagos'!$E91,36,9999)</f>
        <v>36</v>
      </c>
      <c r="BE91" s="0" t="n">
        <f aca="false">IF(Presupuesto!$B$37='Flujo de Pagos'!$E91,37,9999)</f>
        <v>37</v>
      </c>
      <c r="BF91" s="0" t="n">
        <f aca="false">IF(Presupuesto!$B$38='Flujo de Pagos'!$E91,38,9999)</f>
        <v>38</v>
      </c>
      <c r="BG91" s="0" t="n">
        <f aca="false">IF(Presupuesto!$B$39='Flujo de Pagos'!$E91,39,9999)</f>
        <v>39</v>
      </c>
      <c r="BH91" s="0" t="n">
        <f aca="false">IF(Presupuesto!$B$40='Flujo de Pagos'!$E91,40,9999)</f>
        <v>40</v>
      </c>
      <c r="BI91" s="0" t="n">
        <f aca="false">IF(Presupuesto!$B$41='Flujo de Pagos'!$E91,41,9999)</f>
        <v>41</v>
      </c>
      <c r="BJ91" s="0" t="n">
        <f aca="false">IF(Presupuesto!$B$42='Flujo de Pagos'!$E91,42,9999)</f>
        <v>42</v>
      </c>
      <c r="BK91" s="0" t="n">
        <f aca="false">IF(Presupuesto!$B$43='Flujo de Pagos'!$E91,43,9999)</f>
        <v>43</v>
      </c>
      <c r="BL91" s="0" t="n">
        <f aca="false">IF(Presupuesto!$B$44='Flujo de Pagos'!$E91,44,9999)</f>
        <v>44</v>
      </c>
      <c r="BM91" s="0" t="n">
        <f aca="false">IF(Presupuesto!$B$45='Flujo de Pagos'!$E91,45,9999)</f>
        <v>45</v>
      </c>
      <c r="BN91" s="0" t="n">
        <f aca="false">IF(Presupuesto!$B$46='Flujo de Pagos'!$E91,46,9999)</f>
        <v>46</v>
      </c>
      <c r="BO91" s="0" t="n">
        <f aca="false">IF(Presupuesto!$B$47='Flujo de Pagos'!$E91,47,9999)</f>
        <v>47</v>
      </c>
      <c r="BP91" s="0" t="n">
        <f aca="false">IF(Presupuesto!$B$48='Flujo de Pagos'!$E91,48,9999)</f>
        <v>48</v>
      </c>
      <c r="BQ91" s="0" t="n">
        <f aca="false">IF(Presupuesto!$B$49='Flujo de Pagos'!$E91,49,9999)</f>
        <v>49</v>
      </c>
      <c r="BR91" s="0" t="n">
        <f aca="false">IF(Presupuesto!$B$50='Flujo de Pagos'!$E91,50,9999)</f>
        <v>50</v>
      </c>
      <c r="BS91" s="0" t="n">
        <f aca="false">IF(Presupuesto!$B$51='Flujo de Pagos'!$E91,51,9999)</f>
        <v>51</v>
      </c>
      <c r="BT91" s="0" t="n">
        <f aca="false">IF(Presupuesto!$B$52='Flujo de Pagos'!$E91,52,9999)</f>
        <v>52</v>
      </c>
      <c r="BU91" s="0" t="n">
        <f aca="false">IF(Presupuesto!$B$53='Flujo de Pagos'!$E91,53,9999)</f>
        <v>53</v>
      </c>
      <c r="BV91" s="0" t="n">
        <f aca="false">IF(Presupuesto!$B$54='Flujo de Pagos'!$E91,54,9999)</f>
        <v>54</v>
      </c>
      <c r="BW91" s="0" t="n">
        <f aca="false">IF(Presupuesto!$B$55='Flujo de Pagos'!$E91,55,9999)</f>
        <v>55</v>
      </c>
      <c r="BX91" s="0" t="n">
        <f aca="false">IF(Presupuesto!$B$56='Flujo de Pagos'!$E91,56,9999)</f>
        <v>56</v>
      </c>
      <c r="BY91" s="0" t="n">
        <f aca="false">IF(Presupuesto!$B$57='Flujo de Pagos'!$E91,57,9999)</f>
        <v>57</v>
      </c>
      <c r="BZ91" s="0" t="n">
        <f aca="false">IF(Presupuesto!$B$58='Flujo de Pagos'!$E91,58,9999)</f>
        <v>58</v>
      </c>
      <c r="CA91" s="0" t="n">
        <f aca="false">IF(Presupuesto!$B$59='Flujo de Pagos'!$E91,59,9999)</f>
        <v>59</v>
      </c>
      <c r="CB91" s="0" t="n">
        <f aca="false">IF(Presupuesto!$B$60='Flujo de Pagos'!$E91,60,9999)</f>
        <v>60</v>
      </c>
      <c r="CC91" s="0" t="n">
        <f aca="false">IF(Presupuesto!$B$61='Flujo de Pagos'!$E91,61,9999)</f>
        <v>61</v>
      </c>
      <c r="CD91" s="0" t="n">
        <f aca="false">IF(Presupuesto!$B$62='Flujo de Pagos'!$E91,62,9999)</f>
        <v>62</v>
      </c>
      <c r="CE91" s="0" t="n">
        <f aca="false">IF(Presupuesto!$B$63='Flujo de Pagos'!$E91,63,9999)</f>
        <v>63</v>
      </c>
      <c r="CF91" s="0" t="n">
        <f aca="false">IF(Presupuesto!$B$64='Flujo de Pagos'!$E91,64,9999)</f>
        <v>64</v>
      </c>
      <c r="CG91" s="0" t="n">
        <f aca="false">IF(Presupuesto!$B$65='Flujo de Pagos'!$E91,65,9999)</f>
        <v>65</v>
      </c>
      <c r="CH91" s="0" t="n">
        <f aca="false">IF(Presupuesto!$B$66='Flujo de Pagos'!$E91,66,9999)</f>
        <v>66</v>
      </c>
    </row>
    <row r="92" customFormat="false" ht="15" hidden="false" customHeight="true" outlineLevel="0" collapsed="false">
      <c r="B92" s="1" t="n">
        <f aca="false">IF(AND('Flujo de Pagos'!E97=Carátula!$B$2,'Flujo de Pagos'!F97=Carátula!$B$4,'Flujo de Pagos'!H97&lt;&gt;""),97,99999)</f>
        <v>99999</v>
      </c>
      <c r="H92" s="1" t="n">
        <f aca="false">IF(SMALL($AA92:$CH92,1)&gt;=9999,"",INDEX(Presupuesto!$C:$C,SMALL($AA92:$CH92,1)))</f>
        <v>0</v>
      </c>
      <c r="I92" s="1" t="n">
        <f aca="false">IF(SMALL($AA92:$CH92,2)&gt;=9999,"",INDEX(Presupuesto!$C:$C,SMALL($AA92:$CH92,2)))</f>
        <v>0</v>
      </c>
      <c r="J92" s="1" t="n">
        <f aca="false">IF(SMALL($AA92:$CH92,3)&gt;=9999,"",INDEX(Presupuesto!$C:$C,SMALL($AA92:$CH92,3)))</f>
        <v>0</v>
      </c>
      <c r="K92" s="1" t="n">
        <f aca="false">IF(SMALL($AA92:$CH92,4)&gt;=9999,"",INDEX(Presupuesto!$C:$C,SMALL($AA92:$CH92,4)))</f>
        <v>0</v>
      </c>
      <c r="L92" s="1" t="n">
        <f aca="false">IF(SMALL($AA92:$CH92,5)&gt;=9999,"",INDEX(Presupuesto!$C:$C,SMALL($AA92:$CH92,5)))</f>
        <v>0</v>
      </c>
      <c r="M92" s="1" t="n">
        <f aca="false">IF(SMALL($AA92:$CH92,6)&gt;=9999,"",INDEX(Presupuesto!$C:$C,SMALL($AA92:$CH92,6)))</f>
        <v>0</v>
      </c>
      <c r="N92" s="1" t="n">
        <f aca="false">IF(SMALL($AA92:$CH92,7)&gt;=9999,"",INDEX(Presupuesto!$C:$C,SMALL($AA92:$CH92,7)))</f>
        <v>0</v>
      </c>
      <c r="O92" s="1" t="n">
        <f aca="false">IF(SMALL($AA92:$CH92,8)&gt;=9999,"",INDEX(Presupuesto!$C:$C,SMALL($AA92:$CH92,8)))</f>
        <v>0</v>
      </c>
      <c r="P92" s="1" t="n">
        <f aca="false">IF(SMALL($AA92:$CH92,9)&gt;=9999,"",INDEX(Presupuesto!$C:$C,SMALL($AA92:$CH92,9)))</f>
        <v>0</v>
      </c>
      <c r="Q92" s="1" t="n">
        <f aca="false">IF(SMALL($AA92:$CH92,10)&gt;=9999,"",INDEX(Presupuesto!$C:$C,SMALL($AA92:$CH92,10)))</f>
        <v>0</v>
      </c>
      <c r="AA92" s="0" t="n">
        <f aca="false">IF(Presupuesto!$B$7='Flujo de Pagos'!$E92,7,9999)</f>
        <v>9999</v>
      </c>
      <c r="AB92" s="0" t="n">
        <f aca="false">IF(Presupuesto!$B$8='Flujo de Pagos'!$E92,8,9999)</f>
        <v>9999</v>
      </c>
      <c r="AC92" s="0" t="n">
        <f aca="false">IF(Presupuesto!$B$9='Flujo de Pagos'!$E92,9,9999)</f>
        <v>9999</v>
      </c>
      <c r="AD92" s="0" t="n">
        <f aca="false">IF(Presupuesto!$B$10='Flujo de Pagos'!$E92,10,9999)</f>
        <v>9999</v>
      </c>
      <c r="AE92" s="0" t="n">
        <f aca="false">IF(Presupuesto!$B$11='Flujo de Pagos'!$E92,11,9999)</f>
        <v>9999</v>
      </c>
      <c r="AF92" s="0" t="n">
        <f aca="false">IF(Presupuesto!$B$12='Flujo de Pagos'!$E92,12,9999)</f>
        <v>12</v>
      </c>
      <c r="AG92" s="0" t="n">
        <f aca="false">IF(Presupuesto!$B$13='Flujo de Pagos'!$E92,13,9999)</f>
        <v>13</v>
      </c>
      <c r="AH92" s="0" t="n">
        <f aca="false">IF(Presupuesto!$B$14='Flujo de Pagos'!$E92,14,9999)</f>
        <v>14</v>
      </c>
      <c r="AI92" s="0" t="n">
        <f aca="false">IF(Presupuesto!$B$15='Flujo de Pagos'!$E92,15,9999)</f>
        <v>15</v>
      </c>
      <c r="AJ92" s="0" t="n">
        <f aca="false">IF(Presupuesto!$B$16='Flujo de Pagos'!$E92,16,9999)</f>
        <v>16</v>
      </c>
      <c r="AK92" s="0" t="n">
        <f aca="false">IF(Presupuesto!$B$17='Flujo de Pagos'!$E92,17,9999)</f>
        <v>17</v>
      </c>
      <c r="AL92" s="0" t="n">
        <f aca="false">IF(Presupuesto!$B$18='Flujo de Pagos'!$E92,18,9999)</f>
        <v>18</v>
      </c>
      <c r="AM92" s="0" t="n">
        <f aca="false">IF(Presupuesto!$B$19='Flujo de Pagos'!$E92,19,9999)</f>
        <v>19</v>
      </c>
      <c r="AN92" s="0" t="n">
        <f aca="false">IF(Presupuesto!$B$20='Flujo de Pagos'!$E92,20,9999)</f>
        <v>20</v>
      </c>
      <c r="AO92" s="0" t="n">
        <f aca="false">IF(Presupuesto!$B$21='Flujo de Pagos'!$E92,21,9999)</f>
        <v>21</v>
      </c>
      <c r="AP92" s="0" t="n">
        <f aca="false">IF(Presupuesto!$B$22='Flujo de Pagos'!$E92,22,9999)</f>
        <v>22</v>
      </c>
      <c r="AQ92" s="0" t="n">
        <f aca="false">IF(Presupuesto!$B$23='Flujo de Pagos'!$E92,23,9999)</f>
        <v>23</v>
      </c>
      <c r="AR92" s="0" t="n">
        <f aca="false">IF(Presupuesto!$B$24='Flujo de Pagos'!$E92,24,9999)</f>
        <v>24</v>
      </c>
      <c r="AS92" s="0" t="n">
        <f aca="false">IF(Presupuesto!$B$25='Flujo de Pagos'!$E92,25,9999)</f>
        <v>25</v>
      </c>
      <c r="AT92" s="0" t="n">
        <f aca="false">IF(Presupuesto!$B$26='Flujo de Pagos'!$E92,26,9999)</f>
        <v>26</v>
      </c>
      <c r="AU92" s="0" t="n">
        <f aca="false">IF(Presupuesto!$B$27='Flujo de Pagos'!$E92,27,9999)</f>
        <v>27</v>
      </c>
      <c r="AV92" s="0" t="n">
        <f aca="false">IF(Presupuesto!$B$28='Flujo de Pagos'!$E92,28,9999)</f>
        <v>28</v>
      </c>
      <c r="AW92" s="0" t="n">
        <f aca="false">IF(Presupuesto!$B$29='Flujo de Pagos'!$E92,29,9999)</f>
        <v>29</v>
      </c>
      <c r="AX92" s="0" t="n">
        <f aca="false">IF(Presupuesto!$B$30='Flujo de Pagos'!$E92,30,9999)</f>
        <v>30</v>
      </c>
      <c r="AY92" s="0" t="n">
        <f aca="false">IF(Presupuesto!$B$31='Flujo de Pagos'!$E92,31,9999)</f>
        <v>31</v>
      </c>
      <c r="AZ92" s="0" t="n">
        <f aca="false">IF(Presupuesto!$B$32='Flujo de Pagos'!$E92,32,9999)</f>
        <v>32</v>
      </c>
      <c r="BA92" s="0" t="n">
        <f aca="false">IF(Presupuesto!$B$33='Flujo de Pagos'!$E92,33,9999)</f>
        <v>33</v>
      </c>
      <c r="BB92" s="0" t="n">
        <f aca="false">IF(Presupuesto!$B$34='Flujo de Pagos'!$E92,34,9999)</f>
        <v>34</v>
      </c>
      <c r="BC92" s="0" t="n">
        <f aca="false">IF(Presupuesto!$B$35='Flujo de Pagos'!$E92,35,9999)</f>
        <v>35</v>
      </c>
      <c r="BD92" s="0" t="n">
        <f aca="false">IF(Presupuesto!$B$36='Flujo de Pagos'!$E92,36,9999)</f>
        <v>36</v>
      </c>
      <c r="BE92" s="0" t="n">
        <f aca="false">IF(Presupuesto!$B$37='Flujo de Pagos'!$E92,37,9999)</f>
        <v>37</v>
      </c>
      <c r="BF92" s="0" t="n">
        <f aca="false">IF(Presupuesto!$B$38='Flujo de Pagos'!$E92,38,9999)</f>
        <v>38</v>
      </c>
      <c r="BG92" s="0" t="n">
        <f aca="false">IF(Presupuesto!$B$39='Flujo de Pagos'!$E92,39,9999)</f>
        <v>39</v>
      </c>
      <c r="BH92" s="0" t="n">
        <f aca="false">IF(Presupuesto!$B$40='Flujo de Pagos'!$E92,40,9999)</f>
        <v>40</v>
      </c>
      <c r="BI92" s="0" t="n">
        <f aca="false">IF(Presupuesto!$B$41='Flujo de Pagos'!$E92,41,9999)</f>
        <v>41</v>
      </c>
      <c r="BJ92" s="0" t="n">
        <f aca="false">IF(Presupuesto!$B$42='Flujo de Pagos'!$E92,42,9999)</f>
        <v>42</v>
      </c>
      <c r="BK92" s="0" t="n">
        <f aca="false">IF(Presupuesto!$B$43='Flujo de Pagos'!$E92,43,9999)</f>
        <v>43</v>
      </c>
      <c r="BL92" s="0" t="n">
        <f aca="false">IF(Presupuesto!$B$44='Flujo de Pagos'!$E92,44,9999)</f>
        <v>44</v>
      </c>
      <c r="BM92" s="0" t="n">
        <f aca="false">IF(Presupuesto!$B$45='Flujo de Pagos'!$E92,45,9999)</f>
        <v>45</v>
      </c>
      <c r="BN92" s="0" t="n">
        <f aca="false">IF(Presupuesto!$B$46='Flujo de Pagos'!$E92,46,9999)</f>
        <v>46</v>
      </c>
      <c r="BO92" s="0" t="n">
        <f aca="false">IF(Presupuesto!$B$47='Flujo de Pagos'!$E92,47,9999)</f>
        <v>47</v>
      </c>
      <c r="BP92" s="0" t="n">
        <f aca="false">IF(Presupuesto!$B$48='Flujo de Pagos'!$E92,48,9999)</f>
        <v>48</v>
      </c>
      <c r="BQ92" s="0" t="n">
        <f aca="false">IF(Presupuesto!$B$49='Flujo de Pagos'!$E92,49,9999)</f>
        <v>49</v>
      </c>
      <c r="BR92" s="0" t="n">
        <f aca="false">IF(Presupuesto!$B$50='Flujo de Pagos'!$E92,50,9999)</f>
        <v>50</v>
      </c>
      <c r="BS92" s="0" t="n">
        <f aca="false">IF(Presupuesto!$B$51='Flujo de Pagos'!$E92,51,9999)</f>
        <v>51</v>
      </c>
      <c r="BT92" s="0" t="n">
        <f aca="false">IF(Presupuesto!$B$52='Flujo de Pagos'!$E92,52,9999)</f>
        <v>52</v>
      </c>
      <c r="BU92" s="0" t="n">
        <f aca="false">IF(Presupuesto!$B$53='Flujo de Pagos'!$E92,53,9999)</f>
        <v>53</v>
      </c>
      <c r="BV92" s="0" t="n">
        <f aca="false">IF(Presupuesto!$B$54='Flujo de Pagos'!$E92,54,9999)</f>
        <v>54</v>
      </c>
      <c r="BW92" s="0" t="n">
        <f aca="false">IF(Presupuesto!$B$55='Flujo de Pagos'!$E92,55,9999)</f>
        <v>55</v>
      </c>
      <c r="BX92" s="0" t="n">
        <f aca="false">IF(Presupuesto!$B$56='Flujo de Pagos'!$E92,56,9999)</f>
        <v>56</v>
      </c>
      <c r="BY92" s="0" t="n">
        <f aca="false">IF(Presupuesto!$B$57='Flujo de Pagos'!$E92,57,9999)</f>
        <v>57</v>
      </c>
      <c r="BZ92" s="0" t="n">
        <f aca="false">IF(Presupuesto!$B$58='Flujo de Pagos'!$E92,58,9999)</f>
        <v>58</v>
      </c>
      <c r="CA92" s="0" t="n">
        <f aca="false">IF(Presupuesto!$B$59='Flujo de Pagos'!$E92,59,9999)</f>
        <v>59</v>
      </c>
      <c r="CB92" s="0" t="n">
        <f aca="false">IF(Presupuesto!$B$60='Flujo de Pagos'!$E92,60,9999)</f>
        <v>60</v>
      </c>
      <c r="CC92" s="0" t="n">
        <f aca="false">IF(Presupuesto!$B$61='Flujo de Pagos'!$E92,61,9999)</f>
        <v>61</v>
      </c>
      <c r="CD92" s="0" t="n">
        <f aca="false">IF(Presupuesto!$B$62='Flujo de Pagos'!$E92,62,9999)</f>
        <v>62</v>
      </c>
      <c r="CE92" s="0" t="n">
        <f aca="false">IF(Presupuesto!$B$63='Flujo de Pagos'!$E92,63,9999)</f>
        <v>63</v>
      </c>
      <c r="CF92" s="0" t="n">
        <f aca="false">IF(Presupuesto!$B$64='Flujo de Pagos'!$E92,64,9999)</f>
        <v>64</v>
      </c>
      <c r="CG92" s="0" t="n">
        <f aca="false">IF(Presupuesto!$B$65='Flujo de Pagos'!$E92,65,9999)</f>
        <v>65</v>
      </c>
      <c r="CH92" s="0" t="n">
        <f aca="false">IF(Presupuesto!$B$66='Flujo de Pagos'!$E92,66,9999)</f>
        <v>66</v>
      </c>
    </row>
    <row r="93" customFormat="false" ht="15" hidden="false" customHeight="true" outlineLevel="0" collapsed="false">
      <c r="B93" s="1" t="n">
        <f aca="false">IF(AND('Flujo de Pagos'!E98=Carátula!$B$2,'Flujo de Pagos'!F98=Carátula!$B$4,'Flujo de Pagos'!H98&lt;&gt;""),98,99999)</f>
        <v>99999</v>
      </c>
      <c r="H93" s="1" t="n">
        <f aca="false">IF(SMALL($AA93:$CH93,1)&gt;=9999,"",INDEX(Presupuesto!$C:$C,SMALL($AA93:$CH93,1)))</f>
        <v>0</v>
      </c>
      <c r="I93" s="1" t="n">
        <f aca="false">IF(SMALL($AA93:$CH93,2)&gt;=9999,"",INDEX(Presupuesto!$C:$C,SMALL($AA93:$CH93,2)))</f>
        <v>0</v>
      </c>
      <c r="J93" s="1" t="n">
        <f aca="false">IF(SMALL($AA93:$CH93,3)&gt;=9999,"",INDEX(Presupuesto!$C:$C,SMALL($AA93:$CH93,3)))</f>
        <v>0</v>
      </c>
      <c r="K93" s="1" t="n">
        <f aca="false">IF(SMALL($AA93:$CH93,4)&gt;=9999,"",INDEX(Presupuesto!$C:$C,SMALL($AA93:$CH93,4)))</f>
        <v>0</v>
      </c>
      <c r="L93" s="1" t="n">
        <f aca="false">IF(SMALL($AA93:$CH93,5)&gt;=9999,"",INDEX(Presupuesto!$C:$C,SMALL($AA93:$CH93,5)))</f>
        <v>0</v>
      </c>
      <c r="M93" s="1" t="n">
        <f aca="false">IF(SMALL($AA93:$CH93,6)&gt;=9999,"",INDEX(Presupuesto!$C:$C,SMALL($AA93:$CH93,6)))</f>
        <v>0</v>
      </c>
      <c r="N93" s="1" t="n">
        <f aca="false">IF(SMALL($AA93:$CH93,7)&gt;=9999,"",INDEX(Presupuesto!$C:$C,SMALL($AA93:$CH93,7)))</f>
        <v>0</v>
      </c>
      <c r="O93" s="1" t="n">
        <f aca="false">IF(SMALL($AA93:$CH93,8)&gt;=9999,"",INDEX(Presupuesto!$C:$C,SMALL($AA93:$CH93,8)))</f>
        <v>0</v>
      </c>
      <c r="P93" s="1" t="n">
        <f aca="false">IF(SMALL($AA93:$CH93,9)&gt;=9999,"",INDEX(Presupuesto!$C:$C,SMALL($AA93:$CH93,9)))</f>
        <v>0</v>
      </c>
      <c r="Q93" s="1" t="n">
        <f aca="false">IF(SMALL($AA93:$CH93,10)&gt;=9999,"",INDEX(Presupuesto!$C:$C,SMALL($AA93:$CH93,10)))</f>
        <v>0</v>
      </c>
      <c r="AA93" s="0" t="n">
        <f aca="false">IF(Presupuesto!$B$7='Flujo de Pagos'!$E93,7,9999)</f>
        <v>9999</v>
      </c>
      <c r="AB93" s="0" t="n">
        <f aca="false">IF(Presupuesto!$B$8='Flujo de Pagos'!$E93,8,9999)</f>
        <v>9999</v>
      </c>
      <c r="AC93" s="0" t="n">
        <f aca="false">IF(Presupuesto!$B$9='Flujo de Pagos'!$E93,9,9999)</f>
        <v>9999</v>
      </c>
      <c r="AD93" s="0" t="n">
        <f aca="false">IF(Presupuesto!$B$10='Flujo de Pagos'!$E93,10,9999)</f>
        <v>9999</v>
      </c>
      <c r="AE93" s="0" t="n">
        <f aca="false">IF(Presupuesto!$B$11='Flujo de Pagos'!$E93,11,9999)</f>
        <v>9999</v>
      </c>
      <c r="AF93" s="0" t="n">
        <f aca="false">IF(Presupuesto!$B$12='Flujo de Pagos'!$E93,12,9999)</f>
        <v>12</v>
      </c>
      <c r="AG93" s="0" t="n">
        <f aca="false">IF(Presupuesto!$B$13='Flujo de Pagos'!$E93,13,9999)</f>
        <v>13</v>
      </c>
      <c r="AH93" s="0" t="n">
        <f aca="false">IF(Presupuesto!$B$14='Flujo de Pagos'!$E93,14,9999)</f>
        <v>14</v>
      </c>
      <c r="AI93" s="0" t="n">
        <f aca="false">IF(Presupuesto!$B$15='Flujo de Pagos'!$E93,15,9999)</f>
        <v>15</v>
      </c>
      <c r="AJ93" s="0" t="n">
        <f aca="false">IF(Presupuesto!$B$16='Flujo de Pagos'!$E93,16,9999)</f>
        <v>16</v>
      </c>
      <c r="AK93" s="0" t="n">
        <f aca="false">IF(Presupuesto!$B$17='Flujo de Pagos'!$E93,17,9999)</f>
        <v>17</v>
      </c>
      <c r="AL93" s="0" t="n">
        <f aca="false">IF(Presupuesto!$B$18='Flujo de Pagos'!$E93,18,9999)</f>
        <v>18</v>
      </c>
      <c r="AM93" s="0" t="n">
        <f aca="false">IF(Presupuesto!$B$19='Flujo de Pagos'!$E93,19,9999)</f>
        <v>19</v>
      </c>
      <c r="AN93" s="0" t="n">
        <f aca="false">IF(Presupuesto!$B$20='Flujo de Pagos'!$E93,20,9999)</f>
        <v>20</v>
      </c>
      <c r="AO93" s="0" t="n">
        <f aca="false">IF(Presupuesto!$B$21='Flujo de Pagos'!$E93,21,9999)</f>
        <v>21</v>
      </c>
      <c r="AP93" s="0" t="n">
        <f aca="false">IF(Presupuesto!$B$22='Flujo de Pagos'!$E93,22,9999)</f>
        <v>22</v>
      </c>
      <c r="AQ93" s="0" t="n">
        <f aca="false">IF(Presupuesto!$B$23='Flujo de Pagos'!$E93,23,9999)</f>
        <v>23</v>
      </c>
      <c r="AR93" s="0" t="n">
        <f aca="false">IF(Presupuesto!$B$24='Flujo de Pagos'!$E93,24,9999)</f>
        <v>24</v>
      </c>
      <c r="AS93" s="0" t="n">
        <f aca="false">IF(Presupuesto!$B$25='Flujo de Pagos'!$E93,25,9999)</f>
        <v>25</v>
      </c>
      <c r="AT93" s="0" t="n">
        <f aca="false">IF(Presupuesto!$B$26='Flujo de Pagos'!$E93,26,9999)</f>
        <v>26</v>
      </c>
      <c r="AU93" s="0" t="n">
        <f aca="false">IF(Presupuesto!$B$27='Flujo de Pagos'!$E93,27,9999)</f>
        <v>27</v>
      </c>
      <c r="AV93" s="0" t="n">
        <f aca="false">IF(Presupuesto!$B$28='Flujo de Pagos'!$E93,28,9999)</f>
        <v>28</v>
      </c>
      <c r="AW93" s="0" t="n">
        <f aca="false">IF(Presupuesto!$B$29='Flujo de Pagos'!$E93,29,9999)</f>
        <v>29</v>
      </c>
      <c r="AX93" s="0" t="n">
        <f aca="false">IF(Presupuesto!$B$30='Flujo de Pagos'!$E93,30,9999)</f>
        <v>30</v>
      </c>
      <c r="AY93" s="0" t="n">
        <f aca="false">IF(Presupuesto!$B$31='Flujo de Pagos'!$E93,31,9999)</f>
        <v>31</v>
      </c>
      <c r="AZ93" s="0" t="n">
        <f aca="false">IF(Presupuesto!$B$32='Flujo de Pagos'!$E93,32,9999)</f>
        <v>32</v>
      </c>
      <c r="BA93" s="0" t="n">
        <f aca="false">IF(Presupuesto!$B$33='Flujo de Pagos'!$E93,33,9999)</f>
        <v>33</v>
      </c>
      <c r="BB93" s="0" t="n">
        <f aca="false">IF(Presupuesto!$B$34='Flujo de Pagos'!$E93,34,9999)</f>
        <v>34</v>
      </c>
      <c r="BC93" s="0" t="n">
        <f aca="false">IF(Presupuesto!$B$35='Flujo de Pagos'!$E93,35,9999)</f>
        <v>35</v>
      </c>
      <c r="BD93" s="0" t="n">
        <f aca="false">IF(Presupuesto!$B$36='Flujo de Pagos'!$E93,36,9999)</f>
        <v>36</v>
      </c>
      <c r="BE93" s="0" t="n">
        <f aca="false">IF(Presupuesto!$B$37='Flujo de Pagos'!$E93,37,9999)</f>
        <v>37</v>
      </c>
      <c r="BF93" s="0" t="n">
        <f aca="false">IF(Presupuesto!$B$38='Flujo de Pagos'!$E93,38,9999)</f>
        <v>38</v>
      </c>
      <c r="BG93" s="0" t="n">
        <f aca="false">IF(Presupuesto!$B$39='Flujo de Pagos'!$E93,39,9999)</f>
        <v>39</v>
      </c>
      <c r="BH93" s="0" t="n">
        <f aca="false">IF(Presupuesto!$B$40='Flujo de Pagos'!$E93,40,9999)</f>
        <v>40</v>
      </c>
      <c r="BI93" s="0" t="n">
        <f aca="false">IF(Presupuesto!$B$41='Flujo de Pagos'!$E93,41,9999)</f>
        <v>41</v>
      </c>
      <c r="BJ93" s="0" t="n">
        <f aca="false">IF(Presupuesto!$B$42='Flujo de Pagos'!$E93,42,9999)</f>
        <v>42</v>
      </c>
      <c r="BK93" s="0" t="n">
        <f aca="false">IF(Presupuesto!$B$43='Flujo de Pagos'!$E93,43,9999)</f>
        <v>43</v>
      </c>
      <c r="BL93" s="0" t="n">
        <f aca="false">IF(Presupuesto!$B$44='Flujo de Pagos'!$E93,44,9999)</f>
        <v>44</v>
      </c>
      <c r="BM93" s="0" t="n">
        <f aca="false">IF(Presupuesto!$B$45='Flujo de Pagos'!$E93,45,9999)</f>
        <v>45</v>
      </c>
      <c r="BN93" s="0" t="n">
        <f aca="false">IF(Presupuesto!$B$46='Flujo de Pagos'!$E93,46,9999)</f>
        <v>46</v>
      </c>
      <c r="BO93" s="0" t="n">
        <f aca="false">IF(Presupuesto!$B$47='Flujo de Pagos'!$E93,47,9999)</f>
        <v>47</v>
      </c>
      <c r="BP93" s="0" t="n">
        <f aca="false">IF(Presupuesto!$B$48='Flujo de Pagos'!$E93,48,9999)</f>
        <v>48</v>
      </c>
      <c r="BQ93" s="0" t="n">
        <f aca="false">IF(Presupuesto!$B$49='Flujo de Pagos'!$E93,49,9999)</f>
        <v>49</v>
      </c>
      <c r="BR93" s="0" t="n">
        <f aca="false">IF(Presupuesto!$B$50='Flujo de Pagos'!$E93,50,9999)</f>
        <v>50</v>
      </c>
      <c r="BS93" s="0" t="n">
        <f aca="false">IF(Presupuesto!$B$51='Flujo de Pagos'!$E93,51,9999)</f>
        <v>51</v>
      </c>
      <c r="BT93" s="0" t="n">
        <f aca="false">IF(Presupuesto!$B$52='Flujo de Pagos'!$E93,52,9999)</f>
        <v>52</v>
      </c>
      <c r="BU93" s="0" t="n">
        <f aca="false">IF(Presupuesto!$B$53='Flujo de Pagos'!$E93,53,9999)</f>
        <v>53</v>
      </c>
      <c r="BV93" s="0" t="n">
        <f aca="false">IF(Presupuesto!$B$54='Flujo de Pagos'!$E93,54,9999)</f>
        <v>54</v>
      </c>
      <c r="BW93" s="0" t="n">
        <f aca="false">IF(Presupuesto!$B$55='Flujo de Pagos'!$E93,55,9999)</f>
        <v>55</v>
      </c>
      <c r="BX93" s="0" t="n">
        <f aca="false">IF(Presupuesto!$B$56='Flujo de Pagos'!$E93,56,9999)</f>
        <v>56</v>
      </c>
      <c r="BY93" s="0" t="n">
        <f aca="false">IF(Presupuesto!$B$57='Flujo de Pagos'!$E93,57,9999)</f>
        <v>57</v>
      </c>
      <c r="BZ93" s="0" t="n">
        <f aca="false">IF(Presupuesto!$B$58='Flujo de Pagos'!$E93,58,9999)</f>
        <v>58</v>
      </c>
      <c r="CA93" s="0" t="n">
        <f aca="false">IF(Presupuesto!$B$59='Flujo de Pagos'!$E93,59,9999)</f>
        <v>59</v>
      </c>
      <c r="CB93" s="0" t="n">
        <f aca="false">IF(Presupuesto!$B$60='Flujo de Pagos'!$E93,60,9999)</f>
        <v>60</v>
      </c>
      <c r="CC93" s="0" t="n">
        <f aca="false">IF(Presupuesto!$B$61='Flujo de Pagos'!$E93,61,9999)</f>
        <v>61</v>
      </c>
      <c r="CD93" s="0" t="n">
        <f aca="false">IF(Presupuesto!$B$62='Flujo de Pagos'!$E93,62,9999)</f>
        <v>62</v>
      </c>
      <c r="CE93" s="0" t="n">
        <f aca="false">IF(Presupuesto!$B$63='Flujo de Pagos'!$E93,63,9999)</f>
        <v>63</v>
      </c>
      <c r="CF93" s="0" t="n">
        <f aca="false">IF(Presupuesto!$B$64='Flujo de Pagos'!$E93,64,9999)</f>
        <v>64</v>
      </c>
      <c r="CG93" s="0" t="n">
        <f aca="false">IF(Presupuesto!$B$65='Flujo de Pagos'!$E93,65,9999)</f>
        <v>65</v>
      </c>
      <c r="CH93" s="0" t="n">
        <f aca="false">IF(Presupuesto!$B$66='Flujo de Pagos'!$E93,66,9999)</f>
        <v>66</v>
      </c>
    </row>
    <row r="94" customFormat="false" ht="15" hidden="false" customHeight="true" outlineLevel="0" collapsed="false">
      <c r="B94" s="1" t="n">
        <f aca="false">IF(AND('Flujo de Pagos'!E99=Carátula!$B$2,'Flujo de Pagos'!F99=Carátula!$B$4,'Flujo de Pagos'!H99&lt;&gt;""),99,99999)</f>
        <v>99999</v>
      </c>
      <c r="H94" s="1" t="n">
        <f aca="false">IF(SMALL($AA94:$CH94,1)&gt;=9999,"",INDEX(Presupuesto!$C:$C,SMALL($AA94:$CH94,1)))</f>
        <v>0</v>
      </c>
      <c r="I94" s="1" t="n">
        <f aca="false">IF(SMALL($AA94:$CH94,2)&gt;=9999,"",INDEX(Presupuesto!$C:$C,SMALL($AA94:$CH94,2)))</f>
        <v>0</v>
      </c>
      <c r="J94" s="1" t="n">
        <f aca="false">IF(SMALL($AA94:$CH94,3)&gt;=9999,"",INDEX(Presupuesto!$C:$C,SMALL($AA94:$CH94,3)))</f>
        <v>0</v>
      </c>
      <c r="K94" s="1" t="n">
        <f aca="false">IF(SMALL($AA94:$CH94,4)&gt;=9999,"",INDEX(Presupuesto!$C:$C,SMALL($AA94:$CH94,4)))</f>
        <v>0</v>
      </c>
      <c r="L94" s="1" t="n">
        <f aca="false">IF(SMALL($AA94:$CH94,5)&gt;=9999,"",INDEX(Presupuesto!$C:$C,SMALL($AA94:$CH94,5)))</f>
        <v>0</v>
      </c>
      <c r="M94" s="1" t="n">
        <f aca="false">IF(SMALL($AA94:$CH94,6)&gt;=9999,"",INDEX(Presupuesto!$C:$C,SMALL($AA94:$CH94,6)))</f>
        <v>0</v>
      </c>
      <c r="N94" s="1" t="n">
        <f aca="false">IF(SMALL($AA94:$CH94,7)&gt;=9999,"",INDEX(Presupuesto!$C:$C,SMALL($AA94:$CH94,7)))</f>
        <v>0</v>
      </c>
      <c r="O94" s="1" t="n">
        <f aca="false">IF(SMALL($AA94:$CH94,8)&gt;=9999,"",INDEX(Presupuesto!$C:$C,SMALL($AA94:$CH94,8)))</f>
        <v>0</v>
      </c>
      <c r="P94" s="1" t="n">
        <f aca="false">IF(SMALL($AA94:$CH94,9)&gt;=9999,"",INDEX(Presupuesto!$C:$C,SMALL($AA94:$CH94,9)))</f>
        <v>0</v>
      </c>
      <c r="Q94" s="1" t="n">
        <f aca="false">IF(SMALL($AA94:$CH94,10)&gt;=9999,"",INDEX(Presupuesto!$C:$C,SMALL($AA94:$CH94,10)))</f>
        <v>0</v>
      </c>
      <c r="AA94" s="0" t="n">
        <f aca="false">IF(Presupuesto!$B$7='Flujo de Pagos'!$E94,7,9999)</f>
        <v>9999</v>
      </c>
      <c r="AB94" s="0" t="n">
        <f aca="false">IF(Presupuesto!$B$8='Flujo de Pagos'!$E94,8,9999)</f>
        <v>9999</v>
      </c>
      <c r="AC94" s="0" t="n">
        <f aca="false">IF(Presupuesto!$B$9='Flujo de Pagos'!$E94,9,9999)</f>
        <v>9999</v>
      </c>
      <c r="AD94" s="0" t="n">
        <f aca="false">IF(Presupuesto!$B$10='Flujo de Pagos'!$E94,10,9999)</f>
        <v>9999</v>
      </c>
      <c r="AE94" s="0" t="n">
        <f aca="false">IF(Presupuesto!$B$11='Flujo de Pagos'!$E94,11,9999)</f>
        <v>9999</v>
      </c>
      <c r="AF94" s="0" t="n">
        <f aca="false">IF(Presupuesto!$B$12='Flujo de Pagos'!$E94,12,9999)</f>
        <v>12</v>
      </c>
      <c r="AG94" s="0" t="n">
        <f aca="false">IF(Presupuesto!$B$13='Flujo de Pagos'!$E94,13,9999)</f>
        <v>13</v>
      </c>
      <c r="AH94" s="0" t="n">
        <f aca="false">IF(Presupuesto!$B$14='Flujo de Pagos'!$E94,14,9999)</f>
        <v>14</v>
      </c>
      <c r="AI94" s="0" t="n">
        <f aca="false">IF(Presupuesto!$B$15='Flujo de Pagos'!$E94,15,9999)</f>
        <v>15</v>
      </c>
      <c r="AJ94" s="0" t="n">
        <f aca="false">IF(Presupuesto!$B$16='Flujo de Pagos'!$E94,16,9999)</f>
        <v>16</v>
      </c>
      <c r="AK94" s="0" t="n">
        <f aca="false">IF(Presupuesto!$B$17='Flujo de Pagos'!$E94,17,9999)</f>
        <v>17</v>
      </c>
      <c r="AL94" s="0" t="n">
        <f aca="false">IF(Presupuesto!$B$18='Flujo de Pagos'!$E94,18,9999)</f>
        <v>18</v>
      </c>
      <c r="AM94" s="0" t="n">
        <f aca="false">IF(Presupuesto!$B$19='Flujo de Pagos'!$E94,19,9999)</f>
        <v>19</v>
      </c>
      <c r="AN94" s="0" t="n">
        <f aca="false">IF(Presupuesto!$B$20='Flujo de Pagos'!$E94,20,9999)</f>
        <v>20</v>
      </c>
      <c r="AO94" s="0" t="n">
        <f aca="false">IF(Presupuesto!$B$21='Flujo de Pagos'!$E94,21,9999)</f>
        <v>21</v>
      </c>
      <c r="AP94" s="0" t="n">
        <f aca="false">IF(Presupuesto!$B$22='Flujo de Pagos'!$E94,22,9999)</f>
        <v>22</v>
      </c>
      <c r="AQ94" s="0" t="n">
        <f aca="false">IF(Presupuesto!$B$23='Flujo de Pagos'!$E94,23,9999)</f>
        <v>23</v>
      </c>
      <c r="AR94" s="0" t="n">
        <f aca="false">IF(Presupuesto!$B$24='Flujo de Pagos'!$E94,24,9999)</f>
        <v>24</v>
      </c>
      <c r="AS94" s="0" t="n">
        <f aca="false">IF(Presupuesto!$B$25='Flujo de Pagos'!$E94,25,9999)</f>
        <v>25</v>
      </c>
      <c r="AT94" s="0" t="n">
        <f aca="false">IF(Presupuesto!$B$26='Flujo de Pagos'!$E94,26,9999)</f>
        <v>26</v>
      </c>
      <c r="AU94" s="0" t="n">
        <f aca="false">IF(Presupuesto!$B$27='Flujo de Pagos'!$E94,27,9999)</f>
        <v>27</v>
      </c>
      <c r="AV94" s="0" t="n">
        <f aca="false">IF(Presupuesto!$B$28='Flujo de Pagos'!$E94,28,9999)</f>
        <v>28</v>
      </c>
      <c r="AW94" s="0" t="n">
        <f aca="false">IF(Presupuesto!$B$29='Flujo de Pagos'!$E94,29,9999)</f>
        <v>29</v>
      </c>
      <c r="AX94" s="0" t="n">
        <f aca="false">IF(Presupuesto!$B$30='Flujo de Pagos'!$E94,30,9999)</f>
        <v>30</v>
      </c>
      <c r="AY94" s="0" t="n">
        <f aca="false">IF(Presupuesto!$B$31='Flujo de Pagos'!$E94,31,9999)</f>
        <v>31</v>
      </c>
      <c r="AZ94" s="0" t="n">
        <f aca="false">IF(Presupuesto!$B$32='Flujo de Pagos'!$E94,32,9999)</f>
        <v>32</v>
      </c>
      <c r="BA94" s="0" t="n">
        <f aca="false">IF(Presupuesto!$B$33='Flujo de Pagos'!$E94,33,9999)</f>
        <v>33</v>
      </c>
      <c r="BB94" s="0" t="n">
        <f aca="false">IF(Presupuesto!$B$34='Flujo de Pagos'!$E94,34,9999)</f>
        <v>34</v>
      </c>
      <c r="BC94" s="0" t="n">
        <f aca="false">IF(Presupuesto!$B$35='Flujo de Pagos'!$E94,35,9999)</f>
        <v>35</v>
      </c>
      <c r="BD94" s="0" t="n">
        <f aca="false">IF(Presupuesto!$B$36='Flujo de Pagos'!$E94,36,9999)</f>
        <v>36</v>
      </c>
      <c r="BE94" s="0" t="n">
        <f aca="false">IF(Presupuesto!$B$37='Flujo de Pagos'!$E94,37,9999)</f>
        <v>37</v>
      </c>
      <c r="BF94" s="0" t="n">
        <f aca="false">IF(Presupuesto!$B$38='Flujo de Pagos'!$E94,38,9999)</f>
        <v>38</v>
      </c>
      <c r="BG94" s="0" t="n">
        <f aca="false">IF(Presupuesto!$B$39='Flujo de Pagos'!$E94,39,9999)</f>
        <v>39</v>
      </c>
      <c r="BH94" s="0" t="n">
        <f aca="false">IF(Presupuesto!$B$40='Flujo de Pagos'!$E94,40,9999)</f>
        <v>40</v>
      </c>
      <c r="BI94" s="0" t="n">
        <f aca="false">IF(Presupuesto!$B$41='Flujo de Pagos'!$E94,41,9999)</f>
        <v>41</v>
      </c>
      <c r="BJ94" s="0" t="n">
        <f aca="false">IF(Presupuesto!$B$42='Flujo de Pagos'!$E94,42,9999)</f>
        <v>42</v>
      </c>
      <c r="BK94" s="0" t="n">
        <f aca="false">IF(Presupuesto!$B$43='Flujo de Pagos'!$E94,43,9999)</f>
        <v>43</v>
      </c>
      <c r="BL94" s="0" t="n">
        <f aca="false">IF(Presupuesto!$B$44='Flujo de Pagos'!$E94,44,9999)</f>
        <v>44</v>
      </c>
      <c r="BM94" s="0" t="n">
        <f aca="false">IF(Presupuesto!$B$45='Flujo de Pagos'!$E94,45,9999)</f>
        <v>45</v>
      </c>
      <c r="BN94" s="0" t="n">
        <f aca="false">IF(Presupuesto!$B$46='Flujo de Pagos'!$E94,46,9999)</f>
        <v>46</v>
      </c>
      <c r="BO94" s="0" t="n">
        <f aca="false">IF(Presupuesto!$B$47='Flujo de Pagos'!$E94,47,9999)</f>
        <v>47</v>
      </c>
      <c r="BP94" s="0" t="n">
        <f aca="false">IF(Presupuesto!$B$48='Flujo de Pagos'!$E94,48,9999)</f>
        <v>48</v>
      </c>
      <c r="BQ94" s="0" t="n">
        <f aca="false">IF(Presupuesto!$B$49='Flujo de Pagos'!$E94,49,9999)</f>
        <v>49</v>
      </c>
      <c r="BR94" s="0" t="n">
        <f aca="false">IF(Presupuesto!$B$50='Flujo de Pagos'!$E94,50,9999)</f>
        <v>50</v>
      </c>
      <c r="BS94" s="0" t="n">
        <f aca="false">IF(Presupuesto!$B$51='Flujo de Pagos'!$E94,51,9999)</f>
        <v>51</v>
      </c>
      <c r="BT94" s="0" t="n">
        <f aca="false">IF(Presupuesto!$B$52='Flujo de Pagos'!$E94,52,9999)</f>
        <v>52</v>
      </c>
      <c r="BU94" s="0" t="n">
        <f aca="false">IF(Presupuesto!$B$53='Flujo de Pagos'!$E94,53,9999)</f>
        <v>53</v>
      </c>
      <c r="BV94" s="0" t="n">
        <f aca="false">IF(Presupuesto!$B$54='Flujo de Pagos'!$E94,54,9999)</f>
        <v>54</v>
      </c>
      <c r="BW94" s="0" t="n">
        <f aca="false">IF(Presupuesto!$B$55='Flujo de Pagos'!$E94,55,9999)</f>
        <v>55</v>
      </c>
      <c r="BX94" s="0" t="n">
        <f aca="false">IF(Presupuesto!$B$56='Flujo de Pagos'!$E94,56,9999)</f>
        <v>56</v>
      </c>
      <c r="BY94" s="0" t="n">
        <f aca="false">IF(Presupuesto!$B$57='Flujo de Pagos'!$E94,57,9999)</f>
        <v>57</v>
      </c>
      <c r="BZ94" s="0" t="n">
        <f aca="false">IF(Presupuesto!$B$58='Flujo de Pagos'!$E94,58,9999)</f>
        <v>58</v>
      </c>
      <c r="CA94" s="0" t="n">
        <f aca="false">IF(Presupuesto!$B$59='Flujo de Pagos'!$E94,59,9999)</f>
        <v>59</v>
      </c>
      <c r="CB94" s="0" t="n">
        <f aca="false">IF(Presupuesto!$B$60='Flujo de Pagos'!$E94,60,9999)</f>
        <v>60</v>
      </c>
      <c r="CC94" s="0" t="n">
        <f aca="false">IF(Presupuesto!$B$61='Flujo de Pagos'!$E94,61,9999)</f>
        <v>61</v>
      </c>
      <c r="CD94" s="0" t="n">
        <f aca="false">IF(Presupuesto!$B$62='Flujo de Pagos'!$E94,62,9999)</f>
        <v>62</v>
      </c>
      <c r="CE94" s="0" t="n">
        <f aca="false">IF(Presupuesto!$B$63='Flujo de Pagos'!$E94,63,9999)</f>
        <v>63</v>
      </c>
      <c r="CF94" s="0" t="n">
        <f aca="false">IF(Presupuesto!$B$64='Flujo de Pagos'!$E94,64,9999)</f>
        <v>64</v>
      </c>
      <c r="CG94" s="0" t="n">
        <f aca="false">IF(Presupuesto!$B$65='Flujo de Pagos'!$E94,65,9999)</f>
        <v>65</v>
      </c>
      <c r="CH94" s="0" t="n">
        <f aca="false">IF(Presupuesto!$B$66='Flujo de Pagos'!$E94,66,9999)</f>
        <v>66</v>
      </c>
    </row>
    <row r="95" customFormat="false" ht="15" hidden="false" customHeight="true" outlineLevel="0" collapsed="false">
      <c r="B95" s="1" t="n">
        <f aca="false">IF(AND('Flujo de Pagos'!E100=Carátula!$B$2,'Flujo de Pagos'!F100=Carátula!$B$4,'Flujo de Pagos'!H100&lt;&gt;""),100,99999)</f>
        <v>99999</v>
      </c>
      <c r="H95" s="1" t="n">
        <f aca="false">IF(SMALL($AA95:$CH95,1)&gt;=9999,"",INDEX(Presupuesto!$C:$C,SMALL($AA95:$CH95,1)))</f>
        <v>0</v>
      </c>
      <c r="I95" s="1" t="n">
        <f aca="false">IF(SMALL($AA95:$CH95,2)&gt;=9999,"",INDEX(Presupuesto!$C:$C,SMALL($AA95:$CH95,2)))</f>
        <v>0</v>
      </c>
      <c r="J95" s="1" t="n">
        <f aca="false">IF(SMALL($AA95:$CH95,3)&gt;=9999,"",INDEX(Presupuesto!$C:$C,SMALL($AA95:$CH95,3)))</f>
        <v>0</v>
      </c>
      <c r="K95" s="1" t="n">
        <f aca="false">IF(SMALL($AA95:$CH95,4)&gt;=9999,"",INDEX(Presupuesto!$C:$C,SMALL($AA95:$CH95,4)))</f>
        <v>0</v>
      </c>
      <c r="L95" s="1" t="n">
        <f aca="false">IF(SMALL($AA95:$CH95,5)&gt;=9999,"",INDEX(Presupuesto!$C:$C,SMALL($AA95:$CH95,5)))</f>
        <v>0</v>
      </c>
      <c r="M95" s="1" t="n">
        <f aca="false">IF(SMALL($AA95:$CH95,6)&gt;=9999,"",INDEX(Presupuesto!$C:$C,SMALL($AA95:$CH95,6)))</f>
        <v>0</v>
      </c>
      <c r="N95" s="1" t="n">
        <f aca="false">IF(SMALL($AA95:$CH95,7)&gt;=9999,"",INDEX(Presupuesto!$C:$C,SMALL($AA95:$CH95,7)))</f>
        <v>0</v>
      </c>
      <c r="O95" s="1" t="n">
        <f aca="false">IF(SMALL($AA95:$CH95,8)&gt;=9999,"",INDEX(Presupuesto!$C:$C,SMALL($AA95:$CH95,8)))</f>
        <v>0</v>
      </c>
      <c r="P95" s="1" t="n">
        <f aca="false">IF(SMALL($AA95:$CH95,9)&gt;=9999,"",INDEX(Presupuesto!$C:$C,SMALL($AA95:$CH95,9)))</f>
        <v>0</v>
      </c>
      <c r="Q95" s="1" t="n">
        <f aca="false">IF(SMALL($AA95:$CH95,10)&gt;=9999,"",INDEX(Presupuesto!$C:$C,SMALL($AA95:$CH95,10)))</f>
        <v>0</v>
      </c>
      <c r="AA95" s="0" t="n">
        <f aca="false">IF(Presupuesto!$B$7='Flujo de Pagos'!$E95,7,9999)</f>
        <v>9999</v>
      </c>
      <c r="AB95" s="0" t="n">
        <f aca="false">IF(Presupuesto!$B$8='Flujo de Pagos'!$E95,8,9999)</f>
        <v>9999</v>
      </c>
      <c r="AC95" s="0" t="n">
        <f aca="false">IF(Presupuesto!$B$9='Flujo de Pagos'!$E95,9,9999)</f>
        <v>9999</v>
      </c>
      <c r="AD95" s="0" t="n">
        <f aca="false">IF(Presupuesto!$B$10='Flujo de Pagos'!$E95,10,9999)</f>
        <v>9999</v>
      </c>
      <c r="AE95" s="0" t="n">
        <f aca="false">IF(Presupuesto!$B$11='Flujo de Pagos'!$E95,11,9999)</f>
        <v>9999</v>
      </c>
      <c r="AF95" s="0" t="n">
        <f aca="false">IF(Presupuesto!$B$12='Flujo de Pagos'!$E95,12,9999)</f>
        <v>12</v>
      </c>
      <c r="AG95" s="0" t="n">
        <f aca="false">IF(Presupuesto!$B$13='Flujo de Pagos'!$E95,13,9999)</f>
        <v>13</v>
      </c>
      <c r="AH95" s="0" t="n">
        <f aca="false">IF(Presupuesto!$B$14='Flujo de Pagos'!$E95,14,9999)</f>
        <v>14</v>
      </c>
      <c r="AI95" s="0" t="n">
        <f aca="false">IF(Presupuesto!$B$15='Flujo de Pagos'!$E95,15,9999)</f>
        <v>15</v>
      </c>
      <c r="AJ95" s="0" t="n">
        <f aca="false">IF(Presupuesto!$B$16='Flujo de Pagos'!$E95,16,9999)</f>
        <v>16</v>
      </c>
      <c r="AK95" s="0" t="n">
        <f aca="false">IF(Presupuesto!$B$17='Flujo de Pagos'!$E95,17,9999)</f>
        <v>17</v>
      </c>
      <c r="AL95" s="0" t="n">
        <f aca="false">IF(Presupuesto!$B$18='Flujo de Pagos'!$E95,18,9999)</f>
        <v>18</v>
      </c>
      <c r="AM95" s="0" t="n">
        <f aca="false">IF(Presupuesto!$B$19='Flujo de Pagos'!$E95,19,9999)</f>
        <v>19</v>
      </c>
      <c r="AN95" s="0" t="n">
        <f aca="false">IF(Presupuesto!$B$20='Flujo de Pagos'!$E95,20,9999)</f>
        <v>20</v>
      </c>
      <c r="AO95" s="0" t="n">
        <f aca="false">IF(Presupuesto!$B$21='Flujo de Pagos'!$E95,21,9999)</f>
        <v>21</v>
      </c>
      <c r="AP95" s="0" t="n">
        <f aca="false">IF(Presupuesto!$B$22='Flujo de Pagos'!$E95,22,9999)</f>
        <v>22</v>
      </c>
      <c r="AQ95" s="0" t="n">
        <f aca="false">IF(Presupuesto!$B$23='Flujo de Pagos'!$E95,23,9999)</f>
        <v>23</v>
      </c>
      <c r="AR95" s="0" t="n">
        <f aca="false">IF(Presupuesto!$B$24='Flujo de Pagos'!$E95,24,9999)</f>
        <v>24</v>
      </c>
      <c r="AS95" s="0" t="n">
        <f aca="false">IF(Presupuesto!$B$25='Flujo de Pagos'!$E95,25,9999)</f>
        <v>25</v>
      </c>
      <c r="AT95" s="0" t="n">
        <f aca="false">IF(Presupuesto!$B$26='Flujo de Pagos'!$E95,26,9999)</f>
        <v>26</v>
      </c>
      <c r="AU95" s="0" t="n">
        <f aca="false">IF(Presupuesto!$B$27='Flujo de Pagos'!$E95,27,9999)</f>
        <v>27</v>
      </c>
      <c r="AV95" s="0" t="n">
        <f aca="false">IF(Presupuesto!$B$28='Flujo de Pagos'!$E95,28,9999)</f>
        <v>28</v>
      </c>
      <c r="AW95" s="0" t="n">
        <f aca="false">IF(Presupuesto!$B$29='Flujo de Pagos'!$E95,29,9999)</f>
        <v>29</v>
      </c>
      <c r="AX95" s="0" t="n">
        <f aca="false">IF(Presupuesto!$B$30='Flujo de Pagos'!$E95,30,9999)</f>
        <v>30</v>
      </c>
      <c r="AY95" s="0" t="n">
        <f aca="false">IF(Presupuesto!$B$31='Flujo de Pagos'!$E95,31,9999)</f>
        <v>31</v>
      </c>
      <c r="AZ95" s="0" t="n">
        <f aca="false">IF(Presupuesto!$B$32='Flujo de Pagos'!$E95,32,9999)</f>
        <v>32</v>
      </c>
      <c r="BA95" s="0" t="n">
        <f aca="false">IF(Presupuesto!$B$33='Flujo de Pagos'!$E95,33,9999)</f>
        <v>33</v>
      </c>
      <c r="BB95" s="0" t="n">
        <f aca="false">IF(Presupuesto!$B$34='Flujo de Pagos'!$E95,34,9999)</f>
        <v>34</v>
      </c>
      <c r="BC95" s="0" t="n">
        <f aca="false">IF(Presupuesto!$B$35='Flujo de Pagos'!$E95,35,9999)</f>
        <v>35</v>
      </c>
      <c r="BD95" s="0" t="n">
        <f aca="false">IF(Presupuesto!$B$36='Flujo de Pagos'!$E95,36,9999)</f>
        <v>36</v>
      </c>
      <c r="BE95" s="0" t="n">
        <f aca="false">IF(Presupuesto!$B$37='Flujo de Pagos'!$E95,37,9999)</f>
        <v>37</v>
      </c>
      <c r="BF95" s="0" t="n">
        <f aca="false">IF(Presupuesto!$B$38='Flujo de Pagos'!$E95,38,9999)</f>
        <v>38</v>
      </c>
      <c r="BG95" s="0" t="n">
        <f aca="false">IF(Presupuesto!$B$39='Flujo de Pagos'!$E95,39,9999)</f>
        <v>39</v>
      </c>
      <c r="BH95" s="0" t="n">
        <f aca="false">IF(Presupuesto!$B$40='Flujo de Pagos'!$E95,40,9999)</f>
        <v>40</v>
      </c>
      <c r="BI95" s="0" t="n">
        <f aca="false">IF(Presupuesto!$B$41='Flujo de Pagos'!$E95,41,9999)</f>
        <v>41</v>
      </c>
      <c r="BJ95" s="0" t="n">
        <f aca="false">IF(Presupuesto!$B$42='Flujo de Pagos'!$E95,42,9999)</f>
        <v>42</v>
      </c>
      <c r="BK95" s="0" t="n">
        <f aca="false">IF(Presupuesto!$B$43='Flujo de Pagos'!$E95,43,9999)</f>
        <v>43</v>
      </c>
      <c r="BL95" s="0" t="n">
        <f aca="false">IF(Presupuesto!$B$44='Flujo de Pagos'!$E95,44,9999)</f>
        <v>44</v>
      </c>
      <c r="BM95" s="0" t="n">
        <f aca="false">IF(Presupuesto!$B$45='Flujo de Pagos'!$E95,45,9999)</f>
        <v>45</v>
      </c>
      <c r="BN95" s="0" t="n">
        <f aca="false">IF(Presupuesto!$B$46='Flujo de Pagos'!$E95,46,9999)</f>
        <v>46</v>
      </c>
      <c r="BO95" s="0" t="n">
        <f aca="false">IF(Presupuesto!$B$47='Flujo de Pagos'!$E95,47,9999)</f>
        <v>47</v>
      </c>
      <c r="BP95" s="0" t="n">
        <f aca="false">IF(Presupuesto!$B$48='Flujo de Pagos'!$E95,48,9999)</f>
        <v>48</v>
      </c>
      <c r="BQ95" s="0" t="n">
        <f aca="false">IF(Presupuesto!$B$49='Flujo de Pagos'!$E95,49,9999)</f>
        <v>49</v>
      </c>
      <c r="BR95" s="0" t="n">
        <f aca="false">IF(Presupuesto!$B$50='Flujo de Pagos'!$E95,50,9999)</f>
        <v>50</v>
      </c>
      <c r="BS95" s="0" t="n">
        <f aca="false">IF(Presupuesto!$B$51='Flujo de Pagos'!$E95,51,9999)</f>
        <v>51</v>
      </c>
      <c r="BT95" s="0" t="n">
        <f aca="false">IF(Presupuesto!$B$52='Flujo de Pagos'!$E95,52,9999)</f>
        <v>52</v>
      </c>
      <c r="BU95" s="0" t="n">
        <f aca="false">IF(Presupuesto!$B$53='Flujo de Pagos'!$E95,53,9999)</f>
        <v>53</v>
      </c>
      <c r="BV95" s="0" t="n">
        <f aca="false">IF(Presupuesto!$B$54='Flujo de Pagos'!$E95,54,9999)</f>
        <v>54</v>
      </c>
      <c r="BW95" s="0" t="n">
        <f aca="false">IF(Presupuesto!$B$55='Flujo de Pagos'!$E95,55,9999)</f>
        <v>55</v>
      </c>
      <c r="BX95" s="0" t="n">
        <f aca="false">IF(Presupuesto!$B$56='Flujo de Pagos'!$E95,56,9999)</f>
        <v>56</v>
      </c>
      <c r="BY95" s="0" t="n">
        <f aca="false">IF(Presupuesto!$B$57='Flujo de Pagos'!$E95,57,9999)</f>
        <v>57</v>
      </c>
      <c r="BZ95" s="0" t="n">
        <f aca="false">IF(Presupuesto!$B$58='Flujo de Pagos'!$E95,58,9999)</f>
        <v>58</v>
      </c>
      <c r="CA95" s="0" t="n">
        <f aca="false">IF(Presupuesto!$B$59='Flujo de Pagos'!$E95,59,9999)</f>
        <v>59</v>
      </c>
      <c r="CB95" s="0" t="n">
        <f aca="false">IF(Presupuesto!$B$60='Flujo de Pagos'!$E95,60,9999)</f>
        <v>60</v>
      </c>
      <c r="CC95" s="0" t="n">
        <f aca="false">IF(Presupuesto!$B$61='Flujo de Pagos'!$E95,61,9999)</f>
        <v>61</v>
      </c>
      <c r="CD95" s="0" t="n">
        <f aca="false">IF(Presupuesto!$B$62='Flujo de Pagos'!$E95,62,9999)</f>
        <v>62</v>
      </c>
      <c r="CE95" s="0" t="n">
        <f aca="false">IF(Presupuesto!$B$63='Flujo de Pagos'!$E95,63,9999)</f>
        <v>63</v>
      </c>
      <c r="CF95" s="0" t="n">
        <f aca="false">IF(Presupuesto!$B$64='Flujo de Pagos'!$E95,64,9999)</f>
        <v>64</v>
      </c>
      <c r="CG95" s="0" t="n">
        <f aca="false">IF(Presupuesto!$B$65='Flujo de Pagos'!$E95,65,9999)</f>
        <v>65</v>
      </c>
      <c r="CH95" s="0" t="n">
        <f aca="false">IF(Presupuesto!$B$66='Flujo de Pagos'!$E95,66,9999)</f>
        <v>66</v>
      </c>
    </row>
    <row r="96" customFormat="false" ht="15" hidden="false" customHeight="true" outlineLevel="0" collapsed="false">
      <c r="B96" s="1" t="n">
        <f aca="false">IF(AND('Flujo de Pagos'!E101=Carátula!$B$2,'Flujo de Pagos'!F101=Carátula!$B$4,'Flujo de Pagos'!H101&lt;&gt;""),101,99999)</f>
        <v>99999</v>
      </c>
      <c r="H96" s="1" t="n">
        <f aca="false">IF(SMALL($AA96:$CH96,1)&gt;=9999,"",INDEX(Presupuesto!$C:$C,SMALL($AA96:$CH96,1)))</f>
        <v>0</v>
      </c>
      <c r="I96" s="1" t="n">
        <f aca="false">IF(SMALL($AA96:$CH96,2)&gt;=9999,"",INDEX(Presupuesto!$C:$C,SMALL($AA96:$CH96,2)))</f>
        <v>0</v>
      </c>
      <c r="J96" s="1" t="n">
        <f aca="false">IF(SMALL($AA96:$CH96,3)&gt;=9999,"",INDEX(Presupuesto!$C:$C,SMALL($AA96:$CH96,3)))</f>
        <v>0</v>
      </c>
      <c r="K96" s="1" t="n">
        <f aca="false">IF(SMALL($AA96:$CH96,4)&gt;=9999,"",INDEX(Presupuesto!$C:$C,SMALL($AA96:$CH96,4)))</f>
        <v>0</v>
      </c>
      <c r="L96" s="1" t="n">
        <f aca="false">IF(SMALL($AA96:$CH96,5)&gt;=9999,"",INDEX(Presupuesto!$C:$C,SMALL($AA96:$CH96,5)))</f>
        <v>0</v>
      </c>
      <c r="M96" s="1" t="n">
        <f aca="false">IF(SMALL($AA96:$CH96,6)&gt;=9999,"",INDEX(Presupuesto!$C:$C,SMALL($AA96:$CH96,6)))</f>
        <v>0</v>
      </c>
      <c r="N96" s="1" t="n">
        <f aca="false">IF(SMALL($AA96:$CH96,7)&gt;=9999,"",INDEX(Presupuesto!$C:$C,SMALL($AA96:$CH96,7)))</f>
        <v>0</v>
      </c>
      <c r="O96" s="1" t="n">
        <f aca="false">IF(SMALL($AA96:$CH96,8)&gt;=9999,"",INDEX(Presupuesto!$C:$C,SMALL($AA96:$CH96,8)))</f>
        <v>0</v>
      </c>
      <c r="P96" s="1" t="n">
        <f aca="false">IF(SMALL($AA96:$CH96,9)&gt;=9999,"",INDEX(Presupuesto!$C:$C,SMALL($AA96:$CH96,9)))</f>
        <v>0</v>
      </c>
      <c r="Q96" s="1" t="n">
        <f aca="false">IF(SMALL($AA96:$CH96,10)&gt;=9999,"",INDEX(Presupuesto!$C:$C,SMALL($AA96:$CH96,10)))</f>
        <v>0</v>
      </c>
      <c r="AA96" s="0" t="n">
        <f aca="false">IF(Presupuesto!$B$7='Flujo de Pagos'!$E96,7,9999)</f>
        <v>9999</v>
      </c>
      <c r="AB96" s="0" t="n">
        <f aca="false">IF(Presupuesto!$B$8='Flujo de Pagos'!$E96,8,9999)</f>
        <v>9999</v>
      </c>
      <c r="AC96" s="0" t="n">
        <f aca="false">IF(Presupuesto!$B$9='Flujo de Pagos'!$E96,9,9999)</f>
        <v>9999</v>
      </c>
      <c r="AD96" s="0" t="n">
        <f aca="false">IF(Presupuesto!$B$10='Flujo de Pagos'!$E96,10,9999)</f>
        <v>9999</v>
      </c>
      <c r="AE96" s="0" t="n">
        <f aca="false">IF(Presupuesto!$B$11='Flujo de Pagos'!$E96,11,9999)</f>
        <v>9999</v>
      </c>
      <c r="AF96" s="0" t="n">
        <f aca="false">IF(Presupuesto!$B$12='Flujo de Pagos'!$E96,12,9999)</f>
        <v>12</v>
      </c>
      <c r="AG96" s="0" t="n">
        <f aca="false">IF(Presupuesto!$B$13='Flujo de Pagos'!$E96,13,9999)</f>
        <v>13</v>
      </c>
      <c r="AH96" s="0" t="n">
        <f aca="false">IF(Presupuesto!$B$14='Flujo de Pagos'!$E96,14,9999)</f>
        <v>14</v>
      </c>
      <c r="AI96" s="0" t="n">
        <f aca="false">IF(Presupuesto!$B$15='Flujo de Pagos'!$E96,15,9999)</f>
        <v>15</v>
      </c>
      <c r="AJ96" s="0" t="n">
        <f aca="false">IF(Presupuesto!$B$16='Flujo de Pagos'!$E96,16,9999)</f>
        <v>16</v>
      </c>
      <c r="AK96" s="0" t="n">
        <f aca="false">IF(Presupuesto!$B$17='Flujo de Pagos'!$E96,17,9999)</f>
        <v>17</v>
      </c>
      <c r="AL96" s="0" t="n">
        <f aca="false">IF(Presupuesto!$B$18='Flujo de Pagos'!$E96,18,9999)</f>
        <v>18</v>
      </c>
      <c r="AM96" s="0" t="n">
        <f aca="false">IF(Presupuesto!$B$19='Flujo de Pagos'!$E96,19,9999)</f>
        <v>19</v>
      </c>
      <c r="AN96" s="0" t="n">
        <f aca="false">IF(Presupuesto!$B$20='Flujo de Pagos'!$E96,20,9999)</f>
        <v>20</v>
      </c>
      <c r="AO96" s="0" t="n">
        <f aca="false">IF(Presupuesto!$B$21='Flujo de Pagos'!$E96,21,9999)</f>
        <v>21</v>
      </c>
      <c r="AP96" s="0" t="n">
        <f aca="false">IF(Presupuesto!$B$22='Flujo de Pagos'!$E96,22,9999)</f>
        <v>22</v>
      </c>
      <c r="AQ96" s="0" t="n">
        <f aca="false">IF(Presupuesto!$B$23='Flujo de Pagos'!$E96,23,9999)</f>
        <v>23</v>
      </c>
      <c r="AR96" s="0" t="n">
        <f aca="false">IF(Presupuesto!$B$24='Flujo de Pagos'!$E96,24,9999)</f>
        <v>24</v>
      </c>
      <c r="AS96" s="0" t="n">
        <f aca="false">IF(Presupuesto!$B$25='Flujo de Pagos'!$E96,25,9999)</f>
        <v>25</v>
      </c>
      <c r="AT96" s="0" t="n">
        <f aca="false">IF(Presupuesto!$B$26='Flujo de Pagos'!$E96,26,9999)</f>
        <v>26</v>
      </c>
      <c r="AU96" s="0" t="n">
        <f aca="false">IF(Presupuesto!$B$27='Flujo de Pagos'!$E96,27,9999)</f>
        <v>27</v>
      </c>
      <c r="AV96" s="0" t="n">
        <f aca="false">IF(Presupuesto!$B$28='Flujo de Pagos'!$E96,28,9999)</f>
        <v>28</v>
      </c>
      <c r="AW96" s="0" t="n">
        <f aca="false">IF(Presupuesto!$B$29='Flujo de Pagos'!$E96,29,9999)</f>
        <v>29</v>
      </c>
      <c r="AX96" s="0" t="n">
        <f aca="false">IF(Presupuesto!$B$30='Flujo de Pagos'!$E96,30,9999)</f>
        <v>30</v>
      </c>
      <c r="AY96" s="0" t="n">
        <f aca="false">IF(Presupuesto!$B$31='Flujo de Pagos'!$E96,31,9999)</f>
        <v>31</v>
      </c>
      <c r="AZ96" s="0" t="n">
        <f aca="false">IF(Presupuesto!$B$32='Flujo de Pagos'!$E96,32,9999)</f>
        <v>32</v>
      </c>
      <c r="BA96" s="0" t="n">
        <f aca="false">IF(Presupuesto!$B$33='Flujo de Pagos'!$E96,33,9999)</f>
        <v>33</v>
      </c>
      <c r="BB96" s="0" t="n">
        <f aca="false">IF(Presupuesto!$B$34='Flujo de Pagos'!$E96,34,9999)</f>
        <v>34</v>
      </c>
      <c r="BC96" s="0" t="n">
        <f aca="false">IF(Presupuesto!$B$35='Flujo de Pagos'!$E96,35,9999)</f>
        <v>35</v>
      </c>
      <c r="BD96" s="0" t="n">
        <f aca="false">IF(Presupuesto!$B$36='Flujo de Pagos'!$E96,36,9999)</f>
        <v>36</v>
      </c>
      <c r="BE96" s="0" t="n">
        <f aca="false">IF(Presupuesto!$B$37='Flujo de Pagos'!$E96,37,9999)</f>
        <v>37</v>
      </c>
      <c r="BF96" s="0" t="n">
        <f aca="false">IF(Presupuesto!$B$38='Flujo de Pagos'!$E96,38,9999)</f>
        <v>38</v>
      </c>
      <c r="BG96" s="0" t="n">
        <f aca="false">IF(Presupuesto!$B$39='Flujo de Pagos'!$E96,39,9999)</f>
        <v>39</v>
      </c>
      <c r="BH96" s="0" t="n">
        <f aca="false">IF(Presupuesto!$B$40='Flujo de Pagos'!$E96,40,9999)</f>
        <v>40</v>
      </c>
      <c r="BI96" s="0" t="n">
        <f aca="false">IF(Presupuesto!$B$41='Flujo de Pagos'!$E96,41,9999)</f>
        <v>41</v>
      </c>
      <c r="BJ96" s="0" t="n">
        <f aca="false">IF(Presupuesto!$B$42='Flujo de Pagos'!$E96,42,9999)</f>
        <v>42</v>
      </c>
      <c r="BK96" s="0" t="n">
        <f aca="false">IF(Presupuesto!$B$43='Flujo de Pagos'!$E96,43,9999)</f>
        <v>43</v>
      </c>
      <c r="BL96" s="0" t="n">
        <f aca="false">IF(Presupuesto!$B$44='Flujo de Pagos'!$E96,44,9999)</f>
        <v>44</v>
      </c>
      <c r="BM96" s="0" t="n">
        <f aca="false">IF(Presupuesto!$B$45='Flujo de Pagos'!$E96,45,9999)</f>
        <v>45</v>
      </c>
      <c r="BN96" s="0" t="n">
        <f aca="false">IF(Presupuesto!$B$46='Flujo de Pagos'!$E96,46,9999)</f>
        <v>46</v>
      </c>
      <c r="BO96" s="0" t="n">
        <f aca="false">IF(Presupuesto!$B$47='Flujo de Pagos'!$E96,47,9999)</f>
        <v>47</v>
      </c>
      <c r="BP96" s="0" t="n">
        <f aca="false">IF(Presupuesto!$B$48='Flujo de Pagos'!$E96,48,9999)</f>
        <v>48</v>
      </c>
      <c r="BQ96" s="0" t="n">
        <f aca="false">IF(Presupuesto!$B$49='Flujo de Pagos'!$E96,49,9999)</f>
        <v>49</v>
      </c>
      <c r="BR96" s="0" t="n">
        <f aca="false">IF(Presupuesto!$B$50='Flujo de Pagos'!$E96,50,9999)</f>
        <v>50</v>
      </c>
      <c r="BS96" s="0" t="n">
        <f aca="false">IF(Presupuesto!$B$51='Flujo de Pagos'!$E96,51,9999)</f>
        <v>51</v>
      </c>
      <c r="BT96" s="0" t="n">
        <f aca="false">IF(Presupuesto!$B$52='Flujo de Pagos'!$E96,52,9999)</f>
        <v>52</v>
      </c>
      <c r="BU96" s="0" t="n">
        <f aca="false">IF(Presupuesto!$B$53='Flujo de Pagos'!$E96,53,9999)</f>
        <v>53</v>
      </c>
      <c r="BV96" s="0" t="n">
        <f aca="false">IF(Presupuesto!$B$54='Flujo de Pagos'!$E96,54,9999)</f>
        <v>54</v>
      </c>
      <c r="BW96" s="0" t="n">
        <f aca="false">IF(Presupuesto!$B$55='Flujo de Pagos'!$E96,55,9999)</f>
        <v>55</v>
      </c>
      <c r="BX96" s="0" t="n">
        <f aca="false">IF(Presupuesto!$B$56='Flujo de Pagos'!$E96,56,9999)</f>
        <v>56</v>
      </c>
      <c r="BY96" s="0" t="n">
        <f aca="false">IF(Presupuesto!$B$57='Flujo de Pagos'!$E96,57,9999)</f>
        <v>57</v>
      </c>
      <c r="BZ96" s="0" t="n">
        <f aca="false">IF(Presupuesto!$B$58='Flujo de Pagos'!$E96,58,9999)</f>
        <v>58</v>
      </c>
      <c r="CA96" s="0" t="n">
        <f aca="false">IF(Presupuesto!$B$59='Flujo de Pagos'!$E96,59,9999)</f>
        <v>59</v>
      </c>
      <c r="CB96" s="0" t="n">
        <f aca="false">IF(Presupuesto!$B$60='Flujo de Pagos'!$E96,60,9999)</f>
        <v>60</v>
      </c>
      <c r="CC96" s="0" t="n">
        <f aca="false">IF(Presupuesto!$B$61='Flujo de Pagos'!$E96,61,9999)</f>
        <v>61</v>
      </c>
      <c r="CD96" s="0" t="n">
        <f aca="false">IF(Presupuesto!$B$62='Flujo de Pagos'!$E96,62,9999)</f>
        <v>62</v>
      </c>
      <c r="CE96" s="0" t="n">
        <f aca="false">IF(Presupuesto!$B$63='Flujo de Pagos'!$E96,63,9999)</f>
        <v>63</v>
      </c>
      <c r="CF96" s="0" t="n">
        <f aca="false">IF(Presupuesto!$B$64='Flujo de Pagos'!$E96,64,9999)</f>
        <v>64</v>
      </c>
      <c r="CG96" s="0" t="n">
        <f aca="false">IF(Presupuesto!$B$65='Flujo de Pagos'!$E96,65,9999)</f>
        <v>65</v>
      </c>
      <c r="CH96" s="0" t="n">
        <f aca="false">IF(Presupuesto!$B$66='Flujo de Pagos'!$E96,66,9999)</f>
        <v>66</v>
      </c>
    </row>
    <row r="97" customFormat="false" ht="15" hidden="false" customHeight="true" outlineLevel="0" collapsed="false">
      <c r="B97" s="1" t="n">
        <f aca="false">IF(AND('Flujo de Pagos'!E102=Carátula!$B$2,'Flujo de Pagos'!F102=Carátula!$B$4,'Flujo de Pagos'!H102&lt;&gt;""),102,99999)</f>
        <v>99999</v>
      </c>
      <c r="H97" s="1" t="n">
        <f aca="false">IF(SMALL($AA97:$CH97,1)&gt;=9999,"",INDEX(Presupuesto!$C:$C,SMALL($AA97:$CH97,1)))</f>
        <v>0</v>
      </c>
      <c r="I97" s="1" t="n">
        <f aca="false">IF(SMALL($AA97:$CH97,2)&gt;=9999,"",INDEX(Presupuesto!$C:$C,SMALL($AA97:$CH97,2)))</f>
        <v>0</v>
      </c>
      <c r="J97" s="1" t="n">
        <f aca="false">IF(SMALL($AA97:$CH97,3)&gt;=9999,"",INDEX(Presupuesto!$C:$C,SMALL($AA97:$CH97,3)))</f>
        <v>0</v>
      </c>
      <c r="K97" s="1" t="n">
        <f aca="false">IF(SMALL($AA97:$CH97,4)&gt;=9999,"",INDEX(Presupuesto!$C:$C,SMALL($AA97:$CH97,4)))</f>
        <v>0</v>
      </c>
      <c r="L97" s="1" t="n">
        <f aca="false">IF(SMALL($AA97:$CH97,5)&gt;=9999,"",INDEX(Presupuesto!$C:$C,SMALL($AA97:$CH97,5)))</f>
        <v>0</v>
      </c>
      <c r="M97" s="1" t="n">
        <f aca="false">IF(SMALL($AA97:$CH97,6)&gt;=9999,"",INDEX(Presupuesto!$C:$C,SMALL($AA97:$CH97,6)))</f>
        <v>0</v>
      </c>
      <c r="N97" s="1" t="n">
        <f aca="false">IF(SMALL($AA97:$CH97,7)&gt;=9999,"",INDEX(Presupuesto!$C:$C,SMALL($AA97:$CH97,7)))</f>
        <v>0</v>
      </c>
      <c r="O97" s="1" t="n">
        <f aca="false">IF(SMALL($AA97:$CH97,8)&gt;=9999,"",INDEX(Presupuesto!$C:$C,SMALL($AA97:$CH97,8)))</f>
        <v>0</v>
      </c>
      <c r="P97" s="1" t="n">
        <f aca="false">IF(SMALL($AA97:$CH97,9)&gt;=9999,"",INDEX(Presupuesto!$C:$C,SMALL($AA97:$CH97,9)))</f>
        <v>0</v>
      </c>
      <c r="Q97" s="1" t="n">
        <f aca="false">IF(SMALL($AA97:$CH97,10)&gt;=9999,"",INDEX(Presupuesto!$C:$C,SMALL($AA97:$CH97,10)))</f>
        <v>0</v>
      </c>
      <c r="AA97" s="0" t="n">
        <f aca="false">IF(Presupuesto!$B$7='Flujo de Pagos'!$E97,7,9999)</f>
        <v>9999</v>
      </c>
      <c r="AB97" s="0" t="n">
        <f aca="false">IF(Presupuesto!$B$8='Flujo de Pagos'!$E97,8,9999)</f>
        <v>9999</v>
      </c>
      <c r="AC97" s="0" t="n">
        <f aca="false">IF(Presupuesto!$B$9='Flujo de Pagos'!$E97,9,9999)</f>
        <v>9999</v>
      </c>
      <c r="AD97" s="0" t="n">
        <f aca="false">IF(Presupuesto!$B$10='Flujo de Pagos'!$E97,10,9999)</f>
        <v>9999</v>
      </c>
      <c r="AE97" s="0" t="n">
        <f aca="false">IF(Presupuesto!$B$11='Flujo de Pagos'!$E97,11,9999)</f>
        <v>9999</v>
      </c>
      <c r="AF97" s="0" t="n">
        <f aca="false">IF(Presupuesto!$B$12='Flujo de Pagos'!$E97,12,9999)</f>
        <v>12</v>
      </c>
      <c r="AG97" s="0" t="n">
        <f aca="false">IF(Presupuesto!$B$13='Flujo de Pagos'!$E97,13,9999)</f>
        <v>13</v>
      </c>
      <c r="AH97" s="0" t="n">
        <f aca="false">IF(Presupuesto!$B$14='Flujo de Pagos'!$E97,14,9999)</f>
        <v>14</v>
      </c>
      <c r="AI97" s="0" t="n">
        <f aca="false">IF(Presupuesto!$B$15='Flujo de Pagos'!$E97,15,9999)</f>
        <v>15</v>
      </c>
      <c r="AJ97" s="0" t="n">
        <f aca="false">IF(Presupuesto!$B$16='Flujo de Pagos'!$E97,16,9999)</f>
        <v>16</v>
      </c>
      <c r="AK97" s="0" t="n">
        <f aca="false">IF(Presupuesto!$B$17='Flujo de Pagos'!$E97,17,9999)</f>
        <v>17</v>
      </c>
      <c r="AL97" s="0" t="n">
        <f aca="false">IF(Presupuesto!$B$18='Flujo de Pagos'!$E97,18,9999)</f>
        <v>18</v>
      </c>
      <c r="AM97" s="0" t="n">
        <f aca="false">IF(Presupuesto!$B$19='Flujo de Pagos'!$E97,19,9999)</f>
        <v>19</v>
      </c>
      <c r="AN97" s="0" t="n">
        <f aca="false">IF(Presupuesto!$B$20='Flujo de Pagos'!$E97,20,9999)</f>
        <v>20</v>
      </c>
      <c r="AO97" s="0" t="n">
        <f aca="false">IF(Presupuesto!$B$21='Flujo de Pagos'!$E97,21,9999)</f>
        <v>21</v>
      </c>
      <c r="AP97" s="0" t="n">
        <f aca="false">IF(Presupuesto!$B$22='Flujo de Pagos'!$E97,22,9999)</f>
        <v>22</v>
      </c>
      <c r="AQ97" s="0" t="n">
        <f aca="false">IF(Presupuesto!$B$23='Flujo de Pagos'!$E97,23,9999)</f>
        <v>23</v>
      </c>
      <c r="AR97" s="0" t="n">
        <f aca="false">IF(Presupuesto!$B$24='Flujo de Pagos'!$E97,24,9999)</f>
        <v>24</v>
      </c>
      <c r="AS97" s="0" t="n">
        <f aca="false">IF(Presupuesto!$B$25='Flujo de Pagos'!$E97,25,9999)</f>
        <v>25</v>
      </c>
      <c r="AT97" s="0" t="n">
        <f aca="false">IF(Presupuesto!$B$26='Flujo de Pagos'!$E97,26,9999)</f>
        <v>26</v>
      </c>
      <c r="AU97" s="0" t="n">
        <f aca="false">IF(Presupuesto!$B$27='Flujo de Pagos'!$E97,27,9999)</f>
        <v>27</v>
      </c>
      <c r="AV97" s="0" t="n">
        <f aca="false">IF(Presupuesto!$B$28='Flujo de Pagos'!$E97,28,9999)</f>
        <v>28</v>
      </c>
      <c r="AW97" s="0" t="n">
        <f aca="false">IF(Presupuesto!$B$29='Flujo de Pagos'!$E97,29,9999)</f>
        <v>29</v>
      </c>
      <c r="AX97" s="0" t="n">
        <f aca="false">IF(Presupuesto!$B$30='Flujo de Pagos'!$E97,30,9999)</f>
        <v>30</v>
      </c>
      <c r="AY97" s="0" t="n">
        <f aca="false">IF(Presupuesto!$B$31='Flujo de Pagos'!$E97,31,9999)</f>
        <v>31</v>
      </c>
      <c r="AZ97" s="0" t="n">
        <f aca="false">IF(Presupuesto!$B$32='Flujo de Pagos'!$E97,32,9999)</f>
        <v>32</v>
      </c>
      <c r="BA97" s="0" t="n">
        <f aca="false">IF(Presupuesto!$B$33='Flujo de Pagos'!$E97,33,9999)</f>
        <v>33</v>
      </c>
      <c r="BB97" s="0" t="n">
        <f aca="false">IF(Presupuesto!$B$34='Flujo de Pagos'!$E97,34,9999)</f>
        <v>34</v>
      </c>
      <c r="BC97" s="0" t="n">
        <f aca="false">IF(Presupuesto!$B$35='Flujo de Pagos'!$E97,35,9999)</f>
        <v>35</v>
      </c>
      <c r="BD97" s="0" t="n">
        <f aca="false">IF(Presupuesto!$B$36='Flujo de Pagos'!$E97,36,9999)</f>
        <v>36</v>
      </c>
      <c r="BE97" s="0" t="n">
        <f aca="false">IF(Presupuesto!$B$37='Flujo de Pagos'!$E97,37,9999)</f>
        <v>37</v>
      </c>
      <c r="BF97" s="0" t="n">
        <f aca="false">IF(Presupuesto!$B$38='Flujo de Pagos'!$E97,38,9999)</f>
        <v>38</v>
      </c>
      <c r="BG97" s="0" t="n">
        <f aca="false">IF(Presupuesto!$B$39='Flujo de Pagos'!$E97,39,9999)</f>
        <v>39</v>
      </c>
      <c r="BH97" s="0" t="n">
        <f aca="false">IF(Presupuesto!$B$40='Flujo de Pagos'!$E97,40,9999)</f>
        <v>40</v>
      </c>
      <c r="BI97" s="0" t="n">
        <f aca="false">IF(Presupuesto!$B$41='Flujo de Pagos'!$E97,41,9999)</f>
        <v>41</v>
      </c>
      <c r="BJ97" s="0" t="n">
        <f aca="false">IF(Presupuesto!$B$42='Flujo de Pagos'!$E97,42,9999)</f>
        <v>42</v>
      </c>
      <c r="BK97" s="0" t="n">
        <f aca="false">IF(Presupuesto!$B$43='Flujo de Pagos'!$E97,43,9999)</f>
        <v>43</v>
      </c>
      <c r="BL97" s="0" t="n">
        <f aca="false">IF(Presupuesto!$B$44='Flujo de Pagos'!$E97,44,9999)</f>
        <v>44</v>
      </c>
      <c r="BM97" s="0" t="n">
        <f aca="false">IF(Presupuesto!$B$45='Flujo de Pagos'!$E97,45,9999)</f>
        <v>45</v>
      </c>
      <c r="BN97" s="0" t="n">
        <f aca="false">IF(Presupuesto!$B$46='Flujo de Pagos'!$E97,46,9999)</f>
        <v>46</v>
      </c>
      <c r="BO97" s="0" t="n">
        <f aca="false">IF(Presupuesto!$B$47='Flujo de Pagos'!$E97,47,9999)</f>
        <v>47</v>
      </c>
      <c r="BP97" s="0" t="n">
        <f aca="false">IF(Presupuesto!$B$48='Flujo de Pagos'!$E97,48,9999)</f>
        <v>48</v>
      </c>
      <c r="BQ97" s="0" t="n">
        <f aca="false">IF(Presupuesto!$B$49='Flujo de Pagos'!$E97,49,9999)</f>
        <v>49</v>
      </c>
      <c r="BR97" s="0" t="n">
        <f aca="false">IF(Presupuesto!$B$50='Flujo de Pagos'!$E97,50,9999)</f>
        <v>50</v>
      </c>
      <c r="BS97" s="0" t="n">
        <f aca="false">IF(Presupuesto!$B$51='Flujo de Pagos'!$E97,51,9999)</f>
        <v>51</v>
      </c>
      <c r="BT97" s="0" t="n">
        <f aca="false">IF(Presupuesto!$B$52='Flujo de Pagos'!$E97,52,9999)</f>
        <v>52</v>
      </c>
      <c r="BU97" s="0" t="n">
        <f aca="false">IF(Presupuesto!$B$53='Flujo de Pagos'!$E97,53,9999)</f>
        <v>53</v>
      </c>
      <c r="BV97" s="0" t="n">
        <f aca="false">IF(Presupuesto!$B$54='Flujo de Pagos'!$E97,54,9999)</f>
        <v>54</v>
      </c>
      <c r="BW97" s="0" t="n">
        <f aca="false">IF(Presupuesto!$B$55='Flujo de Pagos'!$E97,55,9999)</f>
        <v>55</v>
      </c>
      <c r="BX97" s="0" t="n">
        <f aca="false">IF(Presupuesto!$B$56='Flujo de Pagos'!$E97,56,9999)</f>
        <v>56</v>
      </c>
      <c r="BY97" s="0" t="n">
        <f aca="false">IF(Presupuesto!$B$57='Flujo de Pagos'!$E97,57,9999)</f>
        <v>57</v>
      </c>
      <c r="BZ97" s="0" t="n">
        <f aca="false">IF(Presupuesto!$B$58='Flujo de Pagos'!$E97,58,9999)</f>
        <v>58</v>
      </c>
      <c r="CA97" s="0" t="n">
        <f aca="false">IF(Presupuesto!$B$59='Flujo de Pagos'!$E97,59,9999)</f>
        <v>59</v>
      </c>
      <c r="CB97" s="0" t="n">
        <f aca="false">IF(Presupuesto!$B$60='Flujo de Pagos'!$E97,60,9999)</f>
        <v>60</v>
      </c>
      <c r="CC97" s="0" t="n">
        <f aca="false">IF(Presupuesto!$B$61='Flujo de Pagos'!$E97,61,9999)</f>
        <v>61</v>
      </c>
      <c r="CD97" s="0" t="n">
        <f aca="false">IF(Presupuesto!$B$62='Flujo de Pagos'!$E97,62,9999)</f>
        <v>62</v>
      </c>
      <c r="CE97" s="0" t="n">
        <f aca="false">IF(Presupuesto!$B$63='Flujo de Pagos'!$E97,63,9999)</f>
        <v>63</v>
      </c>
      <c r="CF97" s="0" t="n">
        <f aca="false">IF(Presupuesto!$B$64='Flujo de Pagos'!$E97,64,9999)</f>
        <v>64</v>
      </c>
      <c r="CG97" s="0" t="n">
        <f aca="false">IF(Presupuesto!$B$65='Flujo de Pagos'!$E97,65,9999)</f>
        <v>65</v>
      </c>
      <c r="CH97" s="0" t="n">
        <f aca="false">IF(Presupuesto!$B$66='Flujo de Pagos'!$E97,66,9999)</f>
        <v>66</v>
      </c>
    </row>
    <row r="98" customFormat="false" ht="15" hidden="false" customHeight="true" outlineLevel="0" collapsed="false">
      <c r="B98" s="1" t="n">
        <f aca="false">IF(AND('Flujo de Pagos'!E103=Carátula!$B$2,'Flujo de Pagos'!F103=Carátula!$B$4,'Flujo de Pagos'!H103&lt;&gt;""),103,99999)</f>
        <v>99999</v>
      </c>
      <c r="H98" s="1" t="n">
        <f aca="false">IF(SMALL($AA98:$CH98,1)&gt;=9999,"",INDEX(Presupuesto!$C:$C,SMALL($AA98:$CH98,1)))</f>
        <v>0</v>
      </c>
      <c r="I98" s="1" t="n">
        <f aca="false">IF(SMALL($AA98:$CH98,2)&gt;=9999,"",INDEX(Presupuesto!$C:$C,SMALL($AA98:$CH98,2)))</f>
        <v>0</v>
      </c>
      <c r="J98" s="1" t="n">
        <f aca="false">IF(SMALL($AA98:$CH98,3)&gt;=9999,"",INDEX(Presupuesto!$C:$C,SMALL($AA98:$CH98,3)))</f>
        <v>0</v>
      </c>
      <c r="K98" s="1" t="n">
        <f aca="false">IF(SMALL($AA98:$CH98,4)&gt;=9999,"",INDEX(Presupuesto!$C:$C,SMALL($AA98:$CH98,4)))</f>
        <v>0</v>
      </c>
      <c r="L98" s="1" t="n">
        <f aca="false">IF(SMALL($AA98:$CH98,5)&gt;=9999,"",INDEX(Presupuesto!$C:$C,SMALL($AA98:$CH98,5)))</f>
        <v>0</v>
      </c>
      <c r="M98" s="1" t="n">
        <f aca="false">IF(SMALL($AA98:$CH98,6)&gt;=9999,"",INDEX(Presupuesto!$C:$C,SMALL($AA98:$CH98,6)))</f>
        <v>0</v>
      </c>
      <c r="N98" s="1" t="n">
        <f aca="false">IF(SMALL($AA98:$CH98,7)&gt;=9999,"",INDEX(Presupuesto!$C:$C,SMALL($AA98:$CH98,7)))</f>
        <v>0</v>
      </c>
      <c r="O98" s="1" t="n">
        <f aca="false">IF(SMALL($AA98:$CH98,8)&gt;=9999,"",INDEX(Presupuesto!$C:$C,SMALL($AA98:$CH98,8)))</f>
        <v>0</v>
      </c>
      <c r="P98" s="1" t="n">
        <f aca="false">IF(SMALL($AA98:$CH98,9)&gt;=9999,"",INDEX(Presupuesto!$C:$C,SMALL($AA98:$CH98,9)))</f>
        <v>0</v>
      </c>
      <c r="Q98" s="1" t="n">
        <f aca="false">IF(SMALL($AA98:$CH98,10)&gt;=9999,"",INDEX(Presupuesto!$C:$C,SMALL($AA98:$CH98,10)))</f>
        <v>0</v>
      </c>
      <c r="AA98" s="0" t="n">
        <f aca="false">IF(Presupuesto!$B$7='Flujo de Pagos'!$E98,7,9999)</f>
        <v>9999</v>
      </c>
      <c r="AB98" s="0" t="n">
        <f aca="false">IF(Presupuesto!$B$8='Flujo de Pagos'!$E98,8,9999)</f>
        <v>9999</v>
      </c>
      <c r="AC98" s="0" t="n">
        <f aca="false">IF(Presupuesto!$B$9='Flujo de Pagos'!$E98,9,9999)</f>
        <v>9999</v>
      </c>
      <c r="AD98" s="0" t="n">
        <f aca="false">IF(Presupuesto!$B$10='Flujo de Pagos'!$E98,10,9999)</f>
        <v>9999</v>
      </c>
      <c r="AE98" s="0" t="n">
        <f aca="false">IF(Presupuesto!$B$11='Flujo de Pagos'!$E98,11,9999)</f>
        <v>9999</v>
      </c>
      <c r="AF98" s="0" t="n">
        <f aca="false">IF(Presupuesto!$B$12='Flujo de Pagos'!$E98,12,9999)</f>
        <v>12</v>
      </c>
      <c r="AG98" s="0" t="n">
        <f aca="false">IF(Presupuesto!$B$13='Flujo de Pagos'!$E98,13,9999)</f>
        <v>13</v>
      </c>
      <c r="AH98" s="0" t="n">
        <f aca="false">IF(Presupuesto!$B$14='Flujo de Pagos'!$E98,14,9999)</f>
        <v>14</v>
      </c>
      <c r="AI98" s="0" t="n">
        <f aca="false">IF(Presupuesto!$B$15='Flujo de Pagos'!$E98,15,9999)</f>
        <v>15</v>
      </c>
      <c r="AJ98" s="0" t="n">
        <f aca="false">IF(Presupuesto!$B$16='Flujo de Pagos'!$E98,16,9999)</f>
        <v>16</v>
      </c>
      <c r="AK98" s="0" t="n">
        <f aca="false">IF(Presupuesto!$B$17='Flujo de Pagos'!$E98,17,9999)</f>
        <v>17</v>
      </c>
      <c r="AL98" s="0" t="n">
        <f aca="false">IF(Presupuesto!$B$18='Flujo de Pagos'!$E98,18,9999)</f>
        <v>18</v>
      </c>
      <c r="AM98" s="0" t="n">
        <f aca="false">IF(Presupuesto!$B$19='Flujo de Pagos'!$E98,19,9999)</f>
        <v>19</v>
      </c>
      <c r="AN98" s="0" t="n">
        <f aca="false">IF(Presupuesto!$B$20='Flujo de Pagos'!$E98,20,9999)</f>
        <v>20</v>
      </c>
      <c r="AO98" s="0" t="n">
        <f aca="false">IF(Presupuesto!$B$21='Flujo de Pagos'!$E98,21,9999)</f>
        <v>21</v>
      </c>
      <c r="AP98" s="0" t="n">
        <f aca="false">IF(Presupuesto!$B$22='Flujo de Pagos'!$E98,22,9999)</f>
        <v>22</v>
      </c>
      <c r="AQ98" s="0" t="n">
        <f aca="false">IF(Presupuesto!$B$23='Flujo de Pagos'!$E98,23,9999)</f>
        <v>23</v>
      </c>
      <c r="AR98" s="0" t="n">
        <f aca="false">IF(Presupuesto!$B$24='Flujo de Pagos'!$E98,24,9999)</f>
        <v>24</v>
      </c>
      <c r="AS98" s="0" t="n">
        <f aca="false">IF(Presupuesto!$B$25='Flujo de Pagos'!$E98,25,9999)</f>
        <v>25</v>
      </c>
      <c r="AT98" s="0" t="n">
        <f aca="false">IF(Presupuesto!$B$26='Flujo de Pagos'!$E98,26,9999)</f>
        <v>26</v>
      </c>
      <c r="AU98" s="0" t="n">
        <f aca="false">IF(Presupuesto!$B$27='Flujo de Pagos'!$E98,27,9999)</f>
        <v>27</v>
      </c>
      <c r="AV98" s="0" t="n">
        <f aca="false">IF(Presupuesto!$B$28='Flujo de Pagos'!$E98,28,9999)</f>
        <v>28</v>
      </c>
      <c r="AW98" s="0" t="n">
        <f aca="false">IF(Presupuesto!$B$29='Flujo de Pagos'!$E98,29,9999)</f>
        <v>29</v>
      </c>
      <c r="AX98" s="0" t="n">
        <f aca="false">IF(Presupuesto!$B$30='Flujo de Pagos'!$E98,30,9999)</f>
        <v>30</v>
      </c>
      <c r="AY98" s="0" t="n">
        <f aca="false">IF(Presupuesto!$B$31='Flujo de Pagos'!$E98,31,9999)</f>
        <v>31</v>
      </c>
      <c r="AZ98" s="0" t="n">
        <f aca="false">IF(Presupuesto!$B$32='Flujo de Pagos'!$E98,32,9999)</f>
        <v>32</v>
      </c>
      <c r="BA98" s="0" t="n">
        <f aca="false">IF(Presupuesto!$B$33='Flujo de Pagos'!$E98,33,9999)</f>
        <v>33</v>
      </c>
      <c r="BB98" s="0" t="n">
        <f aca="false">IF(Presupuesto!$B$34='Flujo de Pagos'!$E98,34,9999)</f>
        <v>34</v>
      </c>
      <c r="BC98" s="0" t="n">
        <f aca="false">IF(Presupuesto!$B$35='Flujo de Pagos'!$E98,35,9999)</f>
        <v>35</v>
      </c>
      <c r="BD98" s="0" t="n">
        <f aca="false">IF(Presupuesto!$B$36='Flujo de Pagos'!$E98,36,9999)</f>
        <v>36</v>
      </c>
      <c r="BE98" s="0" t="n">
        <f aca="false">IF(Presupuesto!$B$37='Flujo de Pagos'!$E98,37,9999)</f>
        <v>37</v>
      </c>
      <c r="BF98" s="0" t="n">
        <f aca="false">IF(Presupuesto!$B$38='Flujo de Pagos'!$E98,38,9999)</f>
        <v>38</v>
      </c>
      <c r="BG98" s="0" t="n">
        <f aca="false">IF(Presupuesto!$B$39='Flujo de Pagos'!$E98,39,9999)</f>
        <v>39</v>
      </c>
      <c r="BH98" s="0" t="n">
        <f aca="false">IF(Presupuesto!$B$40='Flujo de Pagos'!$E98,40,9999)</f>
        <v>40</v>
      </c>
      <c r="BI98" s="0" t="n">
        <f aca="false">IF(Presupuesto!$B$41='Flujo de Pagos'!$E98,41,9999)</f>
        <v>41</v>
      </c>
      <c r="BJ98" s="0" t="n">
        <f aca="false">IF(Presupuesto!$B$42='Flujo de Pagos'!$E98,42,9999)</f>
        <v>42</v>
      </c>
      <c r="BK98" s="0" t="n">
        <f aca="false">IF(Presupuesto!$B$43='Flujo de Pagos'!$E98,43,9999)</f>
        <v>43</v>
      </c>
      <c r="BL98" s="0" t="n">
        <f aca="false">IF(Presupuesto!$B$44='Flujo de Pagos'!$E98,44,9999)</f>
        <v>44</v>
      </c>
      <c r="BM98" s="0" t="n">
        <f aca="false">IF(Presupuesto!$B$45='Flujo de Pagos'!$E98,45,9999)</f>
        <v>45</v>
      </c>
      <c r="BN98" s="0" t="n">
        <f aca="false">IF(Presupuesto!$B$46='Flujo de Pagos'!$E98,46,9999)</f>
        <v>46</v>
      </c>
      <c r="BO98" s="0" t="n">
        <f aca="false">IF(Presupuesto!$B$47='Flujo de Pagos'!$E98,47,9999)</f>
        <v>47</v>
      </c>
      <c r="BP98" s="0" t="n">
        <f aca="false">IF(Presupuesto!$B$48='Flujo de Pagos'!$E98,48,9999)</f>
        <v>48</v>
      </c>
      <c r="BQ98" s="0" t="n">
        <f aca="false">IF(Presupuesto!$B$49='Flujo de Pagos'!$E98,49,9999)</f>
        <v>49</v>
      </c>
      <c r="BR98" s="0" t="n">
        <f aca="false">IF(Presupuesto!$B$50='Flujo de Pagos'!$E98,50,9999)</f>
        <v>50</v>
      </c>
      <c r="BS98" s="0" t="n">
        <f aca="false">IF(Presupuesto!$B$51='Flujo de Pagos'!$E98,51,9999)</f>
        <v>51</v>
      </c>
      <c r="BT98" s="0" t="n">
        <f aca="false">IF(Presupuesto!$B$52='Flujo de Pagos'!$E98,52,9999)</f>
        <v>52</v>
      </c>
      <c r="BU98" s="0" t="n">
        <f aca="false">IF(Presupuesto!$B$53='Flujo de Pagos'!$E98,53,9999)</f>
        <v>53</v>
      </c>
      <c r="BV98" s="0" t="n">
        <f aca="false">IF(Presupuesto!$B$54='Flujo de Pagos'!$E98,54,9999)</f>
        <v>54</v>
      </c>
      <c r="BW98" s="0" t="n">
        <f aca="false">IF(Presupuesto!$B$55='Flujo de Pagos'!$E98,55,9999)</f>
        <v>55</v>
      </c>
      <c r="BX98" s="0" t="n">
        <f aca="false">IF(Presupuesto!$B$56='Flujo de Pagos'!$E98,56,9999)</f>
        <v>56</v>
      </c>
      <c r="BY98" s="0" t="n">
        <f aca="false">IF(Presupuesto!$B$57='Flujo de Pagos'!$E98,57,9999)</f>
        <v>57</v>
      </c>
      <c r="BZ98" s="0" t="n">
        <f aca="false">IF(Presupuesto!$B$58='Flujo de Pagos'!$E98,58,9999)</f>
        <v>58</v>
      </c>
      <c r="CA98" s="0" t="n">
        <f aca="false">IF(Presupuesto!$B$59='Flujo de Pagos'!$E98,59,9999)</f>
        <v>59</v>
      </c>
      <c r="CB98" s="0" t="n">
        <f aca="false">IF(Presupuesto!$B$60='Flujo de Pagos'!$E98,60,9999)</f>
        <v>60</v>
      </c>
      <c r="CC98" s="0" t="n">
        <f aca="false">IF(Presupuesto!$B$61='Flujo de Pagos'!$E98,61,9999)</f>
        <v>61</v>
      </c>
      <c r="CD98" s="0" t="n">
        <f aca="false">IF(Presupuesto!$B$62='Flujo de Pagos'!$E98,62,9999)</f>
        <v>62</v>
      </c>
      <c r="CE98" s="0" t="n">
        <f aca="false">IF(Presupuesto!$B$63='Flujo de Pagos'!$E98,63,9999)</f>
        <v>63</v>
      </c>
      <c r="CF98" s="0" t="n">
        <f aca="false">IF(Presupuesto!$B$64='Flujo de Pagos'!$E98,64,9999)</f>
        <v>64</v>
      </c>
      <c r="CG98" s="0" t="n">
        <f aca="false">IF(Presupuesto!$B$65='Flujo de Pagos'!$E98,65,9999)</f>
        <v>65</v>
      </c>
      <c r="CH98" s="0" t="n">
        <f aca="false">IF(Presupuesto!$B$66='Flujo de Pagos'!$E98,66,9999)</f>
        <v>66</v>
      </c>
    </row>
    <row r="99" customFormat="false" ht="15" hidden="false" customHeight="true" outlineLevel="0" collapsed="false">
      <c r="B99" s="1" t="n">
        <f aca="false">IF(AND('Flujo de Pagos'!E104=Carátula!$B$2,'Flujo de Pagos'!F104=Carátula!$B$4,'Flujo de Pagos'!H104&lt;&gt;""),104,99999)</f>
        <v>99999</v>
      </c>
      <c r="H99" s="1" t="n">
        <f aca="false">IF(SMALL($AA99:$CH99,1)&gt;=9999,"",INDEX(Presupuesto!$C:$C,SMALL($AA99:$CH99,1)))</f>
        <v>0</v>
      </c>
      <c r="I99" s="1" t="n">
        <f aca="false">IF(SMALL($AA99:$CH99,2)&gt;=9999,"",INDEX(Presupuesto!$C:$C,SMALL($AA99:$CH99,2)))</f>
        <v>0</v>
      </c>
      <c r="J99" s="1" t="n">
        <f aca="false">IF(SMALL($AA99:$CH99,3)&gt;=9999,"",INDEX(Presupuesto!$C:$C,SMALL($AA99:$CH99,3)))</f>
        <v>0</v>
      </c>
      <c r="K99" s="1" t="n">
        <f aca="false">IF(SMALL($AA99:$CH99,4)&gt;=9999,"",INDEX(Presupuesto!$C:$C,SMALL($AA99:$CH99,4)))</f>
        <v>0</v>
      </c>
      <c r="L99" s="1" t="n">
        <f aca="false">IF(SMALL($AA99:$CH99,5)&gt;=9999,"",INDEX(Presupuesto!$C:$C,SMALL($AA99:$CH99,5)))</f>
        <v>0</v>
      </c>
      <c r="M99" s="1" t="n">
        <f aca="false">IF(SMALL($AA99:$CH99,6)&gt;=9999,"",INDEX(Presupuesto!$C:$C,SMALL($AA99:$CH99,6)))</f>
        <v>0</v>
      </c>
      <c r="N99" s="1" t="n">
        <f aca="false">IF(SMALL($AA99:$CH99,7)&gt;=9999,"",INDEX(Presupuesto!$C:$C,SMALL($AA99:$CH99,7)))</f>
        <v>0</v>
      </c>
      <c r="O99" s="1" t="n">
        <f aca="false">IF(SMALL($AA99:$CH99,8)&gt;=9999,"",INDEX(Presupuesto!$C:$C,SMALL($AA99:$CH99,8)))</f>
        <v>0</v>
      </c>
      <c r="P99" s="1" t="n">
        <f aca="false">IF(SMALL($AA99:$CH99,9)&gt;=9999,"",INDEX(Presupuesto!$C:$C,SMALL($AA99:$CH99,9)))</f>
        <v>0</v>
      </c>
      <c r="Q99" s="1" t="n">
        <f aca="false">IF(SMALL($AA99:$CH99,10)&gt;=9999,"",INDEX(Presupuesto!$C:$C,SMALL($AA99:$CH99,10)))</f>
        <v>0</v>
      </c>
      <c r="AA99" s="0" t="n">
        <f aca="false">IF(Presupuesto!$B$7='Flujo de Pagos'!$E99,7,9999)</f>
        <v>9999</v>
      </c>
      <c r="AB99" s="0" t="n">
        <f aca="false">IF(Presupuesto!$B$8='Flujo de Pagos'!$E99,8,9999)</f>
        <v>9999</v>
      </c>
      <c r="AC99" s="0" t="n">
        <f aca="false">IF(Presupuesto!$B$9='Flujo de Pagos'!$E99,9,9999)</f>
        <v>9999</v>
      </c>
      <c r="AD99" s="0" t="n">
        <f aca="false">IF(Presupuesto!$B$10='Flujo de Pagos'!$E99,10,9999)</f>
        <v>9999</v>
      </c>
      <c r="AE99" s="0" t="n">
        <f aca="false">IF(Presupuesto!$B$11='Flujo de Pagos'!$E99,11,9999)</f>
        <v>9999</v>
      </c>
      <c r="AF99" s="0" t="n">
        <f aca="false">IF(Presupuesto!$B$12='Flujo de Pagos'!$E99,12,9999)</f>
        <v>12</v>
      </c>
      <c r="AG99" s="0" t="n">
        <f aca="false">IF(Presupuesto!$B$13='Flujo de Pagos'!$E99,13,9999)</f>
        <v>13</v>
      </c>
      <c r="AH99" s="0" t="n">
        <f aca="false">IF(Presupuesto!$B$14='Flujo de Pagos'!$E99,14,9999)</f>
        <v>14</v>
      </c>
      <c r="AI99" s="0" t="n">
        <f aca="false">IF(Presupuesto!$B$15='Flujo de Pagos'!$E99,15,9999)</f>
        <v>15</v>
      </c>
      <c r="AJ99" s="0" t="n">
        <f aca="false">IF(Presupuesto!$B$16='Flujo de Pagos'!$E99,16,9999)</f>
        <v>16</v>
      </c>
      <c r="AK99" s="0" t="n">
        <f aca="false">IF(Presupuesto!$B$17='Flujo de Pagos'!$E99,17,9999)</f>
        <v>17</v>
      </c>
      <c r="AL99" s="0" t="n">
        <f aca="false">IF(Presupuesto!$B$18='Flujo de Pagos'!$E99,18,9999)</f>
        <v>18</v>
      </c>
      <c r="AM99" s="0" t="n">
        <f aca="false">IF(Presupuesto!$B$19='Flujo de Pagos'!$E99,19,9999)</f>
        <v>19</v>
      </c>
      <c r="AN99" s="0" t="n">
        <f aca="false">IF(Presupuesto!$B$20='Flujo de Pagos'!$E99,20,9999)</f>
        <v>20</v>
      </c>
      <c r="AO99" s="0" t="n">
        <f aca="false">IF(Presupuesto!$B$21='Flujo de Pagos'!$E99,21,9999)</f>
        <v>21</v>
      </c>
      <c r="AP99" s="0" t="n">
        <f aca="false">IF(Presupuesto!$B$22='Flujo de Pagos'!$E99,22,9999)</f>
        <v>22</v>
      </c>
      <c r="AQ99" s="0" t="n">
        <f aca="false">IF(Presupuesto!$B$23='Flujo de Pagos'!$E99,23,9999)</f>
        <v>23</v>
      </c>
      <c r="AR99" s="0" t="n">
        <f aca="false">IF(Presupuesto!$B$24='Flujo de Pagos'!$E99,24,9999)</f>
        <v>24</v>
      </c>
      <c r="AS99" s="0" t="n">
        <f aca="false">IF(Presupuesto!$B$25='Flujo de Pagos'!$E99,25,9999)</f>
        <v>25</v>
      </c>
      <c r="AT99" s="0" t="n">
        <f aca="false">IF(Presupuesto!$B$26='Flujo de Pagos'!$E99,26,9999)</f>
        <v>26</v>
      </c>
      <c r="AU99" s="0" t="n">
        <f aca="false">IF(Presupuesto!$B$27='Flujo de Pagos'!$E99,27,9999)</f>
        <v>27</v>
      </c>
      <c r="AV99" s="0" t="n">
        <f aca="false">IF(Presupuesto!$B$28='Flujo de Pagos'!$E99,28,9999)</f>
        <v>28</v>
      </c>
      <c r="AW99" s="0" t="n">
        <f aca="false">IF(Presupuesto!$B$29='Flujo de Pagos'!$E99,29,9999)</f>
        <v>29</v>
      </c>
      <c r="AX99" s="0" t="n">
        <f aca="false">IF(Presupuesto!$B$30='Flujo de Pagos'!$E99,30,9999)</f>
        <v>30</v>
      </c>
      <c r="AY99" s="0" t="n">
        <f aca="false">IF(Presupuesto!$B$31='Flujo de Pagos'!$E99,31,9999)</f>
        <v>31</v>
      </c>
      <c r="AZ99" s="0" t="n">
        <f aca="false">IF(Presupuesto!$B$32='Flujo de Pagos'!$E99,32,9999)</f>
        <v>32</v>
      </c>
      <c r="BA99" s="0" t="n">
        <f aca="false">IF(Presupuesto!$B$33='Flujo de Pagos'!$E99,33,9999)</f>
        <v>33</v>
      </c>
      <c r="BB99" s="0" t="n">
        <f aca="false">IF(Presupuesto!$B$34='Flujo de Pagos'!$E99,34,9999)</f>
        <v>34</v>
      </c>
      <c r="BC99" s="0" t="n">
        <f aca="false">IF(Presupuesto!$B$35='Flujo de Pagos'!$E99,35,9999)</f>
        <v>35</v>
      </c>
      <c r="BD99" s="0" t="n">
        <f aca="false">IF(Presupuesto!$B$36='Flujo de Pagos'!$E99,36,9999)</f>
        <v>36</v>
      </c>
      <c r="BE99" s="0" t="n">
        <f aca="false">IF(Presupuesto!$B$37='Flujo de Pagos'!$E99,37,9999)</f>
        <v>37</v>
      </c>
      <c r="BF99" s="0" t="n">
        <f aca="false">IF(Presupuesto!$B$38='Flujo de Pagos'!$E99,38,9999)</f>
        <v>38</v>
      </c>
      <c r="BG99" s="0" t="n">
        <f aca="false">IF(Presupuesto!$B$39='Flujo de Pagos'!$E99,39,9999)</f>
        <v>39</v>
      </c>
      <c r="BH99" s="0" t="n">
        <f aca="false">IF(Presupuesto!$B$40='Flujo de Pagos'!$E99,40,9999)</f>
        <v>40</v>
      </c>
      <c r="BI99" s="0" t="n">
        <f aca="false">IF(Presupuesto!$B$41='Flujo de Pagos'!$E99,41,9999)</f>
        <v>41</v>
      </c>
      <c r="BJ99" s="0" t="n">
        <f aca="false">IF(Presupuesto!$B$42='Flujo de Pagos'!$E99,42,9999)</f>
        <v>42</v>
      </c>
      <c r="BK99" s="0" t="n">
        <f aca="false">IF(Presupuesto!$B$43='Flujo de Pagos'!$E99,43,9999)</f>
        <v>43</v>
      </c>
      <c r="BL99" s="0" t="n">
        <f aca="false">IF(Presupuesto!$B$44='Flujo de Pagos'!$E99,44,9999)</f>
        <v>44</v>
      </c>
      <c r="BM99" s="0" t="n">
        <f aca="false">IF(Presupuesto!$B$45='Flujo de Pagos'!$E99,45,9999)</f>
        <v>45</v>
      </c>
      <c r="BN99" s="0" t="n">
        <f aca="false">IF(Presupuesto!$B$46='Flujo de Pagos'!$E99,46,9999)</f>
        <v>46</v>
      </c>
      <c r="BO99" s="0" t="n">
        <f aca="false">IF(Presupuesto!$B$47='Flujo de Pagos'!$E99,47,9999)</f>
        <v>47</v>
      </c>
      <c r="BP99" s="0" t="n">
        <f aca="false">IF(Presupuesto!$B$48='Flujo de Pagos'!$E99,48,9999)</f>
        <v>48</v>
      </c>
      <c r="BQ99" s="0" t="n">
        <f aca="false">IF(Presupuesto!$B$49='Flujo de Pagos'!$E99,49,9999)</f>
        <v>49</v>
      </c>
      <c r="BR99" s="0" t="n">
        <f aca="false">IF(Presupuesto!$B$50='Flujo de Pagos'!$E99,50,9999)</f>
        <v>50</v>
      </c>
      <c r="BS99" s="0" t="n">
        <f aca="false">IF(Presupuesto!$B$51='Flujo de Pagos'!$E99,51,9999)</f>
        <v>51</v>
      </c>
      <c r="BT99" s="0" t="n">
        <f aca="false">IF(Presupuesto!$B$52='Flujo de Pagos'!$E99,52,9999)</f>
        <v>52</v>
      </c>
      <c r="BU99" s="0" t="n">
        <f aca="false">IF(Presupuesto!$B$53='Flujo de Pagos'!$E99,53,9999)</f>
        <v>53</v>
      </c>
      <c r="BV99" s="0" t="n">
        <f aca="false">IF(Presupuesto!$B$54='Flujo de Pagos'!$E99,54,9999)</f>
        <v>54</v>
      </c>
      <c r="BW99" s="0" t="n">
        <f aca="false">IF(Presupuesto!$B$55='Flujo de Pagos'!$E99,55,9999)</f>
        <v>55</v>
      </c>
      <c r="BX99" s="0" t="n">
        <f aca="false">IF(Presupuesto!$B$56='Flujo de Pagos'!$E99,56,9999)</f>
        <v>56</v>
      </c>
      <c r="BY99" s="0" t="n">
        <f aca="false">IF(Presupuesto!$B$57='Flujo de Pagos'!$E99,57,9999)</f>
        <v>57</v>
      </c>
      <c r="BZ99" s="0" t="n">
        <f aca="false">IF(Presupuesto!$B$58='Flujo de Pagos'!$E99,58,9999)</f>
        <v>58</v>
      </c>
      <c r="CA99" s="0" t="n">
        <f aca="false">IF(Presupuesto!$B$59='Flujo de Pagos'!$E99,59,9999)</f>
        <v>59</v>
      </c>
      <c r="CB99" s="0" t="n">
        <f aca="false">IF(Presupuesto!$B$60='Flujo de Pagos'!$E99,60,9999)</f>
        <v>60</v>
      </c>
      <c r="CC99" s="0" t="n">
        <f aca="false">IF(Presupuesto!$B$61='Flujo de Pagos'!$E99,61,9999)</f>
        <v>61</v>
      </c>
      <c r="CD99" s="0" t="n">
        <f aca="false">IF(Presupuesto!$B$62='Flujo de Pagos'!$E99,62,9999)</f>
        <v>62</v>
      </c>
      <c r="CE99" s="0" t="n">
        <f aca="false">IF(Presupuesto!$B$63='Flujo de Pagos'!$E99,63,9999)</f>
        <v>63</v>
      </c>
      <c r="CF99" s="0" t="n">
        <f aca="false">IF(Presupuesto!$B$64='Flujo de Pagos'!$E99,64,9999)</f>
        <v>64</v>
      </c>
      <c r="CG99" s="0" t="n">
        <f aca="false">IF(Presupuesto!$B$65='Flujo de Pagos'!$E99,65,9999)</f>
        <v>65</v>
      </c>
      <c r="CH99" s="0" t="n">
        <f aca="false">IF(Presupuesto!$B$66='Flujo de Pagos'!$E99,66,9999)</f>
        <v>66</v>
      </c>
    </row>
    <row r="100" customFormat="false" ht="15" hidden="false" customHeight="true" outlineLevel="0" collapsed="false">
      <c r="B100" s="1" t="n">
        <f aca="false">IF(AND('Flujo de Pagos'!E105=Carátula!$B$2,'Flujo de Pagos'!F105=Carátula!$B$4,'Flujo de Pagos'!H105&lt;&gt;""),105,99999)</f>
        <v>99999</v>
      </c>
      <c r="H100" s="1" t="n">
        <f aca="false">IF(SMALL($AA100:$CH100,1)&gt;=9999,"",INDEX(Presupuesto!$C:$C,SMALL($AA100:$CH100,1)))</f>
        <v>0</v>
      </c>
      <c r="I100" s="1" t="n">
        <f aca="false">IF(SMALL($AA100:$CH100,2)&gt;=9999,"",INDEX(Presupuesto!$C:$C,SMALL($AA100:$CH100,2)))</f>
        <v>0</v>
      </c>
      <c r="J100" s="1" t="n">
        <f aca="false">IF(SMALL($AA100:$CH100,3)&gt;=9999,"",INDEX(Presupuesto!$C:$C,SMALL($AA100:$CH100,3)))</f>
        <v>0</v>
      </c>
      <c r="K100" s="1" t="n">
        <f aca="false">IF(SMALL($AA100:$CH100,4)&gt;=9999,"",INDEX(Presupuesto!$C:$C,SMALL($AA100:$CH100,4)))</f>
        <v>0</v>
      </c>
      <c r="L100" s="1" t="n">
        <f aca="false">IF(SMALL($AA100:$CH100,5)&gt;=9999,"",INDEX(Presupuesto!$C:$C,SMALL($AA100:$CH100,5)))</f>
        <v>0</v>
      </c>
      <c r="M100" s="1" t="n">
        <f aca="false">IF(SMALL($AA100:$CH100,6)&gt;=9999,"",INDEX(Presupuesto!$C:$C,SMALL($AA100:$CH100,6)))</f>
        <v>0</v>
      </c>
      <c r="N100" s="1" t="n">
        <f aca="false">IF(SMALL($AA100:$CH100,7)&gt;=9999,"",INDEX(Presupuesto!$C:$C,SMALL($AA100:$CH100,7)))</f>
        <v>0</v>
      </c>
      <c r="O100" s="1" t="n">
        <f aca="false">IF(SMALL($AA100:$CH100,8)&gt;=9999,"",INDEX(Presupuesto!$C:$C,SMALL($AA100:$CH100,8)))</f>
        <v>0</v>
      </c>
      <c r="P100" s="1" t="n">
        <f aca="false">IF(SMALL($AA100:$CH100,9)&gt;=9999,"",INDEX(Presupuesto!$C:$C,SMALL($AA100:$CH100,9)))</f>
        <v>0</v>
      </c>
      <c r="Q100" s="1" t="n">
        <f aca="false">IF(SMALL($AA100:$CH100,10)&gt;=9999,"",INDEX(Presupuesto!$C:$C,SMALL($AA100:$CH100,10)))</f>
        <v>0</v>
      </c>
      <c r="AA100" s="0" t="n">
        <f aca="false">IF(Presupuesto!$B$7='Flujo de Pagos'!$E100,7,9999)</f>
        <v>9999</v>
      </c>
      <c r="AB100" s="0" t="n">
        <f aca="false">IF(Presupuesto!$B$8='Flujo de Pagos'!$E100,8,9999)</f>
        <v>9999</v>
      </c>
      <c r="AC100" s="0" t="n">
        <f aca="false">IF(Presupuesto!$B$9='Flujo de Pagos'!$E100,9,9999)</f>
        <v>9999</v>
      </c>
      <c r="AD100" s="0" t="n">
        <f aca="false">IF(Presupuesto!$B$10='Flujo de Pagos'!$E100,10,9999)</f>
        <v>9999</v>
      </c>
      <c r="AE100" s="0" t="n">
        <f aca="false">IF(Presupuesto!$B$11='Flujo de Pagos'!$E100,11,9999)</f>
        <v>9999</v>
      </c>
      <c r="AF100" s="0" t="n">
        <f aca="false">IF(Presupuesto!$B$12='Flujo de Pagos'!$E100,12,9999)</f>
        <v>12</v>
      </c>
      <c r="AG100" s="0" t="n">
        <f aca="false">IF(Presupuesto!$B$13='Flujo de Pagos'!$E100,13,9999)</f>
        <v>13</v>
      </c>
      <c r="AH100" s="0" t="n">
        <f aca="false">IF(Presupuesto!$B$14='Flujo de Pagos'!$E100,14,9999)</f>
        <v>14</v>
      </c>
      <c r="AI100" s="0" t="n">
        <f aca="false">IF(Presupuesto!$B$15='Flujo de Pagos'!$E100,15,9999)</f>
        <v>15</v>
      </c>
      <c r="AJ100" s="0" t="n">
        <f aca="false">IF(Presupuesto!$B$16='Flujo de Pagos'!$E100,16,9999)</f>
        <v>16</v>
      </c>
      <c r="AK100" s="0" t="n">
        <f aca="false">IF(Presupuesto!$B$17='Flujo de Pagos'!$E100,17,9999)</f>
        <v>17</v>
      </c>
      <c r="AL100" s="0" t="n">
        <f aca="false">IF(Presupuesto!$B$18='Flujo de Pagos'!$E100,18,9999)</f>
        <v>18</v>
      </c>
      <c r="AM100" s="0" t="n">
        <f aca="false">IF(Presupuesto!$B$19='Flujo de Pagos'!$E100,19,9999)</f>
        <v>19</v>
      </c>
      <c r="AN100" s="0" t="n">
        <f aca="false">IF(Presupuesto!$B$20='Flujo de Pagos'!$E100,20,9999)</f>
        <v>20</v>
      </c>
      <c r="AO100" s="0" t="n">
        <f aca="false">IF(Presupuesto!$B$21='Flujo de Pagos'!$E100,21,9999)</f>
        <v>21</v>
      </c>
      <c r="AP100" s="0" t="n">
        <f aca="false">IF(Presupuesto!$B$22='Flujo de Pagos'!$E100,22,9999)</f>
        <v>22</v>
      </c>
      <c r="AQ100" s="0" t="n">
        <f aca="false">IF(Presupuesto!$B$23='Flujo de Pagos'!$E100,23,9999)</f>
        <v>23</v>
      </c>
      <c r="AR100" s="0" t="n">
        <f aca="false">IF(Presupuesto!$B$24='Flujo de Pagos'!$E100,24,9999)</f>
        <v>24</v>
      </c>
      <c r="AS100" s="0" t="n">
        <f aca="false">IF(Presupuesto!$B$25='Flujo de Pagos'!$E100,25,9999)</f>
        <v>25</v>
      </c>
      <c r="AT100" s="0" t="n">
        <f aca="false">IF(Presupuesto!$B$26='Flujo de Pagos'!$E100,26,9999)</f>
        <v>26</v>
      </c>
      <c r="AU100" s="0" t="n">
        <f aca="false">IF(Presupuesto!$B$27='Flujo de Pagos'!$E100,27,9999)</f>
        <v>27</v>
      </c>
      <c r="AV100" s="0" t="n">
        <f aca="false">IF(Presupuesto!$B$28='Flujo de Pagos'!$E100,28,9999)</f>
        <v>28</v>
      </c>
      <c r="AW100" s="0" t="n">
        <f aca="false">IF(Presupuesto!$B$29='Flujo de Pagos'!$E100,29,9999)</f>
        <v>29</v>
      </c>
      <c r="AX100" s="0" t="n">
        <f aca="false">IF(Presupuesto!$B$30='Flujo de Pagos'!$E100,30,9999)</f>
        <v>30</v>
      </c>
      <c r="AY100" s="0" t="n">
        <f aca="false">IF(Presupuesto!$B$31='Flujo de Pagos'!$E100,31,9999)</f>
        <v>31</v>
      </c>
      <c r="AZ100" s="0" t="n">
        <f aca="false">IF(Presupuesto!$B$32='Flujo de Pagos'!$E100,32,9999)</f>
        <v>32</v>
      </c>
      <c r="BA100" s="0" t="n">
        <f aca="false">IF(Presupuesto!$B$33='Flujo de Pagos'!$E100,33,9999)</f>
        <v>33</v>
      </c>
      <c r="BB100" s="0" t="n">
        <f aca="false">IF(Presupuesto!$B$34='Flujo de Pagos'!$E100,34,9999)</f>
        <v>34</v>
      </c>
      <c r="BC100" s="0" t="n">
        <f aca="false">IF(Presupuesto!$B$35='Flujo de Pagos'!$E100,35,9999)</f>
        <v>35</v>
      </c>
      <c r="BD100" s="0" t="n">
        <f aca="false">IF(Presupuesto!$B$36='Flujo de Pagos'!$E100,36,9999)</f>
        <v>36</v>
      </c>
      <c r="BE100" s="0" t="n">
        <f aca="false">IF(Presupuesto!$B$37='Flujo de Pagos'!$E100,37,9999)</f>
        <v>37</v>
      </c>
      <c r="BF100" s="0" t="n">
        <f aca="false">IF(Presupuesto!$B$38='Flujo de Pagos'!$E100,38,9999)</f>
        <v>38</v>
      </c>
      <c r="BG100" s="0" t="n">
        <f aca="false">IF(Presupuesto!$B$39='Flujo de Pagos'!$E100,39,9999)</f>
        <v>39</v>
      </c>
      <c r="BH100" s="0" t="n">
        <f aca="false">IF(Presupuesto!$B$40='Flujo de Pagos'!$E100,40,9999)</f>
        <v>40</v>
      </c>
      <c r="BI100" s="0" t="n">
        <f aca="false">IF(Presupuesto!$B$41='Flujo de Pagos'!$E100,41,9999)</f>
        <v>41</v>
      </c>
      <c r="BJ100" s="0" t="n">
        <f aca="false">IF(Presupuesto!$B$42='Flujo de Pagos'!$E100,42,9999)</f>
        <v>42</v>
      </c>
      <c r="BK100" s="0" t="n">
        <f aca="false">IF(Presupuesto!$B$43='Flujo de Pagos'!$E100,43,9999)</f>
        <v>43</v>
      </c>
      <c r="BL100" s="0" t="n">
        <f aca="false">IF(Presupuesto!$B$44='Flujo de Pagos'!$E100,44,9999)</f>
        <v>44</v>
      </c>
      <c r="BM100" s="0" t="n">
        <f aca="false">IF(Presupuesto!$B$45='Flujo de Pagos'!$E100,45,9999)</f>
        <v>45</v>
      </c>
      <c r="BN100" s="0" t="n">
        <f aca="false">IF(Presupuesto!$B$46='Flujo de Pagos'!$E100,46,9999)</f>
        <v>46</v>
      </c>
      <c r="BO100" s="0" t="n">
        <f aca="false">IF(Presupuesto!$B$47='Flujo de Pagos'!$E100,47,9999)</f>
        <v>47</v>
      </c>
      <c r="BP100" s="0" t="n">
        <f aca="false">IF(Presupuesto!$B$48='Flujo de Pagos'!$E100,48,9999)</f>
        <v>48</v>
      </c>
      <c r="BQ100" s="0" t="n">
        <f aca="false">IF(Presupuesto!$B$49='Flujo de Pagos'!$E100,49,9999)</f>
        <v>49</v>
      </c>
      <c r="BR100" s="0" t="n">
        <f aca="false">IF(Presupuesto!$B$50='Flujo de Pagos'!$E100,50,9999)</f>
        <v>50</v>
      </c>
      <c r="BS100" s="0" t="n">
        <f aca="false">IF(Presupuesto!$B$51='Flujo de Pagos'!$E100,51,9999)</f>
        <v>51</v>
      </c>
      <c r="BT100" s="0" t="n">
        <f aca="false">IF(Presupuesto!$B$52='Flujo de Pagos'!$E100,52,9999)</f>
        <v>52</v>
      </c>
      <c r="BU100" s="0" t="n">
        <f aca="false">IF(Presupuesto!$B$53='Flujo de Pagos'!$E100,53,9999)</f>
        <v>53</v>
      </c>
      <c r="BV100" s="0" t="n">
        <f aca="false">IF(Presupuesto!$B$54='Flujo de Pagos'!$E100,54,9999)</f>
        <v>54</v>
      </c>
      <c r="BW100" s="0" t="n">
        <f aca="false">IF(Presupuesto!$B$55='Flujo de Pagos'!$E100,55,9999)</f>
        <v>55</v>
      </c>
      <c r="BX100" s="0" t="n">
        <f aca="false">IF(Presupuesto!$B$56='Flujo de Pagos'!$E100,56,9999)</f>
        <v>56</v>
      </c>
      <c r="BY100" s="0" t="n">
        <f aca="false">IF(Presupuesto!$B$57='Flujo de Pagos'!$E100,57,9999)</f>
        <v>57</v>
      </c>
      <c r="BZ100" s="0" t="n">
        <f aca="false">IF(Presupuesto!$B$58='Flujo de Pagos'!$E100,58,9999)</f>
        <v>58</v>
      </c>
      <c r="CA100" s="0" t="n">
        <f aca="false">IF(Presupuesto!$B$59='Flujo de Pagos'!$E100,59,9999)</f>
        <v>59</v>
      </c>
      <c r="CB100" s="0" t="n">
        <f aca="false">IF(Presupuesto!$B$60='Flujo de Pagos'!$E100,60,9999)</f>
        <v>60</v>
      </c>
      <c r="CC100" s="0" t="n">
        <f aca="false">IF(Presupuesto!$B$61='Flujo de Pagos'!$E100,61,9999)</f>
        <v>61</v>
      </c>
      <c r="CD100" s="0" t="n">
        <f aca="false">IF(Presupuesto!$B$62='Flujo de Pagos'!$E100,62,9999)</f>
        <v>62</v>
      </c>
      <c r="CE100" s="0" t="n">
        <f aca="false">IF(Presupuesto!$B$63='Flujo de Pagos'!$E100,63,9999)</f>
        <v>63</v>
      </c>
      <c r="CF100" s="0" t="n">
        <f aca="false">IF(Presupuesto!$B$64='Flujo de Pagos'!$E100,64,9999)</f>
        <v>64</v>
      </c>
      <c r="CG100" s="0" t="n">
        <f aca="false">IF(Presupuesto!$B$65='Flujo de Pagos'!$E100,65,9999)</f>
        <v>65</v>
      </c>
      <c r="CH100" s="0" t="n">
        <f aca="false">IF(Presupuesto!$B$66='Flujo de Pagos'!$E100,66,9999)</f>
        <v>66</v>
      </c>
    </row>
    <row r="101" customFormat="false" ht="15" hidden="false" customHeight="true" outlineLevel="0" collapsed="false">
      <c r="B101" s="1" t="n">
        <f aca="false">IF(AND('Flujo de Pagos'!E106=Carátula!$B$2,'Flujo de Pagos'!F106=Carátula!$B$4,'Flujo de Pagos'!H106&lt;&gt;""),106,99999)</f>
        <v>99999</v>
      </c>
      <c r="H101" s="1" t="n">
        <f aca="false">IF(SMALL($AA101:$CH101,1)&gt;=9999,"",INDEX(Presupuesto!$C:$C,SMALL($AA101:$CH101,1)))</f>
        <v>0</v>
      </c>
      <c r="I101" s="1" t="n">
        <f aca="false">IF(SMALL($AA101:$CH101,2)&gt;=9999,"",INDEX(Presupuesto!$C:$C,SMALL($AA101:$CH101,2)))</f>
        <v>0</v>
      </c>
      <c r="J101" s="1" t="n">
        <f aca="false">IF(SMALL($AA101:$CH101,3)&gt;=9999,"",INDEX(Presupuesto!$C:$C,SMALL($AA101:$CH101,3)))</f>
        <v>0</v>
      </c>
      <c r="K101" s="1" t="n">
        <f aca="false">IF(SMALL($AA101:$CH101,4)&gt;=9999,"",INDEX(Presupuesto!$C:$C,SMALL($AA101:$CH101,4)))</f>
        <v>0</v>
      </c>
      <c r="L101" s="1" t="n">
        <f aca="false">IF(SMALL($AA101:$CH101,5)&gt;=9999,"",INDEX(Presupuesto!$C:$C,SMALL($AA101:$CH101,5)))</f>
        <v>0</v>
      </c>
      <c r="M101" s="1" t="n">
        <f aca="false">IF(SMALL($AA101:$CH101,6)&gt;=9999,"",INDEX(Presupuesto!$C:$C,SMALL($AA101:$CH101,6)))</f>
        <v>0</v>
      </c>
      <c r="N101" s="1" t="n">
        <f aca="false">IF(SMALL($AA101:$CH101,7)&gt;=9999,"",INDEX(Presupuesto!$C:$C,SMALL($AA101:$CH101,7)))</f>
        <v>0</v>
      </c>
      <c r="O101" s="1" t="n">
        <f aca="false">IF(SMALL($AA101:$CH101,8)&gt;=9999,"",INDEX(Presupuesto!$C:$C,SMALL($AA101:$CH101,8)))</f>
        <v>0</v>
      </c>
      <c r="P101" s="1" t="n">
        <f aca="false">IF(SMALL($AA101:$CH101,9)&gt;=9999,"",INDEX(Presupuesto!$C:$C,SMALL($AA101:$CH101,9)))</f>
        <v>0</v>
      </c>
      <c r="Q101" s="1" t="n">
        <f aca="false">IF(SMALL($AA101:$CH101,10)&gt;=9999,"",INDEX(Presupuesto!$C:$C,SMALL($AA101:$CH101,10)))</f>
        <v>0</v>
      </c>
      <c r="AA101" s="0" t="n">
        <f aca="false">IF(Presupuesto!$B$7='Flujo de Pagos'!$E101,7,9999)</f>
        <v>9999</v>
      </c>
      <c r="AB101" s="0" t="n">
        <f aca="false">IF(Presupuesto!$B$8='Flujo de Pagos'!$E101,8,9999)</f>
        <v>9999</v>
      </c>
      <c r="AC101" s="0" t="n">
        <f aca="false">IF(Presupuesto!$B$9='Flujo de Pagos'!$E101,9,9999)</f>
        <v>9999</v>
      </c>
      <c r="AD101" s="0" t="n">
        <f aca="false">IF(Presupuesto!$B$10='Flujo de Pagos'!$E101,10,9999)</f>
        <v>9999</v>
      </c>
      <c r="AE101" s="0" t="n">
        <f aca="false">IF(Presupuesto!$B$11='Flujo de Pagos'!$E101,11,9999)</f>
        <v>9999</v>
      </c>
      <c r="AF101" s="0" t="n">
        <f aca="false">IF(Presupuesto!$B$12='Flujo de Pagos'!$E101,12,9999)</f>
        <v>12</v>
      </c>
      <c r="AG101" s="0" t="n">
        <f aca="false">IF(Presupuesto!$B$13='Flujo de Pagos'!$E101,13,9999)</f>
        <v>13</v>
      </c>
      <c r="AH101" s="0" t="n">
        <f aca="false">IF(Presupuesto!$B$14='Flujo de Pagos'!$E101,14,9999)</f>
        <v>14</v>
      </c>
      <c r="AI101" s="0" t="n">
        <f aca="false">IF(Presupuesto!$B$15='Flujo de Pagos'!$E101,15,9999)</f>
        <v>15</v>
      </c>
      <c r="AJ101" s="0" t="n">
        <f aca="false">IF(Presupuesto!$B$16='Flujo de Pagos'!$E101,16,9999)</f>
        <v>16</v>
      </c>
      <c r="AK101" s="0" t="n">
        <f aca="false">IF(Presupuesto!$B$17='Flujo de Pagos'!$E101,17,9999)</f>
        <v>17</v>
      </c>
      <c r="AL101" s="0" t="n">
        <f aca="false">IF(Presupuesto!$B$18='Flujo de Pagos'!$E101,18,9999)</f>
        <v>18</v>
      </c>
      <c r="AM101" s="0" t="n">
        <f aca="false">IF(Presupuesto!$B$19='Flujo de Pagos'!$E101,19,9999)</f>
        <v>19</v>
      </c>
      <c r="AN101" s="0" t="n">
        <f aca="false">IF(Presupuesto!$B$20='Flujo de Pagos'!$E101,20,9999)</f>
        <v>20</v>
      </c>
      <c r="AO101" s="0" t="n">
        <f aca="false">IF(Presupuesto!$B$21='Flujo de Pagos'!$E101,21,9999)</f>
        <v>21</v>
      </c>
      <c r="AP101" s="0" t="n">
        <f aca="false">IF(Presupuesto!$B$22='Flujo de Pagos'!$E101,22,9999)</f>
        <v>22</v>
      </c>
      <c r="AQ101" s="0" t="n">
        <f aca="false">IF(Presupuesto!$B$23='Flujo de Pagos'!$E101,23,9999)</f>
        <v>23</v>
      </c>
      <c r="AR101" s="0" t="n">
        <f aca="false">IF(Presupuesto!$B$24='Flujo de Pagos'!$E101,24,9999)</f>
        <v>24</v>
      </c>
      <c r="AS101" s="0" t="n">
        <f aca="false">IF(Presupuesto!$B$25='Flujo de Pagos'!$E101,25,9999)</f>
        <v>25</v>
      </c>
      <c r="AT101" s="0" t="n">
        <f aca="false">IF(Presupuesto!$B$26='Flujo de Pagos'!$E101,26,9999)</f>
        <v>26</v>
      </c>
      <c r="AU101" s="0" t="n">
        <f aca="false">IF(Presupuesto!$B$27='Flujo de Pagos'!$E101,27,9999)</f>
        <v>27</v>
      </c>
      <c r="AV101" s="0" t="n">
        <f aca="false">IF(Presupuesto!$B$28='Flujo de Pagos'!$E101,28,9999)</f>
        <v>28</v>
      </c>
      <c r="AW101" s="0" t="n">
        <f aca="false">IF(Presupuesto!$B$29='Flujo de Pagos'!$E101,29,9999)</f>
        <v>29</v>
      </c>
      <c r="AX101" s="0" t="n">
        <f aca="false">IF(Presupuesto!$B$30='Flujo de Pagos'!$E101,30,9999)</f>
        <v>30</v>
      </c>
      <c r="AY101" s="0" t="n">
        <f aca="false">IF(Presupuesto!$B$31='Flujo de Pagos'!$E101,31,9999)</f>
        <v>31</v>
      </c>
      <c r="AZ101" s="0" t="n">
        <f aca="false">IF(Presupuesto!$B$32='Flujo de Pagos'!$E101,32,9999)</f>
        <v>32</v>
      </c>
      <c r="BA101" s="0" t="n">
        <f aca="false">IF(Presupuesto!$B$33='Flujo de Pagos'!$E101,33,9999)</f>
        <v>33</v>
      </c>
      <c r="BB101" s="0" t="n">
        <f aca="false">IF(Presupuesto!$B$34='Flujo de Pagos'!$E101,34,9999)</f>
        <v>34</v>
      </c>
      <c r="BC101" s="0" t="n">
        <f aca="false">IF(Presupuesto!$B$35='Flujo de Pagos'!$E101,35,9999)</f>
        <v>35</v>
      </c>
      <c r="BD101" s="0" t="n">
        <f aca="false">IF(Presupuesto!$B$36='Flujo de Pagos'!$E101,36,9999)</f>
        <v>36</v>
      </c>
      <c r="BE101" s="0" t="n">
        <f aca="false">IF(Presupuesto!$B$37='Flujo de Pagos'!$E101,37,9999)</f>
        <v>37</v>
      </c>
      <c r="BF101" s="0" t="n">
        <f aca="false">IF(Presupuesto!$B$38='Flujo de Pagos'!$E101,38,9999)</f>
        <v>38</v>
      </c>
      <c r="BG101" s="0" t="n">
        <f aca="false">IF(Presupuesto!$B$39='Flujo de Pagos'!$E101,39,9999)</f>
        <v>39</v>
      </c>
      <c r="BH101" s="0" t="n">
        <f aca="false">IF(Presupuesto!$B$40='Flujo de Pagos'!$E101,40,9999)</f>
        <v>40</v>
      </c>
      <c r="BI101" s="0" t="n">
        <f aca="false">IF(Presupuesto!$B$41='Flujo de Pagos'!$E101,41,9999)</f>
        <v>41</v>
      </c>
      <c r="BJ101" s="0" t="n">
        <f aca="false">IF(Presupuesto!$B$42='Flujo de Pagos'!$E101,42,9999)</f>
        <v>42</v>
      </c>
      <c r="BK101" s="0" t="n">
        <f aca="false">IF(Presupuesto!$B$43='Flujo de Pagos'!$E101,43,9999)</f>
        <v>43</v>
      </c>
      <c r="BL101" s="0" t="n">
        <f aca="false">IF(Presupuesto!$B$44='Flujo de Pagos'!$E101,44,9999)</f>
        <v>44</v>
      </c>
      <c r="BM101" s="0" t="n">
        <f aca="false">IF(Presupuesto!$B$45='Flujo de Pagos'!$E101,45,9999)</f>
        <v>45</v>
      </c>
      <c r="BN101" s="0" t="n">
        <f aca="false">IF(Presupuesto!$B$46='Flujo de Pagos'!$E101,46,9999)</f>
        <v>46</v>
      </c>
      <c r="BO101" s="0" t="n">
        <f aca="false">IF(Presupuesto!$B$47='Flujo de Pagos'!$E101,47,9999)</f>
        <v>47</v>
      </c>
      <c r="BP101" s="0" t="n">
        <f aca="false">IF(Presupuesto!$B$48='Flujo de Pagos'!$E101,48,9999)</f>
        <v>48</v>
      </c>
      <c r="BQ101" s="0" t="n">
        <f aca="false">IF(Presupuesto!$B$49='Flujo de Pagos'!$E101,49,9999)</f>
        <v>49</v>
      </c>
      <c r="BR101" s="0" t="n">
        <f aca="false">IF(Presupuesto!$B$50='Flujo de Pagos'!$E101,50,9999)</f>
        <v>50</v>
      </c>
      <c r="BS101" s="0" t="n">
        <f aca="false">IF(Presupuesto!$B$51='Flujo de Pagos'!$E101,51,9999)</f>
        <v>51</v>
      </c>
      <c r="BT101" s="0" t="n">
        <f aca="false">IF(Presupuesto!$B$52='Flujo de Pagos'!$E101,52,9999)</f>
        <v>52</v>
      </c>
      <c r="BU101" s="0" t="n">
        <f aca="false">IF(Presupuesto!$B$53='Flujo de Pagos'!$E101,53,9999)</f>
        <v>53</v>
      </c>
      <c r="BV101" s="0" t="n">
        <f aca="false">IF(Presupuesto!$B$54='Flujo de Pagos'!$E101,54,9999)</f>
        <v>54</v>
      </c>
      <c r="BW101" s="0" t="n">
        <f aca="false">IF(Presupuesto!$B$55='Flujo de Pagos'!$E101,55,9999)</f>
        <v>55</v>
      </c>
      <c r="BX101" s="0" t="n">
        <f aca="false">IF(Presupuesto!$B$56='Flujo de Pagos'!$E101,56,9999)</f>
        <v>56</v>
      </c>
      <c r="BY101" s="0" t="n">
        <f aca="false">IF(Presupuesto!$B$57='Flujo de Pagos'!$E101,57,9999)</f>
        <v>57</v>
      </c>
      <c r="BZ101" s="0" t="n">
        <f aca="false">IF(Presupuesto!$B$58='Flujo de Pagos'!$E101,58,9999)</f>
        <v>58</v>
      </c>
      <c r="CA101" s="0" t="n">
        <f aca="false">IF(Presupuesto!$B$59='Flujo de Pagos'!$E101,59,9999)</f>
        <v>59</v>
      </c>
      <c r="CB101" s="0" t="n">
        <f aca="false">IF(Presupuesto!$B$60='Flujo de Pagos'!$E101,60,9999)</f>
        <v>60</v>
      </c>
      <c r="CC101" s="0" t="n">
        <f aca="false">IF(Presupuesto!$B$61='Flujo de Pagos'!$E101,61,9999)</f>
        <v>61</v>
      </c>
      <c r="CD101" s="0" t="n">
        <f aca="false">IF(Presupuesto!$B$62='Flujo de Pagos'!$E101,62,9999)</f>
        <v>62</v>
      </c>
      <c r="CE101" s="0" t="n">
        <f aca="false">IF(Presupuesto!$B$63='Flujo de Pagos'!$E101,63,9999)</f>
        <v>63</v>
      </c>
      <c r="CF101" s="0" t="n">
        <f aca="false">IF(Presupuesto!$B$64='Flujo de Pagos'!$E101,64,9999)</f>
        <v>64</v>
      </c>
      <c r="CG101" s="0" t="n">
        <f aca="false">IF(Presupuesto!$B$65='Flujo de Pagos'!$E101,65,9999)</f>
        <v>65</v>
      </c>
      <c r="CH101" s="0" t="n">
        <f aca="false">IF(Presupuesto!$B$66='Flujo de Pagos'!$E101,66,9999)</f>
        <v>66</v>
      </c>
    </row>
    <row r="102" customFormat="false" ht="15" hidden="false" customHeight="true" outlineLevel="0" collapsed="false">
      <c r="B102" s="1" t="n">
        <f aca="false">IF(AND('Flujo de Pagos'!E107=Carátula!$B$2,'Flujo de Pagos'!F107=Carátula!$B$4,'Flujo de Pagos'!H107&lt;&gt;""),107,99999)</f>
        <v>99999</v>
      </c>
      <c r="H102" s="1" t="n">
        <f aca="false">IF(SMALL($AA102:$CH102,1)&gt;=9999,"",INDEX(Presupuesto!$C:$C,SMALL($AA102:$CH102,1)))</f>
        <v>0</v>
      </c>
      <c r="I102" s="1" t="n">
        <f aca="false">IF(SMALL($AA102:$CH102,2)&gt;=9999,"",INDEX(Presupuesto!$C:$C,SMALL($AA102:$CH102,2)))</f>
        <v>0</v>
      </c>
      <c r="J102" s="1" t="n">
        <f aca="false">IF(SMALL($AA102:$CH102,3)&gt;=9999,"",INDEX(Presupuesto!$C:$C,SMALL($AA102:$CH102,3)))</f>
        <v>0</v>
      </c>
      <c r="K102" s="1" t="n">
        <f aca="false">IF(SMALL($AA102:$CH102,4)&gt;=9999,"",INDEX(Presupuesto!$C:$C,SMALL($AA102:$CH102,4)))</f>
        <v>0</v>
      </c>
      <c r="L102" s="1" t="n">
        <f aca="false">IF(SMALL($AA102:$CH102,5)&gt;=9999,"",INDEX(Presupuesto!$C:$C,SMALL($AA102:$CH102,5)))</f>
        <v>0</v>
      </c>
      <c r="M102" s="1" t="n">
        <f aca="false">IF(SMALL($AA102:$CH102,6)&gt;=9999,"",INDEX(Presupuesto!$C:$C,SMALL($AA102:$CH102,6)))</f>
        <v>0</v>
      </c>
      <c r="N102" s="1" t="n">
        <f aca="false">IF(SMALL($AA102:$CH102,7)&gt;=9999,"",INDEX(Presupuesto!$C:$C,SMALL($AA102:$CH102,7)))</f>
        <v>0</v>
      </c>
      <c r="O102" s="1" t="n">
        <f aca="false">IF(SMALL($AA102:$CH102,8)&gt;=9999,"",INDEX(Presupuesto!$C:$C,SMALL($AA102:$CH102,8)))</f>
        <v>0</v>
      </c>
      <c r="P102" s="1" t="n">
        <f aca="false">IF(SMALL($AA102:$CH102,9)&gt;=9999,"",INDEX(Presupuesto!$C:$C,SMALL($AA102:$CH102,9)))</f>
        <v>0</v>
      </c>
      <c r="Q102" s="1" t="n">
        <f aca="false">IF(SMALL($AA102:$CH102,10)&gt;=9999,"",INDEX(Presupuesto!$C:$C,SMALL($AA102:$CH102,10)))</f>
        <v>0</v>
      </c>
      <c r="AA102" s="0" t="n">
        <f aca="false">IF(Presupuesto!$B$7='Flujo de Pagos'!$E102,7,9999)</f>
        <v>9999</v>
      </c>
      <c r="AB102" s="0" t="n">
        <f aca="false">IF(Presupuesto!$B$8='Flujo de Pagos'!$E102,8,9999)</f>
        <v>9999</v>
      </c>
      <c r="AC102" s="0" t="n">
        <f aca="false">IF(Presupuesto!$B$9='Flujo de Pagos'!$E102,9,9999)</f>
        <v>9999</v>
      </c>
      <c r="AD102" s="0" t="n">
        <f aca="false">IF(Presupuesto!$B$10='Flujo de Pagos'!$E102,10,9999)</f>
        <v>9999</v>
      </c>
      <c r="AE102" s="0" t="n">
        <f aca="false">IF(Presupuesto!$B$11='Flujo de Pagos'!$E102,11,9999)</f>
        <v>9999</v>
      </c>
      <c r="AF102" s="0" t="n">
        <f aca="false">IF(Presupuesto!$B$12='Flujo de Pagos'!$E102,12,9999)</f>
        <v>12</v>
      </c>
      <c r="AG102" s="0" t="n">
        <f aca="false">IF(Presupuesto!$B$13='Flujo de Pagos'!$E102,13,9999)</f>
        <v>13</v>
      </c>
      <c r="AH102" s="0" t="n">
        <f aca="false">IF(Presupuesto!$B$14='Flujo de Pagos'!$E102,14,9999)</f>
        <v>14</v>
      </c>
      <c r="AI102" s="0" t="n">
        <f aca="false">IF(Presupuesto!$B$15='Flujo de Pagos'!$E102,15,9999)</f>
        <v>15</v>
      </c>
      <c r="AJ102" s="0" t="n">
        <f aca="false">IF(Presupuesto!$B$16='Flujo de Pagos'!$E102,16,9999)</f>
        <v>16</v>
      </c>
      <c r="AK102" s="0" t="n">
        <f aca="false">IF(Presupuesto!$B$17='Flujo de Pagos'!$E102,17,9999)</f>
        <v>17</v>
      </c>
      <c r="AL102" s="0" t="n">
        <f aca="false">IF(Presupuesto!$B$18='Flujo de Pagos'!$E102,18,9999)</f>
        <v>18</v>
      </c>
      <c r="AM102" s="0" t="n">
        <f aca="false">IF(Presupuesto!$B$19='Flujo de Pagos'!$E102,19,9999)</f>
        <v>19</v>
      </c>
      <c r="AN102" s="0" t="n">
        <f aca="false">IF(Presupuesto!$B$20='Flujo de Pagos'!$E102,20,9999)</f>
        <v>20</v>
      </c>
      <c r="AO102" s="0" t="n">
        <f aca="false">IF(Presupuesto!$B$21='Flujo de Pagos'!$E102,21,9999)</f>
        <v>21</v>
      </c>
      <c r="AP102" s="0" t="n">
        <f aca="false">IF(Presupuesto!$B$22='Flujo de Pagos'!$E102,22,9999)</f>
        <v>22</v>
      </c>
      <c r="AQ102" s="0" t="n">
        <f aca="false">IF(Presupuesto!$B$23='Flujo de Pagos'!$E102,23,9999)</f>
        <v>23</v>
      </c>
      <c r="AR102" s="0" t="n">
        <f aca="false">IF(Presupuesto!$B$24='Flujo de Pagos'!$E102,24,9999)</f>
        <v>24</v>
      </c>
      <c r="AS102" s="0" t="n">
        <f aca="false">IF(Presupuesto!$B$25='Flujo de Pagos'!$E102,25,9999)</f>
        <v>25</v>
      </c>
      <c r="AT102" s="0" t="n">
        <f aca="false">IF(Presupuesto!$B$26='Flujo de Pagos'!$E102,26,9999)</f>
        <v>26</v>
      </c>
      <c r="AU102" s="0" t="n">
        <f aca="false">IF(Presupuesto!$B$27='Flujo de Pagos'!$E102,27,9999)</f>
        <v>27</v>
      </c>
      <c r="AV102" s="0" t="n">
        <f aca="false">IF(Presupuesto!$B$28='Flujo de Pagos'!$E102,28,9999)</f>
        <v>28</v>
      </c>
      <c r="AW102" s="0" t="n">
        <f aca="false">IF(Presupuesto!$B$29='Flujo de Pagos'!$E102,29,9999)</f>
        <v>29</v>
      </c>
      <c r="AX102" s="0" t="n">
        <f aca="false">IF(Presupuesto!$B$30='Flujo de Pagos'!$E102,30,9999)</f>
        <v>30</v>
      </c>
      <c r="AY102" s="0" t="n">
        <f aca="false">IF(Presupuesto!$B$31='Flujo de Pagos'!$E102,31,9999)</f>
        <v>31</v>
      </c>
      <c r="AZ102" s="0" t="n">
        <f aca="false">IF(Presupuesto!$B$32='Flujo de Pagos'!$E102,32,9999)</f>
        <v>32</v>
      </c>
      <c r="BA102" s="0" t="n">
        <f aca="false">IF(Presupuesto!$B$33='Flujo de Pagos'!$E102,33,9999)</f>
        <v>33</v>
      </c>
      <c r="BB102" s="0" t="n">
        <f aca="false">IF(Presupuesto!$B$34='Flujo de Pagos'!$E102,34,9999)</f>
        <v>34</v>
      </c>
      <c r="BC102" s="0" t="n">
        <f aca="false">IF(Presupuesto!$B$35='Flujo de Pagos'!$E102,35,9999)</f>
        <v>35</v>
      </c>
      <c r="BD102" s="0" t="n">
        <f aca="false">IF(Presupuesto!$B$36='Flujo de Pagos'!$E102,36,9999)</f>
        <v>36</v>
      </c>
      <c r="BE102" s="0" t="n">
        <f aca="false">IF(Presupuesto!$B$37='Flujo de Pagos'!$E102,37,9999)</f>
        <v>37</v>
      </c>
      <c r="BF102" s="0" t="n">
        <f aca="false">IF(Presupuesto!$B$38='Flujo de Pagos'!$E102,38,9999)</f>
        <v>38</v>
      </c>
      <c r="BG102" s="0" t="n">
        <f aca="false">IF(Presupuesto!$B$39='Flujo de Pagos'!$E102,39,9999)</f>
        <v>39</v>
      </c>
      <c r="BH102" s="0" t="n">
        <f aca="false">IF(Presupuesto!$B$40='Flujo de Pagos'!$E102,40,9999)</f>
        <v>40</v>
      </c>
      <c r="BI102" s="0" t="n">
        <f aca="false">IF(Presupuesto!$B$41='Flujo de Pagos'!$E102,41,9999)</f>
        <v>41</v>
      </c>
      <c r="BJ102" s="0" t="n">
        <f aca="false">IF(Presupuesto!$B$42='Flujo de Pagos'!$E102,42,9999)</f>
        <v>42</v>
      </c>
      <c r="BK102" s="0" t="n">
        <f aca="false">IF(Presupuesto!$B$43='Flujo de Pagos'!$E102,43,9999)</f>
        <v>43</v>
      </c>
      <c r="BL102" s="0" t="n">
        <f aca="false">IF(Presupuesto!$B$44='Flujo de Pagos'!$E102,44,9999)</f>
        <v>44</v>
      </c>
      <c r="BM102" s="0" t="n">
        <f aca="false">IF(Presupuesto!$B$45='Flujo de Pagos'!$E102,45,9999)</f>
        <v>45</v>
      </c>
      <c r="BN102" s="0" t="n">
        <f aca="false">IF(Presupuesto!$B$46='Flujo de Pagos'!$E102,46,9999)</f>
        <v>46</v>
      </c>
      <c r="BO102" s="0" t="n">
        <f aca="false">IF(Presupuesto!$B$47='Flujo de Pagos'!$E102,47,9999)</f>
        <v>47</v>
      </c>
      <c r="BP102" s="0" t="n">
        <f aca="false">IF(Presupuesto!$B$48='Flujo de Pagos'!$E102,48,9999)</f>
        <v>48</v>
      </c>
      <c r="BQ102" s="0" t="n">
        <f aca="false">IF(Presupuesto!$B$49='Flujo de Pagos'!$E102,49,9999)</f>
        <v>49</v>
      </c>
      <c r="BR102" s="0" t="n">
        <f aca="false">IF(Presupuesto!$B$50='Flujo de Pagos'!$E102,50,9999)</f>
        <v>50</v>
      </c>
      <c r="BS102" s="0" t="n">
        <f aca="false">IF(Presupuesto!$B$51='Flujo de Pagos'!$E102,51,9999)</f>
        <v>51</v>
      </c>
      <c r="BT102" s="0" t="n">
        <f aca="false">IF(Presupuesto!$B$52='Flujo de Pagos'!$E102,52,9999)</f>
        <v>52</v>
      </c>
      <c r="BU102" s="0" t="n">
        <f aca="false">IF(Presupuesto!$B$53='Flujo de Pagos'!$E102,53,9999)</f>
        <v>53</v>
      </c>
      <c r="BV102" s="0" t="n">
        <f aca="false">IF(Presupuesto!$B$54='Flujo de Pagos'!$E102,54,9999)</f>
        <v>54</v>
      </c>
      <c r="BW102" s="0" t="n">
        <f aca="false">IF(Presupuesto!$B$55='Flujo de Pagos'!$E102,55,9999)</f>
        <v>55</v>
      </c>
      <c r="BX102" s="0" t="n">
        <f aca="false">IF(Presupuesto!$B$56='Flujo de Pagos'!$E102,56,9999)</f>
        <v>56</v>
      </c>
      <c r="BY102" s="0" t="n">
        <f aca="false">IF(Presupuesto!$B$57='Flujo de Pagos'!$E102,57,9999)</f>
        <v>57</v>
      </c>
      <c r="BZ102" s="0" t="n">
        <f aca="false">IF(Presupuesto!$B$58='Flujo de Pagos'!$E102,58,9999)</f>
        <v>58</v>
      </c>
      <c r="CA102" s="0" t="n">
        <f aca="false">IF(Presupuesto!$B$59='Flujo de Pagos'!$E102,59,9999)</f>
        <v>59</v>
      </c>
      <c r="CB102" s="0" t="n">
        <f aca="false">IF(Presupuesto!$B$60='Flujo de Pagos'!$E102,60,9999)</f>
        <v>60</v>
      </c>
      <c r="CC102" s="0" t="n">
        <f aca="false">IF(Presupuesto!$B$61='Flujo de Pagos'!$E102,61,9999)</f>
        <v>61</v>
      </c>
      <c r="CD102" s="0" t="n">
        <f aca="false">IF(Presupuesto!$B$62='Flujo de Pagos'!$E102,62,9999)</f>
        <v>62</v>
      </c>
      <c r="CE102" s="0" t="n">
        <f aca="false">IF(Presupuesto!$B$63='Flujo de Pagos'!$E102,63,9999)</f>
        <v>63</v>
      </c>
      <c r="CF102" s="0" t="n">
        <f aca="false">IF(Presupuesto!$B$64='Flujo de Pagos'!$E102,64,9999)</f>
        <v>64</v>
      </c>
      <c r="CG102" s="0" t="n">
        <f aca="false">IF(Presupuesto!$B$65='Flujo de Pagos'!$E102,65,9999)</f>
        <v>65</v>
      </c>
      <c r="CH102" s="0" t="n">
        <f aca="false">IF(Presupuesto!$B$66='Flujo de Pagos'!$E102,66,9999)</f>
        <v>66</v>
      </c>
    </row>
    <row r="103" customFormat="false" ht="15" hidden="false" customHeight="true" outlineLevel="0" collapsed="false">
      <c r="B103" s="1" t="n">
        <f aca="false">IF(AND('Flujo de Pagos'!E108=Carátula!$B$2,'Flujo de Pagos'!F108=Carátula!$B$4,'Flujo de Pagos'!H108&lt;&gt;""),108,99999)</f>
        <v>99999</v>
      </c>
      <c r="H103" s="1" t="n">
        <f aca="false">IF(SMALL($AA103:$CH103,1)&gt;=9999,"",INDEX(Presupuesto!$C:$C,SMALL($AA103:$CH103,1)))</f>
        <v>0</v>
      </c>
      <c r="I103" s="1" t="n">
        <f aca="false">IF(SMALL($AA103:$CH103,2)&gt;=9999,"",INDEX(Presupuesto!$C:$C,SMALL($AA103:$CH103,2)))</f>
        <v>0</v>
      </c>
      <c r="J103" s="1" t="n">
        <f aca="false">IF(SMALL($AA103:$CH103,3)&gt;=9999,"",INDEX(Presupuesto!$C:$C,SMALL($AA103:$CH103,3)))</f>
        <v>0</v>
      </c>
      <c r="K103" s="1" t="n">
        <f aca="false">IF(SMALL($AA103:$CH103,4)&gt;=9999,"",INDEX(Presupuesto!$C:$C,SMALL($AA103:$CH103,4)))</f>
        <v>0</v>
      </c>
      <c r="L103" s="1" t="n">
        <f aca="false">IF(SMALL($AA103:$CH103,5)&gt;=9999,"",INDEX(Presupuesto!$C:$C,SMALL($AA103:$CH103,5)))</f>
        <v>0</v>
      </c>
      <c r="M103" s="1" t="n">
        <f aca="false">IF(SMALL($AA103:$CH103,6)&gt;=9999,"",INDEX(Presupuesto!$C:$C,SMALL($AA103:$CH103,6)))</f>
        <v>0</v>
      </c>
      <c r="N103" s="1" t="n">
        <f aca="false">IF(SMALL($AA103:$CH103,7)&gt;=9999,"",INDEX(Presupuesto!$C:$C,SMALL($AA103:$CH103,7)))</f>
        <v>0</v>
      </c>
      <c r="O103" s="1" t="n">
        <f aca="false">IF(SMALL($AA103:$CH103,8)&gt;=9999,"",INDEX(Presupuesto!$C:$C,SMALL($AA103:$CH103,8)))</f>
        <v>0</v>
      </c>
      <c r="P103" s="1" t="n">
        <f aca="false">IF(SMALL($AA103:$CH103,9)&gt;=9999,"",INDEX(Presupuesto!$C:$C,SMALL($AA103:$CH103,9)))</f>
        <v>0</v>
      </c>
      <c r="Q103" s="1" t="n">
        <f aca="false">IF(SMALL($AA103:$CH103,10)&gt;=9999,"",INDEX(Presupuesto!$C:$C,SMALL($AA103:$CH103,10)))</f>
        <v>0</v>
      </c>
      <c r="AA103" s="0" t="n">
        <f aca="false">IF(Presupuesto!$B$7='Flujo de Pagos'!$E103,7,9999)</f>
        <v>9999</v>
      </c>
      <c r="AB103" s="0" t="n">
        <f aca="false">IF(Presupuesto!$B$8='Flujo de Pagos'!$E103,8,9999)</f>
        <v>9999</v>
      </c>
      <c r="AC103" s="0" t="n">
        <f aca="false">IF(Presupuesto!$B$9='Flujo de Pagos'!$E103,9,9999)</f>
        <v>9999</v>
      </c>
      <c r="AD103" s="0" t="n">
        <f aca="false">IF(Presupuesto!$B$10='Flujo de Pagos'!$E103,10,9999)</f>
        <v>9999</v>
      </c>
      <c r="AE103" s="0" t="n">
        <f aca="false">IF(Presupuesto!$B$11='Flujo de Pagos'!$E103,11,9999)</f>
        <v>9999</v>
      </c>
      <c r="AF103" s="0" t="n">
        <f aca="false">IF(Presupuesto!$B$12='Flujo de Pagos'!$E103,12,9999)</f>
        <v>12</v>
      </c>
      <c r="AG103" s="0" t="n">
        <f aca="false">IF(Presupuesto!$B$13='Flujo de Pagos'!$E103,13,9999)</f>
        <v>13</v>
      </c>
      <c r="AH103" s="0" t="n">
        <f aca="false">IF(Presupuesto!$B$14='Flujo de Pagos'!$E103,14,9999)</f>
        <v>14</v>
      </c>
      <c r="AI103" s="0" t="n">
        <f aca="false">IF(Presupuesto!$B$15='Flujo de Pagos'!$E103,15,9999)</f>
        <v>15</v>
      </c>
      <c r="AJ103" s="0" t="n">
        <f aca="false">IF(Presupuesto!$B$16='Flujo de Pagos'!$E103,16,9999)</f>
        <v>16</v>
      </c>
      <c r="AK103" s="0" t="n">
        <f aca="false">IF(Presupuesto!$B$17='Flujo de Pagos'!$E103,17,9999)</f>
        <v>17</v>
      </c>
      <c r="AL103" s="0" t="n">
        <f aca="false">IF(Presupuesto!$B$18='Flujo de Pagos'!$E103,18,9999)</f>
        <v>18</v>
      </c>
      <c r="AM103" s="0" t="n">
        <f aca="false">IF(Presupuesto!$B$19='Flujo de Pagos'!$E103,19,9999)</f>
        <v>19</v>
      </c>
      <c r="AN103" s="0" t="n">
        <f aca="false">IF(Presupuesto!$B$20='Flujo de Pagos'!$E103,20,9999)</f>
        <v>20</v>
      </c>
      <c r="AO103" s="0" t="n">
        <f aca="false">IF(Presupuesto!$B$21='Flujo de Pagos'!$E103,21,9999)</f>
        <v>21</v>
      </c>
      <c r="AP103" s="0" t="n">
        <f aca="false">IF(Presupuesto!$B$22='Flujo de Pagos'!$E103,22,9999)</f>
        <v>22</v>
      </c>
      <c r="AQ103" s="0" t="n">
        <f aca="false">IF(Presupuesto!$B$23='Flujo de Pagos'!$E103,23,9999)</f>
        <v>23</v>
      </c>
      <c r="AR103" s="0" t="n">
        <f aca="false">IF(Presupuesto!$B$24='Flujo de Pagos'!$E103,24,9999)</f>
        <v>24</v>
      </c>
      <c r="AS103" s="0" t="n">
        <f aca="false">IF(Presupuesto!$B$25='Flujo de Pagos'!$E103,25,9999)</f>
        <v>25</v>
      </c>
      <c r="AT103" s="0" t="n">
        <f aca="false">IF(Presupuesto!$B$26='Flujo de Pagos'!$E103,26,9999)</f>
        <v>26</v>
      </c>
      <c r="AU103" s="0" t="n">
        <f aca="false">IF(Presupuesto!$B$27='Flujo de Pagos'!$E103,27,9999)</f>
        <v>27</v>
      </c>
      <c r="AV103" s="0" t="n">
        <f aca="false">IF(Presupuesto!$B$28='Flujo de Pagos'!$E103,28,9999)</f>
        <v>28</v>
      </c>
      <c r="AW103" s="0" t="n">
        <f aca="false">IF(Presupuesto!$B$29='Flujo de Pagos'!$E103,29,9999)</f>
        <v>29</v>
      </c>
      <c r="AX103" s="0" t="n">
        <f aca="false">IF(Presupuesto!$B$30='Flujo de Pagos'!$E103,30,9999)</f>
        <v>30</v>
      </c>
      <c r="AY103" s="0" t="n">
        <f aca="false">IF(Presupuesto!$B$31='Flujo de Pagos'!$E103,31,9999)</f>
        <v>31</v>
      </c>
      <c r="AZ103" s="0" t="n">
        <f aca="false">IF(Presupuesto!$B$32='Flujo de Pagos'!$E103,32,9999)</f>
        <v>32</v>
      </c>
      <c r="BA103" s="0" t="n">
        <f aca="false">IF(Presupuesto!$B$33='Flujo de Pagos'!$E103,33,9999)</f>
        <v>33</v>
      </c>
      <c r="BB103" s="0" t="n">
        <f aca="false">IF(Presupuesto!$B$34='Flujo de Pagos'!$E103,34,9999)</f>
        <v>34</v>
      </c>
      <c r="BC103" s="0" t="n">
        <f aca="false">IF(Presupuesto!$B$35='Flujo de Pagos'!$E103,35,9999)</f>
        <v>35</v>
      </c>
      <c r="BD103" s="0" t="n">
        <f aca="false">IF(Presupuesto!$B$36='Flujo de Pagos'!$E103,36,9999)</f>
        <v>36</v>
      </c>
      <c r="BE103" s="0" t="n">
        <f aca="false">IF(Presupuesto!$B$37='Flujo de Pagos'!$E103,37,9999)</f>
        <v>37</v>
      </c>
      <c r="BF103" s="0" t="n">
        <f aca="false">IF(Presupuesto!$B$38='Flujo de Pagos'!$E103,38,9999)</f>
        <v>38</v>
      </c>
      <c r="BG103" s="0" t="n">
        <f aca="false">IF(Presupuesto!$B$39='Flujo de Pagos'!$E103,39,9999)</f>
        <v>39</v>
      </c>
      <c r="BH103" s="0" t="n">
        <f aca="false">IF(Presupuesto!$B$40='Flujo de Pagos'!$E103,40,9999)</f>
        <v>40</v>
      </c>
      <c r="BI103" s="0" t="n">
        <f aca="false">IF(Presupuesto!$B$41='Flujo de Pagos'!$E103,41,9999)</f>
        <v>41</v>
      </c>
      <c r="BJ103" s="0" t="n">
        <f aca="false">IF(Presupuesto!$B$42='Flujo de Pagos'!$E103,42,9999)</f>
        <v>42</v>
      </c>
      <c r="BK103" s="0" t="n">
        <f aca="false">IF(Presupuesto!$B$43='Flujo de Pagos'!$E103,43,9999)</f>
        <v>43</v>
      </c>
      <c r="BL103" s="0" t="n">
        <f aca="false">IF(Presupuesto!$B$44='Flujo de Pagos'!$E103,44,9999)</f>
        <v>44</v>
      </c>
      <c r="BM103" s="0" t="n">
        <f aca="false">IF(Presupuesto!$B$45='Flujo de Pagos'!$E103,45,9999)</f>
        <v>45</v>
      </c>
      <c r="BN103" s="0" t="n">
        <f aca="false">IF(Presupuesto!$B$46='Flujo de Pagos'!$E103,46,9999)</f>
        <v>46</v>
      </c>
      <c r="BO103" s="0" t="n">
        <f aca="false">IF(Presupuesto!$B$47='Flujo de Pagos'!$E103,47,9999)</f>
        <v>47</v>
      </c>
      <c r="BP103" s="0" t="n">
        <f aca="false">IF(Presupuesto!$B$48='Flujo de Pagos'!$E103,48,9999)</f>
        <v>48</v>
      </c>
      <c r="BQ103" s="0" t="n">
        <f aca="false">IF(Presupuesto!$B$49='Flujo de Pagos'!$E103,49,9999)</f>
        <v>49</v>
      </c>
      <c r="BR103" s="0" t="n">
        <f aca="false">IF(Presupuesto!$B$50='Flujo de Pagos'!$E103,50,9999)</f>
        <v>50</v>
      </c>
      <c r="BS103" s="0" t="n">
        <f aca="false">IF(Presupuesto!$B$51='Flujo de Pagos'!$E103,51,9999)</f>
        <v>51</v>
      </c>
      <c r="BT103" s="0" t="n">
        <f aca="false">IF(Presupuesto!$B$52='Flujo de Pagos'!$E103,52,9999)</f>
        <v>52</v>
      </c>
      <c r="BU103" s="0" t="n">
        <f aca="false">IF(Presupuesto!$B$53='Flujo de Pagos'!$E103,53,9999)</f>
        <v>53</v>
      </c>
      <c r="BV103" s="0" t="n">
        <f aca="false">IF(Presupuesto!$B$54='Flujo de Pagos'!$E103,54,9999)</f>
        <v>54</v>
      </c>
      <c r="BW103" s="0" t="n">
        <f aca="false">IF(Presupuesto!$B$55='Flujo de Pagos'!$E103,55,9999)</f>
        <v>55</v>
      </c>
      <c r="BX103" s="0" t="n">
        <f aca="false">IF(Presupuesto!$B$56='Flujo de Pagos'!$E103,56,9999)</f>
        <v>56</v>
      </c>
      <c r="BY103" s="0" t="n">
        <f aca="false">IF(Presupuesto!$B$57='Flujo de Pagos'!$E103,57,9999)</f>
        <v>57</v>
      </c>
      <c r="BZ103" s="0" t="n">
        <f aca="false">IF(Presupuesto!$B$58='Flujo de Pagos'!$E103,58,9999)</f>
        <v>58</v>
      </c>
      <c r="CA103" s="0" t="n">
        <f aca="false">IF(Presupuesto!$B$59='Flujo de Pagos'!$E103,59,9999)</f>
        <v>59</v>
      </c>
      <c r="CB103" s="0" t="n">
        <f aca="false">IF(Presupuesto!$B$60='Flujo de Pagos'!$E103,60,9999)</f>
        <v>60</v>
      </c>
      <c r="CC103" s="0" t="n">
        <f aca="false">IF(Presupuesto!$B$61='Flujo de Pagos'!$E103,61,9999)</f>
        <v>61</v>
      </c>
      <c r="CD103" s="0" t="n">
        <f aca="false">IF(Presupuesto!$B$62='Flujo de Pagos'!$E103,62,9999)</f>
        <v>62</v>
      </c>
      <c r="CE103" s="0" t="n">
        <f aca="false">IF(Presupuesto!$B$63='Flujo de Pagos'!$E103,63,9999)</f>
        <v>63</v>
      </c>
      <c r="CF103" s="0" t="n">
        <f aca="false">IF(Presupuesto!$B$64='Flujo de Pagos'!$E103,64,9999)</f>
        <v>64</v>
      </c>
      <c r="CG103" s="0" t="n">
        <f aca="false">IF(Presupuesto!$B$65='Flujo de Pagos'!$E103,65,9999)</f>
        <v>65</v>
      </c>
      <c r="CH103" s="0" t="n">
        <f aca="false">IF(Presupuesto!$B$66='Flujo de Pagos'!$E103,66,9999)</f>
        <v>66</v>
      </c>
    </row>
    <row r="104" customFormat="false" ht="15" hidden="false" customHeight="true" outlineLevel="0" collapsed="false">
      <c r="B104" s="1" t="n">
        <f aca="false">IF(AND('Flujo de Pagos'!E109=Carátula!$B$2,'Flujo de Pagos'!F109=Carátula!$B$4,'Flujo de Pagos'!H109&lt;&gt;""),109,99999)</f>
        <v>99999</v>
      </c>
      <c r="H104" s="1" t="n">
        <f aca="false">IF(SMALL($AA104:$CH104,1)&gt;=9999,"",INDEX(Presupuesto!$C:$C,SMALL($AA104:$CH104,1)))</f>
        <v>0</v>
      </c>
      <c r="I104" s="1" t="n">
        <f aca="false">IF(SMALL($AA104:$CH104,2)&gt;=9999,"",INDEX(Presupuesto!$C:$C,SMALL($AA104:$CH104,2)))</f>
        <v>0</v>
      </c>
      <c r="J104" s="1" t="n">
        <f aca="false">IF(SMALL($AA104:$CH104,3)&gt;=9999,"",INDEX(Presupuesto!$C:$C,SMALL($AA104:$CH104,3)))</f>
        <v>0</v>
      </c>
      <c r="K104" s="1" t="n">
        <f aca="false">IF(SMALL($AA104:$CH104,4)&gt;=9999,"",INDEX(Presupuesto!$C:$C,SMALL($AA104:$CH104,4)))</f>
        <v>0</v>
      </c>
      <c r="L104" s="1" t="n">
        <f aca="false">IF(SMALL($AA104:$CH104,5)&gt;=9999,"",INDEX(Presupuesto!$C:$C,SMALL($AA104:$CH104,5)))</f>
        <v>0</v>
      </c>
      <c r="M104" s="1" t="n">
        <f aca="false">IF(SMALL($AA104:$CH104,6)&gt;=9999,"",INDEX(Presupuesto!$C:$C,SMALL($AA104:$CH104,6)))</f>
        <v>0</v>
      </c>
      <c r="N104" s="1" t="n">
        <f aca="false">IF(SMALL($AA104:$CH104,7)&gt;=9999,"",INDEX(Presupuesto!$C:$C,SMALL($AA104:$CH104,7)))</f>
        <v>0</v>
      </c>
      <c r="O104" s="1" t="n">
        <f aca="false">IF(SMALL($AA104:$CH104,8)&gt;=9999,"",INDEX(Presupuesto!$C:$C,SMALL($AA104:$CH104,8)))</f>
        <v>0</v>
      </c>
      <c r="P104" s="1" t="n">
        <f aca="false">IF(SMALL($AA104:$CH104,9)&gt;=9999,"",INDEX(Presupuesto!$C:$C,SMALL($AA104:$CH104,9)))</f>
        <v>0</v>
      </c>
      <c r="Q104" s="1" t="n">
        <f aca="false">IF(SMALL($AA104:$CH104,10)&gt;=9999,"",INDEX(Presupuesto!$C:$C,SMALL($AA104:$CH104,10)))</f>
        <v>0</v>
      </c>
      <c r="AA104" s="0" t="n">
        <f aca="false">IF(Presupuesto!$B$7='Flujo de Pagos'!$E104,7,9999)</f>
        <v>9999</v>
      </c>
      <c r="AB104" s="0" t="n">
        <f aca="false">IF(Presupuesto!$B$8='Flujo de Pagos'!$E104,8,9999)</f>
        <v>9999</v>
      </c>
      <c r="AC104" s="0" t="n">
        <f aca="false">IF(Presupuesto!$B$9='Flujo de Pagos'!$E104,9,9999)</f>
        <v>9999</v>
      </c>
      <c r="AD104" s="0" t="n">
        <f aca="false">IF(Presupuesto!$B$10='Flujo de Pagos'!$E104,10,9999)</f>
        <v>9999</v>
      </c>
      <c r="AE104" s="0" t="n">
        <f aca="false">IF(Presupuesto!$B$11='Flujo de Pagos'!$E104,11,9999)</f>
        <v>9999</v>
      </c>
      <c r="AF104" s="0" t="n">
        <f aca="false">IF(Presupuesto!$B$12='Flujo de Pagos'!$E104,12,9999)</f>
        <v>12</v>
      </c>
      <c r="AG104" s="0" t="n">
        <f aca="false">IF(Presupuesto!$B$13='Flujo de Pagos'!$E104,13,9999)</f>
        <v>13</v>
      </c>
      <c r="AH104" s="0" t="n">
        <f aca="false">IF(Presupuesto!$B$14='Flujo de Pagos'!$E104,14,9999)</f>
        <v>14</v>
      </c>
      <c r="AI104" s="0" t="n">
        <f aca="false">IF(Presupuesto!$B$15='Flujo de Pagos'!$E104,15,9999)</f>
        <v>15</v>
      </c>
      <c r="AJ104" s="0" t="n">
        <f aca="false">IF(Presupuesto!$B$16='Flujo de Pagos'!$E104,16,9999)</f>
        <v>16</v>
      </c>
      <c r="AK104" s="0" t="n">
        <f aca="false">IF(Presupuesto!$B$17='Flujo de Pagos'!$E104,17,9999)</f>
        <v>17</v>
      </c>
      <c r="AL104" s="0" t="n">
        <f aca="false">IF(Presupuesto!$B$18='Flujo de Pagos'!$E104,18,9999)</f>
        <v>18</v>
      </c>
      <c r="AM104" s="0" t="n">
        <f aca="false">IF(Presupuesto!$B$19='Flujo de Pagos'!$E104,19,9999)</f>
        <v>19</v>
      </c>
      <c r="AN104" s="0" t="n">
        <f aca="false">IF(Presupuesto!$B$20='Flujo de Pagos'!$E104,20,9999)</f>
        <v>20</v>
      </c>
      <c r="AO104" s="0" t="n">
        <f aca="false">IF(Presupuesto!$B$21='Flujo de Pagos'!$E104,21,9999)</f>
        <v>21</v>
      </c>
      <c r="AP104" s="0" t="n">
        <f aca="false">IF(Presupuesto!$B$22='Flujo de Pagos'!$E104,22,9999)</f>
        <v>22</v>
      </c>
      <c r="AQ104" s="0" t="n">
        <f aca="false">IF(Presupuesto!$B$23='Flujo de Pagos'!$E104,23,9999)</f>
        <v>23</v>
      </c>
      <c r="AR104" s="0" t="n">
        <f aca="false">IF(Presupuesto!$B$24='Flujo de Pagos'!$E104,24,9999)</f>
        <v>24</v>
      </c>
      <c r="AS104" s="0" t="n">
        <f aca="false">IF(Presupuesto!$B$25='Flujo de Pagos'!$E104,25,9999)</f>
        <v>25</v>
      </c>
      <c r="AT104" s="0" t="n">
        <f aca="false">IF(Presupuesto!$B$26='Flujo de Pagos'!$E104,26,9999)</f>
        <v>26</v>
      </c>
      <c r="AU104" s="0" t="n">
        <f aca="false">IF(Presupuesto!$B$27='Flujo de Pagos'!$E104,27,9999)</f>
        <v>27</v>
      </c>
      <c r="AV104" s="0" t="n">
        <f aca="false">IF(Presupuesto!$B$28='Flujo de Pagos'!$E104,28,9999)</f>
        <v>28</v>
      </c>
      <c r="AW104" s="0" t="n">
        <f aca="false">IF(Presupuesto!$B$29='Flujo de Pagos'!$E104,29,9999)</f>
        <v>29</v>
      </c>
      <c r="AX104" s="0" t="n">
        <f aca="false">IF(Presupuesto!$B$30='Flujo de Pagos'!$E104,30,9999)</f>
        <v>30</v>
      </c>
      <c r="AY104" s="0" t="n">
        <f aca="false">IF(Presupuesto!$B$31='Flujo de Pagos'!$E104,31,9999)</f>
        <v>31</v>
      </c>
      <c r="AZ104" s="0" t="n">
        <f aca="false">IF(Presupuesto!$B$32='Flujo de Pagos'!$E104,32,9999)</f>
        <v>32</v>
      </c>
      <c r="BA104" s="0" t="n">
        <f aca="false">IF(Presupuesto!$B$33='Flujo de Pagos'!$E104,33,9999)</f>
        <v>33</v>
      </c>
      <c r="BB104" s="0" t="n">
        <f aca="false">IF(Presupuesto!$B$34='Flujo de Pagos'!$E104,34,9999)</f>
        <v>34</v>
      </c>
      <c r="BC104" s="0" t="n">
        <f aca="false">IF(Presupuesto!$B$35='Flujo de Pagos'!$E104,35,9999)</f>
        <v>35</v>
      </c>
      <c r="BD104" s="0" t="n">
        <f aca="false">IF(Presupuesto!$B$36='Flujo de Pagos'!$E104,36,9999)</f>
        <v>36</v>
      </c>
      <c r="BE104" s="0" t="n">
        <f aca="false">IF(Presupuesto!$B$37='Flujo de Pagos'!$E104,37,9999)</f>
        <v>37</v>
      </c>
      <c r="BF104" s="0" t="n">
        <f aca="false">IF(Presupuesto!$B$38='Flujo de Pagos'!$E104,38,9999)</f>
        <v>38</v>
      </c>
      <c r="BG104" s="0" t="n">
        <f aca="false">IF(Presupuesto!$B$39='Flujo de Pagos'!$E104,39,9999)</f>
        <v>39</v>
      </c>
      <c r="BH104" s="0" t="n">
        <f aca="false">IF(Presupuesto!$B$40='Flujo de Pagos'!$E104,40,9999)</f>
        <v>40</v>
      </c>
      <c r="BI104" s="0" t="n">
        <f aca="false">IF(Presupuesto!$B$41='Flujo de Pagos'!$E104,41,9999)</f>
        <v>41</v>
      </c>
      <c r="BJ104" s="0" t="n">
        <f aca="false">IF(Presupuesto!$B$42='Flujo de Pagos'!$E104,42,9999)</f>
        <v>42</v>
      </c>
      <c r="BK104" s="0" t="n">
        <f aca="false">IF(Presupuesto!$B$43='Flujo de Pagos'!$E104,43,9999)</f>
        <v>43</v>
      </c>
      <c r="BL104" s="0" t="n">
        <f aca="false">IF(Presupuesto!$B$44='Flujo de Pagos'!$E104,44,9999)</f>
        <v>44</v>
      </c>
      <c r="BM104" s="0" t="n">
        <f aca="false">IF(Presupuesto!$B$45='Flujo de Pagos'!$E104,45,9999)</f>
        <v>45</v>
      </c>
      <c r="BN104" s="0" t="n">
        <f aca="false">IF(Presupuesto!$B$46='Flujo de Pagos'!$E104,46,9999)</f>
        <v>46</v>
      </c>
      <c r="BO104" s="0" t="n">
        <f aca="false">IF(Presupuesto!$B$47='Flujo de Pagos'!$E104,47,9999)</f>
        <v>47</v>
      </c>
      <c r="BP104" s="0" t="n">
        <f aca="false">IF(Presupuesto!$B$48='Flujo de Pagos'!$E104,48,9999)</f>
        <v>48</v>
      </c>
      <c r="BQ104" s="0" t="n">
        <f aca="false">IF(Presupuesto!$B$49='Flujo de Pagos'!$E104,49,9999)</f>
        <v>49</v>
      </c>
      <c r="BR104" s="0" t="n">
        <f aca="false">IF(Presupuesto!$B$50='Flujo de Pagos'!$E104,50,9999)</f>
        <v>50</v>
      </c>
      <c r="BS104" s="0" t="n">
        <f aca="false">IF(Presupuesto!$B$51='Flujo de Pagos'!$E104,51,9999)</f>
        <v>51</v>
      </c>
      <c r="BT104" s="0" t="n">
        <f aca="false">IF(Presupuesto!$B$52='Flujo de Pagos'!$E104,52,9999)</f>
        <v>52</v>
      </c>
      <c r="BU104" s="0" t="n">
        <f aca="false">IF(Presupuesto!$B$53='Flujo de Pagos'!$E104,53,9999)</f>
        <v>53</v>
      </c>
      <c r="BV104" s="0" t="n">
        <f aca="false">IF(Presupuesto!$B$54='Flujo de Pagos'!$E104,54,9999)</f>
        <v>54</v>
      </c>
      <c r="BW104" s="0" t="n">
        <f aca="false">IF(Presupuesto!$B$55='Flujo de Pagos'!$E104,55,9999)</f>
        <v>55</v>
      </c>
      <c r="BX104" s="0" t="n">
        <f aca="false">IF(Presupuesto!$B$56='Flujo de Pagos'!$E104,56,9999)</f>
        <v>56</v>
      </c>
      <c r="BY104" s="0" t="n">
        <f aca="false">IF(Presupuesto!$B$57='Flujo de Pagos'!$E104,57,9999)</f>
        <v>57</v>
      </c>
      <c r="BZ104" s="0" t="n">
        <f aca="false">IF(Presupuesto!$B$58='Flujo de Pagos'!$E104,58,9999)</f>
        <v>58</v>
      </c>
      <c r="CA104" s="0" t="n">
        <f aca="false">IF(Presupuesto!$B$59='Flujo de Pagos'!$E104,59,9999)</f>
        <v>59</v>
      </c>
      <c r="CB104" s="0" t="n">
        <f aca="false">IF(Presupuesto!$B$60='Flujo de Pagos'!$E104,60,9999)</f>
        <v>60</v>
      </c>
      <c r="CC104" s="0" t="n">
        <f aca="false">IF(Presupuesto!$B$61='Flujo de Pagos'!$E104,61,9999)</f>
        <v>61</v>
      </c>
      <c r="CD104" s="0" t="n">
        <f aca="false">IF(Presupuesto!$B$62='Flujo de Pagos'!$E104,62,9999)</f>
        <v>62</v>
      </c>
      <c r="CE104" s="0" t="n">
        <f aca="false">IF(Presupuesto!$B$63='Flujo de Pagos'!$E104,63,9999)</f>
        <v>63</v>
      </c>
      <c r="CF104" s="0" t="n">
        <f aca="false">IF(Presupuesto!$B$64='Flujo de Pagos'!$E104,64,9999)</f>
        <v>64</v>
      </c>
      <c r="CG104" s="0" t="n">
        <f aca="false">IF(Presupuesto!$B$65='Flujo de Pagos'!$E104,65,9999)</f>
        <v>65</v>
      </c>
      <c r="CH104" s="0" t="n">
        <f aca="false">IF(Presupuesto!$B$66='Flujo de Pagos'!$E104,66,9999)</f>
        <v>66</v>
      </c>
    </row>
    <row r="105" customFormat="false" ht="15" hidden="false" customHeight="true" outlineLevel="0" collapsed="false">
      <c r="B105" s="1" t="n">
        <f aca="false">IF(AND('Flujo de Pagos'!E110=Carátula!$B$2,'Flujo de Pagos'!F110=Carátula!$B$4,'Flujo de Pagos'!H110&lt;&gt;""),110,99999)</f>
        <v>99999</v>
      </c>
      <c r="H105" s="1" t="n">
        <f aca="false">IF(SMALL($AA105:$CH105,1)&gt;=9999,"",INDEX(Presupuesto!$C:$C,SMALL($AA105:$CH105,1)))</f>
        <v>0</v>
      </c>
      <c r="I105" s="1" t="n">
        <f aca="false">IF(SMALL($AA105:$CH105,2)&gt;=9999,"",INDEX(Presupuesto!$C:$C,SMALL($AA105:$CH105,2)))</f>
        <v>0</v>
      </c>
      <c r="J105" s="1" t="n">
        <f aca="false">IF(SMALL($AA105:$CH105,3)&gt;=9999,"",INDEX(Presupuesto!$C:$C,SMALL($AA105:$CH105,3)))</f>
        <v>0</v>
      </c>
      <c r="K105" s="1" t="n">
        <f aca="false">IF(SMALL($AA105:$CH105,4)&gt;=9999,"",INDEX(Presupuesto!$C:$C,SMALL($AA105:$CH105,4)))</f>
        <v>0</v>
      </c>
      <c r="L105" s="1" t="n">
        <f aca="false">IF(SMALL($AA105:$CH105,5)&gt;=9999,"",INDEX(Presupuesto!$C:$C,SMALL($AA105:$CH105,5)))</f>
        <v>0</v>
      </c>
      <c r="M105" s="1" t="n">
        <f aca="false">IF(SMALL($AA105:$CH105,6)&gt;=9999,"",INDEX(Presupuesto!$C:$C,SMALL($AA105:$CH105,6)))</f>
        <v>0</v>
      </c>
      <c r="N105" s="1" t="n">
        <f aca="false">IF(SMALL($AA105:$CH105,7)&gt;=9999,"",INDEX(Presupuesto!$C:$C,SMALL($AA105:$CH105,7)))</f>
        <v>0</v>
      </c>
      <c r="O105" s="1" t="n">
        <f aca="false">IF(SMALL($AA105:$CH105,8)&gt;=9999,"",INDEX(Presupuesto!$C:$C,SMALL($AA105:$CH105,8)))</f>
        <v>0</v>
      </c>
      <c r="P105" s="1" t="n">
        <f aca="false">IF(SMALL($AA105:$CH105,9)&gt;=9999,"",INDEX(Presupuesto!$C:$C,SMALL($AA105:$CH105,9)))</f>
        <v>0</v>
      </c>
      <c r="Q105" s="1" t="n">
        <f aca="false">IF(SMALL($AA105:$CH105,10)&gt;=9999,"",INDEX(Presupuesto!$C:$C,SMALL($AA105:$CH105,10)))</f>
        <v>0</v>
      </c>
      <c r="AA105" s="0" t="n">
        <f aca="false">IF(Presupuesto!$B$7='Flujo de Pagos'!$E105,7,9999)</f>
        <v>9999</v>
      </c>
      <c r="AB105" s="0" t="n">
        <f aca="false">IF(Presupuesto!$B$8='Flujo de Pagos'!$E105,8,9999)</f>
        <v>9999</v>
      </c>
      <c r="AC105" s="0" t="n">
        <f aca="false">IF(Presupuesto!$B$9='Flujo de Pagos'!$E105,9,9999)</f>
        <v>9999</v>
      </c>
      <c r="AD105" s="0" t="n">
        <f aca="false">IF(Presupuesto!$B$10='Flujo de Pagos'!$E105,10,9999)</f>
        <v>9999</v>
      </c>
      <c r="AE105" s="0" t="n">
        <f aca="false">IF(Presupuesto!$B$11='Flujo de Pagos'!$E105,11,9999)</f>
        <v>9999</v>
      </c>
      <c r="AF105" s="0" t="n">
        <f aca="false">IF(Presupuesto!$B$12='Flujo de Pagos'!$E105,12,9999)</f>
        <v>12</v>
      </c>
      <c r="AG105" s="0" t="n">
        <f aca="false">IF(Presupuesto!$B$13='Flujo de Pagos'!$E105,13,9999)</f>
        <v>13</v>
      </c>
      <c r="AH105" s="0" t="n">
        <f aca="false">IF(Presupuesto!$B$14='Flujo de Pagos'!$E105,14,9999)</f>
        <v>14</v>
      </c>
      <c r="AI105" s="0" t="n">
        <f aca="false">IF(Presupuesto!$B$15='Flujo de Pagos'!$E105,15,9999)</f>
        <v>15</v>
      </c>
      <c r="AJ105" s="0" t="n">
        <f aca="false">IF(Presupuesto!$B$16='Flujo de Pagos'!$E105,16,9999)</f>
        <v>16</v>
      </c>
      <c r="AK105" s="0" t="n">
        <f aca="false">IF(Presupuesto!$B$17='Flujo de Pagos'!$E105,17,9999)</f>
        <v>17</v>
      </c>
      <c r="AL105" s="0" t="n">
        <f aca="false">IF(Presupuesto!$B$18='Flujo de Pagos'!$E105,18,9999)</f>
        <v>18</v>
      </c>
      <c r="AM105" s="0" t="n">
        <f aca="false">IF(Presupuesto!$B$19='Flujo de Pagos'!$E105,19,9999)</f>
        <v>19</v>
      </c>
      <c r="AN105" s="0" t="n">
        <f aca="false">IF(Presupuesto!$B$20='Flujo de Pagos'!$E105,20,9999)</f>
        <v>20</v>
      </c>
      <c r="AO105" s="0" t="n">
        <f aca="false">IF(Presupuesto!$B$21='Flujo de Pagos'!$E105,21,9999)</f>
        <v>21</v>
      </c>
      <c r="AP105" s="0" t="n">
        <f aca="false">IF(Presupuesto!$B$22='Flujo de Pagos'!$E105,22,9999)</f>
        <v>22</v>
      </c>
      <c r="AQ105" s="0" t="n">
        <f aca="false">IF(Presupuesto!$B$23='Flujo de Pagos'!$E105,23,9999)</f>
        <v>23</v>
      </c>
      <c r="AR105" s="0" t="n">
        <f aca="false">IF(Presupuesto!$B$24='Flujo de Pagos'!$E105,24,9999)</f>
        <v>24</v>
      </c>
      <c r="AS105" s="0" t="n">
        <f aca="false">IF(Presupuesto!$B$25='Flujo de Pagos'!$E105,25,9999)</f>
        <v>25</v>
      </c>
      <c r="AT105" s="0" t="n">
        <f aca="false">IF(Presupuesto!$B$26='Flujo de Pagos'!$E105,26,9999)</f>
        <v>26</v>
      </c>
      <c r="AU105" s="0" t="n">
        <f aca="false">IF(Presupuesto!$B$27='Flujo de Pagos'!$E105,27,9999)</f>
        <v>27</v>
      </c>
      <c r="AV105" s="0" t="n">
        <f aca="false">IF(Presupuesto!$B$28='Flujo de Pagos'!$E105,28,9999)</f>
        <v>28</v>
      </c>
      <c r="AW105" s="0" t="n">
        <f aca="false">IF(Presupuesto!$B$29='Flujo de Pagos'!$E105,29,9999)</f>
        <v>29</v>
      </c>
      <c r="AX105" s="0" t="n">
        <f aca="false">IF(Presupuesto!$B$30='Flujo de Pagos'!$E105,30,9999)</f>
        <v>30</v>
      </c>
      <c r="AY105" s="0" t="n">
        <f aca="false">IF(Presupuesto!$B$31='Flujo de Pagos'!$E105,31,9999)</f>
        <v>31</v>
      </c>
      <c r="AZ105" s="0" t="n">
        <f aca="false">IF(Presupuesto!$B$32='Flujo de Pagos'!$E105,32,9999)</f>
        <v>32</v>
      </c>
      <c r="BA105" s="0" t="n">
        <f aca="false">IF(Presupuesto!$B$33='Flujo de Pagos'!$E105,33,9999)</f>
        <v>33</v>
      </c>
      <c r="BB105" s="0" t="n">
        <f aca="false">IF(Presupuesto!$B$34='Flujo de Pagos'!$E105,34,9999)</f>
        <v>34</v>
      </c>
      <c r="BC105" s="0" t="n">
        <f aca="false">IF(Presupuesto!$B$35='Flujo de Pagos'!$E105,35,9999)</f>
        <v>35</v>
      </c>
      <c r="BD105" s="0" t="n">
        <f aca="false">IF(Presupuesto!$B$36='Flujo de Pagos'!$E105,36,9999)</f>
        <v>36</v>
      </c>
      <c r="BE105" s="0" t="n">
        <f aca="false">IF(Presupuesto!$B$37='Flujo de Pagos'!$E105,37,9999)</f>
        <v>37</v>
      </c>
      <c r="BF105" s="0" t="n">
        <f aca="false">IF(Presupuesto!$B$38='Flujo de Pagos'!$E105,38,9999)</f>
        <v>38</v>
      </c>
      <c r="BG105" s="0" t="n">
        <f aca="false">IF(Presupuesto!$B$39='Flujo de Pagos'!$E105,39,9999)</f>
        <v>39</v>
      </c>
      <c r="BH105" s="0" t="n">
        <f aca="false">IF(Presupuesto!$B$40='Flujo de Pagos'!$E105,40,9999)</f>
        <v>40</v>
      </c>
      <c r="BI105" s="0" t="n">
        <f aca="false">IF(Presupuesto!$B$41='Flujo de Pagos'!$E105,41,9999)</f>
        <v>41</v>
      </c>
      <c r="BJ105" s="0" t="n">
        <f aca="false">IF(Presupuesto!$B$42='Flujo de Pagos'!$E105,42,9999)</f>
        <v>42</v>
      </c>
      <c r="BK105" s="0" t="n">
        <f aca="false">IF(Presupuesto!$B$43='Flujo de Pagos'!$E105,43,9999)</f>
        <v>43</v>
      </c>
      <c r="BL105" s="0" t="n">
        <f aca="false">IF(Presupuesto!$B$44='Flujo de Pagos'!$E105,44,9999)</f>
        <v>44</v>
      </c>
      <c r="BM105" s="0" t="n">
        <f aca="false">IF(Presupuesto!$B$45='Flujo de Pagos'!$E105,45,9999)</f>
        <v>45</v>
      </c>
      <c r="BN105" s="0" t="n">
        <f aca="false">IF(Presupuesto!$B$46='Flujo de Pagos'!$E105,46,9999)</f>
        <v>46</v>
      </c>
      <c r="BO105" s="0" t="n">
        <f aca="false">IF(Presupuesto!$B$47='Flujo de Pagos'!$E105,47,9999)</f>
        <v>47</v>
      </c>
      <c r="BP105" s="0" t="n">
        <f aca="false">IF(Presupuesto!$B$48='Flujo de Pagos'!$E105,48,9999)</f>
        <v>48</v>
      </c>
      <c r="BQ105" s="0" t="n">
        <f aca="false">IF(Presupuesto!$B$49='Flujo de Pagos'!$E105,49,9999)</f>
        <v>49</v>
      </c>
      <c r="BR105" s="0" t="n">
        <f aca="false">IF(Presupuesto!$B$50='Flujo de Pagos'!$E105,50,9999)</f>
        <v>50</v>
      </c>
      <c r="BS105" s="0" t="n">
        <f aca="false">IF(Presupuesto!$B$51='Flujo de Pagos'!$E105,51,9999)</f>
        <v>51</v>
      </c>
      <c r="BT105" s="0" t="n">
        <f aca="false">IF(Presupuesto!$B$52='Flujo de Pagos'!$E105,52,9999)</f>
        <v>52</v>
      </c>
      <c r="BU105" s="0" t="n">
        <f aca="false">IF(Presupuesto!$B$53='Flujo de Pagos'!$E105,53,9999)</f>
        <v>53</v>
      </c>
      <c r="BV105" s="0" t="n">
        <f aca="false">IF(Presupuesto!$B$54='Flujo de Pagos'!$E105,54,9999)</f>
        <v>54</v>
      </c>
      <c r="BW105" s="0" t="n">
        <f aca="false">IF(Presupuesto!$B$55='Flujo de Pagos'!$E105,55,9999)</f>
        <v>55</v>
      </c>
      <c r="BX105" s="0" t="n">
        <f aca="false">IF(Presupuesto!$B$56='Flujo de Pagos'!$E105,56,9999)</f>
        <v>56</v>
      </c>
      <c r="BY105" s="0" t="n">
        <f aca="false">IF(Presupuesto!$B$57='Flujo de Pagos'!$E105,57,9999)</f>
        <v>57</v>
      </c>
      <c r="BZ105" s="0" t="n">
        <f aca="false">IF(Presupuesto!$B$58='Flujo de Pagos'!$E105,58,9999)</f>
        <v>58</v>
      </c>
      <c r="CA105" s="0" t="n">
        <f aca="false">IF(Presupuesto!$B$59='Flujo de Pagos'!$E105,59,9999)</f>
        <v>59</v>
      </c>
      <c r="CB105" s="0" t="n">
        <f aca="false">IF(Presupuesto!$B$60='Flujo de Pagos'!$E105,60,9999)</f>
        <v>60</v>
      </c>
      <c r="CC105" s="0" t="n">
        <f aca="false">IF(Presupuesto!$B$61='Flujo de Pagos'!$E105,61,9999)</f>
        <v>61</v>
      </c>
      <c r="CD105" s="0" t="n">
        <f aca="false">IF(Presupuesto!$B$62='Flujo de Pagos'!$E105,62,9999)</f>
        <v>62</v>
      </c>
      <c r="CE105" s="0" t="n">
        <f aca="false">IF(Presupuesto!$B$63='Flujo de Pagos'!$E105,63,9999)</f>
        <v>63</v>
      </c>
      <c r="CF105" s="0" t="n">
        <f aca="false">IF(Presupuesto!$B$64='Flujo de Pagos'!$E105,64,9999)</f>
        <v>64</v>
      </c>
      <c r="CG105" s="0" t="n">
        <f aca="false">IF(Presupuesto!$B$65='Flujo de Pagos'!$E105,65,9999)</f>
        <v>65</v>
      </c>
      <c r="CH105" s="0" t="n">
        <f aca="false">IF(Presupuesto!$B$66='Flujo de Pagos'!$E105,66,9999)</f>
        <v>66</v>
      </c>
    </row>
    <row r="106" customFormat="false" ht="15" hidden="false" customHeight="true" outlineLevel="0" collapsed="false">
      <c r="B106" s="1" t="n">
        <f aca="false">IF(AND('Flujo de Pagos'!E111=Carátula!$B$2,'Flujo de Pagos'!F111=Carátula!$B$4,'Flujo de Pagos'!H111&lt;&gt;""),111,99999)</f>
        <v>99999</v>
      </c>
      <c r="H106" s="1" t="n">
        <f aca="false">IF(SMALL($AA106:$CH106,1)&gt;=9999,"",INDEX(Presupuesto!$C:$C,SMALL($AA106:$CH106,1)))</f>
        <v>0</v>
      </c>
      <c r="I106" s="1" t="n">
        <f aca="false">IF(SMALL($AA106:$CH106,2)&gt;=9999,"",INDEX(Presupuesto!$C:$C,SMALL($AA106:$CH106,2)))</f>
        <v>0</v>
      </c>
      <c r="J106" s="1" t="n">
        <f aca="false">IF(SMALL($AA106:$CH106,3)&gt;=9999,"",INDEX(Presupuesto!$C:$C,SMALL($AA106:$CH106,3)))</f>
        <v>0</v>
      </c>
      <c r="K106" s="1" t="n">
        <f aca="false">IF(SMALL($AA106:$CH106,4)&gt;=9999,"",INDEX(Presupuesto!$C:$C,SMALL($AA106:$CH106,4)))</f>
        <v>0</v>
      </c>
      <c r="L106" s="1" t="n">
        <f aca="false">IF(SMALL($AA106:$CH106,5)&gt;=9999,"",INDEX(Presupuesto!$C:$C,SMALL($AA106:$CH106,5)))</f>
        <v>0</v>
      </c>
      <c r="M106" s="1" t="n">
        <f aca="false">IF(SMALL($AA106:$CH106,6)&gt;=9999,"",INDEX(Presupuesto!$C:$C,SMALL($AA106:$CH106,6)))</f>
        <v>0</v>
      </c>
      <c r="N106" s="1" t="n">
        <f aca="false">IF(SMALL($AA106:$CH106,7)&gt;=9999,"",INDEX(Presupuesto!$C:$C,SMALL($AA106:$CH106,7)))</f>
        <v>0</v>
      </c>
      <c r="O106" s="1" t="n">
        <f aca="false">IF(SMALL($AA106:$CH106,8)&gt;=9999,"",INDEX(Presupuesto!$C:$C,SMALL($AA106:$CH106,8)))</f>
        <v>0</v>
      </c>
      <c r="P106" s="1" t="n">
        <f aca="false">IF(SMALL($AA106:$CH106,9)&gt;=9999,"",INDEX(Presupuesto!$C:$C,SMALL($AA106:$CH106,9)))</f>
        <v>0</v>
      </c>
      <c r="Q106" s="1" t="n">
        <f aca="false">IF(SMALL($AA106:$CH106,10)&gt;=9999,"",INDEX(Presupuesto!$C:$C,SMALL($AA106:$CH106,10)))</f>
        <v>0</v>
      </c>
      <c r="AA106" s="0" t="n">
        <f aca="false">IF(Presupuesto!$B$7='Flujo de Pagos'!$E106,7,9999)</f>
        <v>9999</v>
      </c>
      <c r="AB106" s="0" t="n">
        <f aca="false">IF(Presupuesto!$B$8='Flujo de Pagos'!$E106,8,9999)</f>
        <v>9999</v>
      </c>
      <c r="AC106" s="0" t="n">
        <f aca="false">IF(Presupuesto!$B$9='Flujo de Pagos'!$E106,9,9999)</f>
        <v>9999</v>
      </c>
      <c r="AD106" s="0" t="n">
        <f aca="false">IF(Presupuesto!$B$10='Flujo de Pagos'!$E106,10,9999)</f>
        <v>9999</v>
      </c>
      <c r="AE106" s="0" t="n">
        <f aca="false">IF(Presupuesto!$B$11='Flujo de Pagos'!$E106,11,9999)</f>
        <v>9999</v>
      </c>
      <c r="AF106" s="0" t="n">
        <f aca="false">IF(Presupuesto!$B$12='Flujo de Pagos'!$E106,12,9999)</f>
        <v>12</v>
      </c>
      <c r="AG106" s="0" t="n">
        <f aca="false">IF(Presupuesto!$B$13='Flujo de Pagos'!$E106,13,9999)</f>
        <v>13</v>
      </c>
      <c r="AH106" s="0" t="n">
        <f aca="false">IF(Presupuesto!$B$14='Flujo de Pagos'!$E106,14,9999)</f>
        <v>14</v>
      </c>
      <c r="AI106" s="0" t="n">
        <f aca="false">IF(Presupuesto!$B$15='Flujo de Pagos'!$E106,15,9999)</f>
        <v>15</v>
      </c>
      <c r="AJ106" s="0" t="n">
        <f aca="false">IF(Presupuesto!$B$16='Flujo de Pagos'!$E106,16,9999)</f>
        <v>16</v>
      </c>
      <c r="AK106" s="0" t="n">
        <f aca="false">IF(Presupuesto!$B$17='Flujo de Pagos'!$E106,17,9999)</f>
        <v>17</v>
      </c>
      <c r="AL106" s="0" t="n">
        <f aca="false">IF(Presupuesto!$B$18='Flujo de Pagos'!$E106,18,9999)</f>
        <v>18</v>
      </c>
      <c r="AM106" s="0" t="n">
        <f aca="false">IF(Presupuesto!$B$19='Flujo de Pagos'!$E106,19,9999)</f>
        <v>19</v>
      </c>
      <c r="AN106" s="0" t="n">
        <f aca="false">IF(Presupuesto!$B$20='Flujo de Pagos'!$E106,20,9999)</f>
        <v>20</v>
      </c>
      <c r="AO106" s="0" t="n">
        <f aca="false">IF(Presupuesto!$B$21='Flujo de Pagos'!$E106,21,9999)</f>
        <v>21</v>
      </c>
      <c r="AP106" s="0" t="n">
        <f aca="false">IF(Presupuesto!$B$22='Flujo de Pagos'!$E106,22,9999)</f>
        <v>22</v>
      </c>
      <c r="AQ106" s="0" t="n">
        <f aca="false">IF(Presupuesto!$B$23='Flujo de Pagos'!$E106,23,9999)</f>
        <v>23</v>
      </c>
      <c r="AR106" s="0" t="n">
        <f aca="false">IF(Presupuesto!$B$24='Flujo de Pagos'!$E106,24,9999)</f>
        <v>24</v>
      </c>
      <c r="AS106" s="0" t="n">
        <f aca="false">IF(Presupuesto!$B$25='Flujo de Pagos'!$E106,25,9999)</f>
        <v>25</v>
      </c>
      <c r="AT106" s="0" t="n">
        <f aca="false">IF(Presupuesto!$B$26='Flujo de Pagos'!$E106,26,9999)</f>
        <v>26</v>
      </c>
      <c r="AU106" s="0" t="n">
        <f aca="false">IF(Presupuesto!$B$27='Flujo de Pagos'!$E106,27,9999)</f>
        <v>27</v>
      </c>
      <c r="AV106" s="0" t="n">
        <f aca="false">IF(Presupuesto!$B$28='Flujo de Pagos'!$E106,28,9999)</f>
        <v>28</v>
      </c>
      <c r="AW106" s="0" t="n">
        <f aca="false">IF(Presupuesto!$B$29='Flujo de Pagos'!$E106,29,9999)</f>
        <v>29</v>
      </c>
      <c r="AX106" s="0" t="n">
        <f aca="false">IF(Presupuesto!$B$30='Flujo de Pagos'!$E106,30,9999)</f>
        <v>30</v>
      </c>
      <c r="AY106" s="0" t="n">
        <f aca="false">IF(Presupuesto!$B$31='Flujo de Pagos'!$E106,31,9999)</f>
        <v>31</v>
      </c>
      <c r="AZ106" s="0" t="n">
        <f aca="false">IF(Presupuesto!$B$32='Flujo de Pagos'!$E106,32,9999)</f>
        <v>32</v>
      </c>
      <c r="BA106" s="0" t="n">
        <f aca="false">IF(Presupuesto!$B$33='Flujo de Pagos'!$E106,33,9999)</f>
        <v>33</v>
      </c>
      <c r="BB106" s="0" t="n">
        <f aca="false">IF(Presupuesto!$B$34='Flujo de Pagos'!$E106,34,9999)</f>
        <v>34</v>
      </c>
      <c r="BC106" s="0" t="n">
        <f aca="false">IF(Presupuesto!$B$35='Flujo de Pagos'!$E106,35,9999)</f>
        <v>35</v>
      </c>
      <c r="BD106" s="0" t="n">
        <f aca="false">IF(Presupuesto!$B$36='Flujo de Pagos'!$E106,36,9999)</f>
        <v>36</v>
      </c>
      <c r="BE106" s="0" t="n">
        <f aca="false">IF(Presupuesto!$B$37='Flujo de Pagos'!$E106,37,9999)</f>
        <v>37</v>
      </c>
      <c r="BF106" s="0" t="n">
        <f aca="false">IF(Presupuesto!$B$38='Flujo de Pagos'!$E106,38,9999)</f>
        <v>38</v>
      </c>
      <c r="BG106" s="0" t="n">
        <f aca="false">IF(Presupuesto!$B$39='Flujo de Pagos'!$E106,39,9999)</f>
        <v>39</v>
      </c>
      <c r="BH106" s="0" t="n">
        <f aca="false">IF(Presupuesto!$B$40='Flujo de Pagos'!$E106,40,9999)</f>
        <v>40</v>
      </c>
      <c r="BI106" s="0" t="n">
        <f aca="false">IF(Presupuesto!$B$41='Flujo de Pagos'!$E106,41,9999)</f>
        <v>41</v>
      </c>
      <c r="BJ106" s="0" t="n">
        <f aca="false">IF(Presupuesto!$B$42='Flujo de Pagos'!$E106,42,9999)</f>
        <v>42</v>
      </c>
      <c r="BK106" s="0" t="n">
        <f aca="false">IF(Presupuesto!$B$43='Flujo de Pagos'!$E106,43,9999)</f>
        <v>43</v>
      </c>
      <c r="BL106" s="0" t="n">
        <f aca="false">IF(Presupuesto!$B$44='Flujo de Pagos'!$E106,44,9999)</f>
        <v>44</v>
      </c>
      <c r="BM106" s="0" t="n">
        <f aca="false">IF(Presupuesto!$B$45='Flujo de Pagos'!$E106,45,9999)</f>
        <v>45</v>
      </c>
      <c r="BN106" s="0" t="n">
        <f aca="false">IF(Presupuesto!$B$46='Flujo de Pagos'!$E106,46,9999)</f>
        <v>46</v>
      </c>
      <c r="BO106" s="0" t="n">
        <f aca="false">IF(Presupuesto!$B$47='Flujo de Pagos'!$E106,47,9999)</f>
        <v>47</v>
      </c>
      <c r="BP106" s="0" t="n">
        <f aca="false">IF(Presupuesto!$B$48='Flujo de Pagos'!$E106,48,9999)</f>
        <v>48</v>
      </c>
      <c r="BQ106" s="0" t="n">
        <f aca="false">IF(Presupuesto!$B$49='Flujo de Pagos'!$E106,49,9999)</f>
        <v>49</v>
      </c>
      <c r="BR106" s="0" t="n">
        <f aca="false">IF(Presupuesto!$B$50='Flujo de Pagos'!$E106,50,9999)</f>
        <v>50</v>
      </c>
      <c r="BS106" s="0" t="n">
        <f aca="false">IF(Presupuesto!$B$51='Flujo de Pagos'!$E106,51,9999)</f>
        <v>51</v>
      </c>
      <c r="BT106" s="0" t="n">
        <f aca="false">IF(Presupuesto!$B$52='Flujo de Pagos'!$E106,52,9999)</f>
        <v>52</v>
      </c>
      <c r="BU106" s="0" t="n">
        <f aca="false">IF(Presupuesto!$B$53='Flujo de Pagos'!$E106,53,9999)</f>
        <v>53</v>
      </c>
      <c r="BV106" s="0" t="n">
        <f aca="false">IF(Presupuesto!$B$54='Flujo de Pagos'!$E106,54,9999)</f>
        <v>54</v>
      </c>
      <c r="BW106" s="0" t="n">
        <f aca="false">IF(Presupuesto!$B$55='Flujo de Pagos'!$E106,55,9999)</f>
        <v>55</v>
      </c>
      <c r="BX106" s="0" t="n">
        <f aca="false">IF(Presupuesto!$B$56='Flujo de Pagos'!$E106,56,9999)</f>
        <v>56</v>
      </c>
      <c r="BY106" s="0" t="n">
        <f aca="false">IF(Presupuesto!$B$57='Flujo de Pagos'!$E106,57,9999)</f>
        <v>57</v>
      </c>
      <c r="BZ106" s="0" t="n">
        <f aca="false">IF(Presupuesto!$B$58='Flujo de Pagos'!$E106,58,9999)</f>
        <v>58</v>
      </c>
      <c r="CA106" s="0" t="n">
        <f aca="false">IF(Presupuesto!$B$59='Flujo de Pagos'!$E106,59,9999)</f>
        <v>59</v>
      </c>
      <c r="CB106" s="0" t="n">
        <f aca="false">IF(Presupuesto!$B$60='Flujo de Pagos'!$E106,60,9999)</f>
        <v>60</v>
      </c>
      <c r="CC106" s="0" t="n">
        <f aca="false">IF(Presupuesto!$B$61='Flujo de Pagos'!$E106,61,9999)</f>
        <v>61</v>
      </c>
      <c r="CD106" s="0" t="n">
        <f aca="false">IF(Presupuesto!$B$62='Flujo de Pagos'!$E106,62,9999)</f>
        <v>62</v>
      </c>
      <c r="CE106" s="0" t="n">
        <f aca="false">IF(Presupuesto!$B$63='Flujo de Pagos'!$E106,63,9999)</f>
        <v>63</v>
      </c>
      <c r="CF106" s="0" t="n">
        <f aca="false">IF(Presupuesto!$B$64='Flujo de Pagos'!$E106,64,9999)</f>
        <v>64</v>
      </c>
      <c r="CG106" s="0" t="n">
        <f aca="false">IF(Presupuesto!$B$65='Flujo de Pagos'!$E106,65,9999)</f>
        <v>65</v>
      </c>
      <c r="CH106" s="0" t="n">
        <f aca="false">IF(Presupuesto!$B$66='Flujo de Pagos'!$E106,66,9999)</f>
        <v>66</v>
      </c>
    </row>
    <row r="107" customFormat="false" ht="15" hidden="false" customHeight="true" outlineLevel="0" collapsed="false">
      <c r="B107" s="1" t="n">
        <f aca="false">IF(AND('Flujo de Pagos'!E112=Carátula!$B$2,'Flujo de Pagos'!F112=Carátula!$B$4,'Flujo de Pagos'!H112&lt;&gt;""),112,99999)</f>
        <v>99999</v>
      </c>
      <c r="H107" s="1" t="n">
        <f aca="false">IF(SMALL($AA107:$CH107,1)&gt;=9999,"",INDEX(Presupuesto!$C:$C,SMALL($AA107:$CH107,1)))</f>
        <v>0</v>
      </c>
      <c r="I107" s="1" t="n">
        <f aca="false">IF(SMALL($AA107:$CH107,2)&gt;=9999,"",INDEX(Presupuesto!$C:$C,SMALL($AA107:$CH107,2)))</f>
        <v>0</v>
      </c>
      <c r="J107" s="1" t="n">
        <f aca="false">IF(SMALL($AA107:$CH107,3)&gt;=9999,"",INDEX(Presupuesto!$C:$C,SMALL($AA107:$CH107,3)))</f>
        <v>0</v>
      </c>
      <c r="K107" s="1" t="n">
        <f aca="false">IF(SMALL($AA107:$CH107,4)&gt;=9999,"",INDEX(Presupuesto!$C:$C,SMALL($AA107:$CH107,4)))</f>
        <v>0</v>
      </c>
      <c r="L107" s="1" t="n">
        <f aca="false">IF(SMALL($AA107:$CH107,5)&gt;=9999,"",INDEX(Presupuesto!$C:$C,SMALL($AA107:$CH107,5)))</f>
        <v>0</v>
      </c>
      <c r="M107" s="1" t="n">
        <f aca="false">IF(SMALL($AA107:$CH107,6)&gt;=9999,"",INDEX(Presupuesto!$C:$C,SMALL($AA107:$CH107,6)))</f>
        <v>0</v>
      </c>
      <c r="N107" s="1" t="n">
        <f aca="false">IF(SMALL($AA107:$CH107,7)&gt;=9999,"",INDEX(Presupuesto!$C:$C,SMALL($AA107:$CH107,7)))</f>
        <v>0</v>
      </c>
      <c r="O107" s="1" t="n">
        <f aca="false">IF(SMALL($AA107:$CH107,8)&gt;=9999,"",INDEX(Presupuesto!$C:$C,SMALL($AA107:$CH107,8)))</f>
        <v>0</v>
      </c>
      <c r="P107" s="1" t="n">
        <f aca="false">IF(SMALL($AA107:$CH107,9)&gt;=9999,"",INDEX(Presupuesto!$C:$C,SMALL($AA107:$CH107,9)))</f>
        <v>0</v>
      </c>
      <c r="Q107" s="1" t="n">
        <f aca="false">IF(SMALL($AA107:$CH107,10)&gt;=9999,"",INDEX(Presupuesto!$C:$C,SMALL($AA107:$CH107,10)))</f>
        <v>0</v>
      </c>
      <c r="AA107" s="0" t="n">
        <f aca="false">IF(Presupuesto!$B$7='Flujo de Pagos'!$E107,7,9999)</f>
        <v>9999</v>
      </c>
      <c r="AB107" s="0" t="n">
        <f aca="false">IF(Presupuesto!$B$8='Flujo de Pagos'!$E107,8,9999)</f>
        <v>9999</v>
      </c>
      <c r="AC107" s="0" t="n">
        <f aca="false">IF(Presupuesto!$B$9='Flujo de Pagos'!$E107,9,9999)</f>
        <v>9999</v>
      </c>
      <c r="AD107" s="0" t="n">
        <f aca="false">IF(Presupuesto!$B$10='Flujo de Pagos'!$E107,10,9999)</f>
        <v>9999</v>
      </c>
      <c r="AE107" s="0" t="n">
        <f aca="false">IF(Presupuesto!$B$11='Flujo de Pagos'!$E107,11,9999)</f>
        <v>9999</v>
      </c>
      <c r="AF107" s="0" t="n">
        <f aca="false">IF(Presupuesto!$B$12='Flujo de Pagos'!$E107,12,9999)</f>
        <v>12</v>
      </c>
      <c r="AG107" s="0" t="n">
        <f aca="false">IF(Presupuesto!$B$13='Flujo de Pagos'!$E107,13,9999)</f>
        <v>13</v>
      </c>
      <c r="AH107" s="0" t="n">
        <f aca="false">IF(Presupuesto!$B$14='Flujo de Pagos'!$E107,14,9999)</f>
        <v>14</v>
      </c>
      <c r="AI107" s="0" t="n">
        <f aca="false">IF(Presupuesto!$B$15='Flujo de Pagos'!$E107,15,9999)</f>
        <v>15</v>
      </c>
      <c r="AJ107" s="0" t="n">
        <f aca="false">IF(Presupuesto!$B$16='Flujo de Pagos'!$E107,16,9999)</f>
        <v>16</v>
      </c>
      <c r="AK107" s="0" t="n">
        <f aca="false">IF(Presupuesto!$B$17='Flujo de Pagos'!$E107,17,9999)</f>
        <v>17</v>
      </c>
      <c r="AL107" s="0" t="n">
        <f aca="false">IF(Presupuesto!$B$18='Flujo de Pagos'!$E107,18,9999)</f>
        <v>18</v>
      </c>
      <c r="AM107" s="0" t="n">
        <f aca="false">IF(Presupuesto!$B$19='Flujo de Pagos'!$E107,19,9999)</f>
        <v>19</v>
      </c>
      <c r="AN107" s="0" t="n">
        <f aca="false">IF(Presupuesto!$B$20='Flujo de Pagos'!$E107,20,9999)</f>
        <v>20</v>
      </c>
      <c r="AO107" s="0" t="n">
        <f aca="false">IF(Presupuesto!$B$21='Flujo de Pagos'!$E107,21,9999)</f>
        <v>21</v>
      </c>
      <c r="AP107" s="0" t="n">
        <f aca="false">IF(Presupuesto!$B$22='Flujo de Pagos'!$E107,22,9999)</f>
        <v>22</v>
      </c>
      <c r="AQ107" s="0" t="n">
        <f aca="false">IF(Presupuesto!$B$23='Flujo de Pagos'!$E107,23,9999)</f>
        <v>23</v>
      </c>
      <c r="AR107" s="0" t="n">
        <f aca="false">IF(Presupuesto!$B$24='Flujo de Pagos'!$E107,24,9999)</f>
        <v>24</v>
      </c>
      <c r="AS107" s="0" t="n">
        <f aca="false">IF(Presupuesto!$B$25='Flujo de Pagos'!$E107,25,9999)</f>
        <v>25</v>
      </c>
      <c r="AT107" s="0" t="n">
        <f aca="false">IF(Presupuesto!$B$26='Flujo de Pagos'!$E107,26,9999)</f>
        <v>26</v>
      </c>
      <c r="AU107" s="0" t="n">
        <f aca="false">IF(Presupuesto!$B$27='Flujo de Pagos'!$E107,27,9999)</f>
        <v>27</v>
      </c>
      <c r="AV107" s="0" t="n">
        <f aca="false">IF(Presupuesto!$B$28='Flujo de Pagos'!$E107,28,9999)</f>
        <v>28</v>
      </c>
      <c r="AW107" s="0" t="n">
        <f aca="false">IF(Presupuesto!$B$29='Flujo de Pagos'!$E107,29,9999)</f>
        <v>29</v>
      </c>
      <c r="AX107" s="0" t="n">
        <f aca="false">IF(Presupuesto!$B$30='Flujo de Pagos'!$E107,30,9999)</f>
        <v>30</v>
      </c>
      <c r="AY107" s="0" t="n">
        <f aca="false">IF(Presupuesto!$B$31='Flujo de Pagos'!$E107,31,9999)</f>
        <v>31</v>
      </c>
      <c r="AZ107" s="0" t="n">
        <f aca="false">IF(Presupuesto!$B$32='Flujo de Pagos'!$E107,32,9999)</f>
        <v>32</v>
      </c>
      <c r="BA107" s="0" t="n">
        <f aca="false">IF(Presupuesto!$B$33='Flujo de Pagos'!$E107,33,9999)</f>
        <v>33</v>
      </c>
      <c r="BB107" s="0" t="n">
        <f aca="false">IF(Presupuesto!$B$34='Flujo de Pagos'!$E107,34,9999)</f>
        <v>34</v>
      </c>
      <c r="BC107" s="0" t="n">
        <f aca="false">IF(Presupuesto!$B$35='Flujo de Pagos'!$E107,35,9999)</f>
        <v>35</v>
      </c>
      <c r="BD107" s="0" t="n">
        <f aca="false">IF(Presupuesto!$B$36='Flujo de Pagos'!$E107,36,9999)</f>
        <v>36</v>
      </c>
      <c r="BE107" s="0" t="n">
        <f aca="false">IF(Presupuesto!$B$37='Flujo de Pagos'!$E107,37,9999)</f>
        <v>37</v>
      </c>
      <c r="BF107" s="0" t="n">
        <f aca="false">IF(Presupuesto!$B$38='Flujo de Pagos'!$E107,38,9999)</f>
        <v>38</v>
      </c>
      <c r="BG107" s="0" t="n">
        <f aca="false">IF(Presupuesto!$B$39='Flujo de Pagos'!$E107,39,9999)</f>
        <v>39</v>
      </c>
      <c r="BH107" s="0" t="n">
        <f aca="false">IF(Presupuesto!$B$40='Flujo de Pagos'!$E107,40,9999)</f>
        <v>40</v>
      </c>
      <c r="BI107" s="0" t="n">
        <f aca="false">IF(Presupuesto!$B$41='Flujo de Pagos'!$E107,41,9999)</f>
        <v>41</v>
      </c>
      <c r="BJ107" s="0" t="n">
        <f aca="false">IF(Presupuesto!$B$42='Flujo de Pagos'!$E107,42,9999)</f>
        <v>42</v>
      </c>
      <c r="BK107" s="0" t="n">
        <f aca="false">IF(Presupuesto!$B$43='Flujo de Pagos'!$E107,43,9999)</f>
        <v>43</v>
      </c>
      <c r="BL107" s="0" t="n">
        <f aca="false">IF(Presupuesto!$B$44='Flujo de Pagos'!$E107,44,9999)</f>
        <v>44</v>
      </c>
      <c r="BM107" s="0" t="n">
        <f aca="false">IF(Presupuesto!$B$45='Flujo de Pagos'!$E107,45,9999)</f>
        <v>45</v>
      </c>
      <c r="BN107" s="0" t="n">
        <f aca="false">IF(Presupuesto!$B$46='Flujo de Pagos'!$E107,46,9999)</f>
        <v>46</v>
      </c>
      <c r="BO107" s="0" t="n">
        <f aca="false">IF(Presupuesto!$B$47='Flujo de Pagos'!$E107,47,9999)</f>
        <v>47</v>
      </c>
      <c r="BP107" s="0" t="n">
        <f aca="false">IF(Presupuesto!$B$48='Flujo de Pagos'!$E107,48,9999)</f>
        <v>48</v>
      </c>
      <c r="BQ107" s="0" t="n">
        <f aca="false">IF(Presupuesto!$B$49='Flujo de Pagos'!$E107,49,9999)</f>
        <v>49</v>
      </c>
      <c r="BR107" s="0" t="n">
        <f aca="false">IF(Presupuesto!$B$50='Flujo de Pagos'!$E107,50,9999)</f>
        <v>50</v>
      </c>
      <c r="BS107" s="0" t="n">
        <f aca="false">IF(Presupuesto!$B$51='Flujo de Pagos'!$E107,51,9999)</f>
        <v>51</v>
      </c>
      <c r="BT107" s="0" t="n">
        <f aca="false">IF(Presupuesto!$B$52='Flujo de Pagos'!$E107,52,9999)</f>
        <v>52</v>
      </c>
      <c r="BU107" s="0" t="n">
        <f aca="false">IF(Presupuesto!$B$53='Flujo de Pagos'!$E107,53,9999)</f>
        <v>53</v>
      </c>
      <c r="BV107" s="0" t="n">
        <f aca="false">IF(Presupuesto!$B$54='Flujo de Pagos'!$E107,54,9999)</f>
        <v>54</v>
      </c>
      <c r="BW107" s="0" t="n">
        <f aca="false">IF(Presupuesto!$B$55='Flujo de Pagos'!$E107,55,9999)</f>
        <v>55</v>
      </c>
      <c r="BX107" s="0" t="n">
        <f aca="false">IF(Presupuesto!$B$56='Flujo de Pagos'!$E107,56,9999)</f>
        <v>56</v>
      </c>
      <c r="BY107" s="0" t="n">
        <f aca="false">IF(Presupuesto!$B$57='Flujo de Pagos'!$E107,57,9999)</f>
        <v>57</v>
      </c>
      <c r="BZ107" s="0" t="n">
        <f aca="false">IF(Presupuesto!$B$58='Flujo de Pagos'!$E107,58,9999)</f>
        <v>58</v>
      </c>
      <c r="CA107" s="0" t="n">
        <f aca="false">IF(Presupuesto!$B$59='Flujo de Pagos'!$E107,59,9999)</f>
        <v>59</v>
      </c>
      <c r="CB107" s="0" t="n">
        <f aca="false">IF(Presupuesto!$B$60='Flujo de Pagos'!$E107,60,9999)</f>
        <v>60</v>
      </c>
      <c r="CC107" s="0" t="n">
        <f aca="false">IF(Presupuesto!$B$61='Flujo de Pagos'!$E107,61,9999)</f>
        <v>61</v>
      </c>
      <c r="CD107" s="0" t="n">
        <f aca="false">IF(Presupuesto!$B$62='Flujo de Pagos'!$E107,62,9999)</f>
        <v>62</v>
      </c>
      <c r="CE107" s="0" t="n">
        <f aca="false">IF(Presupuesto!$B$63='Flujo de Pagos'!$E107,63,9999)</f>
        <v>63</v>
      </c>
      <c r="CF107" s="0" t="n">
        <f aca="false">IF(Presupuesto!$B$64='Flujo de Pagos'!$E107,64,9999)</f>
        <v>64</v>
      </c>
      <c r="CG107" s="0" t="n">
        <f aca="false">IF(Presupuesto!$B$65='Flujo de Pagos'!$E107,65,9999)</f>
        <v>65</v>
      </c>
      <c r="CH107" s="0" t="n">
        <f aca="false">IF(Presupuesto!$B$66='Flujo de Pagos'!$E107,66,9999)</f>
        <v>66</v>
      </c>
    </row>
    <row r="108" customFormat="false" ht="15" hidden="false" customHeight="true" outlineLevel="0" collapsed="false">
      <c r="B108" s="1" t="n">
        <f aca="false">IF(AND('Flujo de Pagos'!E113=Carátula!$B$2,'Flujo de Pagos'!F113=Carátula!$B$4,'Flujo de Pagos'!H113&lt;&gt;""),113,99999)</f>
        <v>99999</v>
      </c>
      <c r="H108" s="1" t="n">
        <f aca="false">IF(SMALL($AA108:$CH108,1)&gt;=9999,"",INDEX(Presupuesto!$C:$C,SMALL($AA108:$CH108,1)))</f>
        <v>0</v>
      </c>
      <c r="I108" s="1" t="n">
        <f aca="false">IF(SMALL($AA108:$CH108,2)&gt;=9999,"",INDEX(Presupuesto!$C:$C,SMALL($AA108:$CH108,2)))</f>
        <v>0</v>
      </c>
      <c r="J108" s="1" t="n">
        <f aca="false">IF(SMALL($AA108:$CH108,3)&gt;=9999,"",INDEX(Presupuesto!$C:$C,SMALL($AA108:$CH108,3)))</f>
        <v>0</v>
      </c>
      <c r="K108" s="1" t="n">
        <f aca="false">IF(SMALL($AA108:$CH108,4)&gt;=9999,"",INDEX(Presupuesto!$C:$C,SMALL($AA108:$CH108,4)))</f>
        <v>0</v>
      </c>
      <c r="L108" s="1" t="n">
        <f aca="false">IF(SMALL($AA108:$CH108,5)&gt;=9999,"",INDEX(Presupuesto!$C:$C,SMALL($AA108:$CH108,5)))</f>
        <v>0</v>
      </c>
      <c r="M108" s="1" t="n">
        <f aca="false">IF(SMALL($AA108:$CH108,6)&gt;=9999,"",INDEX(Presupuesto!$C:$C,SMALL($AA108:$CH108,6)))</f>
        <v>0</v>
      </c>
      <c r="N108" s="1" t="n">
        <f aca="false">IF(SMALL($AA108:$CH108,7)&gt;=9999,"",INDEX(Presupuesto!$C:$C,SMALL($AA108:$CH108,7)))</f>
        <v>0</v>
      </c>
      <c r="O108" s="1" t="n">
        <f aca="false">IF(SMALL($AA108:$CH108,8)&gt;=9999,"",INDEX(Presupuesto!$C:$C,SMALL($AA108:$CH108,8)))</f>
        <v>0</v>
      </c>
      <c r="P108" s="1" t="n">
        <f aca="false">IF(SMALL($AA108:$CH108,9)&gt;=9999,"",INDEX(Presupuesto!$C:$C,SMALL($AA108:$CH108,9)))</f>
        <v>0</v>
      </c>
      <c r="Q108" s="1" t="n">
        <f aca="false">IF(SMALL($AA108:$CH108,10)&gt;=9999,"",INDEX(Presupuesto!$C:$C,SMALL($AA108:$CH108,10)))</f>
        <v>0</v>
      </c>
      <c r="AA108" s="0" t="n">
        <f aca="false">IF(Presupuesto!$B$7='Flujo de Pagos'!$E108,7,9999)</f>
        <v>9999</v>
      </c>
      <c r="AB108" s="0" t="n">
        <f aca="false">IF(Presupuesto!$B$8='Flujo de Pagos'!$E108,8,9999)</f>
        <v>9999</v>
      </c>
      <c r="AC108" s="0" t="n">
        <f aca="false">IF(Presupuesto!$B$9='Flujo de Pagos'!$E108,9,9999)</f>
        <v>9999</v>
      </c>
      <c r="AD108" s="0" t="n">
        <f aca="false">IF(Presupuesto!$B$10='Flujo de Pagos'!$E108,10,9999)</f>
        <v>9999</v>
      </c>
      <c r="AE108" s="0" t="n">
        <f aca="false">IF(Presupuesto!$B$11='Flujo de Pagos'!$E108,11,9999)</f>
        <v>9999</v>
      </c>
      <c r="AF108" s="0" t="n">
        <f aca="false">IF(Presupuesto!$B$12='Flujo de Pagos'!$E108,12,9999)</f>
        <v>12</v>
      </c>
      <c r="AG108" s="0" t="n">
        <f aca="false">IF(Presupuesto!$B$13='Flujo de Pagos'!$E108,13,9999)</f>
        <v>13</v>
      </c>
      <c r="AH108" s="0" t="n">
        <f aca="false">IF(Presupuesto!$B$14='Flujo de Pagos'!$E108,14,9999)</f>
        <v>14</v>
      </c>
      <c r="AI108" s="0" t="n">
        <f aca="false">IF(Presupuesto!$B$15='Flujo de Pagos'!$E108,15,9999)</f>
        <v>15</v>
      </c>
      <c r="AJ108" s="0" t="n">
        <f aca="false">IF(Presupuesto!$B$16='Flujo de Pagos'!$E108,16,9999)</f>
        <v>16</v>
      </c>
      <c r="AK108" s="0" t="n">
        <f aca="false">IF(Presupuesto!$B$17='Flujo de Pagos'!$E108,17,9999)</f>
        <v>17</v>
      </c>
      <c r="AL108" s="0" t="n">
        <f aca="false">IF(Presupuesto!$B$18='Flujo de Pagos'!$E108,18,9999)</f>
        <v>18</v>
      </c>
      <c r="AM108" s="0" t="n">
        <f aca="false">IF(Presupuesto!$B$19='Flujo de Pagos'!$E108,19,9999)</f>
        <v>19</v>
      </c>
      <c r="AN108" s="0" t="n">
        <f aca="false">IF(Presupuesto!$B$20='Flujo de Pagos'!$E108,20,9999)</f>
        <v>20</v>
      </c>
      <c r="AO108" s="0" t="n">
        <f aca="false">IF(Presupuesto!$B$21='Flujo de Pagos'!$E108,21,9999)</f>
        <v>21</v>
      </c>
      <c r="AP108" s="0" t="n">
        <f aca="false">IF(Presupuesto!$B$22='Flujo de Pagos'!$E108,22,9999)</f>
        <v>22</v>
      </c>
      <c r="AQ108" s="0" t="n">
        <f aca="false">IF(Presupuesto!$B$23='Flujo de Pagos'!$E108,23,9999)</f>
        <v>23</v>
      </c>
      <c r="AR108" s="0" t="n">
        <f aca="false">IF(Presupuesto!$B$24='Flujo de Pagos'!$E108,24,9999)</f>
        <v>24</v>
      </c>
      <c r="AS108" s="0" t="n">
        <f aca="false">IF(Presupuesto!$B$25='Flujo de Pagos'!$E108,25,9999)</f>
        <v>25</v>
      </c>
      <c r="AT108" s="0" t="n">
        <f aca="false">IF(Presupuesto!$B$26='Flujo de Pagos'!$E108,26,9999)</f>
        <v>26</v>
      </c>
      <c r="AU108" s="0" t="n">
        <f aca="false">IF(Presupuesto!$B$27='Flujo de Pagos'!$E108,27,9999)</f>
        <v>27</v>
      </c>
      <c r="AV108" s="0" t="n">
        <f aca="false">IF(Presupuesto!$B$28='Flujo de Pagos'!$E108,28,9999)</f>
        <v>28</v>
      </c>
      <c r="AW108" s="0" t="n">
        <f aca="false">IF(Presupuesto!$B$29='Flujo de Pagos'!$E108,29,9999)</f>
        <v>29</v>
      </c>
      <c r="AX108" s="0" t="n">
        <f aca="false">IF(Presupuesto!$B$30='Flujo de Pagos'!$E108,30,9999)</f>
        <v>30</v>
      </c>
      <c r="AY108" s="0" t="n">
        <f aca="false">IF(Presupuesto!$B$31='Flujo de Pagos'!$E108,31,9999)</f>
        <v>31</v>
      </c>
      <c r="AZ108" s="0" t="n">
        <f aca="false">IF(Presupuesto!$B$32='Flujo de Pagos'!$E108,32,9999)</f>
        <v>32</v>
      </c>
      <c r="BA108" s="0" t="n">
        <f aca="false">IF(Presupuesto!$B$33='Flujo de Pagos'!$E108,33,9999)</f>
        <v>33</v>
      </c>
      <c r="BB108" s="0" t="n">
        <f aca="false">IF(Presupuesto!$B$34='Flujo de Pagos'!$E108,34,9999)</f>
        <v>34</v>
      </c>
      <c r="BC108" s="0" t="n">
        <f aca="false">IF(Presupuesto!$B$35='Flujo de Pagos'!$E108,35,9999)</f>
        <v>35</v>
      </c>
      <c r="BD108" s="0" t="n">
        <f aca="false">IF(Presupuesto!$B$36='Flujo de Pagos'!$E108,36,9999)</f>
        <v>36</v>
      </c>
      <c r="BE108" s="0" t="n">
        <f aca="false">IF(Presupuesto!$B$37='Flujo de Pagos'!$E108,37,9999)</f>
        <v>37</v>
      </c>
      <c r="BF108" s="0" t="n">
        <f aca="false">IF(Presupuesto!$B$38='Flujo de Pagos'!$E108,38,9999)</f>
        <v>38</v>
      </c>
      <c r="BG108" s="0" t="n">
        <f aca="false">IF(Presupuesto!$B$39='Flujo de Pagos'!$E108,39,9999)</f>
        <v>39</v>
      </c>
      <c r="BH108" s="0" t="n">
        <f aca="false">IF(Presupuesto!$B$40='Flujo de Pagos'!$E108,40,9999)</f>
        <v>40</v>
      </c>
      <c r="BI108" s="0" t="n">
        <f aca="false">IF(Presupuesto!$B$41='Flujo de Pagos'!$E108,41,9999)</f>
        <v>41</v>
      </c>
      <c r="BJ108" s="0" t="n">
        <f aca="false">IF(Presupuesto!$B$42='Flujo de Pagos'!$E108,42,9999)</f>
        <v>42</v>
      </c>
      <c r="BK108" s="0" t="n">
        <f aca="false">IF(Presupuesto!$B$43='Flujo de Pagos'!$E108,43,9999)</f>
        <v>43</v>
      </c>
      <c r="BL108" s="0" t="n">
        <f aca="false">IF(Presupuesto!$B$44='Flujo de Pagos'!$E108,44,9999)</f>
        <v>44</v>
      </c>
      <c r="BM108" s="0" t="n">
        <f aca="false">IF(Presupuesto!$B$45='Flujo de Pagos'!$E108,45,9999)</f>
        <v>45</v>
      </c>
      <c r="BN108" s="0" t="n">
        <f aca="false">IF(Presupuesto!$B$46='Flujo de Pagos'!$E108,46,9999)</f>
        <v>46</v>
      </c>
      <c r="BO108" s="0" t="n">
        <f aca="false">IF(Presupuesto!$B$47='Flujo de Pagos'!$E108,47,9999)</f>
        <v>47</v>
      </c>
      <c r="BP108" s="0" t="n">
        <f aca="false">IF(Presupuesto!$B$48='Flujo de Pagos'!$E108,48,9999)</f>
        <v>48</v>
      </c>
      <c r="BQ108" s="0" t="n">
        <f aca="false">IF(Presupuesto!$B$49='Flujo de Pagos'!$E108,49,9999)</f>
        <v>49</v>
      </c>
      <c r="BR108" s="0" t="n">
        <f aca="false">IF(Presupuesto!$B$50='Flujo de Pagos'!$E108,50,9999)</f>
        <v>50</v>
      </c>
      <c r="BS108" s="0" t="n">
        <f aca="false">IF(Presupuesto!$B$51='Flujo de Pagos'!$E108,51,9999)</f>
        <v>51</v>
      </c>
      <c r="BT108" s="0" t="n">
        <f aca="false">IF(Presupuesto!$B$52='Flujo de Pagos'!$E108,52,9999)</f>
        <v>52</v>
      </c>
      <c r="BU108" s="0" t="n">
        <f aca="false">IF(Presupuesto!$B$53='Flujo de Pagos'!$E108,53,9999)</f>
        <v>53</v>
      </c>
      <c r="BV108" s="0" t="n">
        <f aca="false">IF(Presupuesto!$B$54='Flujo de Pagos'!$E108,54,9999)</f>
        <v>54</v>
      </c>
      <c r="BW108" s="0" t="n">
        <f aca="false">IF(Presupuesto!$B$55='Flujo de Pagos'!$E108,55,9999)</f>
        <v>55</v>
      </c>
      <c r="BX108" s="0" t="n">
        <f aca="false">IF(Presupuesto!$B$56='Flujo de Pagos'!$E108,56,9999)</f>
        <v>56</v>
      </c>
      <c r="BY108" s="0" t="n">
        <f aca="false">IF(Presupuesto!$B$57='Flujo de Pagos'!$E108,57,9999)</f>
        <v>57</v>
      </c>
      <c r="BZ108" s="0" t="n">
        <f aca="false">IF(Presupuesto!$B$58='Flujo de Pagos'!$E108,58,9999)</f>
        <v>58</v>
      </c>
      <c r="CA108" s="0" t="n">
        <f aca="false">IF(Presupuesto!$B$59='Flujo de Pagos'!$E108,59,9999)</f>
        <v>59</v>
      </c>
      <c r="CB108" s="0" t="n">
        <f aca="false">IF(Presupuesto!$B$60='Flujo de Pagos'!$E108,60,9999)</f>
        <v>60</v>
      </c>
      <c r="CC108" s="0" t="n">
        <f aca="false">IF(Presupuesto!$B$61='Flujo de Pagos'!$E108,61,9999)</f>
        <v>61</v>
      </c>
      <c r="CD108" s="0" t="n">
        <f aca="false">IF(Presupuesto!$B$62='Flujo de Pagos'!$E108,62,9999)</f>
        <v>62</v>
      </c>
      <c r="CE108" s="0" t="n">
        <f aca="false">IF(Presupuesto!$B$63='Flujo de Pagos'!$E108,63,9999)</f>
        <v>63</v>
      </c>
      <c r="CF108" s="0" t="n">
        <f aca="false">IF(Presupuesto!$B$64='Flujo de Pagos'!$E108,64,9999)</f>
        <v>64</v>
      </c>
      <c r="CG108" s="0" t="n">
        <f aca="false">IF(Presupuesto!$B$65='Flujo de Pagos'!$E108,65,9999)</f>
        <v>65</v>
      </c>
      <c r="CH108" s="0" t="n">
        <f aca="false">IF(Presupuesto!$B$66='Flujo de Pagos'!$E108,66,9999)</f>
        <v>66</v>
      </c>
    </row>
    <row r="109" customFormat="false" ht="15" hidden="false" customHeight="true" outlineLevel="0" collapsed="false">
      <c r="B109" s="1" t="n">
        <f aca="false">IF(AND('Flujo de Pagos'!E114=Carátula!$B$2,'Flujo de Pagos'!F114=Carátula!$B$4,'Flujo de Pagos'!H114&lt;&gt;""),114,99999)</f>
        <v>99999</v>
      </c>
      <c r="H109" s="1" t="n">
        <f aca="false">IF(SMALL($AA109:$CH109,1)&gt;=9999,"",INDEX(Presupuesto!$C:$C,SMALL($AA109:$CH109,1)))</f>
        <v>0</v>
      </c>
      <c r="I109" s="1" t="n">
        <f aca="false">IF(SMALL($AA109:$CH109,2)&gt;=9999,"",INDEX(Presupuesto!$C:$C,SMALL($AA109:$CH109,2)))</f>
        <v>0</v>
      </c>
      <c r="J109" s="1" t="n">
        <f aca="false">IF(SMALL($AA109:$CH109,3)&gt;=9999,"",INDEX(Presupuesto!$C:$C,SMALL($AA109:$CH109,3)))</f>
        <v>0</v>
      </c>
      <c r="K109" s="1" t="n">
        <f aca="false">IF(SMALL($AA109:$CH109,4)&gt;=9999,"",INDEX(Presupuesto!$C:$C,SMALL($AA109:$CH109,4)))</f>
        <v>0</v>
      </c>
      <c r="L109" s="1" t="n">
        <f aca="false">IF(SMALL($AA109:$CH109,5)&gt;=9999,"",INDEX(Presupuesto!$C:$C,SMALL($AA109:$CH109,5)))</f>
        <v>0</v>
      </c>
      <c r="M109" s="1" t="n">
        <f aca="false">IF(SMALL($AA109:$CH109,6)&gt;=9999,"",INDEX(Presupuesto!$C:$C,SMALL($AA109:$CH109,6)))</f>
        <v>0</v>
      </c>
      <c r="N109" s="1" t="n">
        <f aca="false">IF(SMALL($AA109:$CH109,7)&gt;=9999,"",INDEX(Presupuesto!$C:$C,SMALL($AA109:$CH109,7)))</f>
        <v>0</v>
      </c>
      <c r="O109" s="1" t="n">
        <f aca="false">IF(SMALL($AA109:$CH109,8)&gt;=9999,"",INDEX(Presupuesto!$C:$C,SMALL($AA109:$CH109,8)))</f>
        <v>0</v>
      </c>
      <c r="P109" s="1" t="n">
        <f aca="false">IF(SMALL($AA109:$CH109,9)&gt;=9999,"",INDEX(Presupuesto!$C:$C,SMALL($AA109:$CH109,9)))</f>
        <v>0</v>
      </c>
      <c r="Q109" s="1" t="n">
        <f aca="false">IF(SMALL($AA109:$CH109,10)&gt;=9999,"",INDEX(Presupuesto!$C:$C,SMALL($AA109:$CH109,10)))</f>
        <v>0</v>
      </c>
      <c r="AA109" s="0" t="n">
        <f aca="false">IF(Presupuesto!$B$7='Flujo de Pagos'!$E109,7,9999)</f>
        <v>9999</v>
      </c>
      <c r="AB109" s="0" t="n">
        <f aca="false">IF(Presupuesto!$B$8='Flujo de Pagos'!$E109,8,9999)</f>
        <v>9999</v>
      </c>
      <c r="AC109" s="0" t="n">
        <f aca="false">IF(Presupuesto!$B$9='Flujo de Pagos'!$E109,9,9999)</f>
        <v>9999</v>
      </c>
      <c r="AD109" s="0" t="n">
        <f aca="false">IF(Presupuesto!$B$10='Flujo de Pagos'!$E109,10,9999)</f>
        <v>9999</v>
      </c>
      <c r="AE109" s="0" t="n">
        <f aca="false">IF(Presupuesto!$B$11='Flujo de Pagos'!$E109,11,9999)</f>
        <v>9999</v>
      </c>
      <c r="AF109" s="0" t="n">
        <f aca="false">IF(Presupuesto!$B$12='Flujo de Pagos'!$E109,12,9999)</f>
        <v>12</v>
      </c>
      <c r="AG109" s="0" t="n">
        <f aca="false">IF(Presupuesto!$B$13='Flujo de Pagos'!$E109,13,9999)</f>
        <v>13</v>
      </c>
      <c r="AH109" s="0" t="n">
        <f aca="false">IF(Presupuesto!$B$14='Flujo de Pagos'!$E109,14,9999)</f>
        <v>14</v>
      </c>
      <c r="AI109" s="0" t="n">
        <f aca="false">IF(Presupuesto!$B$15='Flujo de Pagos'!$E109,15,9999)</f>
        <v>15</v>
      </c>
      <c r="AJ109" s="0" t="n">
        <f aca="false">IF(Presupuesto!$B$16='Flujo de Pagos'!$E109,16,9999)</f>
        <v>16</v>
      </c>
      <c r="AK109" s="0" t="n">
        <f aca="false">IF(Presupuesto!$B$17='Flujo de Pagos'!$E109,17,9999)</f>
        <v>17</v>
      </c>
      <c r="AL109" s="0" t="n">
        <f aca="false">IF(Presupuesto!$B$18='Flujo de Pagos'!$E109,18,9999)</f>
        <v>18</v>
      </c>
      <c r="AM109" s="0" t="n">
        <f aca="false">IF(Presupuesto!$B$19='Flujo de Pagos'!$E109,19,9999)</f>
        <v>19</v>
      </c>
      <c r="AN109" s="0" t="n">
        <f aca="false">IF(Presupuesto!$B$20='Flujo de Pagos'!$E109,20,9999)</f>
        <v>20</v>
      </c>
      <c r="AO109" s="0" t="n">
        <f aca="false">IF(Presupuesto!$B$21='Flujo de Pagos'!$E109,21,9999)</f>
        <v>21</v>
      </c>
      <c r="AP109" s="0" t="n">
        <f aca="false">IF(Presupuesto!$B$22='Flujo de Pagos'!$E109,22,9999)</f>
        <v>22</v>
      </c>
      <c r="AQ109" s="0" t="n">
        <f aca="false">IF(Presupuesto!$B$23='Flujo de Pagos'!$E109,23,9999)</f>
        <v>23</v>
      </c>
      <c r="AR109" s="0" t="n">
        <f aca="false">IF(Presupuesto!$B$24='Flujo de Pagos'!$E109,24,9999)</f>
        <v>24</v>
      </c>
      <c r="AS109" s="0" t="n">
        <f aca="false">IF(Presupuesto!$B$25='Flujo de Pagos'!$E109,25,9999)</f>
        <v>25</v>
      </c>
      <c r="AT109" s="0" t="n">
        <f aca="false">IF(Presupuesto!$B$26='Flujo de Pagos'!$E109,26,9999)</f>
        <v>26</v>
      </c>
      <c r="AU109" s="0" t="n">
        <f aca="false">IF(Presupuesto!$B$27='Flujo de Pagos'!$E109,27,9999)</f>
        <v>27</v>
      </c>
      <c r="AV109" s="0" t="n">
        <f aca="false">IF(Presupuesto!$B$28='Flujo de Pagos'!$E109,28,9999)</f>
        <v>28</v>
      </c>
      <c r="AW109" s="0" t="n">
        <f aca="false">IF(Presupuesto!$B$29='Flujo de Pagos'!$E109,29,9999)</f>
        <v>29</v>
      </c>
      <c r="AX109" s="0" t="n">
        <f aca="false">IF(Presupuesto!$B$30='Flujo de Pagos'!$E109,30,9999)</f>
        <v>30</v>
      </c>
      <c r="AY109" s="0" t="n">
        <f aca="false">IF(Presupuesto!$B$31='Flujo de Pagos'!$E109,31,9999)</f>
        <v>31</v>
      </c>
      <c r="AZ109" s="0" t="n">
        <f aca="false">IF(Presupuesto!$B$32='Flujo de Pagos'!$E109,32,9999)</f>
        <v>32</v>
      </c>
      <c r="BA109" s="0" t="n">
        <f aca="false">IF(Presupuesto!$B$33='Flujo de Pagos'!$E109,33,9999)</f>
        <v>33</v>
      </c>
      <c r="BB109" s="0" t="n">
        <f aca="false">IF(Presupuesto!$B$34='Flujo de Pagos'!$E109,34,9999)</f>
        <v>34</v>
      </c>
      <c r="BC109" s="0" t="n">
        <f aca="false">IF(Presupuesto!$B$35='Flujo de Pagos'!$E109,35,9999)</f>
        <v>35</v>
      </c>
      <c r="BD109" s="0" t="n">
        <f aca="false">IF(Presupuesto!$B$36='Flujo de Pagos'!$E109,36,9999)</f>
        <v>36</v>
      </c>
      <c r="BE109" s="0" t="n">
        <f aca="false">IF(Presupuesto!$B$37='Flujo de Pagos'!$E109,37,9999)</f>
        <v>37</v>
      </c>
      <c r="BF109" s="0" t="n">
        <f aca="false">IF(Presupuesto!$B$38='Flujo de Pagos'!$E109,38,9999)</f>
        <v>38</v>
      </c>
      <c r="BG109" s="0" t="n">
        <f aca="false">IF(Presupuesto!$B$39='Flujo de Pagos'!$E109,39,9999)</f>
        <v>39</v>
      </c>
      <c r="BH109" s="0" t="n">
        <f aca="false">IF(Presupuesto!$B$40='Flujo de Pagos'!$E109,40,9999)</f>
        <v>40</v>
      </c>
      <c r="BI109" s="0" t="n">
        <f aca="false">IF(Presupuesto!$B$41='Flujo de Pagos'!$E109,41,9999)</f>
        <v>41</v>
      </c>
      <c r="BJ109" s="0" t="n">
        <f aca="false">IF(Presupuesto!$B$42='Flujo de Pagos'!$E109,42,9999)</f>
        <v>42</v>
      </c>
      <c r="BK109" s="0" t="n">
        <f aca="false">IF(Presupuesto!$B$43='Flujo de Pagos'!$E109,43,9999)</f>
        <v>43</v>
      </c>
      <c r="BL109" s="0" t="n">
        <f aca="false">IF(Presupuesto!$B$44='Flujo de Pagos'!$E109,44,9999)</f>
        <v>44</v>
      </c>
      <c r="BM109" s="0" t="n">
        <f aca="false">IF(Presupuesto!$B$45='Flujo de Pagos'!$E109,45,9999)</f>
        <v>45</v>
      </c>
      <c r="BN109" s="0" t="n">
        <f aca="false">IF(Presupuesto!$B$46='Flujo de Pagos'!$E109,46,9999)</f>
        <v>46</v>
      </c>
      <c r="BO109" s="0" t="n">
        <f aca="false">IF(Presupuesto!$B$47='Flujo de Pagos'!$E109,47,9999)</f>
        <v>47</v>
      </c>
      <c r="BP109" s="0" t="n">
        <f aca="false">IF(Presupuesto!$B$48='Flujo de Pagos'!$E109,48,9999)</f>
        <v>48</v>
      </c>
      <c r="BQ109" s="0" t="n">
        <f aca="false">IF(Presupuesto!$B$49='Flujo de Pagos'!$E109,49,9999)</f>
        <v>49</v>
      </c>
      <c r="BR109" s="0" t="n">
        <f aca="false">IF(Presupuesto!$B$50='Flujo de Pagos'!$E109,50,9999)</f>
        <v>50</v>
      </c>
      <c r="BS109" s="0" t="n">
        <f aca="false">IF(Presupuesto!$B$51='Flujo de Pagos'!$E109,51,9999)</f>
        <v>51</v>
      </c>
      <c r="BT109" s="0" t="n">
        <f aca="false">IF(Presupuesto!$B$52='Flujo de Pagos'!$E109,52,9999)</f>
        <v>52</v>
      </c>
      <c r="BU109" s="0" t="n">
        <f aca="false">IF(Presupuesto!$B$53='Flujo de Pagos'!$E109,53,9999)</f>
        <v>53</v>
      </c>
      <c r="BV109" s="0" t="n">
        <f aca="false">IF(Presupuesto!$B$54='Flujo de Pagos'!$E109,54,9999)</f>
        <v>54</v>
      </c>
      <c r="BW109" s="0" t="n">
        <f aca="false">IF(Presupuesto!$B$55='Flujo de Pagos'!$E109,55,9999)</f>
        <v>55</v>
      </c>
      <c r="BX109" s="0" t="n">
        <f aca="false">IF(Presupuesto!$B$56='Flujo de Pagos'!$E109,56,9999)</f>
        <v>56</v>
      </c>
      <c r="BY109" s="0" t="n">
        <f aca="false">IF(Presupuesto!$B$57='Flujo de Pagos'!$E109,57,9999)</f>
        <v>57</v>
      </c>
      <c r="BZ109" s="0" t="n">
        <f aca="false">IF(Presupuesto!$B$58='Flujo de Pagos'!$E109,58,9999)</f>
        <v>58</v>
      </c>
      <c r="CA109" s="0" t="n">
        <f aca="false">IF(Presupuesto!$B$59='Flujo de Pagos'!$E109,59,9999)</f>
        <v>59</v>
      </c>
      <c r="CB109" s="0" t="n">
        <f aca="false">IF(Presupuesto!$B$60='Flujo de Pagos'!$E109,60,9999)</f>
        <v>60</v>
      </c>
      <c r="CC109" s="0" t="n">
        <f aca="false">IF(Presupuesto!$B$61='Flujo de Pagos'!$E109,61,9999)</f>
        <v>61</v>
      </c>
      <c r="CD109" s="0" t="n">
        <f aca="false">IF(Presupuesto!$B$62='Flujo de Pagos'!$E109,62,9999)</f>
        <v>62</v>
      </c>
      <c r="CE109" s="0" t="n">
        <f aca="false">IF(Presupuesto!$B$63='Flujo de Pagos'!$E109,63,9999)</f>
        <v>63</v>
      </c>
      <c r="CF109" s="0" t="n">
        <f aca="false">IF(Presupuesto!$B$64='Flujo de Pagos'!$E109,64,9999)</f>
        <v>64</v>
      </c>
      <c r="CG109" s="0" t="n">
        <f aca="false">IF(Presupuesto!$B$65='Flujo de Pagos'!$E109,65,9999)</f>
        <v>65</v>
      </c>
      <c r="CH109" s="0" t="n">
        <f aca="false">IF(Presupuesto!$B$66='Flujo de Pagos'!$E109,66,9999)</f>
        <v>66</v>
      </c>
    </row>
    <row r="110" customFormat="false" ht="15" hidden="false" customHeight="true" outlineLevel="0" collapsed="false">
      <c r="B110" s="1" t="n">
        <f aca="false">IF(AND('Flujo de Pagos'!E115=Carátula!$B$2,'Flujo de Pagos'!F115=Carátula!$B$4,'Flujo de Pagos'!H115&lt;&gt;""),115,99999)</f>
        <v>99999</v>
      </c>
      <c r="H110" s="1" t="n">
        <f aca="false">IF(SMALL($AA110:$CH110,1)&gt;=9999,"",INDEX(Presupuesto!$C:$C,SMALL($AA110:$CH110,1)))</f>
        <v>0</v>
      </c>
      <c r="I110" s="1" t="n">
        <f aca="false">IF(SMALL($AA110:$CH110,2)&gt;=9999,"",INDEX(Presupuesto!$C:$C,SMALL($AA110:$CH110,2)))</f>
        <v>0</v>
      </c>
      <c r="J110" s="1" t="n">
        <f aca="false">IF(SMALL($AA110:$CH110,3)&gt;=9999,"",INDEX(Presupuesto!$C:$C,SMALL($AA110:$CH110,3)))</f>
        <v>0</v>
      </c>
      <c r="K110" s="1" t="n">
        <f aca="false">IF(SMALL($AA110:$CH110,4)&gt;=9999,"",INDEX(Presupuesto!$C:$C,SMALL($AA110:$CH110,4)))</f>
        <v>0</v>
      </c>
      <c r="L110" s="1" t="n">
        <f aca="false">IF(SMALL($AA110:$CH110,5)&gt;=9999,"",INDEX(Presupuesto!$C:$C,SMALL($AA110:$CH110,5)))</f>
        <v>0</v>
      </c>
      <c r="M110" s="1" t="n">
        <f aca="false">IF(SMALL($AA110:$CH110,6)&gt;=9999,"",INDEX(Presupuesto!$C:$C,SMALL($AA110:$CH110,6)))</f>
        <v>0</v>
      </c>
      <c r="N110" s="1" t="n">
        <f aca="false">IF(SMALL($AA110:$CH110,7)&gt;=9999,"",INDEX(Presupuesto!$C:$C,SMALL($AA110:$CH110,7)))</f>
        <v>0</v>
      </c>
      <c r="O110" s="1" t="n">
        <f aca="false">IF(SMALL($AA110:$CH110,8)&gt;=9999,"",INDEX(Presupuesto!$C:$C,SMALL($AA110:$CH110,8)))</f>
        <v>0</v>
      </c>
      <c r="P110" s="1" t="n">
        <f aca="false">IF(SMALL($AA110:$CH110,9)&gt;=9999,"",INDEX(Presupuesto!$C:$C,SMALL($AA110:$CH110,9)))</f>
        <v>0</v>
      </c>
      <c r="Q110" s="1" t="n">
        <f aca="false">IF(SMALL($AA110:$CH110,10)&gt;=9999,"",INDEX(Presupuesto!$C:$C,SMALL($AA110:$CH110,10)))</f>
        <v>0</v>
      </c>
      <c r="AA110" s="0" t="n">
        <f aca="false">IF(Presupuesto!$B$7='Flujo de Pagos'!$E110,7,9999)</f>
        <v>9999</v>
      </c>
      <c r="AB110" s="0" t="n">
        <f aca="false">IF(Presupuesto!$B$8='Flujo de Pagos'!$E110,8,9999)</f>
        <v>9999</v>
      </c>
      <c r="AC110" s="0" t="n">
        <f aca="false">IF(Presupuesto!$B$9='Flujo de Pagos'!$E110,9,9999)</f>
        <v>9999</v>
      </c>
      <c r="AD110" s="0" t="n">
        <f aca="false">IF(Presupuesto!$B$10='Flujo de Pagos'!$E110,10,9999)</f>
        <v>9999</v>
      </c>
      <c r="AE110" s="0" t="n">
        <f aca="false">IF(Presupuesto!$B$11='Flujo de Pagos'!$E110,11,9999)</f>
        <v>9999</v>
      </c>
      <c r="AF110" s="0" t="n">
        <f aca="false">IF(Presupuesto!$B$12='Flujo de Pagos'!$E110,12,9999)</f>
        <v>12</v>
      </c>
      <c r="AG110" s="0" t="n">
        <f aca="false">IF(Presupuesto!$B$13='Flujo de Pagos'!$E110,13,9999)</f>
        <v>13</v>
      </c>
      <c r="AH110" s="0" t="n">
        <f aca="false">IF(Presupuesto!$B$14='Flujo de Pagos'!$E110,14,9999)</f>
        <v>14</v>
      </c>
      <c r="AI110" s="0" t="n">
        <f aca="false">IF(Presupuesto!$B$15='Flujo de Pagos'!$E110,15,9999)</f>
        <v>15</v>
      </c>
      <c r="AJ110" s="0" t="n">
        <f aca="false">IF(Presupuesto!$B$16='Flujo de Pagos'!$E110,16,9999)</f>
        <v>16</v>
      </c>
      <c r="AK110" s="0" t="n">
        <f aca="false">IF(Presupuesto!$B$17='Flujo de Pagos'!$E110,17,9999)</f>
        <v>17</v>
      </c>
      <c r="AL110" s="0" t="n">
        <f aca="false">IF(Presupuesto!$B$18='Flujo de Pagos'!$E110,18,9999)</f>
        <v>18</v>
      </c>
      <c r="AM110" s="0" t="n">
        <f aca="false">IF(Presupuesto!$B$19='Flujo de Pagos'!$E110,19,9999)</f>
        <v>19</v>
      </c>
      <c r="AN110" s="0" t="n">
        <f aca="false">IF(Presupuesto!$B$20='Flujo de Pagos'!$E110,20,9999)</f>
        <v>20</v>
      </c>
      <c r="AO110" s="0" t="n">
        <f aca="false">IF(Presupuesto!$B$21='Flujo de Pagos'!$E110,21,9999)</f>
        <v>21</v>
      </c>
      <c r="AP110" s="0" t="n">
        <f aca="false">IF(Presupuesto!$B$22='Flujo de Pagos'!$E110,22,9999)</f>
        <v>22</v>
      </c>
      <c r="AQ110" s="0" t="n">
        <f aca="false">IF(Presupuesto!$B$23='Flujo de Pagos'!$E110,23,9999)</f>
        <v>23</v>
      </c>
      <c r="AR110" s="0" t="n">
        <f aca="false">IF(Presupuesto!$B$24='Flujo de Pagos'!$E110,24,9999)</f>
        <v>24</v>
      </c>
      <c r="AS110" s="0" t="n">
        <f aca="false">IF(Presupuesto!$B$25='Flujo de Pagos'!$E110,25,9999)</f>
        <v>25</v>
      </c>
      <c r="AT110" s="0" t="n">
        <f aca="false">IF(Presupuesto!$B$26='Flujo de Pagos'!$E110,26,9999)</f>
        <v>26</v>
      </c>
      <c r="AU110" s="0" t="n">
        <f aca="false">IF(Presupuesto!$B$27='Flujo de Pagos'!$E110,27,9999)</f>
        <v>27</v>
      </c>
      <c r="AV110" s="0" t="n">
        <f aca="false">IF(Presupuesto!$B$28='Flujo de Pagos'!$E110,28,9999)</f>
        <v>28</v>
      </c>
      <c r="AW110" s="0" t="n">
        <f aca="false">IF(Presupuesto!$B$29='Flujo de Pagos'!$E110,29,9999)</f>
        <v>29</v>
      </c>
      <c r="AX110" s="0" t="n">
        <f aca="false">IF(Presupuesto!$B$30='Flujo de Pagos'!$E110,30,9999)</f>
        <v>30</v>
      </c>
      <c r="AY110" s="0" t="n">
        <f aca="false">IF(Presupuesto!$B$31='Flujo de Pagos'!$E110,31,9999)</f>
        <v>31</v>
      </c>
      <c r="AZ110" s="0" t="n">
        <f aca="false">IF(Presupuesto!$B$32='Flujo de Pagos'!$E110,32,9999)</f>
        <v>32</v>
      </c>
      <c r="BA110" s="0" t="n">
        <f aca="false">IF(Presupuesto!$B$33='Flujo de Pagos'!$E110,33,9999)</f>
        <v>33</v>
      </c>
      <c r="BB110" s="0" t="n">
        <f aca="false">IF(Presupuesto!$B$34='Flujo de Pagos'!$E110,34,9999)</f>
        <v>34</v>
      </c>
      <c r="BC110" s="0" t="n">
        <f aca="false">IF(Presupuesto!$B$35='Flujo de Pagos'!$E110,35,9999)</f>
        <v>35</v>
      </c>
      <c r="BD110" s="0" t="n">
        <f aca="false">IF(Presupuesto!$B$36='Flujo de Pagos'!$E110,36,9999)</f>
        <v>36</v>
      </c>
      <c r="BE110" s="0" t="n">
        <f aca="false">IF(Presupuesto!$B$37='Flujo de Pagos'!$E110,37,9999)</f>
        <v>37</v>
      </c>
      <c r="BF110" s="0" t="n">
        <f aca="false">IF(Presupuesto!$B$38='Flujo de Pagos'!$E110,38,9999)</f>
        <v>38</v>
      </c>
      <c r="BG110" s="0" t="n">
        <f aca="false">IF(Presupuesto!$B$39='Flujo de Pagos'!$E110,39,9999)</f>
        <v>39</v>
      </c>
      <c r="BH110" s="0" t="n">
        <f aca="false">IF(Presupuesto!$B$40='Flujo de Pagos'!$E110,40,9999)</f>
        <v>40</v>
      </c>
      <c r="BI110" s="0" t="n">
        <f aca="false">IF(Presupuesto!$B$41='Flujo de Pagos'!$E110,41,9999)</f>
        <v>41</v>
      </c>
      <c r="BJ110" s="0" t="n">
        <f aca="false">IF(Presupuesto!$B$42='Flujo de Pagos'!$E110,42,9999)</f>
        <v>42</v>
      </c>
      <c r="BK110" s="0" t="n">
        <f aca="false">IF(Presupuesto!$B$43='Flujo de Pagos'!$E110,43,9999)</f>
        <v>43</v>
      </c>
      <c r="BL110" s="0" t="n">
        <f aca="false">IF(Presupuesto!$B$44='Flujo de Pagos'!$E110,44,9999)</f>
        <v>44</v>
      </c>
      <c r="BM110" s="0" t="n">
        <f aca="false">IF(Presupuesto!$B$45='Flujo de Pagos'!$E110,45,9999)</f>
        <v>45</v>
      </c>
      <c r="BN110" s="0" t="n">
        <f aca="false">IF(Presupuesto!$B$46='Flujo de Pagos'!$E110,46,9999)</f>
        <v>46</v>
      </c>
      <c r="BO110" s="0" t="n">
        <f aca="false">IF(Presupuesto!$B$47='Flujo de Pagos'!$E110,47,9999)</f>
        <v>47</v>
      </c>
      <c r="BP110" s="0" t="n">
        <f aca="false">IF(Presupuesto!$B$48='Flujo de Pagos'!$E110,48,9999)</f>
        <v>48</v>
      </c>
      <c r="BQ110" s="0" t="n">
        <f aca="false">IF(Presupuesto!$B$49='Flujo de Pagos'!$E110,49,9999)</f>
        <v>49</v>
      </c>
      <c r="BR110" s="0" t="n">
        <f aca="false">IF(Presupuesto!$B$50='Flujo de Pagos'!$E110,50,9999)</f>
        <v>50</v>
      </c>
      <c r="BS110" s="0" t="n">
        <f aca="false">IF(Presupuesto!$B$51='Flujo de Pagos'!$E110,51,9999)</f>
        <v>51</v>
      </c>
      <c r="BT110" s="0" t="n">
        <f aca="false">IF(Presupuesto!$B$52='Flujo de Pagos'!$E110,52,9999)</f>
        <v>52</v>
      </c>
      <c r="BU110" s="0" t="n">
        <f aca="false">IF(Presupuesto!$B$53='Flujo de Pagos'!$E110,53,9999)</f>
        <v>53</v>
      </c>
      <c r="BV110" s="0" t="n">
        <f aca="false">IF(Presupuesto!$B$54='Flujo de Pagos'!$E110,54,9999)</f>
        <v>54</v>
      </c>
      <c r="BW110" s="0" t="n">
        <f aca="false">IF(Presupuesto!$B$55='Flujo de Pagos'!$E110,55,9999)</f>
        <v>55</v>
      </c>
      <c r="BX110" s="0" t="n">
        <f aca="false">IF(Presupuesto!$B$56='Flujo de Pagos'!$E110,56,9999)</f>
        <v>56</v>
      </c>
      <c r="BY110" s="0" t="n">
        <f aca="false">IF(Presupuesto!$B$57='Flujo de Pagos'!$E110,57,9999)</f>
        <v>57</v>
      </c>
      <c r="BZ110" s="0" t="n">
        <f aca="false">IF(Presupuesto!$B$58='Flujo de Pagos'!$E110,58,9999)</f>
        <v>58</v>
      </c>
      <c r="CA110" s="0" t="n">
        <f aca="false">IF(Presupuesto!$B$59='Flujo de Pagos'!$E110,59,9999)</f>
        <v>59</v>
      </c>
      <c r="CB110" s="0" t="n">
        <f aca="false">IF(Presupuesto!$B$60='Flujo de Pagos'!$E110,60,9999)</f>
        <v>60</v>
      </c>
      <c r="CC110" s="0" t="n">
        <f aca="false">IF(Presupuesto!$B$61='Flujo de Pagos'!$E110,61,9999)</f>
        <v>61</v>
      </c>
      <c r="CD110" s="0" t="n">
        <f aca="false">IF(Presupuesto!$B$62='Flujo de Pagos'!$E110,62,9999)</f>
        <v>62</v>
      </c>
      <c r="CE110" s="0" t="n">
        <f aca="false">IF(Presupuesto!$B$63='Flujo de Pagos'!$E110,63,9999)</f>
        <v>63</v>
      </c>
      <c r="CF110" s="0" t="n">
        <f aca="false">IF(Presupuesto!$B$64='Flujo de Pagos'!$E110,64,9999)</f>
        <v>64</v>
      </c>
      <c r="CG110" s="0" t="n">
        <f aca="false">IF(Presupuesto!$B$65='Flujo de Pagos'!$E110,65,9999)</f>
        <v>65</v>
      </c>
      <c r="CH110" s="0" t="n">
        <f aca="false">IF(Presupuesto!$B$66='Flujo de Pagos'!$E110,66,9999)</f>
        <v>66</v>
      </c>
    </row>
    <row r="111" customFormat="false" ht="15" hidden="false" customHeight="true" outlineLevel="0" collapsed="false">
      <c r="B111" s="1" t="n">
        <f aca="false">IF(AND('Flujo de Pagos'!E116=Carátula!$B$2,'Flujo de Pagos'!F116=Carátula!$B$4,'Flujo de Pagos'!H116&lt;&gt;""),116,99999)</f>
        <v>99999</v>
      </c>
      <c r="H111" s="1" t="n">
        <f aca="false">IF(SMALL($AA111:$CH111,1)&gt;=9999,"",INDEX(Presupuesto!$C:$C,SMALL($AA111:$CH111,1)))</f>
        <v>0</v>
      </c>
      <c r="I111" s="1" t="n">
        <f aca="false">IF(SMALL($AA111:$CH111,2)&gt;=9999,"",INDEX(Presupuesto!$C:$C,SMALL($AA111:$CH111,2)))</f>
        <v>0</v>
      </c>
      <c r="J111" s="1" t="n">
        <f aca="false">IF(SMALL($AA111:$CH111,3)&gt;=9999,"",INDEX(Presupuesto!$C:$C,SMALL($AA111:$CH111,3)))</f>
        <v>0</v>
      </c>
      <c r="K111" s="1" t="n">
        <f aca="false">IF(SMALL($AA111:$CH111,4)&gt;=9999,"",INDEX(Presupuesto!$C:$C,SMALL($AA111:$CH111,4)))</f>
        <v>0</v>
      </c>
      <c r="L111" s="1" t="n">
        <f aca="false">IF(SMALL($AA111:$CH111,5)&gt;=9999,"",INDEX(Presupuesto!$C:$C,SMALL($AA111:$CH111,5)))</f>
        <v>0</v>
      </c>
      <c r="M111" s="1" t="n">
        <f aca="false">IF(SMALL($AA111:$CH111,6)&gt;=9999,"",INDEX(Presupuesto!$C:$C,SMALL($AA111:$CH111,6)))</f>
        <v>0</v>
      </c>
      <c r="N111" s="1" t="n">
        <f aca="false">IF(SMALL($AA111:$CH111,7)&gt;=9999,"",INDEX(Presupuesto!$C:$C,SMALL($AA111:$CH111,7)))</f>
        <v>0</v>
      </c>
      <c r="O111" s="1" t="n">
        <f aca="false">IF(SMALL($AA111:$CH111,8)&gt;=9999,"",INDEX(Presupuesto!$C:$C,SMALL($AA111:$CH111,8)))</f>
        <v>0</v>
      </c>
      <c r="P111" s="1" t="n">
        <f aca="false">IF(SMALL($AA111:$CH111,9)&gt;=9999,"",INDEX(Presupuesto!$C:$C,SMALL($AA111:$CH111,9)))</f>
        <v>0</v>
      </c>
      <c r="Q111" s="1" t="n">
        <f aca="false">IF(SMALL($AA111:$CH111,10)&gt;=9999,"",INDEX(Presupuesto!$C:$C,SMALL($AA111:$CH111,10)))</f>
        <v>0</v>
      </c>
      <c r="AA111" s="0" t="n">
        <f aca="false">IF(Presupuesto!$B$7='Flujo de Pagos'!$E111,7,9999)</f>
        <v>9999</v>
      </c>
      <c r="AB111" s="0" t="n">
        <f aca="false">IF(Presupuesto!$B$8='Flujo de Pagos'!$E111,8,9999)</f>
        <v>9999</v>
      </c>
      <c r="AC111" s="0" t="n">
        <f aca="false">IF(Presupuesto!$B$9='Flujo de Pagos'!$E111,9,9999)</f>
        <v>9999</v>
      </c>
      <c r="AD111" s="0" t="n">
        <f aca="false">IF(Presupuesto!$B$10='Flujo de Pagos'!$E111,10,9999)</f>
        <v>9999</v>
      </c>
      <c r="AE111" s="0" t="n">
        <f aca="false">IF(Presupuesto!$B$11='Flujo de Pagos'!$E111,11,9999)</f>
        <v>9999</v>
      </c>
      <c r="AF111" s="0" t="n">
        <f aca="false">IF(Presupuesto!$B$12='Flujo de Pagos'!$E111,12,9999)</f>
        <v>12</v>
      </c>
      <c r="AG111" s="0" t="n">
        <f aca="false">IF(Presupuesto!$B$13='Flujo de Pagos'!$E111,13,9999)</f>
        <v>13</v>
      </c>
      <c r="AH111" s="0" t="n">
        <f aca="false">IF(Presupuesto!$B$14='Flujo de Pagos'!$E111,14,9999)</f>
        <v>14</v>
      </c>
      <c r="AI111" s="0" t="n">
        <f aca="false">IF(Presupuesto!$B$15='Flujo de Pagos'!$E111,15,9999)</f>
        <v>15</v>
      </c>
      <c r="AJ111" s="0" t="n">
        <f aca="false">IF(Presupuesto!$B$16='Flujo de Pagos'!$E111,16,9999)</f>
        <v>16</v>
      </c>
      <c r="AK111" s="0" t="n">
        <f aca="false">IF(Presupuesto!$B$17='Flujo de Pagos'!$E111,17,9999)</f>
        <v>17</v>
      </c>
      <c r="AL111" s="0" t="n">
        <f aca="false">IF(Presupuesto!$B$18='Flujo de Pagos'!$E111,18,9999)</f>
        <v>18</v>
      </c>
      <c r="AM111" s="0" t="n">
        <f aca="false">IF(Presupuesto!$B$19='Flujo de Pagos'!$E111,19,9999)</f>
        <v>19</v>
      </c>
      <c r="AN111" s="0" t="n">
        <f aca="false">IF(Presupuesto!$B$20='Flujo de Pagos'!$E111,20,9999)</f>
        <v>20</v>
      </c>
      <c r="AO111" s="0" t="n">
        <f aca="false">IF(Presupuesto!$B$21='Flujo de Pagos'!$E111,21,9999)</f>
        <v>21</v>
      </c>
      <c r="AP111" s="0" t="n">
        <f aca="false">IF(Presupuesto!$B$22='Flujo de Pagos'!$E111,22,9999)</f>
        <v>22</v>
      </c>
      <c r="AQ111" s="0" t="n">
        <f aca="false">IF(Presupuesto!$B$23='Flujo de Pagos'!$E111,23,9999)</f>
        <v>23</v>
      </c>
      <c r="AR111" s="0" t="n">
        <f aca="false">IF(Presupuesto!$B$24='Flujo de Pagos'!$E111,24,9999)</f>
        <v>24</v>
      </c>
      <c r="AS111" s="0" t="n">
        <f aca="false">IF(Presupuesto!$B$25='Flujo de Pagos'!$E111,25,9999)</f>
        <v>25</v>
      </c>
      <c r="AT111" s="0" t="n">
        <f aca="false">IF(Presupuesto!$B$26='Flujo de Pagos'!$E111,26,9999)</f>
        <v>26</v>
      </c>
      <c r="AU111" s="0" t="n">
        <f aca="false">IF(Presupuesto!$B$27='Flujo de Pagos'!$E111,27,9999)</f>
        <v>27</v>
      </c>
      <c r="AV111" s="0" t="n">
        <f aca="false">IF(Presupuesto!$B$28='Flujo de Pagos'!$E111,28,9999)</f>
        <v>28</v>
      </c>
      <c r="AW111" s="0" t="n">
        <f aca="false">IF(Presupuesto!$B$29='Flujo de Pagos'!$E111,29,9999)</f>
        <v>29</v>
      </c>
      <c r="AX111" s="0" t="n">
        <f aca="false">IF(Presupuesto!$B$30='Flujo de Pagos'!$E111,30,9999)</f>
        <v>30</v>
      </c>
      <c r="AY111" s="0" t="n">
        <f aca="false">IF(Presupuesto!$B$31='Flujo de Pagos'!$E111,31,9999)</f>
        <v>31</v>
      </c>
      <c r="AZ111" s="0" t="n">
        <f aca="false">IF(Presupuesto!$B$32='Flujo de Pagos'!$E111,32,9999)</f>
        <v>32</v>
      </c>
      <c r="BA111" s="0" t="n">
        <f aca="false">IF(Presupuesto!$B$33='Flujo de Pagos'!$E111,33,9999)</f>
        <v>33</v>
      </c>
      <c r="BB111" s="0" t="n">
        <f aca="false">IF(Presupuesto!$B$34='Flujo de Pagos'!$E111,34,9999)</f>
        <v>34</v>
      </c>
      <c r="BC111" s="0" t="n">
        <f aca="false">IF(Presupuesto!$B$35='Flujo de Pagos'!$E111,35,9999)</f>
        <v>35</v>
      </c>
      <c r="BD111" s="0" t="n">
        <f aca="false">IF(Presupuesto!$B$36='Flujo de Pagos'!$E111,36,9999)</f>
        <v>36</v>
      </c>
      <c r="BE111" s="0" t="n">
        <f aca="false">IF(Presupuesto!$B$37='Flujo de Pagos'!$E111,37,9999)</f>
        <v>37</v>
      </c>
      <c r="BF111" s="0" t="n">
        <f aca="false">IF(Presupuesto!$B$38='Flujo de Pagos'!$E111,38,9999)</f>
        <v>38</v>
      </c>
      <c r="BG111" s="0" t="n">
        <f aca="false">IF(Presupuesto!$B$39='Flujo de Pagos'!$E111,39,9999)</f>
        <v>39</v>
      </c>
      <c r="BH111" s="0" t="n">
        <f aca="false">IF(Presupuesto!$B$40='Flujo de Pagos'!$E111,40,9999)</f>
        <v>40</v>
      </c>
      <c r="BI111" s="0" t="n">
        <f aca="false">IF(Presupuesto!$B$41='Flujo de Pagos'!$E111,41,9999)</f>
        <v>41</v>
      </c>
      <c r="BJ111" s="0" t="n">
        <f aca="false">IF(Presupuesto!$B$42='Flujo de Pagos'!$E111,42,9999)</f>
        <v>42</v>
      </c>
      <c r="BK111" s="0" t="n">
        <f aca="false">IF(Presupuesto!$B$43='Flujo de Pagos'!$E111,43,9999)</f>
        <v>43</v>
      </c>
      <c r="BL111" s="0" t="n">
        <f aca="false">IF(Presupuesto!$B$44='Flujo de Pagos'!$E111,44,9999)</f>
        <v>44</v>
      </c>
      <c r="BM111" s="0" t="n">
        <f aca="false">IF(Presupuesto!$B$45='Flujo de Pagos'!$E111,45,9999)</f>
        <v>45</v>
      </c>
      <c r="BN111" s="0" t="n">
        <f aca="false">IF(Presupuesto!$B$46='Flujo de Pagos'!$E111,46,9999)</f>
        <v>46</v>
      </c>
      <c r="BO111" s="0" t="n">
        <f aca="false">IF(Presupuesto!$B$47='Flujo de Pagos'!$E111,47,9999)</f>
        <v>47</v>
      </c>
      <c r="BP111" s="0" t="n">
        <f aca="false">IF(Presupuesto!$B$48='Flujo de Pagos'!$E111,48,9999)</f>
        <v>48</v>
      </c>
      <c r="BQ111" s="0" t="n">
        <f aca="false">IF(Presupuesto!$B$49='Flujo de Pagos'!$E111,49,9999)</f>
        <v>49</v>
      </c>
      <c r="BR111" s="0" t="n">
        <f aca="false">IF(Presupuesto!$B$50='Flujo de Pagos'!$E111,50,9999)</f>
        <v>50</v>
      </c>
      <c r="BS111" s="0" t="n">
        <f aca="false">IF(Presupuesto!$B$51='Flujo de Pagos'!$E111,51,9999)</f>
        <v>51</v>
      </c>
      <c r="BT111" s="0" t="n">
        <f aca="false">IF(Presupuesto!$B$52='Flujo de Pagos'!$E111,52,9999)</f>
        <v>52</v>
      </c>
      <c r="BU111" s="0" t="n">
        <f aca="false">IF(Presupuesto!$B$53='Flujo de Pagos'!$E111,53,9999)</f>
        <v>53</v>
      </c>
      <c r="BV111" s="0" t="n">
        <f aca="false">IF(Presupuesto!$B$54='Flujo de Pagos'!$E111,54,9999)</f>
        <v>54</v>
      </c>
      <c r="BW111" s="0" t="n">
        <f aca="false">IF(Presupuesto!$B$55='Flujo de Pagos'!$E111,55,9999)</f>
        <v>55</v>
      </c>
      <c r="BX111" s="0" t="n">
        <f aca="false">IF(Presupuesto!$B$56='Flujo de Pagos'!$E111,56,9999)</f>
        <v>56</v>
      </c>
      <c r="BY111" s="0" t="n">
        <f aca="false">IF(Presupuesto!$B$57='Flujo de Pagos'!$E111,57,9999)</f>
        <v>57</v>
      </c>
      <c r="BZ111" s="0" t="n">
        <f aca="false">IF(Presupuesto!$B$58='Flujo de Pagos'!$E111,58,9999)</f>
        <v>58</v>
      </c>
      <c r="CA111" s="0" t="n">
        <f aca="false">IF(Presupuesto!$B$59='Flujo de Pagos'!$E111,59,9999)</f>
        <v>59</v>
      </c>
      <c r="CB111" s="0" t="n">
        <f aca="false">IF(Presupuesto!$B$60='Flujo de Pagos'!$E111,60,9999)</f>
        <v>60</v>
      </c>
      <c r="CC111" s="0" t="n">
        <f aca="false">IF(Presupuesto!$B$61='Flujo de Pagos'!$E111,61,9999)</f>
        <v>61</v>
      </c>
      <c r="CD111" s="0" t="n">
        <f aca="false">IF(Presupuesto!$B$62='Flujo de Pagos'!$E111,62,9999)</f>
        <v>62</v>
      </c>
      <c r="CE111" s="0" t="n">
        <f aca="false">IF(Presupuesto!$B$63='Flujo de Pagos'!$E111,63,9999)</f>
        <v>63</v>
      </c>
      <c r="CF111" s="0" t="n">
        <f aca="false">IF(Presupuesto!$B$64='Flujo de Pagos'!$E111,64,9999)</f>
        <v>64</v>
      </c>
      <c r="CG111" s="0" t="n">
        <f aca="false">IF(Presupuesto!$B$65='Flujo de Pagos'!$E111,65,9999)</f>
        <v>65</v>
      </c>
      <c r="CH111" s="0" t="n">
        <f aca="false">IF(Presupuesto!$B$66='Flujo de Pagos'!$E111,66,9999)</f>
        <v>66</v>
      </c>
    </row>
    <row r="112" customFormat="false" ht="15" hidden="false" customHeight="true" outlineLevel="0" collapsed="false">
      <c r="B112" s="1" t="n">
        <f aca="false">IF(AND('Flujo de Pagos'!E117=Carátula!$B$2,'Flujo de Pagos'!F117=Carátula!$B$4,'Flujo de Pagos'!H117&lt;&gt;""),117,99999)</f>
        <v>99999</v>
      </c>
      <c r="H112" s="1" t="n">
        <f aca="false">IF(SMALL($AA112:$CH112,1)&gt;=9999,"",INDEX(Presupuesto!$C:$C,SMALL($AA112:$CH112,1)))</f>
        <v>0</v>
      </c>
      <c r="I112" s="1" t="n">
        <f aca="false">IF(SMALL($AA112:$CH112,2)&gt;=9999,"",INDEX(Presupuesto!$C:$C,SMALL($AA112:$CH112,2)))</f>
        <v>0</v>
      </c>
      <c r="J112" s="1" t="n">
        <f aca="false">IF(SMALL($AA112:$CH112,3)&gt;=9999,"",INDEX(Presupuesto!$C:$C,SMALL($AA112:$CH112,3)))</f>
        <v>0</v>
      </c>
      <c r="K112" s="1" t="n">
        <f aca="false">IF(SMALL($AA112:$CH112,4)&gt;=9999,"",INDEX(Presupuesto!$C:$C,SMALL($AA112:$CH112,4)))</f>
        <v>0</v>
      </c>
      <c r="L112" s="1" t="n">
        <f aca="false">IF(SMALL($AA112:$CH112,5)&gt;=9999,"",INDEX(Presupuesto!$C:$C,SMALL($AA112:$CH112,5)))</f>
        <v>0</v>
      </c>
      <c r="M112" s="1" t="n">
        <f aca="false">IF(SMALL($AA112:$CH112,6)&gt;=9999,"",INDEX(Presupuesto!$C:$C,SMALL($AA112:$CH112,6)))</f>
        <v>0</v>
      </c>
      <c r="N112" s="1" t="n">
        <f aca="false">IF(SMALL($AA112:$CH112,7)&gt;=9999,"",INDEX(Presupuesto!$C:$C,SMALL($AA112:$CH112,7)))</f>
        <v>0</v>
      </c>
      <c r="O112" s="1" t="n">
        <f aca="false">IF(SMALL($AA112:$CH112,8)&gt;=9999,"",INDEX(Presupuesto!$C:$C,SMALL($AA112:$CH112,8)))</f>
        <v>0</v>
      </c>
      <c r="P112" s="1" t="n">
        <f aca="false">IF(SMALL($AA112:$CH112,9)&gt;=9999,"",INDEX(Presupuesto!$C:$C,SMALL($AA112:$CH112,9)))</f>
        <v>0</v>
      </c>
      <c r="Q112" s="1" t="n">
        <f aca="false">IF(SMALL($AA112:$CH112,10)&gt;=9999,"",INDEX(Presupuesto!$C:$C,SMALL($AA112:$CH112,10)))</f>
        <v>0</v>
      </c>
      <c r="AA112" s="0" t="n">
        <f aca="false">IF(Presupuesto!$B$7='Flujo de Pagos'!$E112,7,9999)</f>
        <v>9999</v>
      </c>
      <c r="AB112" s="0" t="n">
        <f aca="false">IF(Presupuesto!$B$8='Flujo de Pagos'!$E112,8,9999)</f>
        <v>9999</v>
      </c>
      <c r="AC112" s="0" t="n">
        <f aca="false">IF(Presupuesto!$B$9='Flujo de Pagos'!$E112,9,9999)</f>
        <v>9999</v>
      </c>
      <c r="AD112" s="0" t="n">
        <f aca="false">IF(Presupuesto!$B$10='Flujo de Pagos'!$E112,10,9999)</f>
        <v>9999</v>
      </c>
      <c r="AE112" s="0" t="n">
        <f aca="false">IF(Presupuesto!$B$11='Flujo de Pagos'!$E112,11,9999)</f>
        <v>9999</v>
      </c>
      <c r="AF112" s="0" t="n">
        <f aca="false">IF(Presupuesto!$B$12='Flujo de Pagos'!$E112,12,9999)</f>
        <v>12</v>
      </c>
      <c r="AG112" s="0" t="n">
        <f aca="false">IF(Presupuesto!$B$13='Flujo de Pagos'!$E112,13,9999)</f>
        <v>13</v>
      </c>
      <c r="AH112" s="0" t="n">
        <f aca="false">IF(Presupuesto!$B$14='Flujo de Pagos'!$E112,14,9999)</f>
        <v>14</v>
      </c>
      <c r="AI112" s="0" t="n">
        <f aca="false">IF(Presupuesto!$B$15='Flujo de Pagos'!$E112,15,9999)</f>
        <v>15</v>
      </c>
      <c r="AJ112" s="0" t="n">
        <f aca="false">IF(Presupuesto!$B$16='Flujo de Pagos'!$E112,16,9999)</f>
        <v>16</v>
      </c>
      <c r="AK112" s="0" t="n">
        <f aca="false">IF(Presupuesto!$B$17='Flujo de Pagos'!$E112,17,9999)</f>
        <v>17</v>
      </c>
      <c r="AL112" s="0" t="n">
        <f aca="false">IF(Presupuesto!$B$18='Flujo de Pagos'!$E112,18,9999)</f>
        <v>18</v>
      </c>
      <c r="AM112" s="0" t="n">
        <f aca="false">IF(Presupuesto!$B$19='Flujo de Pagos'!$E112,19,9999)</f>
        <v>19</v>
      </c>
      <c r="AN112" s="0" t="n">
        <f aca="false">IF(Presupuesto!$B$20='Flujo de Pagos'!$E112,20,9999)</f>
        <v>20</v>
      </c>
      <c r="AO112" s="0" t="n">
        <f aca="false">IF(Presupuesto!$B$21='Flujo de Pagos'!$E112,21,9999)</f>
        <v>21</v>
      </c>
      <c r="AP112" s="0" t="n">
        <f aca="false">IF(Presupuesto!$B$22='Flujo de Pagos'!$E112,22,9999)</f>
        <v>22</v>
      </c>
      <c r="AQ112" s="0" t="n">
        <f aca="false">IF(Presupuesto!$B$23='Flujo de Pagos'!$E112,23,9999)</f>
        <v>23</v>
      </c>
      <c r="AR112" s="0" t="n">
        <f aca="false">IF(Presupuesto!$B$24='Flujo de Pagos'!$E112,24,9999)</f>
        <v>24</v>
      </c>
      <c r="AS112" s="0" t="n">
        <f aca="false">IF(Presupuesto!$B$25='Flujo de Pagos'!$E112,25,9999)</f>
        <v>25</v>
      </c>
      <c r="AT112" s="0" t="n">
        <f aca="false">IF(Presupuesto!$B$26='Flujo de Pagos'!$E112,26,9999)</f>
        <v>26</v>
      </c>
      <c r="AU112" s="0" t="n">
        <f aca="false">IF(Presupuesto!$B$27='Flujo de Pagos'!$E112,27,9999)</f>
        <v>27</v>
      </c>
      <c r="AV112" s="0" t="n">
        <f aca="false">IF(Presupuesto!$B$28='Flujo de Pagos'!$E112,28,9999)</f>
        <v>28</v>
      </c>
      <c r="AW112" s="0" t="n">
        <f aca="false">IF(Presupuesto!$B$29='Flujo de Pagos'!$E112,29,9999)</f>
        <v>29</v>
      </c>
      <c r="AX112" s="0" t="n">
        <f aca="false">IF(Presupuesto!$B$30='Flujo de Pagos'!$E112,30,9999)</f>
        <v>30</v>
      </c>
      <c r="AY112" s="0" t="n">
        <f aca="false">IF(Presupuesto!$B$31='Flujo de Pagos'!$E112,31,9999)</f>
        <v>31</v>
      </c>
      <c r="AZ112" s="0" t="n">
        <f aca="false">IF(Presupuesto!$B$32='Flujo de Pagos'!$E112,32,9999)</f>
        <v>32</v>
      </c>
      <c r="BA112" s="0" t="n">
        <f aca="false">IF(Presupuesto!$B$33='Flujo de Pagos'!$E112,33,9999)</f>
        <v>33</v>
      </c>
      <c r="BB112" s="0" t="n">
        <f aca="false">IF(Presupuesto!$B$34='Flujo de Pagos'!$E112,34,9999)</f>
        <v>34</v>
      </c>
      <c r="BC112" s="0" t="n">
        <f aca="false">IF(Presupuesto!$B$35='Flujo de Pagos'!$E112,35,9999)</f>
        <v>35</v>
      </c>
      <c r="BD112" s="0" t="n">
        <f aca="false">IF(Presupuesto!$B$36='Flujo de Pagos'!$E112,36,9999)</f>
        <v>36</v>
      </c>
      <c r="BE112" s="0" t="n">
        <f aca="false">IF(Presupuesto!$B$37='Flujo de Pagos'!$E112,37,9999)</f>
        <v>37</v>
      </c>
      <c r="BF112" s="0" t="n">
        <f aca="false">IF(Presupuesto!$B$38='Flujo de Pagos'!$E112,38,9999)</f>
        <v>38</v>
      </c>
      <c r="BG112" s="0" t="n">
        <f aca="false">IF(Presupuesto!$B$39='Flujo de Pagos'!$E112,39,9999)</f>
        <v>39</v>
      </c>
      <c r="BH112" s="0" t="n">
        <f aca="false">IF(Presupuesto!$B$40='Flujo de Pagos'!$E112,40,9999)</f>
        <v>40</v>
      </c>
      <c r="BI112" s="0" t="n">
        <f aca="false">IF(Presupuesto!$B$41='Flujo de Pagos'!$E112,41,9999)</f>
        <v>41</v>
      </c>
      <c r="BJ112" s="0" t="n">
        <f aca="false">IF(Presupuesto!$B$42='Flujo de Pagos'!$E112,42,9999)</f>
        <v>42</v>
      </c>
      <c r="BK112" s="0" t="n">
        <f aca="false">IF(Presupuesto!$B$43='Flujo de Pagos'!$E112,43,9999)</f>
        <v>43</v>
      </c>
      <c r="BL112" s="0" t="n">
        <f aca="false">IF(Presupuesto!$B$44='Flujo de Pagos'!$E112,44,9999)</f>
        <v>44</v>
      </c>
      <c r="BM112" s="0" t="n">
        <f aca="false">IF(Presupuesto!$B$45='Flujo de Pagos'!$E112,45,9999)</f>
        <v>45</v>
      </c>
      <c r="BN112" s="0" t="n">
        <f aca="false">IF(Presupuesto!$B$46='Flujo de Pagos'!$E112,46,9999)</f>
        <v>46</v>
      </c>
      <c r="BO112" s="0" t="n">
        <f aca="false">IF(Presupuesto!$B$47='Flujo de Pagos'!$E112,47,9999)</f>
        <v>47</v>
      </c>
      <c r="BP112" s="0" t="n">
        <f aca="false">IF(Presupuesto!$B$48='Flujo de Pagos'!$E112,48,9999)</f>
        <v>48</v>
      </c>
      <c r="BQ112" s="0" t="n">
        <f aca="false">IF(Presupuesto!$B$49='Flujo de Pagos'!$E112,49,9999)</f>
        <v>49</v>
      </c>
      <c r="BR112" s="0" t="n">
        <f aca="false">IF(Presupuesto!$B$50='Flujo de Pagos'!$E112,50,9999)</f>
        <v>50</v>
      </c>
      <c r="BS112" s="0" t="n">
        <f aca="false">IF(Presupuesto!$B$51='Flujo de Pagos'!$E112,51,9999)</f>
        <v>51</v>
      </c>
      <c r="BT112" s="0" t="n">
        <f aca="false">IF(Presupuesto!$B$52='Flujo de Pagos'!$E112,52,9999)</f>
        <v>52</v>
      </c>
      <c r="BU112" s="0" t="n">
        <f aca="false">IF(Presupuesto!$B$53='Flujo de Pagos'!$E112,53,9999)</f>
        <v>53</v>
      </c>
      <c r="BV112" s="0" t="n">
        <f aca="false">IF(Presupuesto!$B$54='Flujo de Pagos'!$E112,54,9999)</f>
        <v>54</v>
      </c>
      <c r="BW112" s="0" t="n">
        <f aca="false">IF(Presupuesto!$B$55='Flujo de Pagos'!$E112,55,9999)</f>
        <v>55</v>
      </c>
      <c r="BX112" s="0" t="n">
        <f aca="false">IF(Presupuesto!$B$56='Flujo de Pagos'!$E112,56,9999)</f>
        <v>56</v>
      </c>
      <c r="BY112" s="0" t="n">
        <f aca="false">IF(Presupuesto!$B$57='Flujo de Pagos'!$E112,57,9999)</f>
        <v>57</v>
      </c>
      <c r="BZ112" s="0" t="n">
        <f aca="false">IF(Presupuesto!$B$58='Flujo de Pagos'!$E112,58,9999)</f>
        <v>58</v>
      </c>
      <c r="CA112" s="0" t="n">
        <f aca="false">IF(Presupuesto!$B$59='Flujo de Pagos'!$E112,59,9999)</f>
        <v>59</v>
      </c>
      <c r="CB112" s="0" t="n">
        <f aca="false">IF(Presupuesto!$B$60='Flujo de Pagos'!$E112,60,9999)</f>
        <v>60</v>
      </c>
      <c r="CC112" s="0" t="n">
        <f aca="false">IF(Presupuesto!$B$61='Flujo de Pagos'!$E112,61,9999)</f>
        <v>61</v>
      </c>
      <c r="CD112" s="0" t="n">
        <f aca="false">IF(Presupuesto!$B$62='Flujo de Pagos'!$E112,62,9999)</f>
        <v>62</v>
      </c>
      <c r="CE112" s="0" t="n">
        <f aca="false">IF(Presupuesto!$B$63='Flujo de Pagos'!$E112,63,9999)</f>
        <v>63</v>
      </c>
      <c r="CF112" s="0" t="n">
        <f aca="false">IF(Presupuesto!$B$64='Flujo de Pagos'!$E112,64,9999)</f>
        <v>64</v>
      </c>
      <c r="CG112" s="0" t="n">
        <f aca="false">IF(Presupuesto!$B$65='Flujo de Pagos'!$E112,65,9999)</f>
        <v>65</v>
      </c>
      <c r="CH112" s="0" t="n">
        <f aca="false">IF(Presupuesto!$B$66='Flujo de Pagos'!$E112,66,9999)</f>
        <v>66</v>
      </c>
    </row>
    <row r="113" customFormat="false" ht="15" hidden="false" customHeight="true" outlineLevel="0" collapsed="false">
      <c r="B113" s="1" t="n">
        <f aca="false">IF(AND('Flujo de Pagos'!E118=Carátula!$B$2,'Flujo de Pagos'!F118=Carátula!$B$4,'Flujo de Pagos'!H118&lt;&gt;""),118,99999)</f>
        <v>99999</v>
      </c>
      <c r="H113" s="1" t="n">
        <f aca="false">IF(SMALL($AA113:$CH113,1)&gt;=9999,"",INDEX(Presupuesto!$C:$C,SMALL($AA113:$CH113,1)))</f>
        <v>0</v>
      </c>
      <c r="I113" s="1" t="n">
        <f aca="false">IF(SMALL($AA113:$CH113,2)&gt;=9999,"",INDEX(Presupuesto!$C:$C,SMALL($AA113:$CH113,2)))</f>
        <v>0</v>
      </c>
      <c r="J113" s="1" t="n">
        <f aca="false">IF(SMALL($AA113:$CH113,3)&gt;=9999,"",INDEX(Presupuesto!$C:$C,SMALL($AA113:$CH113,3)))</f>
        <v>0</v>
      </c>
      <c r="K113" s="1" t="n">
        <f aca="false">IF(SMALL($AA113:$CH113,4)&gt;=9999,"",INDEX(Presupuesto!$C:$C,SMALL($AA113:$CH113,4)))</f>
        <v>0</v>
      </c>
      <c r="L113" s="1" t="n">
        <f aca="false">IF(SMALL($AA113:$CH113,5)&gt;=9999,"",INDEX(Presupuesto!$C:$C,SMALL($AA113:$CH113,5)))</f>
        <v>0</v>
      </c>
      <c r="M113" s="1" t="n">
        <f aca="false">IF(SMALL($AA113:$CH113,6)&gt;=9999,"",INDEX(Presupuesto!$C:$C,SMALL($AA113:$CH113,6)))</f>
        <v>0</v>
      </c>
      <c r="N113" s="1" t="n">
        <f aca="false">IF(SMALL($AA113:$CH113,7)&gt;=9999,"",INDEX(Presupuesto!$C:$C,SMALL($AA113:$CH113,7)))</f>
        <v>0</v>
      </c>
      <c r="O113" s="1" t="n">
        <f aca="false">IF(SMALL($AA113:$CH113,8)&gt;=9999,"",INDEX(Presupuesto!$C:$C,SMALL($AA113:$CH113,8)))</f>
        <v>0</v>
      </c>
      <c r="P113" s="1" t="n">
        <f aca="false">IF(SMALL($AA113:$CH113,9)&gt;=9999,"",INDEX(Presupuesto!$C:$C,SMALL($AA113:$CH113,9)))</f>
        <v>0</v>
      </c>
      <c r="Q113" s="1" t="n">
        <f aca="false">IF(SMALL($AA113:$CH113,10)&gt;=9999,"",INDEX(Presupuesto!$C:$C,SMALL($AA113:$CH113,10)))</f>
        <v>0</v>
      </c>
      <c r="AA113" s="0" t="n">
        <f aca="false">IF(Presupuesto!$B$7='Flujo de Pagos'!$E113,7,9999)</f>
        <v>9999</v>
      </c>
      <c r="AB113" s="0" t="n">
        <f aca="false">IF(Presupuesto!$B$8='Flujo de Pagos'!$E113,8,9999)</f>
        <v>9999</v>
      </c>
      <c r="AC113" s="0" t="n">
        <f aca="false">IF(Presupuesto!$B$9='Flujo de Pagos'!$E113,9,9999)</f>
        <v>9999</v>
      </c>
      <c r="AD113" s="0" t="n">
        <f aca="false">IF(Presupuesto!$B$10='Flujo de Pagos'!$E113,10,9999)</f>
        <v>9999</v>
      </c>
      <c r="AE113" s="0" t="n">
        <f aca="false">IF(Presupuesto!$B$11='Flujo de Pagos'!$E113,11,9999)</f>
        <v>9999</v>
      </c>
      <c r="AF113" s="0" t="n">
        <f aca="false">IF(Presupuesto!$B$12='Flujo de Pagos'!$E113,12,9999)</f>
        <v>12</v>
      </c>
      <c r="AG113" s="0" t="n">
        <f aca="false">IF(Presupuesto!$B$13='Flujo de Pagos'!$E113,13,9999)</f>
        <v>13</v>
      </c>
      <c r="AH113" s="0" t="n">
        <f aca="false">IF(Presupuesto!$B$14='Flujo de Pagos'!$E113,14,9999)</f>
        <v>14</v>
      </c>
      <c r="AI113" s="0" t="n">
        <f aca="false">IF(Presupuesto!$B$15='Flujo de Pagos'!$E113,15,9999)</f>
        <v>15</v>
      </c>
      <c r="AJ113" s="0" t="n">
        <f aca="false">IF(Presupuesto!$B$16='Flujo de Pagos'!$E113,16,9999)</f>
        <v>16</v>
      </c>
      <c r="AK113" s="0" t="n">
        <f aca="false">IF(Presupuesto!$B$17='Flujo de Pagos'!$E113,17,9999)</f>
        <v>17</v>
      </c>
      <c r="AL113" s="0" t="n">
        <f aca="false">IF(Presupuesto!$B$18='Flujo de Pagos'!$E113,18,9999)</f>
        <v>18</v>
      </c>
      <c r="AM113" s="0" t="n">
        <f aca="false">IF(Presupuesto!$B$19='Flujo de Pagos'!$E113,19,9999)</f>
        <v>19</v>
      </c>
      <c r="AN113" s="0" t="n">
        <f aca="false">IF(Presupuesto!$B$20='Flujo de Pagos'!$E113,20,9999)</f>
        <v>20</v>
      </c>
      <c r="AO113" s="0" t="n">
        <f aca="false">IF(Presupuesto!$B$21='Flujo de Pagos'!$E113,21,9999)</f>
        <v>21</v>
      </c>
      <c r="AP113" s="0" t="n">
        <f aca="false">IF(Presupuesto!$B$22='Flujo de Pagos'!$E113,22,9999)</f>
        <v>22</v>
      </c>
      <c r="AQ113" s="0" t="n">
        <f aca="false">IF(Presupuesto!$B$23='Flujo de Pagos'!$E113,23,9999)</f>
        <v>23</v>
      </c>
      <c r="AR113" s="0" t="n">
        <f aca="false">IF(Presupuesto!$B$24='Flujo de Pagos'!$E113,24,9999)</f>
        <v>24</v>
      </c>
      <c r="AS113" s="0" t="n">
        <f aca="false">IF(Presupuesto!$B$25='Flujo de Pagos'!$E113,25,9999)</f>
        <v>25</v>
      </c>
      <c r="AT113" s="0" t="n">
        <f aca="false">IF(Presupuesto!$B$26='Flujo de Pagos'!$E113,26,9999)</f>
        <v>26</v>
      </c>
      <c r="AU113" s="0" t="n">
        <f aca="false">IF(Presupuesto!$B$27='Flujo de Pagos'!$E113,27,9999)</f>
        <v>27</v>
      </c>
      <c r="AV113" s="0" t="n">
        <f aca="false">IF(Presupuesto!$B$28='Flujo de Pagos'!$E113,28,9999)</f>
        <v>28</v>
      </c>
      <c r="AW113" s="0" t="n">
        <f aca="false">IF(Presupuesto!$B$29='Flujo de Pagos'!$E113,29,9999)</f>
        <v>29</v>
      </c>
      <c r="AX113" s="0" t="n">
        <f aca="false">IF(Presupuesto!$B$30='Flujo de Pagos'!$E113,30,9999)</f>
        <v>30</v>
      </c>
      <c r="AY113" s="0" t="n">
        <f aca="false">IF(Presupuesto!$B$31='Flujo de Pagos'!$E113,31,9999)</f>
        <v>31</v>
      </c>
      <c r="AZ113" s="0" t="n">
        <f aca="false">IF(Presupuesto!$B$32='Flujo de Pagos'!$E113,32,9999)</f>
        <v>32</v>
      </c>
      <c r="BA113" s="0" t="n">
        <f aca="false">IF(Presupuesto!$B$33='Flujo de Pagos'!$E113,33,9999)</f>
        <v>33</v>
      </c>
      <c r="BB113" s="0" t="n">
        <f aca="false">IF(Presupuesto!$B$34='Flujo de Pagos'!$E113,34,9999)</f>
        <v>34</v>
      </c>
      <c r="BC113" s="0" t="n">
        <f aca="false">IF(Presupuesto!$B$35='Flujo de Pagos'!$E113,35,9999)</f>
        <v>35</v>
      </c>
      <c r="BD113" s="0" t="n">
        <f aca="false">IF(Presupuesto!$B$36='Flujo de Pagos'!$E113,36,9999)</f>
        <v>36</v>
      </c>
      <c r="BE113" s="0" t="n">
        <f aca="false">IF(Presupuesto!$B$37='Flujo de Pagos'!$E113,37,9999)</f>
        <v>37</v>
      </c>
      <c r="BF113" s="0" t="n">
        <f aca="false">IF(Presupuesto!$B$38='Flujo de Pagos'!$E113,38,9999)</f>
        <v>38</v>
      </c>
      <c r="BG113" s="0" t="n">
        <f aca="false">IF(Presupuesto!$B$39='Flujo de Pagos'!$E113,39,9999)</f>
        <v>39</v>
      </c>
      <c r="BH113" s="0" t="n">
        <f aca="false">IF(Presupuesto!$B$40='Flujo de Pagos'!$E113,40,9999)</f>
        <v>40</v>
      </c>
      <c r="BI113" s="0" t="n">
        <f aca="false">IF(Presupuesto!$B$41='Flujo de Pagos'!$E113,41,9999)</f>
        <v>41</v>
      </c>
      <c r="BJ113" s="0" t="n">
        <f aca="false">IF(Presupuesto!$B$42='Flujo de Pagos'!$E113,42,9999)</f>
        <v>42</v>
      </c>
      <c r="BK113" s="0" t="n">
        <f aca="false">IF(Presupuesto!$B$43='Flujo de Pagos'!$E113,43,9999)</f>
        <v>43</v>
      </c>
      <c r="BL113" s="0" t="n">
        <f aca="false">IF(Presupuesto!$B$44='Flujo de Pagos'!$E113,44,9999)</f>
        <v>44</v>
      </c>
      <c r="BM113" s="0" t="n">
        <f aca="false">IF(Presupuesto!$B$45='Flujo de Pagos'!$E113,45,9999)</f>
        <v>45</v>
      </c>
      <c r="BN113" s="0" t="n">
        <f aca="false">IF(Presupuesto!$B$46='Flujo de Pagos'!$E113,46,9999)</f>
        <v>46</v>
      </c>
      <c r="BO113" s="0" t="n">
        <f aca="false">IF(Presupuesto!$B$47='Flujo de Pagos'!$E113,47,9999)</f>
        <v>47</v>
      </c>
      <c r="BP113" s="0" t="n">
        <f aca="false">IF(Presupuesto!$B$48='Flujo de Pagos'!$E113,48,9999)</f>
        <v>48</v>
      </c>
      <c r="BQ113" s="0" t="n">
        <f aca="false">IF(Presupuesto!$B$49='Flujo de Pagos'!$E113,49,9999)</f>
        <v>49</v>
      </c>
      <c r="BR113" s="0" t="n">
        <f aca="false">IF(Presupuesto!$B$50='Flujo de Pagos'!$E113,50,9999)</f>
        <v>50</v>
      </c>
      <c r="BS113" s="0" t="n">
        <f aca="false">IF(Presupuesto!$B$51='Flujo de Pagos'!$E113,51,9999)</f>
        <v>51</v>
      </c>
      <c r="BT113" s="0" t="n">
        <f aca="false">IF(Presupuesto!$B$52='Flujo de Pagos'!$E113,52,9999)</f>
        <v>52</v>
      </c>
      <c r="BU113" s="0" t="n">
        <f aca="false">IF(Presupuesto!$B$53='Flujo de Pagos'!$E113,53,9999)</f>
        <v>53</v>
      </c>
      <c r="BV113" s="0" t="n">
        <f aca="false">IF(Presupuesto!$B$54='Flujo de Pagos'!$E113,54,9999)</f>
        <v>54</v>
      </c>
      <c r="BW113" s="0" t="n">
        <f aca="false">IF(Presupuesto!$B$55='Flujo de Pagos'!$E113,55,9999)</f>
        <v>55</v>
      </c>
      <c r="BX113" s="0" t="n">
        <f aca="false">IF(Presupuesto!$B$56='Flujo de Pagos'!$E113,56,9999)</f>
        <v>56</v>
      </c>
      <c r="BY113" s="0" t="n">
        <f aca="false">IF(Presupuesto!$B$57='Flujo de Pagos'!$E113,57,9999)</f>
        <v>57</v>
      </c>
      <c r="BZ113" s="0" t="n">
        <f aca="false">IF(Presupuesto!$B$58='Flujo de Pagos'!$E113,58,9999)</f>
        <v>58</v>
      </c>
      <c r="CA113" s="0" t="n">
        <f aca="false">IF(Presupuesto!$B$59='Flujo de Pagos'!$E113,59,9999)</f>
        <v>59</v>
      </c>
      <c r="CB113" s="0" t="n">
        <f aca="false">IF(Presupuesto!$B$60='Flujo de Pagos'!$E113,60,9999)</f>
        <v>60</v>
      </c>
      <c r="CC113" s="0" t="n">
        <f aca="false">IF(Presupuesto!$B$61='Flujo de Pagos'!$E113,61,9999)</f>
        <v>61</v>
      </c>
      <c r="CD113" s="0" t="n">
        <f aca="false">IF(Presupuesto!$B$62='Flujo de Pagos'!$E113,62,9999)</f>
        <v>62</v>
      </c>
      <c r="CE113" s="0" t="n">
        <f aca="false">IF(Presupuesto!$B$63='Flujo de Pagos'!$E113,63,9999)</f>
        <v>63</v>
      </c>
      <c r="CF113" s="0" t="n">
        <f aca="false">IF(Presupuesto!$B$64='Flujo de Pagos'!$E113,64,9999)</f>
        <v>64</v>
      </c>
      <c r="CG113" s="0" t="n">
        <f aca="false">IF(Presupuesto!$B$65='Flujo de Pagos'!$E113,65,9999)</f>
        <v>65</v>
      </c>
      <c r="CH113" s="0" t="n">
        <f aca="false">IF(Presupuesto!$B$66='Flujo de Pagos'!$E113,66,9999)</f>
        <v>66</v>
      </c>
    </row>
    <row r="114" customFormat="false" ht="15" hidden="false" customHeight="true" outlineLevel="0" collapsed="false">
      <c r="B114" s="1" t="n">
        <f aca="false">IF(AND('Flujo de Pagos'!E119=Carátula!$B$2,'Flujo de Pagos'!F119=Carátula!$B$4,'Flujo de Pagos'!H119&lt;&gt;""),119,99999)</f>
        <v>99999</v>
      </c>
      <c r="H114" s="1" t="n">
        <f aca="false">IF(SMALL($AA114:$CH114,1)&gt;=9999,"",INDEX(Presupuesto!$C:$C,SMALL($AA114:$CH114,1)))</f>
        <v>0</v>
      </c>
      <c r="I114" s="1" t="n">
        <f aca="false">IF(SMALL($AA114:$CH114,2)&gt;=9999,"",INDEX(Presupuesto!$C:$C,SMALL($AA114:$CH114,2)))</f>
        <v>0</v>
      </c>
      <c r="J114" s="1" t="n">
        <f aca="false">IF(SMALL($AA114:$CH114,3)&gt;=9999,"",INDEX(Presupuesto!$C:$C,SMALL($AA114:$CH114,3)))</f>
        <v>0</v>
      </c>
      <c r="K114" s="1" t="n">
        <f aca="false">IF(SMALL($AA114:$CH114,4)&gt;=9999,"",INDEX(Presupuesto!$C:$C,SMALL($AA114:$CH114,4)))</f>
        <v>0</v>
      </c>
      <c r="L114" s="1" t="n">
        <f aca="false">IF(SMALL($AA114:$CH114,5)&gt;=9999,"",INDEX(Presupuesto!$C:$C,SMALL($AA114:$CH114,5)))</f>
        <v>0</v>
      </c>
      <c r="M114" s="1" t="n">
        <f aca="false">IF(SMALL($AA114:$CH114,6)&gt;=9999,"",INDEX(Presupuesto!$C:$C,SMALL($AA114:$CH114,6)))</f>
        <v>0</v>
      </c>
      <c r="N114" s="1" t="n">
        <f aca="false">IF(SMALL($AA114:$CH114,7)&gt;=9999,"",INDEX(Presupuesto!$C:$C,SMALL($AA114:$CH114,7)))</f>
        <v>0</v>
      </c>
      <c r="O114" s="1" t="n">
        <f aca="false">IF(SMALL($AA114:$CH114,8)&gt;=9999,"",INDEX(Presupuesto!$C:$C,SMALL($AA114:$CH114,8)))</f>
        <v>0</v>
      </c>
      <c r="P114" s="1" t="n">
        <f aca="false">IF(SMALL($AA114:$CH114,9)&gt;=9999,"",INDEX(Presupuesto!$C:$C,SMALL($AA114:$CH114,9)))</f>
        <v>0</v>
      </c>
      <c r="Q114" s="1" t="n">
        <f aca="false">IF(SMALL($AA114:$CH114,10)&gt;=9999,"",INDEX(Presupuesto!$C:$C,SMALL($AA114:$CH114,10)))</f>
        <v>0</v>
      </c>
      <c r="AA114" s="0" t="n">
        <f aca="false">IF(Presupuesto!$B$7='Flujo de Pagos'!$E114,7,9999)</f>
        <v>9999</v>
      </c>
      <c r="AB114" s="0" t="n">
        <f aca="false">IF(Presupuesto!$B$8='Flujo de Pagos'!$E114,8,9999)</f>
        <v>9999</v>
      </c>
      <c r="AC114" s="0" t="n">
        <f aca="false">IF(Presupuesto!$B$9='Flujo de Pagos'!$E114,9,9999)</f>
        <v>9999</v>
      </c>
      <c r="AD114" s="0" t="n">
        <f aca="false">IF(Presupuesto!$B$10='Flujo de Pagos'!$E114,10,9999)</f>
        <v>9999</v>
      </c>
      <c r="AE114" s="0" t="n">
        <f aca="false">IF(Presupuesto!$B$11='Flujo de Pagos'!$E114,11,9999)</f>
        <v>9999</v>
      </c>
      <c r="AF114" s="0" t="n">
        <f aca="false">IF(Presupuesto!$B$12='Flujo de Pagos'!$E114,12,9999)</f>
        <v>12</v>
      </c>
      <c r="AG114" s="0" t="n">
        <f aca="false">IF(Presupuesto!$B$13='Flujo de Pagos'!$E114,13,9999)</f>
        <v>13</v>
      </c>
      <c r="AH114" s="0" t="n">
        <f aca="false">IF(Presupuesto!$B$14='Flujo de Pagos'!$E114,14,9999)</f>
        <v>14</v>
      </c>
      <c r="AI114" s="0" t="n">
        <f aca="false">IF(Presupuesto!$B$15='Flujo de Pagos'!$E114,15,9999)</f>
        <v>15</v>
      </c>
      <c r="AJ114" s="0" t="n">
        <f aca="false">IF(Presupuesto!$B$16='Flujo de Pagos'!$E114,16,9999)</f>
        <v>16</v>
      </c>
      <c r="AK114" s="0" t="n">
        <f aca="false">IF(Presupuesto!$B$17='Flujo de Pagos'!$E114,17,9999)</f>
        <v>17</v>
      </c>
      <c r="AL114" s="0" t="n">
        <f aca="false">IF(Presupuesto!$B$18='Flujo de Pagos'!$E114,18,9999)</f>
        <v>18</v>
      </c>
      <c r="AM114" s="0" t="n">
        <f aca="false">IF(Presupuesto!$B$19='Flujo de Pagos'!$E114,19,9999)</f>
        <v>19</v>
      </c>
      <c r="AN114" s="0" t="n">
        <f aca="false">IF(Presupuesto!$B$20='Flujo de Pagos'!$E114,20,9999)</f>
        <v>20</v>
      </c>
      <c r="AO114" s="0" t="n">
        <f aca="false">IF(Presupuesto!$B$21='Flujo de Pagos'!$E114,21,9999)</f>
        <v>21</v>
      </c>
      <c r="AP114" s="0" t="n">
        <f aca="false">IF(Presupuesto!$B$22='Flujo de Pagos'!$E114,22,9999)</f>
        <v>22</v>
      </c>
      <c r="AQ114" s="0" t="n">
        <f aca="false">IF(Presupuesto!$B$23='Flujo de Pagos'!$E114,23,9999)</f>
        <v>23</v>
      </c>
      <c r="AR114" s="0" t="n">
        <f aca="false">IF(Presupuesto!$B$24='Flujo de Pagos'!$E114,24,9999)</f>
        <v>24</v>
      </c>
      <c r="AS114" s="0" t="n">
        <f aca="false">IF(Presupuesto!$B$25='Flujo de Pagos'!$E114,25,9999)</f>
        <v>25</v>
      </c>
      <c r="AT114" s="0" t="n">
        <f aca="false">IF(Presupuesto!$B$26='Flujo de Pagos'!$E114,26,9999)</f>
        <v>26</v>
      </c>
      <c r="AU114" s="0" t="n">
        <f aca="false">IF(Presupuesto!$B$27='Flujo de Pagos'!$E114,27,9999)</f>
        <v>27</v>
      </c>
      <c r="AV114" s="0" t="n">
        <f aca="false">IF(Presupuesto!$B$28='Flujo de Pagos'!$E114,28,9999)</f>
        <v>28</v>
      </c>
      <c r="AW114" s="0" t="n">
        <f aca="false">IF(Presupuesto!$B$29='Flujo de Pagos'!$E114,29,9999)</f>
        <v>29</v>
      </c>
      <c r="AX114" s="0" t="n">
        <f aca="false">IF(Presupuesto!$B$30='Flujo de Pagos'!$E114,30,9999)</f>
        <v>30</v>
      </c>
      <c r="AY114" s="0" t="n">
        <f aca="false">IF(Presupuesto!$B$31='Flujo de Pagos'!$E114,31,9999)</f>
        <v>31</v>
      </c>
      <c r="AZ114" s="0" t="n">
        <f aca="false">IF(Presupuesto!$B$32='Flujo de Pagos'!$E114,32,9999)</f>
        <v>32</v>
      </c>
      <c r="BA114" s="0" t="n">
        <f aca="false">IF(Presupuesto!$B$33='Flujo de Pagos'!$E114,33,9999)</f>
        <v>33</v>
      </c>
      <c r="BB114" s="0" t="n">
        <f aca="false">IF(Presupuesto!$B$34='Flujo de Pagos'!$E114,34,9999)</f>
        <v>34</v>
      </c>
      <c r="BC114" s="0" t="n">
        <f aca="false">IF(Presupuesto!$B$35='Flujo de Pagos'!$E114,35,9999)</f>
        <v>35</v>
      </c>
      <c r="BD114" s="0" t="n">
        <f aca="false">IF(Presupuesto!$B$36='Flujo de Pagos'!$E114,36,9999)</f>
        <v>36</v>
      </c>
      <c r="BE114" s="0" t="n">
        <f aca="false">IF(Presupuesto!$B$37='Flujo de Pagos'!$E114,37,9999)</f>
        <v>37</v>
      </c>
      <c r="BF114" s="0" t="n">
        <f aca="false">IF(Presupuesto!$B$38='Flujo de Pagos'!$E114,38,9999)</f>
        <v>38</v>
      </c>
      <c r="BG114" s="0" t="n">
        <f aca="false">IF(Presupuesto!$B$39='Flujo de Pagos'!$E114,39,9999)</f>
        <v>39</v>
      </c>
      <c r="BH114" s="0" t="n">
        <f aca="false">IF(Presupuesto!$B$40='Flujo de Pagos'!$E114,40,9999)</f>
        <v>40</v>
      </c>
      <c r="BI114" s="0" t="n">
        <f aca="false">IF(Presupuesto!$B$41='Flujo de Pagos'!$E114,41,9999)</f>
        <v>41</v>
      </c>
      <c r="BJ114" s="0" t="n">
        <f aca="false">IF(Presupuesto!$B$42='Flujo de Pagos'!$E114,42,9999)</f>
        <v>42</v>
      </c>
      <c r="BK114" s="0" t="n">
        <f aca="false">IF(Presupuesto!$B$43='Flujo de Pagos'!$E114,43,9999)</f>
        <v>43</v>
      </c>
      <c r="BL114" s="0" t="n">
        <f aca="false">IF(Presupuesto!$B$44='Flujo de Pagos'!$E114,44,9999)</f>
        <v>44</v>
      </c>
      <c r="BM114" s="0" t="n">
        <f aca="false">IF(Presupuesto!$B$45='Flujo de Pagos'!$E114,45,9999)</f>
        <v>45</v>
      </c>
      <c r="BN114" s="0" t="n">
        <f aca="false">IF(Presupuesto!$B$46='Flujo de Pagos'!$E114,46,9999)</f>
        <v>46</v>
      </c>
      <c r="BO114" s="0" t="n">
        <f aca="false">IF(Presupuesto!$B$47='Flujo de Pagos'!$E114,47,9999)</f>
        <v>47</v>
      </c>
      <c r="BP114" s="0" t="n">
        <f aca="false">IF(Presupuesto!$B$48='Flujo de Pagos'!$E114,48,9999)</f>
        <v>48</v>
      </c>
      <c r="BQ114" s="0" t="n">
        <f aca="false">IF(Presupuesto!$B$49='Flujo de Pagos'!$E114,49,9999)</f>
        <v>49</v>
      </c>
      <c r="BR114" s="0" t="n">
        <f aca="false">IF(Presupuesto!$B$50='Flujo de Pagos'!$E114,50,9999)</f>
        <v>50</v>
      </c>
      <c r="BS114" s="0" t="n">
        <f aca="false">IF(Presupuesto!$B$51='Flujo de Pagos'!$E114,51,9999)</f>
        <v>51</v>
      </c>
      <c r="BT114" s="0" t="n">
        <f aca="false">IF(Presupuesto!$B$52='Flujo de Pagos'!$E114,52,9999)</f>
        <v>52</v>
      </c>
      <c r="BU114" s="0" t="n">
        <f aca="false">IF(Presupuesto!$B$53='Flujo de Pagos'!$E114,53,9999)</f>
        <v>53</v>
      </c>
      <c r="BV114" s="0" t="n">
        <f aca="false">IF(Presupuesto!$B$54='Flujo de Pagos'!$E114,54,9999)</f>
        <v>54</v>
      </c>
      <c r="BW114" s="0" t="n">
        <f aca="false">IF(Presupuesto!$B$55='Flujo de Pagos'!$E114,55,9999)</f>
        <v>55</v>
      </c>
      <c r="BX114" s="0" t="n">
        <f aca="false">IF(Presupuesto!$B$56='Flujo de Pagos'!$E114,56,9999)</f>
        <v>56</v>
      </c>
      <c r="BY114" s="0" t="n">
        <f aca="false">IF(Presupuesto!$B$57='Flujo de Pagos'!$E114,57,9999)</f>
        <v>57</v>
      </c>
      <c r="BZ114" s="0" t="n">
        <f aca="false">IF(Presupuesto!$B$58='Flujo de Pagos'!$E114,58,9999)</f>
        <v>58</v>
      </c>
      <c r="CA114" s="0" t="n">
        <f aca="false">IF(Presupuesto!$B$59='Flujo de Pagos'!$E114,59,9999)</f>
        <v>59</v>
      </c>
      <c r="CB114" s="0" t="n">
        <f aca="false">IF(Presupuesto!$B$60='Flujo de Pagos'!$E114,60,9999)</f>
        <v>60</v>
      </c>
      <c r="CC114" s="0" t="n">
        <f aca="false">IF(Presupuesto!$B$61='Flujo de Pagos'!$E114,61,9999)</f>
        <v>61</v>
      </c>
      <c r="CD114" s="0" t="n">
        <f aca="false">IF(Presupuesto!$B$62='Flujo de Pagos'!$E114,62,9999)</f>
        <v>62</v>
      </c>
      <c r="CE114" s="0" t="n">
        <f aca="false">IF(Presupuesto!$B$63='Flujo de Pagos'!$E114,63,9999)</f>
        <v>63</v>
      </c>
      <c r="CF114" s="0" t="n">
        <f aca="false">IF(Presupuesto!$B$64='Flujo de Pagos'!$E114,64,9999)</f>
        <v>64</v>
      </c>
      <c r="CG114" s="0" t="n">
        <f aca="false">IF(Presupuesto!$B$65='Flujo de Pagos'!$E114,65,9999)</f>
        <v>65</v>
      </c>
      <c r="CH114" s="0" t="n">
        <f aca="false">IF(Presupuesto!$B$66='Flujo de Pagos'!$E114,66,9999)</f>
        <v>66</v>
      </c>
    </row>
    <row r="115" customFormat="false" ht="15" hidden="false" customHeight="true" outlineLevel="0" collapsed="false">
      <c r="B115" s="1" t="n">
        <f aca="false">IF(AND('Flujo de Pagos'!E120=Carátula!$B$2,'Flujo de Pagos'!F120=Carátula!$B$4,'Flujo de Pagos'!H120&lt;&gt;""),120,99999)</f>
        <v>99999</v>
      </c>
      <c r="H115" s="1" t="n">
        <f aca="false">IF(SMALL($AA115:$CH115,1)&gt;=9999,"",INDEX(Presupuesto!$C:$C,SMALL($AA115:$CH115,1)))</f>
        <v>0</v>
      </c>
      <c r="I115" s="1" t="n">
        <f aca="false">IF(SMALL($AA115:$CH115,2)&gt;=9999,"",INDEX(Presupuesto!$C:$C,SMALL($AA115:$CH115,2)))</f>
        <v>0</v>
      </c>
      <c r="J115" s="1" t="n">
        <f aca="false">IF(SMALL($AA115:$CH115,3)&gt;=9999,"",INDEX(Presupuesto!$C:$C,SMALL($AA115:$CH115,3)))</f>
        <v>0</v>
      </c>
      <c r="K115" s="1" t="n">
        <f aca="false">IF(SMALL($AA115:$CH115,4)&gt;=9999,"",INDEX(Presupuesto!$C:$C,SMALL($AA115:$CH115,4)))</f>
        <v>0</v>
      </c>
      <c r="L115" s="1" t="n">
        <f aca="false">IF(SMALL($AA115:$CH115,5)&gt;=9999,"",INDEX(Presupuesto!$C:$C,SMALL($AA115:$CH115,5)))</f>
        <v>0</v>
      </c>
      <c r="M115" s="1" t="n">
        <f aca="false">IF(SMALL($AA115:$CH115,6)&gt;=9999,"",INDEX(Presupuesto!$C:$C,SMALL($AA115:$CH115,6)))</f>
        <v>0</v>
      </c>
      <c r="N115" s="1" t="n">
        <f aca="false">IF(SMALL($AA115:$CH115,7)&gt;=9999,"",INDEX(Presupuesto!$C:$C,SMALL($AA115:$CH115,7)))</f>
        <v>0</v>
      </c>
      <c r="O115" s="1" t="n">
        <f aca="false">IF(SMALL($AA115:$CH115,8)&gt;=9999,"",INDEX(Presupuesto!$C:$C,SMALL($AA115:$CH115,8)))</f>
        <v>0</v>
      </c>
      <c r="P115" s="1" t="n">
        <f aca="false">IF(SMALL($AA115:$CH115,9)&gt;=9999,"",INDEX(Presupuesto!$C:$C,SMALL($AA115:$CH115,9)))</f>
        <v>0</v>
      </c>
      <c r="Q115" s="1" t="n">
        <f aca="false">IF(SMALL($AA115:$CH115,10)&gt;=9999,"",INDEX(Presupuesto!$C:$C,SMALL($AA115:$CH115,10)))</f>
        <v>0</v>
      </c>
      <c r="AA115" s="0" t="n">
        <f aca="false">IF(Presupuesto!$B$7='Flujo de Pagos'!$E115,7,9999)</f>
        <v>9999</v>
      </c>
      <c r="AB115" s="0" t="n">
        <f aca="false">IF(Presupuesto!$B$8='Flujo de Pagos'!$E115,8,9999)</f>
        <v>9999</v>
      </c>
      <c r="AC115" s="0" t="n">
        <f aca="false">IF(Presupuesto!$B$9='Flujo de Pagos'!$E115,9,9999)</f>
        <v>9999</v>
      </c>
      <c r="AD115" s="0" t="n">
        <f aca="false">IF(Presupuesto!$B$10='Flujo de Pagos'!$E115,10,9999)</f>
        <v>9999</v>
      </c>
      <c r="AE115" s="0" t="n">
        <f aca="false">IF(Presupuesto!$B$11='Flujo de Pagos'!$E115,11,9999)</f>
        <v>9999</v>
      </c>
      <c r="AF115" s="0" t="n">
        <f aca="false">IF(Presupuesto!$B$12='Flujo de Pagos'!$E115,12,9999)</f>
        <v>12</v>
      </c>
      <c r="AG115" s="0" t="n">
        <f aca="false">IF(Presupuesto!$B$13='Flujo de Pagos'!$E115,13,9999)</f>
        <v>13</v>
      </c>
      <c r="AH115" s="0" t="n">
        <f aca="false">IF(Presupuesto!$B$14='Flujo de Pagos'!$E115,14,9999)</f>
        <v>14</v>
      </c>
      <c r="AI115" s="0" t="n">
        <f aca="false">IF(Presupuesto!$B$15='Flujo de Pagos'!$E115,15,9999)</f>
        <v>15</v>
      </c>
      <c r="AJ115" s="0" t="n">
        <f aca="false">IF(Presupuesto!$B$16='Flujo de Pagos'!$E115,16,9999)</f>
        <v>16</v>
      </c>
      <c r="AK115" s="0" t="n">
        <f aca="false">IF(Presupuesto!$B$17='Flujo de Pagos'!$E115,17,9999)</f>
        <v>17</v>
      </c>
      <c r="AL115" s="0" t="n">
        <f aca="false">IF(Presupuesto!$B$18='Flujo de Pagos'!$E115,18,9999)</f>
        <v>18</v>
      </c>
      <c r="AM115" s="0" t="n">
        <f aca="false">IF(Presupuesto!$B$19='Flujo de Pagos'!$E115,19,9999)</f>
        <v>19</v>
      </c>
      <c r="AN115" s="0" t="n">
        <f aca="false">IF(Presupuesto!$B$20='Flujo de Pagos'!$E115,20,9999)</f>
        <v>20</v>
      </c>
      <c r="AO115" s="0" t="n">
        <f aca="false">IF(Presupuesto!$B$21='Flujo de Pagos'!$E115,21,9999)</f>
        <v>21</v>
      </c>
      <c r="AP115" s="0" t="n">
        <f aca="false">IF(Presupuesto!$B$22='Flujo de Pagos'!$E115,22,9999)</f>
        <v>22</v>
      </c>
      <c r="AQ115" s="0" t="n">
        <f aca="false">IF(Presupuesto!$B$23='Flujo de Pagos'!$E115,23,9999)</f>
        <v>23</v>
      </c>
      <c r="AR115" s="0" t="n">
        <f aca="false">IF(Presupuesto!$B$24='Flujo de Pagos'!$E115,24,9999)</f>
        <v>24</v>
      </c>
      <c r="AS115" s="0" t="n">
        <f aca="false">IF(Presupuesto!$B$25='Flujo de Pagos'!$E115,25,9999)</f>
        <v>25</v>
      </c>
      <c r="AT115" s="0" t="n">
        <f aca="false">IF(Presupuesto!$B$26='Flujo de Pagos'!$E115,26,9999)</f>
        <v>26</v>
      </c>
      <c r="AU115" s="0" t="n">
        <f aca="false">IF(Presupuesto!$B$27='Flujo de Pagos'!$E115,27,9999)</f>
        <v>27</v>
      </c>
      <c r="AV115" s="0" t="n">
        <f aca="false">IF(Presupuesto!$B$28='Flujo de Pagos'!$E115,28,9999)</f>
        <v>28</v>
      </c>
      <c r="AW115" s="0" t="n">
        <f aca="false">IF(Presupuesto!$B$29='Flujo de Pagos'!$E115,29,9999)</f>
        <v>29</v>
      </c>
      <c r="AX115" s="0" t="n">
        <f aca="false">IF(Presupuesto!$B$30='Flujo de Pagos'!$E115,30,9999)</f>
        <v>30</v>
      </c>
      <c r="AY115" s="0" t="n">
        <f aca="false">IF(Presupuesto!$B$31='Flujo de Pagos'!$E115,31,9999)</f>
        <v>31</v>
      </c>
      <c r="AZ115" s="0" t="n">
        <f aca="false">IF(Presupuesto!$B$32='Flujo de Pagos'!$E115,32,9999)</f>
        <v>32</v>
      </c>
      <c r="BA115" s="0" t="n">
        <f aca="false">IF(Presupuesto!$B$33='Flujo de Pagos'!$E115,33,9999)</f>
        <v>33</v>
      </c>
      <c r="BB115" s="0" t="n">
        <f aca="false">IF(Presupuesto!$B$34='Flujo de Pagos'!$E115,34,9999)</f>
        <v>34</v>
      </c>
      <c r="BC115" s="0" t="n">
        <f aca="false">IF(Presupuesto!$B$35='Flujo de Pagos'!$E115,35,9999)</f>
        <v>35</v>
      </c>
      <c r="BD115" s="0" t="n">
        <f aca="false">IF(Presupuesto!$B$36='Flujo de Pagos'!$E115,36,9999)</f>
        <v>36</v>
      </c>
      <c r="BE115" s="0" t="n">
        <f aca="false">IF(Presupuesto!$B$37='Flujo de Pagos'!$E115,37,9999)</f>
        <v>37</v>
      </c>
      <c r="BF115" s="0" t="n">
        <f aca="false">IF(Presupuesto!$B$38='Flujo de Pagos'!$E115,38,9999)</f>
        <v>38</v>
      </c>
      <c r="BG115" s="0" t="n">
        <f aca="false">IF(Presupuesto!$B$39='Flujo de Pagos'!$E115,39,9999)</f>
        <v>39</v>
      </c>
      <c r="BH115" s="0" t="n">
        <f aca="false">IF(Presupuesto!$B$40='Flujo de Pagos'!$E115,40,9999)</f>
        <v>40</v>
      </c>
      <c r="BI115" s="0" t="n">
        <f aca="false">IF(Presupuesto!$B$41='Flujo de Pagos'!$E115,41,9999)</f>
        <v>41</v>
      </c>
      <c r="BJ115" s="0" t="n">
        <f aca="false">IF(Presupuesto!$B$42='Flujo de Pagos'!$E115,42,9999)</f>
        <v>42</v>
      </c>
      <c r="BK115" s="0" t="n">
        <f aca="false">IF(Presupuesto!$B$43='Flujo de Pagos'!$E115,43,9999)</f>
        <v>43</v>
      </c>
      <c r="BL115" s="0" t="n">
        <f aca="false">IF(Presupuesto!$B$44='Flujo de Pagos'!$E115,44,9999)</f>
        <v>44</v>
      </c>
      <c r="BM115" s="0" t="n">
        <f aca="false">IF(Presupuesto!$B$45='Flujo de Pagos'!$E115,45,9999)</f>
        <v>45</v>
      </c>
      <c r="BN115" s="0" t="n">
        <f aca="false">IF(Presupuesto!$B$46='Flujo de Pagos'!$E115,46,9999)</f>
        <v>46</v>
      </c>
      <c r="BO115" s="0" t="n">
        <f aca="false">IF(Presupuesto!$B$47='Flujo de Pagos'!$E115,47,9999)</f>
        <v>47</v>
      </c>
      <c r="BP115" s="0" t="n">
        <f aca="false">IF(Presupuesto!$B$48='Flujo de Pagos'!$E115,48,9999)</f>
        <v>48</v>
      </c>
      <c r="BQ115" s="0" t="n">
        <f aca="false">IF(Presupuesto!$B$49='Flujo de Pagos'!$E115,49,9999)</f>
        <v>49</v>
      </c>
      <c r="BR115" s="0" t="n">
        <f aca="false">IF(Presupuesto!$B$50='Flujo de Pagos'!$E115,50,9999)</f>
        <v>50</v>
      </c>
      <c r="BS115" s="0" t="n">
        <f aca="false">IF(Presupuesto!$B$51='Flujo de Pagos'!$E115,51,9999)</f>
        <v>51</v>
      </c>
      <c r="BT115" s="0" t="n">
        <f aca="false">IF(Presupuesto!$B$52='Flujo de Pagos'!$E115,52,9999)</f>
        <v>52</v>
      </c>
      <c r="BU115" s="0" t="n">
        <f aca="false">IF(Presupuesto!$B$53='Flujo de Pagos'!$E115,53,9999)</f>
        <v>53</v>
      </c>
      <c r="BV115" s="0" t="n">
        <f aca="false">IF(Presupuesto!$B$54='Flujo de Pagos'!$E115,54,9999)</f>
        <v>54</v>
      </c>
      <c r="BW115" s="0" t="n">
        <f aca="false">IF(Presupuesto!$B$55='Flujo de Pagos'!$E115,55,9999)</f>
        <v>55</v>
      </c>
      <c r="BX115" s="0" t="n">
        <f aca="false">IF(Presupuesto!$B$56='Flujo de Pagos'!$E115,56,9999)</f>
        <v>56</v>
      </c>
      <c r="BY115" s="0" t="n">
        <f aca="false">IF(Presupuesto!$B$57='Flujo de Pagos'!$E115,57,9999)</f>
        <v>57</v>
      </c>
      <c r="BZ115" s="0" t="n">
        <f aca="false">IF(Presupuesto!$B$58='Flujo de Pagos'!$E115,58,9999)</f>
        <v>58</v>
      </c>
      <c r="CA115" s="0" t="n">
        <f aca="false">IF(Presupuesto!$B$59='Flujo de Pagos'!$E115,59,9999)</f>
        <v>59</v>
      </c>
      <c r="CB115" s="0" t="n">
        <f aca="false">IF(Presupuesto!$B$60='Flujo de Pagos'!$E115,60,9999)</f>
        <v>60</v>
      </c>
      <c r="CC115" s="0" t="n">
        <f aca="false">IF(Presupuesto!$B$61='Flujo de Pagos'!$E115,61,9999)</f>
        <v>61</v>
      </c>
      <c r="CD115" s="0" t="n">
        <f aca="false">IF(Presupuesto!$B$62='Flujo de Pagos'!$E115,62,9999)</f>
        <v>62</v>
      </c>
      <c r="CE115" s="0" t="n">
        <f aca="false">IF(Presupuesto!$B$63='Flujo de Pagos'!$E115,63,9999)</f>
        <v>63</v>
      </c>
      <c r="CF115" s="0" t="n">
        <f aca="false">IF(Presupuesto!$B$64='Flujo de Pagos'!$E115,64,9999)</f>
        <v>64</v>
      </c>
      <c r="CG115" s="0" t="n">
        <f aca="false">IF(Presupuesto!$B$65='Flujo de Pagos'!$E115,65,9999)</f>
        <v>65</v>
      </c>
      <c r="CH115" s="0" t="n">
        <f aca="false">IF(Presupuesto!$B$66='Flujo de Pagos'!$E115,66,9999)</f>
        <v>66</v>
      </c>
    </row>
    <row r="116" customFormat="false" ht="15" hidden="false" customHeight="true" outlineLevel="0" collapsed="false">
      <c r="B116" s="1" t="n">
        <f aca="false">IF(AND('Flujo de Pagos'!E121=Carátula!$B$2,'Flujo de Pagos'!F121=Carátula!$B$4,'Flujo de Pagos'!H121&lt;&gt;""),121,99999)</f>
        <v>99999</v>
      </c>
      <c r="H116" s="1" t="n">
        <f aca="false">IF(SMALL($AA116:$CH116,1)&gt;=9999,"",INDEX(Presupuesto!$C:$C,SMALL($AA116:$CH116,1)))</f>
        <v>0</v>
      </c>
      <c r="I116" s="1" t="n">
        <f aca="false">IF(SMALL($AA116:$CH116,2)&gt;=9999,"",INDEX(Presupuesto!$C:$C,SMALL($AA116:$CH116,2)))</f>
        <v>0</v>
      </c>
      <c r="J116" s="1" t="n">
        <f aca="false">IF(SMALL($AA116:$CH116,3)&gt;=9999,"",INDEX(Presupuesto!$C:$C,SMALL($AA116:$CH116,3)))</f>
        <v>0</v>
      </c>
      <c r="K116" s="1" t="n">
        <f aca="false">IF(SMALL($AA116:$CH116,4)&gt;=9999,"",INDEX(Presupuesto!$C:$C,SMALL($AA116:$CH116,4)))</f>
        <v>0</v>
      </c>
      <c r="L116" s="1" t="n">
        <f aca="false">IF(SMALL($AA116:$CH116,5)&gt;=9999,"",INDEX(Presupuesto!$C:$C,SMALL($AA116:$CH116,5)))</f>
        <v>0</v>
      </c>
      <c r="M116" s="1" t="n">
        <f aca="false">IF(SMALL($AA116:$CH116,6)&gt;=9999,"",INDEX(Presupuesto!$C:$C,SMALL($AA116:$CH116,6)))</f>
        <v>0</v>
      </c>
      <c r="N116" s="1" t="n">
        <f aca="false">IF(SMALL($AA116:$CH116,7)&gt;=9999,"",INDEX(Presupuesto!$C:$C,SMALL($AA116:$CH116,7)))</f>
        <v>0</v>
      </c>
      <c r="O116" s="1" t="n">
        <f aca="false">IF(SMALL($AA116:$CH116,8)&gt;=9999,"",INDEX(Presupuesto!$C:$C,SMALL($AA116:$CH116,8)))</f>
        <v>0</v>
      </c>
      <c r="P116" s="1" t="n">
        <f aca="false">IF(SMALL($AA116:$CH116,9)&gt;=9999,"",INDEX(Presupuesto!$C:$C,SMALL($AA116:$CH116,9)))</f>
        <v>0</v>
      </c>
      <c r="Q116" s="1" t="n">
        <f aca="false">IF(SMALL($AA116:$CH116,10)&gt;=9999,"",INDEX(Presupuesto!$C:$C,SMALL($AA116:$CH116,10)))</f>
        <v>0</v>
      </c>
      <c r="AA116" s="0" t="n">
        <f aca="false">IF(Presupuesto!$B$7='Flujo de Pagos'!$E116,7,9999)</f>
        <v>9999</v>
      </c>
      <c r="AB116" s="0" t="n">
        <f aca="false">IF(Presupuesto!$B$8='Flujo de Pagos'!$E116,8,9999)</f>
        <v>9999</v>
      </c>
      <c r="AC116" s="0" t="n">
        <f aca="false">IF(Presupuesto!$B$9='Flujo de Pagos'!$E116,9,9999)</f>
        <v>9999</v>
      </c>
      <c r="AD116" s="0" t="n">
        <f aca="false">IF(Presupuesto!$B$10='Flujo de Pagos'!$E116,10,9999)</f>
        <v>9999</v>
      </c>
      <c r="AE116" s="0" t="n">
        <f aca="false">IF(Presupuesto!$B$11='Flujo de Pagos'!$E116,11,9999)</f>
        <v>9999</v>
      </c>
      <c r="AF116" s="0" t="n">
        <f aca="false">IF(Presupuesto!$B$12='Flujo de Pagos'!$E116,12,9999)</f>
        <v>12</v>
      </c>
      <c r="AG116" s="0" t="n">
        <f aca="false">IF(Presupuesto!$B$13='Flujo de Pagos'!$E116,13,9999)</f>
        <v>13</v>
      </c>
      <c r="AH116" s="0" t="n">
        <f aca="false">IF(Presupuesto!$B$14='Flujo de Pagos'!$E116,14,9999)</f>
        <v>14</v>
      </c>
      <c r="AI116" s="0" t="n">
        <f aca="false">IF(Presupuesto!$B$15='Flujo de Pagos'!$E116,15,9999)</f>
        <v>15</v>
      </c>
      <c r="AJ116" s="0" t="n">
        <f aca="false">IF(Presupuesto!$B$16='Flujo de Pagos'!$E116,16,9999)</f>
        <v>16</v>
      </c>
      <c r="AK116" s="0" t="n">
        <f aca="false">IF(Presupuesto!$B$17='Flujo de Pagos'!$E116,17,9999)</f>
        <v>17</v>
      </c>
      <c r="AL116" s="0" t="n">
        <f aca="false">IF(Presupuesto!$B$18='Flujo de Pagos'!$E116,18,9999)</f>
        <v>18</v>
      </c>
      <c r="AM116" s="0" t="n">
        <f aca="false">IF(Presupuesto!$B$19='Flujo de Pagos'!$E116,19,9999)</f>
        <v>19</v>
      </c>
      <c r="AN116" s="0" t="n">
        <f aca="false">IF(Presupuesto!$B$20='Flujo de Pagos'!$E116,20,9999)</f>
        <v>20</v>
      </c>
      <c r="AO116" s="0" t="n">
        <f aca="false">IF(Presupuesto!$B$21='Flujo de Pagos'!$E116,21,9999)</f>
        <v>21</v>
      </c>
      <c r="AP116" s="0" t="n">
        <f aca="false">IF(Presupuesto!$B$22='Flujo de Pagos'!$E116,22,9999)</f>
        <v>22</v>
      </c>
      <c r="AQ116" s="0" t="n">
        <f aca="false">IF(Presupuesto!$B$23='Flujo de Pagos'!$E116,23,9999)</f>
        <v>23</v>
      </c>
      <c r="AR116" s="0" t="n">
        <f aca="false">IF(Presupuesto!$B$24='Flujo de Pagos'!$E116,24,9999)</f>
        <v>24</v>
      </c>
      <c r="AS116" s="0" t="n">
        <f aca="false">IF(Presupuesto!$B$25='Flujo de Pagos'!$E116,25,9999)</f>
        <v>25</v>
      </c>
      <c r="AT116" s="0" t="n">
        <f aca="false">IF(Presupuesto!$B$26='Flujo de Pagos'!$E116,26,9999)</f>
        <v>26</v>
      </c>
      <c r="AU116" s="0" t="n">
        <f aca="false">IF(Presupuesto!$B$27='Flujo de Pagos'!$E116,27,9999)</f>
        <v>27</v>
      </c>
      <c r="AV116" s="0" t="n">
        <f aca="false">IF(Presupuesto!$B$28='Flujo de Pagos'!$E116,28,9999)</f>
        <v>28</v>
      </c>
      <c r="AW116" s="0" t="n">
        <f aca="false">IF(Presupuesto!$B$29='Flujo de Pagos'!$E116,29,9999)</f>
        <v>29</v>
      </c>
      <c r="AX116" s="0" t="n">
        <f aca="false">IF(Presupuesto!$B$30='Flujo de Pagos'!$E116,30,9999)</f>
        <v>30</v>
      </c>
      <c r="AY116" s="0" t="n">
        <f aca="false">IF(Presupuesto!$B$31='Flujo de Pagos'!$E116,31,9999)</f>
        <v>31</v>
      </c>
      <c r="AZ116" s="0" t="n">
        <f aca="false">IF(Presupuesto!$B$32='Flujo de Pagos'!$E116,32,9999)</f>
        <v>32</v>
      </c>
      <c r="BA116" s="0" t="n">
        <f aca="false">IF(Presupuesto!$B$33='Flujo de Pagos'!$E116,33,9999)</f>
        <v>33</v>
      </c>
      <c r="BB116" s="0" t="n">
        <f aca="false">IF(Presupuesto!$B$34='Flujo de Pagos'!$E116,34,9999)</f>
        <v>34</v>
      </c>
      <c r="BC116" s="0" t="n">
        <f aca="false">IF(Presupuesto!$B$35='Flujo de Pagos'!$E116,35,9999)</f>
        <v>35</v>
      </c>
      <c r="BD116" s="0" t="n">
        <f aca="false">IF(Presupuesto!$B$36='Flujo de Pagos'!$E116,36,9999)</f>
        <v>36</v>
      </c>
      <c r="BE116" s="0" t="n">
        <f aca="false">IF(Presupuesto!$B$37='Flujo de Pagos'!$E116,37,9999)</f>
        <v>37</v>
      </c>
      <c r="BF116" s="0" t="n">
        <f aca="false">IF(Presupuesto!$B$38='Flujo de Pagos'!$E116,38,9999)</f>
        <v>38</v>
      </c>
      <c r="BG116" s="0" t="n">
        <f aca="false">IF(Presupuesto!$B$39='Flujo de Pagos'!$E116,39,9999)</f>
        <v>39</v>
      </c>
      <c r="BH116" s="0" t="n">
        <f aca="false">IF(Presupuesto!$B$40='Flujo de Pagos'!$E116,40,9999)</f>
        <v>40</v>
      </c>
      <c r="BI116" s="0" t="n">
        <f aca="false">IF(Presupuesto!$B$41='Flujo de Pagos'!$E116,41,9999)</f>
        <v>41</v>
      </c>
      <c r="BJ116" s="0" t="n">
        <f aca="false">IF(Presupuesto!$B$42='Flujo de Pagos'!$E116,42,9999)</f>
        <v>42</v>
      </c>
      <c r="BK116" s="0" t="n">
        <f aca="false">IF(Presupuesto!$B$43='Flujo de Pagos'!$E116,43,9999)</f>
        <v>43</v>
      </c>
      <c r="BL116" s="0" t="n">
        <f aca="false">IF(Presupuesto!$B$44='Flujo de Pagos'!$E116,44,9999)</f>
        <v>44</v>
      </c>
      <c r="BM116" s="0" t="n">
        <f aca="false">IF(Presupuesto!$B$45='Flujo de Pagos'!$E116,45,9999)</f>
        <v>45</v>
      </c>
      <c r="BN116" s="0" t="n">
        <f aca="false">IF(Presupuesto!$B$46='Flujo de Pagos'!$E116,46,9999)</f>
        <v>46</v>
      </c>
      <c r="BO116" s="0" t="n">
        <f aca="false">IF(Presupuesto!$B$47='Flujo de Pagos'!$E116,47,9999)</f>
        <v>47</v>
      </c>
      <c r="BP116" s="0" t="n">
        <f aca="false">IF(Presupuesto!$B$48='Flujo de Pagos'!$E116,48,9999)</f>
        <v>48</v>
      </c>
      <c r="BQ116" s="0" t="n">
        <f aca="false">IF(Presupuesto!$B$49='Flujo de Pagos'!$E116,49,9999)</f>
        <v>49</v>
      </c>
      <c r="BR116" s="0" t="n">
        <f aca="false">IF(Presupuesto!$B$50='Flujo de Pagos'!$E116,50,9999)</f>
        <v>50</v>
      </c>
      <c r="BS116" s="0" t="n">
        <f aca="false">IF(Presupuesto!$B$51='Flujo de Pagos'!$E116,51,9999)</f>
        <v>51</v>
      </c>
      <c r="BT116" s="0" t="n">
        <f aca="false">IF(Presupuesto!$B$52='Flujo de Pagos'!$E116,52,9999)</f>
        <v>52</v>
      </c>
      <c r="BU116" s="0" t="n">
        <f aca="false">IF(Presupuesto!$B$53='Flujo de Pagos'!$E116,53,9999)</f>
        <v>53</v>
      </c>
      <c r="BV116" s="0" t="n">
        <f aca="false">IF(Presupuesto!$B$54='Flujo de Pagos'!$E116,54,9999)</f>
        <v>54</v>
      </c>
      <c r="BW116" s="0" t="n">
        <f aca="false">IF(Presupuesto!$B$55='Flujo de Pagos'!$E116,55,9999)</f>
        <v>55</v>
      </c>
      <c r="BX116" s="0" t="n">
        <f aca="false">IF(Presupuesto!$B$56='Flujo de Pagos'!$E116,56,9999)</f>
        <v>56</v>
      </c>
      <c r="BY116" s="0" t="n">
        <f aca="false">IF(Presupuesto!$B$57='Flujo de Pagos'!$E116,57,9999)</f>
        <v>57</v>
      </c>
      <c r="BZ116" s="0" t="n">
        <f aca="false">IF(Presupuesto!$B$58='Flujo de Pagos'!$E116,58,9999)</f>
        <v>58</v>
      </c>
      <c r="CA116" s="0" t="n">
        <f aca="false">IF(Presupuesto!$B$59='Flujo de Pagos'!$E116,59,9999)</f>
        <v>59</v>
      </c>
      <c r="CB116" s="0" t="n">
        <f aca="false">IF(Presupuesto!$B$60='Flujo de Pagos'!$E116,60,9999)</f>
        <v>60</v>
      </c>
      <c r="CC116" s="0" t="n">
        <f aca="false">IF(Presupuesto!$B$61='Flujo de Pagos'!$E116,61,9999)</f>
        <v>61</v>
      </c>
      <c r="CD116" s="0" t="n">
        <f aca="false">IF(Presupuesto!$B$62='Flujo de Pagos'!$E116,62,9999)</f>
        <v>62</v>
      </c>
      <c r="CE116" s="0" t="n">
        <f aca="false">IF(Presupuesto!$B$63='Flujo de Pagos'!$E116,63,9999)</f>
        <v>63</v>
      </c>
      <c r="CF116" s="0" t="n">
        <f aca="false">IF(Presupuesto!$B$64='Flujo de Pagos'!$E116,64,9999)</f>
        <v>64</v>
      </c>
      <c r="CG116" s="0" t="n">
        <f aca="false">IF(Presupuesto!$B$65='Flujo de Pagos'!$E116,65,9999)</f>
        <v>65</v>
      </c>
      <c r="CH116" s="0" t="n">
        <f aca="false">IF(Presupuesto!$B$66='Flujo de Pagos'!$E116,66,9999)</f>
        <v>66</v>
      </c>
    </row>
    <row r="117" customFormat="false" ht="15" hidden="false" customHeight="true" outlineLevel="0" collapsed="false">
      <c r="B117" s="1" t="n">
        <f aca="false">IF(AND('Flujo de Pagos'!E122=Carátula!$B$2,'Flujo de Pagos'!F122=Carátula!$B$4,'Flujo de Pagos'!H122&lt;&gt;""),122,99999)</f>
        <v>99999</v>
      </c>
      <c r="H117" s="1" t="n">
        <f aca="false">IF(SMALL($AA117:$CH117,1)&gt;=9999,"",INDEX(Presupuesto!$C:$C,SMALL($AA117:$CH117,1)))</f>
        <v>0</v>
      </c>
      <c r="I117" s="1" t="n">
        <f aca="false">IF(SMALL($AA117:$CH117,2)&gt;=9999,"",INDEX(Presupuesto!$C:$C,SMALL($AA117:$CH117,2)))</f>
        <v>0</v>
      </c>
      <c r="J117" s="1" t="n">
        <f aca="false">IF(SMALL($AA117:$CH117,3)&gt;=9999,"",INDEX(Presupuesto!$C:$C,SMALL($AA117:$CH117,3)))</f>
        <v>0</v>
      </c>
      <c r="K117" s="1" t="n">
        <f aca="false">IF(SMALL($AA117:$CH117,4)&gt;=9999,"",INDEX(Presupuesto!$C:$C,SMALL($AA117:$CH117,4)))</f>
        <v>0</v>
      </c>
      <c r="L117" s="1" t="n">
        <f aca="false">IF(SMALL($AA117:$CH117,5)&gt;=9999,"",INDEX(Presupuesto!$C:$C,SMALL($AA117:$CH117,5)))</f>
        <v>0</v>
      </c>
      <c r="M117" s="1" t="n">
        <f aca="false">IF(SMALL($AA117:$CH117,6)&gt;=9999,"",INDEX(Presupuesto!$C:$C,SMALL($AA117:$CH117,6)))</f>
        <v>0</v>
      </c>
      <c r="N117" s="1" t="n">
        <f aca="false">IF(SMALL($AA117:$CH117,7)&gt;=9999,"",INDEX(Presupuesto!$C:$C,SMALL($AA117:$CH117,7)))</f>
        <v>0</v>
      </c>
      <c r="O117" s="1" t="n">
        <f aca="false">IF(SMALL($AA117:$CH117,8)&gt;=9999,"",INDEX(Presupuesto!$C:$C,SMALL($AA117:$CH117,8)))</f>
        <v>0</v>
      </c>
      <c r="P117" s="1" t="n">
        <f aca="false">IF(SMALL($AA117:$CH117,9)&gt;=9999,"",INDEX(Presupuesto!$C:$C,SMALL($AA117:$CH117,9)))</f>
        <v>0</v>
      </c>
      <c r="Q117" s="1" t="n">
        <f aca="false">IF(SMALL($AA117:$CH117,10)&gt;=9999,"",INDEX(Presupuesto!$C:$C,SMALL($AA117:$CH117,10)))</f>
        <v>0</v>
      </c>
      <c r="AA117" s="0" t="n">
        <f aca="false">IF(Presupuesto!$B$7='Flujo de Pagos'!$E117,7,9999)</f>
        <v>9999</v>
      </c>
      <c r="AB117" s="0" t="n">
        <f aca="false">IF(Presupuesto!$B$8='Flujo de Pagos'!$E117,8,9999)</f>
        <v>9999</v>
      </c>
      <c r="AC117" s="0" t="n">
        <f aca="false">IF(Presupuesto!$B$9='Flujo de Pagos'!$E117,9,9999)</f>
        <v>9999</v>
      </c>
      <c r="AD117" s="0" t="n">
        <f aca="false">IF(Presupuesto!$B$10='Flujo de Pagos'!$E117,10,9999)</f>
        <v>9999</v>
      </c>
      <c r="AE117" s="0" t="n">
        <f aca="false">IF(Presupuesto!$B$11='Flujo de Pagos'!$E117,11,9999)</f>
        <v>9999</v>
      </c>
      <c r="AF117" s="0" t="n">
        <f aca="false">IF(Presupuesto!$B$12='Flujo de Pagos'!$E117,12,9999)</f>
        <v>12</v>
      </c>
      <c r="AG117" s="0" t="n">
        <f aca="false">IF(Presupuesto!$B$13='Flujo de Pagos'!$E117,13,9999)</f>
        <v>13</v>
      </c>
      <c r="AH117" s="0" t="n">
        <f aca="false">IF(Presupuesto!$B$14='Flujo de Pagos'!$E117,14,9999)</f>
        <v>14</v>
      </c>
      <c r="AI117" s="0" t="n">
        <f aca="false">IF(Presupuesto!$B$15='Flujo de Pagos'!$E117,15,9999)</f>
        <v>15</v>
      </c>
      <c r="AJ117" s="0" t="n">
        <f aca="false">IF(Presupuesto!$B$16='Flujo de Pagos'!$E117,16,9999)</f>
        <v>16</v>
      </c>
      <c r="AK117" s="0" t="n">
        <f aca="false">IF(Presupuesto!$B$17='Flujo de Pagos'!$E117,17,9999)</f>
        <v>17</v>
      </c>
      <c r="AL117" s="0" t="n">
        <f aca="false">IF(Presupuesto!$B$18='Flujo de Pagos'!$E117,18,9999)</f>
        <v>18</v>
      </c>
      <c r="AM117" s="0" t="n">
        <f aca="false">IF(Presupuesto!$B$19='Flujo de Pagos'!$E117,19,9999)</f>
        <v>19</v>
      </c>
      <c r="AN117" s="0" t="n">
        <f aca="false">IF(Presupuesto!$B$20='Flujo de Pagos'!$E117,20,9999)</f>
        <v>20</v>
      </c>
      <c r="AO117" s="0" t="n">
        <f aca="false">IF(Presupuesto!$B$21='Flujo de Pagos'!$E117,21,9999)</f>
        <v>21</v>
      </c>
      <c r="AP117" s="0" t="n">
        <f aca="false">IF(Presupuesto!$B$22='Flujo de Pagos'!$E117,22,9999)</f>
        <v>22</v>
      </c>
      <c r="AQ117" s="0" t="n">
        <f aca="false">IF(Presupuesto!$B$23='Flujo de Pagos'!$E117,23,9999)</f>
        <v>23</v>
      </c>
      <c r="AR117" s="0" t="n">
        <f aca="false">IF(Presupuesto!$B$24='Flujo de Pagos'!$E117,24,9999)</f>
        <v>24</v>
      </c>
      <c r="AS117" s="0" t="n">
        <f aca="false">IF(Presupuesto!$B$25='Flujo de Pagos'!$E117,25,9999)</f>
        <v>25</v>
      </c>
      <c r="AT117" s="0" t="n">
        <f aca="false">IF(Presupuesto!$B$26='Flujo de Pagos'!$E117,26,9999)</f>
        <v>26</v>
      </c>
      <c r="AU117" s="0" t="n">
        <f aca="false">IF(Presupuesto!$B$27='Flujo de Pagos'!$E117,27,9999)</f>
        <v>27</v>
      </c>
      <c r="AV117" s="0" t="n">
        <f aca="false">IF(Presupuesto!$B$28='Flujo de Pagos'!$E117,28,9999)</f>
        <v>28</v>
      </c>
      <c r="AW117" s="0" t="n">
        <f aca="false">IF(Presupuesto!$B$29='Flujo de Pagos'!$E117,29,9999)</f>
        <v>29</v>
      </c>
      <c r="AX117" s="0" t="n">
        <f aca="false">IF(Presupuesto!$B$30='Flujo de Pagos'!$E117,30,9999)</f>
        <v>30</v>
      </c>
      <c r="AY117" s="0" t="n">
        <f aca="false">IF(Presupuesto!$B$31='Flujo de Pagos'!$E117,31,9999)</f>
        <v>31</v>
      </c>
      <c r="AZ117" s="0" t="n">
        <f aca="false">IF(Presupuesto!$B$32='Flujo de Pagos'!$E117,32,9999)</f>
        <v>32</v>
      </c>
      <c r="BA117" s="0" t="n">
        <f aca="false">IF(Presupuesto!$B$33='Flujo de Pagos'!$E117,33,9999)</f>
        <v>33</v>
      </c>
      <c r="BB117" s="0" t="n">
        <f aca="false">IF(Presupuesto!$B$34='Flujo de Pagos'!$E117,34,9999)</f>
        <v>34</v>
      </c>
      <c r="BC117" s="0" t="n">
        <f aca="false">IF(Presupuesto!$B$35='Flujo de Pagos'!$E117,35,9999)</f>
        <v>35</v>
      </c>
      <c r="BD117" s="0" t="n">
        <f aca="false">IF(Presupuesto!$B$36='Flujo de Pagos'!$E117,36,9999)</f>
        <v>36</v>
      </c>
      <c r="BE117" s="0" t="n">
        <f aca="false">IF(Presupuesto!$B$37='Flujo de Pagos'!$E117,37,9999)</f>
        <v>37</v>
      </c>
      <c r="BF117" s="0" t="n">
        <f aca="false">IF(Presupuesto!$B$38='Flujo de Pagos'!$E117,38,9999)</f>
        <v>38</v>
      </c>
      <c r="BG117" s="0" t="n">
        <f aca="false">IF(Presupuesto!$B$39='Flujo de Pagos'!$E117,39,9999)</f>
        <v>39</v>
      </c>
      <c r="BH117" s="0" t="n">
        <f aca="false">IF(Presupuesto!$B$40='Flujo de Pagos'!$E117,40,9999)</f>
        <v>40</v>
      </c>
      <c r="BI117" s="0" t="n">
        <f aca="false">IF(Presupuesto!$B$41='Flujo de Pagos'!$E117,41,9999)</f>
        <v>41</v>
      </c>
      <c r="BJ117" s="0" t="n">
        <f aca="false">IF(Presupuesto!$B$42='Flujo de Pagos'!$E117,42,9999)</f>
        <v>42</v>
      </c>
      <c r="BK117" s="0" t="n">
        <f aca="false">IF(Presupuesto!$B$43='Flujo de Pagos'!$E117,43,9999)</f>
        <v>43</v>
      </c>
      <c r="BL117" s="0" t="n">
        <f aca="false">IF(Presupuesto!$B$44='Flujo de Pagos'!$E117,44,9999)</f>
        <v>44</v>
      </c>
      <c r="BM117" s="0" t="n">
        <f aca="false">IF(Presupuesto!$B$45='Flujo de Pagos'!$E117,45,9999)</f>
        <v>45</v>
      </c>
      <c r="BN117" s="0" t="n">
        <f aca="false">IF(Presupuesto!$B$46='Flujo de Pagos'!$E117,46,9999)</f>
        <v>46</v>
      </c>
      <c r="BO117" s="0" t="n">
        <f aca="false">IF(Presupuesto!$B$47='Flujo de Pagos'!$E117,47,9999)</f>
        <v>47</v>
      </c>
      <c r="BP117" s="0" t="n">
        <f aca="false">IF(Presupuesto!$B$48='Flujo de Pagos'!$E117,48,9999)</f>
        <v>48</v>
      </c>
      <c r="BQ117" s="0" t="n">
        <f aca="false">IF(Presupuesto!$B$49='Flujo de Pagos'!$E117,49,9999)</f>
        <v>49</v>
      </c>
      <c r="BR117" s="0" t="n">
        <f aca="false">IF(Presupuesto!$B$50='Flujo de Pagos'!$E117,50,9999)</f>
        <v>50</v>
      </c>
      <c r="BS117" s="0" t="n">
        <f aca="false">IF(Presupuesto!$B$51='Flujo de Pagos'!$E117,51,9999)</f>
        <v>51</v>
      </c>
      <c r="BT117" s="0" t="n">
        <f aca="false">IF(Presupuesto!$B$52='Flujo de Pagos'!$E117,52,9999)</f>
        <v>52</v>
      </c>
      <c r="BU117" s="0" t="n">
        <f aca="false">IF(Presupuesto!$B$53='Flujo de Pagos'!$E117,53,9999)</f>
        <v>53</v>
      </c>
      <c r="BV117" s="0" t="n">
        <f aca="false">IF(Presupuesto!$B$54='Flujo de Pagos'!$E117,54,9999)</f>
        <v>54</v>
      </c>
      <c r="BW117" s="0" t="n">
        <f aca="false">IF(Presupuesto!$B$55='Flujo de Pagos'!$E117,55,9999)</f>
        <v>55</v>
      </c>
      <c r="BX117" s="0" t="n">
        <f aca="false">IF(Presupuesto!$B$56='Flujo de Pagos'!$E117,56,9999)</f>
        <v>56</v>
      </c>
      <c r="BY117" s="0" t="n">
        <f aca="false">IF(Presupuesto!$B$57='Flujo de Pagos'!$E117,57,9999)</f>
        <v>57</v>
      </c>
      <c r="BZ117" s="0" t="n">
        <f aca="false">IF(Presupuesto!$B$58='Flujo de Pagos'!$E117,58,9999)</f>
        <v>58</v>
      </c>
      <c r="CA117" s="0" t="n">
        <f aca="false">IF(Presupuesto!$B$59='Flujo de Pagos'!$E117,59,9999)</f>
        <v>59</v>
      </c>
      <c r="CB117" s="0" t="n">
        <f aca="false">IF(Presupuesto!$B$60='Flujo de Pagos'!$E117,60,9999)</f>
        <v>60</v>
      </c>
      <c r="CC117" s="0" t="n">
        <f aca="false">IF(Presupuesto!$B$61='Flujo de Pagos'!$E117,61,9999)</f>
        <v>61</v>
      </c>
      <c r="CD117" s="0" t="n">
        <f aca="false">IF(Presupuesto!$B$62='Flujo de Pagos'!$E117,62,9999)</f>
        <v>62</v>
      </c>
      <c r="CE117" s="0" t="n">
        <f aca="false">IF(Presupuesto!$B$63='Flujo de Pagos'!$E117,63,9999)</f>
        <v>63</v>
      </c>
      <c r="CF117" s="0" t="n">
        <f aca="false">IF(Presupuesto!$B$64='Flujo de Pagos'!$E117,64,9999)</f>
        <v>64</v>
      </c>
      <c r="CG117" s="0" t="n">
        <f aca="false">IF(Presupuesto!$B$65='Flujo de Pagos'!$E117,65,9999)</f>
        <v>65</v>
      </c>
      <c r="CH117" s="0" t="n">
        <f aca="false">IF(Presupuesto!$B$66='Flujo de Pagos'!$E117,66,9999)</f>
        <v>66</v>
      </c>
    </row>
    <row r="118" customFormat="false" ht="15" hidden="false" customHeight="true" outlineLevel="0" collapsed="false">
      <c r="B118" s="1" t="n">
        <f aca="false">IF(AND('Flujo de Pagos'!E123=Carátula!$B$2,'Flujo de Pagos'!F123=Carátula!$B$4,'Flujo de Pagos'!H123&lt;&gt;""),123,99999)</f>
        <v>99999</v>
      </c>
      <c r="H118" s="1" t="n">
        <f aca="false">IF(SMALL($AA118:$CH118,1)&gt;=9999,"",INDEX(Presupuesto!$C:$C,SMALL($AA118:$CH118,1)))</f>
        <v>0</v>
      </c>
      <c r="I118" s="1" t="n">
        <f aca="false">IF(SMALL($AA118:$CH118,2)&gt;=9999,"",INDEX(Presupuesto!$C:$C,SMALL($AA118:$CH118,2)))</f>
        <v>0</v>
      </c>
      <c r="J118" s="1" t="n">
        <f aca="false">IF(SMALL($AA118:$CH118,3)&gt;=9999,"",INDEX(Presupuesto!$C:$C,SMALL($AA118:$CH118,3)))</f>
        <v>0</v>
      </c>
      <c r="K118" s="1" t="n">
        <f aca="false">IF(SMALL($AA118:$CH118,4)&gt;=9999,"",INDEX(Presupuesto!$C:$C,SMALL($AA118:$CH118,4)))</f>
        <v>0</v>
      </c>
      <c r="L118" s="1" t="n">
        <f aca="false">IF(SMALL($AA118:$CH118,5)&gt;=9999,"",INDEX(Presupuesto!$C:$C,SMALL($AA118:$CH118,5)))</f>
        <v>0</v>
      </c>
      <c r="M118" s="1" t="n">
        <f aca="false">IF(SMALL($AA118:$CH118,6)&gt;=9999,"",INDEX(Presupuesto!$C:$C,SMALL($AA118:$CH118,6)))</f>
        <v>0</v>
      </c>
      <c r="N118" s="1" t="n">
        <f aca="false">IF(SMALL($AA118:$CH118,7)&gt;=9999,"",INDEX(Presupuesto!$C:$C,SMALL($AA118:$CH118,7)))</f>
        <v>0</v>
      </c>
      <c r="O118" s="1" t="n">
        <f aca="false">IF(SMALL($AA118:$CH118,8)&gt;=9999,"",INDEX(Presupuesto!$C:$C,SMALL($AA118:$CH118,8)))</f>
        <v>0</v>
      </c>
      <c r="P118" s="1" t="n">
        <f aca="false">IF(SMALL($AA118:$CH118,9)&gt;=9999,"",INDEX(Presupuesto!$C:$C,SMALL($AA118:$CH118,9)))</f>
        <v>0</v>
      </c>
      <c r="Q118" s="1" t="n">
        <f aca="false">IF(SMALL($AA118:$CH118,10)&gt;=9999,"",INDEX(Presupuesto!$C:$C,SMALL($AA118:$CH118,10)))</f>
        <v>0</v>
      </c>
      <c r="AA118" s="0" t="n">
        <f aca="false">IF(Presupuesto!$B$7='Flujo de Pagos'!$E118,7,9999)</f>
        <v>9999</v>
      </c>
      <c r="AB118" s="0" t="n">
        <f aca="false">IF(Presupuesto!$B$8='Flujo de Pagos'!$E118,8,9999)</f>
        <v>9999</v>
      </c>
      <c r="AC118" s="0" t="n">
        <f aca="false">IF(Presupuesto!$B$9='Flujo de Pagos'!$E118,9,9999)</f>
        <v>9999</v>
      </c>
      <c r="AD118" s="0" t="n">
        <f aca="false">IF(Presupuesto!$B$10='Flujo de Pagos'!$E118,10,9999)</f>
        <v>9999</v>
      </c>
      <c r="AE118" s="0" t="n">
        <f aca="false">IF(Presupuesto!$B$11='Flujo de Pagos'!$E118,11,9999)</f>
        <v>9999</v>
      </c>
      <c r="AF118" s="0" t="n">
        <f aca="false">IF(Presupuesto!$B$12='Flujo de Pagos'!$E118,12,9999)</f>
        <v>12</v>
      </c>
      <c r="AG118" s="0" t="n">
        <f aca="false">IF(Presupuesto!$B$13='Flujo de Pagos'!$E118,13,9999)</f>
        <v>13</v>
      </c>
      <c r="AH118" s="0" t="n">
        <f aca="false">IF(Presupuesto!$B$14='Flujo de Pagos'!$E118,14,9999)</f>
        <v>14</v>
      </c>
      <c r="AI118" s="0" t="n">
        <f aca="false">IF(Presupuesto!$B$15='Flujo de Pagos'!$E118,15,9999)</f>
        <v>15</v>
      </c>
      <c r="AJ118" s="0" t="n">
        <f aca="false">IF(Presupuesto!$B$16='Flujo de Pagos'!$E118,16,9999)</f>
        <v>16</v>
      </c>
      <c r="AK118" s="0" t="n">
        <f aca="false">IF(Presupuesto!$B$17='Flujo de Pagos'!$E118,17,9999)</f>
        <v>17</v>
      </c>
      <c r="AL118" s="0" t="n">
        <f aca="false">IF(Presupuesto!$B$18='Flujo de Pagos'!$E118,18,9999)</f>
        <v>18</v>
      </c>
      <c r="AM118" s="0" t="n">
        <f aca="false">IF(Presupuesto!$B$19='Flujo de Pagos'!$E118,19,9999)</f>
        <v>19</v>
      </c>
      <c r="AN118" s="0" t="n">
        <f aca="false">IF(Presupuesto!$B$20='Flujo de Pagos'!$E118,20,9999)</f>
        <v>20</v>
      </c>
      <c r="AO118" s="0" t="n">
        <f aca="false">IF(Presupuesto!$B$21='Flujo de Pagos'!$E118,21,9999)</f>
        <v>21</v>
      </c>
      <c r="AP118" s="0" t="n">
        <f aca="false">IF(Presupuesto!$B$22='Flujo de Pagos'!$E118,22,9999)</f>
        <v>22</v>
      </c>
      <c r="AQ118" s="0" t="n">
        <f aca="false">IF(Presupuesto!$B$23='Flujo de Pagos'!$E118,23,9999)</f>
        <v>23</v>
      </c>
      <c r="AR118" s="0" t="n">
        <f aca="false">IF(Presupuesto!$B$24='Flujo de Pagos'!$E118,24,9999)</f>
        <v>24</v>
      </c>
      <c r="AS118" s="0" t="n">
        <f aca="false">IF(Presupuesto!$B$25='Flujo de Pagos'!$E118,25,9999)</f>
        <v>25</v>
      </c>
      <c r="AT118" s="0" t="n">
        <f aca="false">IF(Presupuesto!$B$26='Flujo de Pagos'!$E118,26,9999)</f>
        <v>26</v>
      </c>
      <c r="AU118" s="0" t="n">
        <f aca="false">IF(Presupuesto!$B$27='Flujo de Pagos'!$E118,27,9999)</f>
        <v>27</v>
      </c>
      <c r="AV118" s="0" t="n">
        <f aca="false">IF(Presupuesto!$B$28='Flujo de Pagos'!$E118,28,9999)</f>
        <v>28</v>
      </c>
      <c r="AW118" s="0" t="n">
        <f aca="false">IF(Presupuesto!$B$29='Flujo de Pagos'!$E118,29,9999)</f>
        <v>29</v>
      </c>
      <c r="AX118" s="0" t="n">
        <f aca="false">IF(Presupuesto!$B$30='Flujo de Pagos'!$E118,30,9999)</f>
        <v>30</v>
      </c>
      <c r="AY118" s="0" t="n">
        <f aca="false">IF(Presupuesto!$B$31='Flujo de Pagos'!$E118,31,9999)</f>
        <v>31</v>
      </c>
      <c r="AZ118" s="0" t="n">
        <f aca="false">IF(Presupuesto!$B$32='Flujo de Pagos'!$E118,32,9999)</f>
        <v>32</v>
      </c>
      <c r="BA118" s="0" t="n">
        <f aca="false">IF(Presupuesto!$B$33='Flujo de Pagos'!$E118,33,9999)</f>
        <v>33</v>
      </c>
      <c r="BB118" s="0" t="n">
        <f aca="false">IF(Presupuesto!$B$34='Flujo de Pagos'!$E118,34,9999)</f>
        <v>34</v>
      </c>
      <c r="BC118" s="0" t="n">
        <f aca="false">IF(Presupuesto!$B$35='Flujo de Pagos'!$E118,35,9999)</f>
        <v>35</v>
      </c>
      <c r="BD118" s="0" t="n">
        <f aca="false">IF(Presupuesto!$B$36='Flujo de Pagos'!$E118,36,9999)</f>
        <v>36</v>
      </c>
      <c r="BE118" s="0" t="n">
        <f aca="false">IF(Presupuesto!$B$37='Flujo de Pagos'!$E118,37,9999)</f>
        <v>37</v>
      </c>
      <c r="BF118" s="0" t="n">
        <f aca="false">IF(Presupuesto!$B$38='Flujo de Pagos'!$E118,38,9999)</f>
        <v>38</v>
      </c>
      <c r="BG118" s="0" t="n">
        <f aca="false">IF(Presupuesto!$B$39='Flujo de Pagos'!$E118,39,9999)</f>
        <v>39</v>
      </c>
      <c r="BH118" s="0" t="n">
        <f aca="false">IF(Presupuesto!$B$40='Flujo de Pagos'!$E118,40,9999)</f>
        <v>40</v>
      </c>
      <c r="BI118" s="0" t="n">
        <f aca="false">IF(Presupuesto!$B$41='Flujo de Pagos'!$E118,41,9999)</f>
        <v>41</v>
      </c>
      <c r="BJ118" s="0" t="n">
        <f aca="false">IF(Presupuesto!$B$42='Flujo de Pagos'!$E118,42,9999)</f>
        <v>42</v>
      </c>
      <c r="BK118" s="0" t="n">
        <f aca="false">IF(Presupuesto!$B$43='Flujo de Pagos'!$E118,43,9999)</f>
        <v>43</v>
      </c>
      <c r="BL118" s="0" t="n">
        <f aca="false">IF(Presupuesto!$B$44='Flujo de Pagos'!$E118,44,9999)</f>
        <v>44</v>
      </c>
      <c r="BM118" s="0" t="n">
        <f aca="false">IF(Presupuesto!$B$45='Flujo de Pagos'!$E118,45,9999)</f>
        <v>45</v>
      </c>
      <c r="BN118" s="0" t="n">
        <f aca="false">IF(Presupuesto!$B$46='Flujo de Pagos'!$E118,46,9999)</f>
        <v>46</v>
      </c>
      <c r="BO118" s="0" t="n">
        <f aca="false">IF(Presupuesto!$B$47='Flujo de Pagos'!$E118,47,9999)</f>
        <v>47</v>
      </c>
      <c r="BP118" s="0" t="n">
        <f aca="false">IF(Presupuesto!$B$48='Flujo de Pagos'!$E118,48,9999)</f>
        <v>48</v>
      </c>
      <c r="BQ118" s="0" t="n">
        <f aca="false">IF(Presupuesto!$B$49='Flujo de Pagos'!$E118,49,9999)</f>
        <v>49</v>
      </c>
      <c r="BR118" s="0" t="n">
        <f aca="false">IF(Presupuesto!$B$50='Flujo de Pagos'!$E118,50,9999)</f>
        <v>50</v>
      </c>
      <c r="BS118" s="0" t="n">
        <f aca="false">IF(Presupuesto!$B$51='Flujo de Pagos'!$E118,51,9999)</f>
        <v>51</v>
      </c>
      <c r="BT118" s="0" t="n">
        <f aca="false">IF(Presupuesto!$B$52='Flujo de Pagos'!$E118,52,9999)</f>
        <v>52</v>
      </c>
      <c r="BU118" s="0" t="n">
        <f aca="false">IF(Presupuesto!$B$53='Flujo de Pagos'!$E118,53,9999)</f>
        <v>53</v>
      </c>
      <c r="BV118" s="0" t="n">
        <f aca="false">IF(Presupuesto!$B$54='Flujo de Pagos'!$E118,54,9999)</f>
        <v>54</v>
      </c>
      <c r="BW118" s="0" t="n">
        <f aca="false">IF(Presupuesto!$B$55='Flujo de Pagos'!$E118,55,9999)</f>
        <v>55</v>
      </c>
      <c r="BX118" s="0" t="n">
        <f aca="false">IF(Presupuesto!$B$56='Flujo de Pagos'!$E118,56,9999)</f>
        <v>56</v>
      </c>
      <c r="BY118" s="0" t="n">
        <f aca="false">IF(Presupuesto!$B$57='Flujo de Pagos'!$E118,57,9999)</f>
        <v>57</v>
      </c>
      <c r="BZ118" s="0" t="n">
        <f aca="false">IF(Presupuesto!$B$58='Flujo de Pagos'!$E118,58,9999)</f>
        <v>58</v>
      </c>
      <c r="CA118" s="0" t="n">
        <f aca="false">IF(Presupuesto!$B$59='Flujo de Pagos'!$E118,59,9999)</f>
        <v>59</v>
      </c>
      <c r="CB118" s="0" t="n">
        <f aca="false">IF(Presupuesto!$B$60='Flujo de Pagos'!$E118,60,9999)</f>
        <v>60</v>
      </c>
      <c r="CC118" s="0" t="n">
        <f aca="false">IF(Presupuesto!$B$61='Flujo de Pagos'!$E118,61,9999)</f>
        <v>61</v>
      </c>
      <c r="CD118" s="0" t="n">
        <f aca="false">IF(Presupuesto!$B$62='Flujo de Pagos'!$E118,62,9999)</f>
        <v>62</v>
      </c>
      <c r="CE118" s="0" t="n">
        <f aca="false">IF(Presupuesto!$B$63='Flujo de Pagos'!$E118,63,9999)</f>
        <v>63</v>
      </c>
      <c r="CF118" s="0" t="n">
        <f aca="false">IF(Presupuesto!$B$64='Flujo de Pagos'!$E118,64,9999)</f>
        <v>64</v>
      </c>
      <c r="CG118" s="0" t="n">
        <f aca="false">IF(Presupuesto!$B$65='Flujo de Pagos'!$E118,65,9999)</f>
        <v>65</v>
      </c>
      <c r="CH118" s="0" t="n">
        <f aca="false">IF(Presupuesto!$B$66='Flujo de Pagos'!$E118,66,9999)</f>
        <v>66</v>
      </c>
    </row>
    <row r="119" customFormat="false" ht="15" hidden="false" customHeight="true" outlineLevel="0" collapsed="false">
      <c r="B119" s="1" t="n">
        <f aca="false">IF(AND('Flujo de Pagos'!E124=Carátula!$B$2,'Flujo de Pagos'!F124=Carátula!$B$4,'Flujo de Pagos'!H124&lt;&gt;""),124,99999)</f>
        <v>99999</v>
      </c>
      <c r="H119" s="1" t="n">
        <f aca="false">IF(SMALL($AA119:$CH119,1)&gt;=9999,"",INDEX(Presupuesto!$C:$C,SMALL($AA119:$CH119,1)))</f>
        <v>0</v>
      </c>
      <c r="I119" s="1" t="n">
        <f aca="false">IF(SMALL($AA119:$CH119,2)&gt;=9999,"",INDEX(Presupuesto!$C:$C,SMALL($AA119:$CH119,2)))</f>
        <v>0</v>
      </c>
      <c r="J119" s="1" t="n">
        <f aca="false">IF(SMALL($AA119:$CH119,3)&gt;=9999,"",INDEX(Presupuesto!$C:$C,SMALL($AA119:$CH119,3)))</f>
        <v>0</v>
      </c>
      <c r="K119" s="1" t="n">
        <f aca="false">IF(SMALL($AA119:$CH119,4)&gt;=9999,"",INDEX(Presupuesto!$C:$C,SMALL($AA119:$CH119,4)))</f>
        <v>0</v>
      </c>
      <c r="L119" s="1" t="n">
        <f aca="false">IF(SMALL($AA119:$CH119,5)&gt;=9999,"",INDEX(Presupuesto!$C:$C,SMALL($AA119:$CH119,5)))</f>
        <v>0</v>
      </c>
      <c r="M119" s="1" t="n">
        <f aca="false">IF(SMALL($AA119:$CH119,6)&gt;=9999,"",INDEX(Presupuesto!$C:$C,SMALL($AA119:$CH119,6)))</f>
        <v>0</v>
      </c>
      <c r="N119" s="1" t="n">
        <f aca="false">IF(SMALL($AA119:$CH119,7)&gt;=9999,"",INDEX(Presupuesto!$C:$C,SMALL($AA119:$CH119,7)))</f>
        <v>0</v>
      </c>
      <c r="O119" s="1" t="n">
        <f aca="false">IF(SMALL($AA119:$CH119,8)&gt;=9999,"",INDEX(Presupuesto!$C:$C,SMALL($AA119:$CH119,8)))</f>
        <v>0</v>
      </c>
      <c r="P119" s="1" t="n">
        <f aca="false">IF(SMALL($AA119:$CH119,9)&gt;=9999,"",INDEX(Presupuesto!$C:$C,SMALL($AA119:$CH119,9)))</f>
        <v>0</v>
      </c>
      <c r="Q119" s="1" t="n">
        <f aca="false">IF(SMALL($AA119:$CH119,10)&gt;=9999,"",INDEX(Presupuesto!$C:$C,SMALL($AA119:$CH119,10)))</f>
        <v>0</v>
      </c>
      <c r="AA119" s="0" t="n">
        <f aca="false">IF(Presupuesto!$B$7='Flujo de Pagos'!$E119,7,9999)</f>
        <v>9999</v>
      </c>
      <c r="AB119" s="0" t="n">
        <f aca="false">IF(Presupuesto!$B$8='Flujo de Pagos'!$E119,8,9999)</f>
        <v>9999</v>
      </c>
      <c r="AC119" s="0" t="n">
        <f aca="false">IF(Presupuesto!$B$9='Flujo de Pagos'!$E119,9,9999)</f>
        <v>9999</v>
      </c>
      <c r="AD119" s="0" t="n">
        <f aca="false">IF(Presupuesto!$B$10='Flujo de Pagos'!$E119,10,9999)</f>
        <v>9999</v>
      </c>
      <c r="AE119" s="0" t="n">
        <f aca="false">IF(Presupuesto!$B$11='Flujo de Pagos'!$E119,11,9999)</f>
        <v>9999</v>
      </c>
      <c r="AF119" s="0" t="n">
        <f aca="false">IF(Presupuesto!$B$12='Flujo de Pagos'!$E119,12,9999)</f>
        <v>12</v>
      </c>
      <c r="AG119" s="0" t="n">
        <f aca="false">IF(Presupuesto!$B$13='Flujo de Pagos'!$E119,13,9999)</f>
        <v>13</v>
      </c>
      <c r="AH119" s="0" t="n">
        <f aca="false">IF(Presupuesto!$B$14='Flujo de Pagos'!$E119,14,9999)</f>
        <v>14</v>
      </c>
      <c r="AI119" s="0" t="n">
        <f aca="false">IF(Presupuesto!$B$15='Flujo de Pagos'!$E119,15,9999)</f>
        <v>15</v>
      </c>
      <c r="AJ119" s="0" t="n">
        <f aca="false">IF(Presupuesto!$B$16='Flujo de Pagos'!$E119,16,9999)</f>
        <v>16</v>
      </c>
      <c r="AK119" s="0" t="n">
        <f aca="false">IF(Presupuesto!$B$17='Flujo de Pagos'!$E119,17,9999)</f>
        <v>17</v>
      </c>
      <c r="AL119" s="0" t="n">
        <f aca="false">IF(Presupuesto!$B$18='Flujo de Pagos'!$E119,18,9999)</f>
        <v>18</v>
      </c>
      <c r="AM119" s="0" t="n">
        <f aca="false">IF(Presupuesto!$B$19='Flujo de Pagos'!$E119,19,9999)</f>
        <v>19</v>
      </c>
      <c r="AN119" s="0" t="n">
        <f aca="false">IF(Presupuesto!$B$20='Flujo de Pagos'!$E119,20,9999)</f>
        <v>20</v>
      </c>
      <c r="AO119" s="0" t="n">
        <f aca="false">IF(Presupuesto!$B$21='Flujo de Pagos'!$E119,21,9999)</f>
        <v>21</v>
      </c>
      <c r="AP119" s="0" t="n">
        <f aca="false">IF(Presupuesto!$B$22='Flujo de Pagos'!$E119,22,9999)</f>
        <v>22</v>
      </c>
      <c r="AQ119" s="0" t="n">
        <f aca="false">IF(Presupuesto!$B$23='Flujo de Pagos'!$E119,23,9999)</f>
        <v>23</v>
      </c>
      <c r="AR119" s="0" t="n">
        <f aca="false">IF(Presupuesto!$B$24='Flujo de Pagos'!$E119,24,9999)</f>
        <v>24</v>
      </c>
      <c r="AS119" s="0" t="n">
        <f aca="false">IF(Presupuesto!$B$25='Flujo de Pagos'!$E119,25,9999)</f>
        <v>25</v>
      </c>
      <c r="AT119" s="0" t="n">
        <f aca="false">IF(Presupuesto!$B$26='Flujo de Pagos'!$E119,26,9999)</f>
        <v>26</v>
      </c>
      <c r="AU119" s="0" t="n">
        <f aca="false">IF(Presupuesto!$B$27='Flujo de Pagos'!$E119,27,9999)</f>
        <v>27</v>
      </c>
      <c r="AV119" s="0" t="n">
        <f aca="false">IF(Presupuesto!$B$28='Flujo de Pagos'!$E119,28,9999)</f>
        <v>28</v>
      </c>
      <c r="AW119" s="0" t="n">
        <f aca="false">IF(Presupuesto!$B$29='Flujo de Pagos'!$E119,29,9999)</f>
        <v>29</v>
      </c>
      <c r="AX119" s="0" t="n">
        <f aca="false">IF(Presupuesto!$B$30='Flujo de Pagos'!$E119,30,9999)</f>
        <v>30</v>
      </c>
      <c r="AY119" s="0" t="n">
        <f aca="false">IF(Presupuesto!$B$31='Flujo de Pagos'!$E119,31,9999)</f>
        <v>31</v>
      </c>
      <c r="AZ119" s="0" t="n">
        <f aca="false">IF(Presupuesto!$B$32='Flujo de Pagos'!$E119,32,9999)</f>
        <v>32</v>
      </c>
      <c r="BA119" s="0" t="n">
        <f aca="false">IF(Presupuesto!$B$33='Flujo de Pagos'!$E119,33,9999)</f>
        <v>33</v>
      </c>
      <c r="BB119" s="0" t="n">
        <f aca="false">IF(Presupuesto!$B$34='Flujo de Pagos'!$E119,34,9999)</f>
        <v>34</v>
      </c>
      <c r="BC119" s="0" t="n">
        <f aca="false">IF(Presupuesto!$B$35='Flujo de Pagos'!$E119,35,9999)</f>
        <v>35</v>
      </c>
      <c r="BD119" s="0" t="n">
        <f aca="false">IF(Presupuesto!$B$36='Flujo de Pagos'!$E119,36,9999)</f>
        <v>36</v>
      </c>
      <c r="BE119" s="0" t="n">
        <f aca="false">IF(Presupuesto!$B$37='Flujo de Pagos'!$E119,37,9999)</f>
        <v>37</v>
      </c>
      <c r="BF119" s="0" t="n">
        <f aca="false">IF(Presupuesto!$B$38='Flujo de Pagos'!$E119,38,9999)</f>
        <v>38</v>
      </c>
      <c r="BG119" s="0" t="n">
        <f aca="false">IF(Presupuesto!$B$39='Flujo de Pagos'!$E119,39,9999)</f>
        <v>39</v>
      </c>
      <c r="BH119" s="0" t="n">
        <f aca="false">IF(Presupuesto!$B$40='Flujo de Pagos'!$E119,40,9999)</f>
        <v>40</v>
      </c>
      <c r="BI119" s="0" t="n">
        <f aca="false">IF(Presupuesto!$B$41='Flujo de Pagos'!$E119,41,9999)</f>
        <v>41</v>
      </c>
      <c r="BJ119" s="0" t="n">
        <f aca="false">IF(Presupuesto!$B$42='Flujo de Pagos'!$E119,42,9999)</f>
        <v>42</v>
      </c>
      <c r="BK119" s="0" t="n">
        <f aca="false">IF(Presupuesto!$B$43='Flujo de Pagos'!$E119,43,9999)</f>
        <v>43</v>
      </c>
      <c r="BL119" s="0" t="n">
        <f aca="false">IF(Presupuesto!$B$44='Flujo de Pagos'!$E119,44,9999)</f>
        <v>44</v>
      </c>
      <c r="BM119" s="0" t="n">
        <f aca="false">IF(Presupuesto!$B$45='Flujo de Pagos'!$E119,45,9999)</f>
        <v>45</v>
      </c>
      <c r="BN119" s="0" t="n">
        <f aca="false">IF(Presupuesto!$B$46='Flujo de Pagos'!$E119,46,9999)</f>
        <v>46</v>
      </c>
      <c r="BO119" s="0" t="n">
        <f aca="false">IF(Presupuesto!$B$47='Flujo de Pagos'!$E119,47,9999)</f>
        <v>47</v>
      </c>
      <c r="BP119" s="0" t="n">
        <f aca="false">IF(Presupuesto!$B$48='Flujo de Pagos'!$E119,48,9999)</f>
        <v>48</v>
      </c>
      <c r="BQ119" s="0" t="n">
        <f aca="false">IF(Presupuesto!$B$49='Flujo de Pagos'!$E119,49,9999)</f>
        <v>49</v>
      </c>
      <c r="BR119" s="0" t="n">
        <f aca="false">IF(Presupuesto!$B$50='Flujo de Pagos'!$E119,50,9999)</f>
        <v>50</v>
      </c>
      <c r="BS119" s="0" t="n">
        <f aca="false">IF(Presupuesto!$B$51='Flujo de Pagos'!$E119,51,9999)</f>
        <v>51</v>
      </c>
      <c r="BT119" s="0" t="n">
        <f aca="false">IF(Presupuesto!$B$52='Flujo de Pagos'!$E119,52,9999)</f>
        <v>52</v>
      </c>
      <c r="BU119" s="0" t="n">
        <f aca="false">IF(Presupuesto!$B$53='Flujo de Pagos'!$E119,53,9999)</f>
        <v>53</v>
      </c>
      <c r="BV119" s="0" t="n">
        <f aca="false">IF(Presupuesto!$B$54='Flujo de Pagos'!$E119,54,9999)</f>
        <v>54</v>
      </c>
      <c r="BW119" s="0" t="n">
        <f aca="false">IF(Presupuesto!$B$55='Flujo de Pagos'!$E119,55,9999)</f>
        <v>55</v>
      </c>
      <c r="BX119" s="0" t="n">
        <f aca="false">IF(Presupuesto!$B$56='Flujo de Pagos'!$E119,56,9999)</f>
        <v>56</v>
      </c>
      <c r="BY119" s="0" t="n">
        <f aca="false">IF(Presupuesto!$B$57='Flujo de Pagos'!$E119,57,9999)</f>
        <v>57</v>
      </c>
      <c r="BZ119" s="0" t="n">
        <f aca="false">IF(Presupuesto!$B$58='Flujo de Pagos'!$E119,58,9999)</f>
        <v>58</v>
      </c>
      <c r="CA119" s="0" t="n">
        <f aca="false">IF(Presupuesto!$B$59='Flujo de Pagos'!$E119,59,9999)</f>
        <v>59</v>
      </c>
      <c r="CB119" s="0" t="n">
        <f aca="false">IF(Presupuesto!$B$60='Flujo de Pagos'!$E119,60,9999)</f>
        <v>60</v>
      </c>
      <c r="CC119" s="0" t="n">
        <f aca="false">IF(Presupuesto!$B$61='Flujo de Pagos'!$E119,61,9999)</f>
        <v>61</v>
      </c>
      <c r="CD119" s="0" t="n">
        <f aca="false">IF(Presupuesto!$B$62='Flujo de Pagos'!$E119,62,9999)</f>
        <v>62</v>
      </c>
      <c r="CE119" s="0" t="n">
        <f aca="false">IF(Presupuesto!$B$63='Flujo de Pagos'!$E119,63,9999)</f>
        <v>63</v>
      </c>
      <c r="CF119" s="0" t="n">
        <f aca="false">IF(Presupuesto!$B$64='Flujo de Pagos'!$E119,64,9999)</f>
        <v>64</v>
      </c>
      <c r="CG119" s="0" t="n">
        <f aca="false">IF(Presupuesto!$B$65='Flujo de Pagos'!$E119,65,9999)</f>
        <v>65</v>
      </c>
      <c r="CH119" s="0" t="n">
        <f aca="false">IF(Presupuesto!$B$66='Flujo de Pagos'!$E119,66,9999)</f>
        <v>66</v>
      </c>
    </row>
    <row r="120" customFormat="false" ht="15" hidden="false" customHeight="true" outlineLevel="0" collapsed="false">
      <c r="B120" s="1" t="n">
        <f aca="false">IF(AND('Flujo de Pagos'!E125=Carátula!$B$2,'Flujo de Pagos'!F125=Carátula!$B$4,'Flujo de Pagos'!H125&lt;&gt;""),125,99999)</f>
        <v>99999</v>
      </c>
      <c r="H120" s="1" t="n">
        <f aca="false">IF(SMALL($AA120:$CH120,1)&gt;=9999,"",INDEX(Presupuesto!$C:$C,SMALL($AA120:$CH120,1)))</f>
        <v>0</v>
      </c>
      <c r="I120" s="1" t="n">
        <f aca="false">IF(SMALL($AA120:$CH120,2)&gt;=9999,"",INDEX(Presupuesto!$C:$C,SMALL($AA120:$CH120,2)))</f>
        <v>0</v>
      </c>
      <c r="J120" s="1" t="n">
        <f aca="false">IF(SMALL($AA120:$CH120,3)&gt;=9999,"",INDEX(Presupuesto!$C:$C,SMALL($AA120:$CH120,3)))</f>
        <v>0</v>
      </c>
      <c r="K120" s="1" t="n">
        <f aca="false">IF(SMALL($AA120:$CH120,4)&gt;=9999,"",INDEX(Presupuesto!$C:$C,SMALL($AA120:$CH120,4)))</f>
        <v>0</v>
      </c>
      <c r="L120" s="1" t="n">
        <f aca="false">IF(SMALL($AA120:$CH120,5)&gt;=9999,"",INDEX(Presupuesto!$C:$C,SMALL($AA120:$CH120,5)))</f>
        <v>0</v>
      </c>
      <c r="M120" s="1" t="n">
        <f aca="false">IF(SMALL($AA120:$CH120,6)&gt;=9999,"",INDEX(Presupuesto!$C:$C,SMALL($AA120:$CH120,6)))</f>
        <v>0</v>
      </c>
      <c r="N120" s="1" t="n">
        <f aca="false">IF(SMALL($AA120:$CH120,7)&gt;=9999,"",INDEX(Presupuesto!$C:$C,SMALL($AA120:$CH120,7)))</f>
        <v>0</v>
      </c>
      <c r="O120" s="1" t="n">
        <f aca="false">IF(SMALL($AA120:$CH120,8)&gt;=9999,"",INDEX(Presupuesto!$C:$C,SMALL($AA120:$CH120,8)))</f>
        <v>0</v>
      </c>
      <c r="P120" s="1" t="n">
        <f aca="false">IF(SMALL($AA120:$CH120,9)&gt;=9999,"",INDEX(Presupuesto!$C:$C,SMALL($AA120:$CH120,9)))</f>
        <v>0</v>
      </c>
      <c r="Q120" s="1" t="n">
        <f aca="false">IF(SMALL($AA120:$CH120,10)&gt;=9999,"",INDEX(Presupuesto!$C:$C,SMALL($AA120:$CH120,10)))</f>
        <v>0</v>
      </c>
      <c r="AA120" s="0" t="n">
        <f aca="false">IF(Presupuesto!$B$7='Flujo de Pagos'!$E120,7,9999)</f>
        <v>9999</v>
      </c>
      <c r="AB120" s="0" t="n">
        <f aca="false">IF(Presupuesto!$B$8='Flujo de Pagos'!$E120,8,9999)</f>
        <v>9999</v>
      </c>
      <c r="AC120" s="0" t="n">
        <f aca="false">IF(Presupuesto!$B$9='Flujo de Pagos'!$E120,9,9999)</f>
        <v>9999</v>
      </c>
      <c r="AD120" s="0" t="n">
        <f aca="false">IF(Presupuesto!$B$10='Flujo de Pagos'!$E120,10,9999)</f>
        <v>9999</v>
      </c>
      <c r="AE120" s="0" t="n">
        <f aca="false">IF(Presupuesto!$B$11='Flujo de Pagos'!$E120,11,9999)</f>
        <v>9999</v>
      </c>
      <c r="AF120" s="0" t="n">
        <f aca="false">IF(Presupuesto!$B$12='Flujo de Pagos'!$E120,12,9999)</f>
        <v>12</v>
      </c>
      <c r="AG120" s="0" t="n">
        <f aca="false">IF(Presupuesto!$B$13='Flujo de Pagos'!$E120,13,9999)</f>
        <v>13</v>
      </c>
      <c r="AH120" s="0" t="n">
        <f aca="false">IF(Presupuesto!$B$14='Flujo de Pagos'!$E120,14,9999)</f>
        <v>14</v>
      </c>
      <c r="AI120" s="0" t="n">
        <f aca="false">IF(Presupuesto!$B$15='Flujo de Pagos'!$E120,15,9999)</f>
        <v>15</v>
      </c>
      <c r="AJ120" s="0" t="n">
        <f aca="false">IF(Presupuesto!$B$16='Flujo de Pagos'!$E120,16,9999)</f>
        <v>16</v>
      </c>
      <c r="AK120" s="0" t="n">
        <f aca="false">IF(Presupuesto!$B$17='Flujo de Pagos'!$E120,17,9999)</f>
        <v>17</v>
      </c>
      <c r="AL120" s="0" t="n">
        <f aca="false">IF(Presupuesto!$B$18='Flujo de Pagos'!$E120,18,9999)</f>
        <v>18</v>
      </c>
      <c r="AM120" s="0" t="n">
        <f aca="false">IF(Presupuesto!$B$19='Flujo de Pagos'!$E120,19,9999)</f>
        <v>19</v>
      </c>
      <c r="AN120" s="0" t="n">
        <f aca="false">IF(Presupuesto!$B$20='Flujo de Pagos'!$E120,20,9999)</f>
        <v>20</v>
      </c>
      <c r="AO120" s="0" t="n">
        <f aca="false">IF(Presupuesto!$B$21='Flujo de Pagos'!$E120,21,9999)</f>
        <v>21</v>
      </c>
      <c r="AP120" s="0" t="n">
        <f aca="false">IF(Presupuesto!$B$22='Flujo de Pagos'!$E120,22,9999)</f>
        <v>22</v>
      </c>
      <c r="AQ120" s="0" t="n">
        <f aca="false">IF(Presupuesto!$B$23='Flujo de Pagos'!$E120,23,9999)</f>
        <v>23</v>
      </c>
      <c r="AR120" s="0" t="n">
        <f aca="false">IF(Presupuesto!$B$24='Flujo de Pagos'!$E120,24,9999)</f>
        <v>24</v>
      </c>
      <c r="AS120" s="0" t="n">
        <f aca="false">IF(Presupuesto!$B$25='Flujo de Pagos'!$E120,25,9999)</f>
        <v>25</v>
      </c>
      <c r="AT120" s="0" t="n">
        <f aca="false">IF(Presupuesto!$B$26='Flujo de Pagos'!$E120,26,9999)</f>
        <v>26</v>
      </c>
      <c r="AU120" s="0" t="n">
        <f aca="false">IF(Presupuesto!$B$27='Flujo de Pagos'!$E120,27,9999)</f>
        <v>27</v>
      </c>
      <c r="AV120" s="0" t="n">
        <f aca="false">IF(Presupuesto!$B$28='Flujo de Pagos'!$E120,28,9999)</f>
        <v>28</v>
      </c>
      <c r="AW120" s="0" t="n">
        <f aca="false">IF(Presupuesto!$B$29='Flujo de Pagos'!$E120,29,9999)</f>
        <v>29</v>
      </c>
      <c r="AX120" s="0" t="n">
        <f aca="false">IF(Presupuesto!$B$30='Flujo de Pagos'!$E120,30,9999)</f>
        <v>30</v>
      </c>
      <c r="AY120" s="0" t="n">
        <f aca="false">IF(Presupuesto!$B$31='Flujo de Pagos'!$E120,31,9999)</f>
        <v>31</v>
      </c>
      <c r="AZ120" s="0" t="n">
        <f aca="false">IF(Presupuesto!$B$32='Flujo de Pagos'!$E120,32,9999)</f>
        <v>32</v>
      </c>
      <c r="BA120" s="0" t="n">
        <f aca="false">IF(Presupuesto!$B$33='Flujo de Pagos'!$E120,33,9999)</f>
        <v>33</v>
      </c>
      <c r="BB120" s="0" t="n">
        <f aca="false">IF(Presupuesto!$B$34='Flujo de Pagos'!$E120,34,9999)</f>
        <v>34</v>
      </c>
      <c r="BC120" s="0" t="n">
        <f aca="false">IF(Presupuesto!$B$35='Flujo de Pagos'!$E120,35,9999)</f>
        <v>35</v>
      </c>
      <c r="BD120" s="0" t="n">
        <f aca="false">IF(Presupuesto!$B$36='Flujo de Pagos'!$E120,36,9999)</f>
        <v>36</v>
      </c>
      <c r="BE120" s="0" t="n">
        <f aca="false">IF(Presupuesto!$B$37='Flujo de Pagos'!$E120,37,9999)</f>
        <v>37</v>
      </c>
      <c r="BF120" s="0" t="n">
        <f aca="false">IF(Presupuesto!$B$38='Flujo de Pagos'!$E120,38,9999)</f>
        <v>38</v>
      </c>
      <c r="BG120" s="0" t="n">
        <f aca="false">IF(Presupuesto!$B$39='Flujo de Pagos'!$E120,39,9999)</f>
        <v>39</v>
      </c>
      <c r="BH120" s="0" t="n">
        <f aca="false">IF(Presupuesto!$B$40='Flujo de Pagos'!$E120,40,9999)</f>
        <v>40</v>
      </c>
      <c r="BI120" s="0" t="n">
        <f aca="false">IF(Presupuesto!$B$41='Flujo de Pagos'!$E120,41,9999)</f>
        <v>41</v>
      </c>
      <c r="BJ120" s="0" t="n">
        <f aca="false">IF(Presupuesto!$B$42='Flujo de Pagos'!$E120,42,9999)</f>
        <v>42</v>
      </c>
      <c r="BK120" s="0" t="n">
        <f aca="false">IF(Presupuesto!$B$43='Flujo de Pagos'!$E120,43,9999)</f>
        <v>43</v>
      </c>
      <c r="BL120" s="0" t="n">
        <f aca="false">IF(Presupuesto!$B$44='Flujo de Pagos'!$E120,44,9999)</f>
        <v>44</v>
      </c>
      <c r="BM120" s="0" t="n">
        <f aca="false">IF(Presupuesto!$B$45='Flujo de Pagos'!$E120,45,9999)</f>
        <v>45</v>
      </c>
      <c r="BN120" s="0" t="n">
        <f aca="false">IF(Presupuesto!$B$46='Flujo de Pagos'!$E120,46,9999)</f>
        <v>46</v>
      </c>
      <c r="BO120" s="0" t="n">
        <f aca="false">IF(Presupuesto!$B$47='Flujo de Pagos'!$E120,47,9999)</f>
        <v>47</v>
      </c>
      <c r="BP120" s="0" t="n">
        <f aca="false">IF(Presupuesto!$B$48='Flujo de Pagos'!$E120,48,9999)</f>
        <v>48</v>
      </c>
      <c r="BQ120" s="0" t="n">
        <f aca="false">IF(Presupuesto!$B$49='Flujo de Pagos'!$E120,49,9999)</f>
        <v>49</v>
      </c>
      <c r="BR120" s="0" t="n">
        <f aca="false">IF(Presupuesto!$B$50='Flujo de Pagos'!$E120,50,9999)</f>
        <v>50</v>
      </c>
      <c r="BS120" s="0" t="n">
        <f aca="false">IF(Presupuesto!$B$51='Flujo de Pagos'!$E120,51,9999)</f>
        <v>51</v>
      </c>
      <c r="BT120" s="0" t="n">
        <f aca="false">IF(Presupuesto!$B$52='Flujo de Pagos'!$E120,52,9999)</f>
        <v>52</v>
      </c>
      <c r="BU120" s="0" t="n">
        <f aca="false">IF(Presupuesto!$B$53='Flujo de Pagos'!$E120,53,9999)</f>
        <v>53</v>
      </c>
      <c r="BV120" s="0" t="n">
        <f aca="false">IF(Presupuesto!$B$54='Flujo de Pagos'!$E120,54,9999)</f>
        <v>54</v>
      </c>
      <c r="BW120" s="0" t="n">
        <f aca="false">IF(Presupuesto!$B$55='Flujo de Pagos'!$E120,55,9999)</f>
        <v>55</v>
      </c>
      <c r="BX120" s="0" t="n">
        <f aca="false">IF(Presupuesto!$B$56='Flujo de Pagos'!$E120,56,9999)</f>
        <v>56</v>
      </c>
      <c r="BY120" s="0" t="n">
        <f aca="false">IF(Presupuesto!$B$57='Flujo de Pagos'!$E120,57,9999)</f>
        <v>57</v>
      </c>
      <c r="BZ120" s="0" t="n">
        <f aca="false">IF(Presupuesto!$B$58='Flujo de Pagos'!$E120,58,9999)</f>
        <v>58</v>
      </c>
      <c r="CA120" s="0" t="n">
        <f aca="false">IF(Presupuesto!$B$59='Flujo de Pagos'!$E120,59,9999)</f>
        <v>59</v>
      </c>
      <c r="CB120" s="0" t="n">
        <f aca="false">IF(Presupuesto!$B$60='Flujo de Pagos'!$E120,60,9999)</f>
        <v>60</v>
      </c>
      <c r="CC120" s="0" t="n">
        <f aca="false">IF(Presupuesto!$B$61='Flujo de Pagos'!$E120,61,9999)</f>
        <v>61</v>
      </c>
      <c r="CD120" s="0" t="n">
        <f aca="false">IF(Presupuesto!$B$62='Flujo de Pagos'!$E120,62,9999)</f>
        <v>62</v>
      </c>
      <c r="CE120" s="0" t="n">
        <f aca="false">IF(Presupuesto!$B$63='Flujo de Pagos'!$E120,63,9999)</f>
        <v>63</v>
      </c>
      <c r="CF120" s="0" t="n">
        <f aca="false">IF(Presupuesto!$B$64='Flujo de Pagos'!$E120,64,9999)</f>
        <v>64</v>
      </c>
      <c r="CG120" s="0" t="n">
        <f aca="false">IF(Presupuesto!$B$65='Flujo de Pagos'!$E120,65,9999)</f>
        <v>65</v>
      </c>
      <c r="CH120" s="0" t="n">
        <f aca="false">IF(Presupuesto!$B$66='Flujo de Pagos'!$E120,66,9999)</f>
        <v>66</v>
      </c>
    </row>
    <row r="121" customFormat="false" ht="15" hidden="false" customHeight="true" outlineLevel="0" collapsed="false">
      <c r="B121" s="1" t="n">
        <f aca="false">IF(AND('Flujo de Pagos'!E126=Carátula!$B$2,'Flujo de Pagos'!F126=Carátula!$B$4,'Flujo de Pagos'!H126&lt;&gt;""),126,99999)</f>
        <v>99999</v>
      </c>
      <c r="H121" s="1" t="n">
        <f aca="false">IF(SMALL($AA121:$CH121,1)&gt;=9999,"",INDEX(Presupuesto!$C:$C,SMALL($AA121:$CH121,1)))</f>
        <v>0</v>
      </c>
      <c r="I121" s="1" t="n">
        <f aca="false">IF(SMALL($AA121:$CH121,2)&gt;=9999,"",INDEX(Presupuesto!$C:$C,SMALL($AA121:$CH121,2)))</f>
        <v>0</v>
      </c>
      <c r="J121" s="1" t="n">
        <f aca="false">IF(SMALL($AA121:$CH121,3)&gt;=9999,"",INDEX(Presupuesto!$C:$C,SMALL($AA121:$CH121,3)))</f>
        <v>0</v>
      </c>
      <c r="K121" s="1" t="n">
        <f aca="false">IF(SMALL($AA121:$CH121,4)&gt;=9999,"",INDEX(Presupuesto!$C:$C,SMALL($AA121:$CH121,4)))</f>
        <v>0</v>
      </c>
      <c r="L121" s="1" t="n">
        <f aca="false">IF(SMALL($AA121:$CH121,5)&gt;=9999,"",INDEX(Presupuesto!$C:$C,SMALL($AA121:$CH121,5)))</f>
        <v>0</v>
      </c>
      <c r="M121" s="1" t="n">
        <f aca="false">IF(SMALL($AA121:$CH121,6)&gt;=9999,"",INDEX(Presupuesto!$C:$C,SMALL($AA121:$CH121,6)))</f>
        <v>0</v>
      </c>
      <c r="N121" s="1" t="n">
        <f aca="false">IF(SMALL($AA121:$CH121,7)&gt;=9999,"",INDEX(Presupuesto!$C:$C,SMALL($AA121:$CH121,7)))</f>
        <v>0</v>
      </c>
      <c r="O121" s="1" t="n">
        <f aca="false">IF(SMALL($AA121:$CH121,8)&gt;=9999,"",INDEX(Presupuesto!$C:$C,SMALL($AA121:$CH121,8)))</f>
        <v>0</v>
      </c>
      <c r="P121" s="1" t="n">
        <f aca="false">IF(SMALL($AA121:$CH121,9)&gt;=9999,"",INDEX(Presupuesto!$C:$C,SMALL($AA121:$CH121,9)))</f>
        <v>0</v>
      </c>
      <c r="Q121" s="1" t="n">
        <f aca="false">IF(SMALL($AA121:$CH121,10)&gt;=9999,"",INDEX(Presupuesto!$C:$C,SMALL($AA121:$CH121,10)))</f>
        <v>0</v>
      </c>
      <c r="AA121" s="0" t="n">
        <f aca="false">IF(Presupuesto!$B$7='Flujo de Pagos'!$E121,7,9999)</f>
        <v>9999</v>
      </c>
      <c r="AB121" s="0" t="n">
        <f aca="false">IF(Presupuesto!$B$8='Flujo de Pagos'!$E121,8,9999)</f>
        <v>9999</v>
      </c>
      <c r="AC121" s="0" t="n">
        <f aca="false">IF(Presupuesto!$B$9='Flujo de Pagos'!$E121,9,9999)</f>
        <v>9999</v>
      </c>
      <c r="AD121" s="0" t="n">
        <f aca="false">IF(Presupuesto!$B$10='Flujo de Pagos'!$E121,10,9999)</f>
        <v>9999</v>
      </c>
      <c r="AE121" s="0" t="n">
        <f aca="false">IF(Presupuesto!$B$11='Flujo de Pagos'!$E121,11,9999)</f>
        <v>9999</v>
      </c>
      <c r="AF121" s="0" t="n">
        <f aca="false">IF(Presupuesto!$B$12='Flujo de Pagos'!$E121,12,9999)</f>
        <v>12</v>
      </c>
      <c r="AG121" s="0" t="n">
        <f aca="false">IF(Presupuesto!$B$13='Flujo de Pagos'!$E121,13,9999)</f>
        <v>13</v>
      </c>
      <c r="AH121" s="0" t="n">
        <f aca="false">IF(Presupuesto!$B$14='Flujo de Pagos'!$E121,14,9999)</f>
        <v>14</v>
      </c>
      <c r="AI121" s="0" t="n">
        <f aca="false">IF(Presupuesto!$B$15='Flujo de Pagos'!$E121,15,9999)</f>
        <v>15</v>
      </c>
      <c r="AJ121" s="0" t="n">
        <f aca="false">IF(Presupuesto!$B$16='Flujo de Pagos'!$E121,16,9999)</f>
        <v>16</v>
      </c>
      <c r="AK121" s="0" t="n">
        <f aca="false">IF(Presupuesto!$B$17='Flujo de Pagos'!$E121,17,9999)</f>
        <v>17</v>
      </c>
      <c r="AL121" s="0" t="n">
        <f aca="false">IF(Presupuesto!$B$18='Flujo de Pagos'!$E121,18,9999)</f>
        <v>18</v>
      </c>
      <c r="AM121" s="0" t="n">
        <f aca="false">IF(Presupuesto!$B$19='Flujo de Pagos'!$E121,19,9999)</f>
        <v>19</v>
      </c>
      <c r="AN121" s="0" t="n">
        <f aca="false">IF(Presupuesto!$B$20='Flujo de Pagos'!$E121,20,9999)</f>
        <v>20</v>
      </c>
      <c r="AO121" s="0" t="n">
        <f aca="false">IF(Presupuesto!$B$21='Flujo de Pagos'!$E121,21,9999)</f>
        <v>21</v>
      </c>
      <c r="AP121" s="0" t="n">
        <f aca="false">IF(Presupuesto!$B$22='Flujo de Pagos'!$E121,22,9999)</f>
        <v>22</v>
      </c>
      <c r="AQ121" s="0" t="n">
        <f aca="false">IF(Presupuesto!$B$23='Flujo de Pagos'!$E121,23,9999)</f>
        <v>23</v>
      </c>
      <c r="AR121" s="0" t="n">
        <f aca="false">IF(Presupuesto!$B$24='Flujo de Pagos'!$E121,24,9999)</f>
        <v>24</v>
      </c>
      <c r="AS121" s="0" t="n">
        <f aca="false">IF(Presupuesto!$B$25='Flujo de Pagos'!$E121,25,9999)</f>
        <v>25</v>
      </c>
      <c r="AT121" s="0" t="n">
        <f aca="false">IF(Presupuesto!$B$26='Flujo de Pagos'!$E121,26,9999)</f>
        <v>26</v>
      </c>
      <c r="AU121" s="0" t="n">
        <f aca="false">IF(Presupuesto!$B$27='Flujo de Pagos'!$E121,27,9999)</f>
        <v>27</v>
      </c>
      <c r="AV121" s="0" t="n">
        <f aca="false">IF(Presupuesto!$B$28='Flujo de Pagos'!$E121,28,9999)</f>
        <v>28</v>
      </c>
      <c r="AW121" s="0" t="n">
        <f aca="false">IF(Presupuesto!$B$29='Flujo de Pagos'!$E121,29,9999)</f>
        <v>29</v>
      </c>
      <c r="AX121" s="0" t="n">
        <f aca="false">IF(Presupuesto!$B$30='Flujo de Pagos'!$E121,30,9999)</f>
        <v>30</v>
      </c>
      <c r="AY121" s="0" t="n">
        <f aca="false">IF(Presupuesto!$B$31='Flujo de Pagos'!$E121,31,9999)</f>
        <v>31</v>
      </c>
      <c r="AZ121" s="0" t="n">
        <f aca="false">IF(Presupuesto!$B$32='Flujo de Pagos'!$E121,32,9999)</f>
        <v>32</v>
      </c>
      <c r="BA121" s="0" t="n">
        <f aca="false">IF(Presupuesto!$B$33='Flujo de Pagos'!$E121,33,9999)</f>
        <v>33</v>
      </c>
      <c r="BB121" s="0" t="n">
        <f aca="false">IF(Presupuesto!$B$34='Flujo de Pagos'!$E121,34,9999)</f>
        <v>34</v>
      </c>
      <c r="BC121" s="0" t="n">
        <f aca="false">IF(Presupuesto!$B$35='Flujo de Pagos'!$E121,35,9999)</f>
        <v>35</v>
      </c>
      <c r="BD121" s="0" t="n">
        <f aca="false">IF(Presupuesto!$B$36='Flujo de Pagos'!$E121,36,9999)</f>
        <v>36</v>
      </c>
      <c r="BE121" s="0" t="n">
        <f aca="false">IF(Presupuesto!$B$37='Flujo de Pagos'!$E121,37,9999)</f>
        <v>37</v>
      </c>
      <c r="BF121" s="0" t="n">
        <f aca="false">IF(Presupuesto!$B$38='Flujo de Pagos'!$E121,38,9999)</f>
        <v>38</v>
      </c>
      <c r="BG121" s="0" t="n">
        <f aca="false">IF(Presupuesto!$B$39='Flujo de Pagos'!$E121,39,9999)</f>
        <v>39</v>
      </c>
      <c r="BH121" s="0" t="n">
        <f aca="false">IF(Presupuesto!$B$40='Flujo de Pagos'!$E121,40,9999)</f>
        <v>40</v>
      </c>
      <c r="BI121" s="0" t="n">
        <f aca="false">IF(Presupuesto!$B$41='Flujo de Pagos'!$E121,41,9999)</f>
        <v>41</v>
      </c>
      <c r="BJ121" s="0" t="n">
        <f aca="false">IF(Presupuesto!$B$42='Flujo de Pagos'!$E121,42,9999)</f>
        <v>42</v>
      </c>
      <c r="BK121" s="0" t="n">
        <f aca="false">IF(Presupuesto!$B$43='Flujo de Pagos'!$E121,43,9999)</f>
        <v>43</v>
      </c>
      <c r="BL121" s="0" t="n">
        <f aca="false">IF(Presupuesto!$B$44='Flujo de Pagos'!$E121,44,9999)</f>
        <v>44</v>
      </c>
      <c r="BM121" s="0" t="n">
        <f aca="false">IF(Presupuesto!$B$45='Flujo de Pagos'!$E121,45,9999)</f>
        <v>45</v>
      </c>
      <c r="BN121" s="0" t="n">
        <f aca="false">IF(Presupuesto!$B$46='Flujo de Pagos'!$E121,46,9999)</f>
        <v>46</v>
      </c>
      <c r="BO121" s="0" t="n">
        <f aca="false">IF(Presupuesto!$B$47='Flujo de Pagos'!$E121,47,9999)</f>
        <v>47</v>
      </c>
      <c r="BP121" s="0" t="n">
        <f aca="false">IF(Presupuesto!$B$48='Flujo de Pagos'!$E121,48,9999)</f>
        <v>48</v>
      </c>
      <c r="BQ121" s="0" t="n">
        <f aca="false">IF(Presupuesto!$B$49='Flujo de Pagos'!$E121,49,9999)</f>
        <v>49</v>
      </c>
      <c r="BR121" s="0" t="n">
        <f aca="false">IF(Presupuesto!$B$50='Flujo de Pagos'!$E121,50,9999)</f>
        <v>50</v>
      </c>
      <c r="BS121" s="0" t="n">
        <f aca="false">IF(Presupuesto!$B$51='Flujo de Pagos'!$E121,51,9999)</f>
        <v>51</v>
      </c>
      <c r="BT121" s="0" t="n">
        <f aca="false">IF(Presupuesto!$B$52='Flujo de Pagos'!$E121,52,9999)</f>
        <v>52</v>
      </c>
      <c r="BU121" s="0" t="n">
        <f aca="false">IF(Presupuesto!$B$53='Flujo de Pagos'!$E121,53,9999)</f>
        <v>53</v>
      </c>
      <c r="BV121" s="0" t="n">
        <f aca="false">IF(Presupuesto!$B$54='Flujo de Pagos'!$E121,54,9999)</f>
        <v>54</v>
      </c>
      <c r="BW121" s="0" t="n">
        <f aca="false">IF(Presupuesto!$B$55='Flujo de Pagos'!$E121,55,9999)</f>
        <v>55</v>
      </c>
      <c r="BX121" s="0" t="n">
        <f aca="false">IF(Presupuesto!$B$56='Flujo de Pagos'!$E121,56,9999)</f>
        <v>56</v>
      </c>
      <c r="BY121" s="0" t="n">
        <f aca="false">IF(Presupuesto!$B$57='Flujo de Pagos'!$E121,57,9999)</f>
        <v>57</v>
      </c>
      <c r="BZ121" s="0" t="n">
        <f aca="false">IF(Presupuesto!$B$58='Flujo de Pagos'!$E121,58,9999)</f>
        <v>58</v>
      </c>
      <c r="CA121" s="0" t="n">
        <f aca="false">IF(Presupuesto!$B$59='Flujo de Pagos'!$E121,59,9999)</f>
        <v>59</v>
      </c>
      <c r="CB121" s="0" t="n">
        <f aca="false">IF(Presupuesto!$B$60='Flujo de Pagos'!$E121,60,9999)</f>
        <v>60</v>
      </c>
      <c r="CC121" s="0" t="n">
        <f aca="false">IF(Presupuesto!$B$61='Flujo de Pagos'!$E121,61,9999)</f>
        <v>61</v>
      </c>
      <c r="CD121" s="0" t="n">
        <f aca="false">IF(Presupuesto!$B$62='Flujo de Pagos'!$E121,62,9999)</f>
        <v>62</v>
      </c>
      <c r="CE121" s="0" t="n">
        <f aca="false">IF(Presupuesto!$B$63='Flujo de Pagos'!$E121,63,9999)</f>
        <v>63</v>
      </c>
      <c r="CF121" s="0" t="n">
        <f aca="false">IF(Presupuesto!$B$64='Flujo de Pagos'!$E121,64,9999)</f>
        <v>64</v>
      </c>
      <c r="CG121" s="0" t="n">
        <f aca="false">IF(Presupuesto!$B$65='Flujo de Pagos'!$E121,65,9999)</f>
        <v>65</v>
      </c>
      <c r="CH121" s="0" t="n">
        <f aca="false">IF(Presupuesto!$B$66='Flujo de Pagos'!$E121,66,9999)</f>
        <v>66</v>
      </c>
    </row>
    <row r="122" customFormat="false" ht="15" hidden="false" customHeight="true" outlineLevel="0" collapsed="false">
      <c r="B122" s="1" t="n">
        <f aca="false">IF(AND('Flujo de Pagos'!E127=Carátula!$B$2,'Flujo de Pagos'!F127=Carátula!$B$4,'Flujo de Pagos'!H127&lt;&gt;""),127,99999)</f>
        <v>99999</v>
      </c>
      <c r="H122" s="1" t="n">
        <f aca="false">IF(SMALL($AA122:$CH122,1)&gt;=9999,"",INDEX(Presupuesto!$C:$C,SMALL($AA122:$CH122,1)))</f>
        <v>0</v>
      </c>
      <c r="I122" s="1" t="n">
        <f aca="false">IF(SMALL($AA122:$CH122,2)&gt;=9999,"",INDEX(Presupuesto!$C:$C,SMALL($AA122:$CH122,2)))</f>
        <v>0</v>
      </c>
      <c r="J122" s="1" t="n">
        <f aca="false">IF(SMALL($AA122:$CH122,3)&gt;=9999,"",INDEX(Presupuesto!$C:$C,SMALL($AA122:$CH122,3)))</f>
        <v>0</v>
      </c>
      <c r="K122" s="1" t="n">
        <f aca="false">IF(SMALL($AA122:$CH122,4)&gt;=9999,"",INDEX(Presupuesto!$C:$C,SMALL($AA122:$CH122,4)))</f>
        <v>0</v>
      </c>
      <c r="L122" s="1" t="n">
        <f aca="false">IF(SMALL($AA122:$CH122,5)&gt;=9999,"",INDEX(Presupuesto!$C:$C,SMALL($AA122:$CH122,5)))</f>
        <v>0</v>
      </c>
      <c r="M122" s="1" t="n">
        <f aca="false">IF(SMALL($AA122:$CH122,6)&gt;=9999,"",INDEX(Presupuesto!$C:$C,SMALL($AA122:$CH122,6)))</f>
        <v>0</v>
      </c>
      <c r="N122" s="1" t="n">
        <f aca="false">IF(SMALL($AA122:$CH122,7)&gt;=9999,"",INDEX(Presupuesto!$C:$C,SMALL($AA122:$CH122,7)))</f>
        <v>0</v>
      </c>
      <c r="O122" s="1" t="n">
        <f aca="false">IF(SMALL($AA122:$CH122,8)&gt;=9999,"",INDEX(Presupuesto!$C:$C,SMALL($AA122:$CH122,8)))</f>
        <v>0</v>
      </c>
      <c r="P122" s="1" t="n">
        <f aca="false">IF(SMALL($AA122:$CH122,9)&gt;=9999,"",INDEX(Presupuesto!$C:$C,SMALL($AA122:$CH122,9)))</f>
        <v>0</v>
      </c>
      <c r="Q122" s="1" t="n">
        <f aca="false">IF(SMALL($AA122:$CH122,10)&gt;=9999,"",INDEX(Presupuesto!$C:$C,SMALL($AA122:$CH122,10)))</f>
        <v>0</v>
      </c>
      <c r="AA122" s="0" t="n">
        <f aca="false">IF(Presupuesto!$B$7='Flujo de Pagos'!$E122,7,9999)</f>
        <v>9999</v>
      </c>
      <c r="AB122" s="0" t="n">
        <f aca="false">IF(Presupuesto!$B$8='Flujo de Pagos'!$E122,8,9999)</f>
        <v>9999</v>
      </c>
      <c r="AC122" s="0" t="n">
        <f aca="false">IF(Presupuesto!$B$9='Flujo de Pagos'!$E122,9,9999)</f>
        <v>9999</v>
      </c>
      <c r="AD122" s="0" t="n">
        <f aca="false">IF(Presupuesto!$B$10='Flujo de Pagos'!$E122,10,9999)</f>
        <v>9999</v>
      </c>
      <c r="AE122" s="0" t="n">
        <f aca="false">IF(Presupuesto!$B$11='Flujo de Pagos'!$E122,11,9999)</f>
        <v>9999</v>
      </c>
      <c r="AF122" s="0" t="n">
        <f aca="false">IF(Presupuesto!$B$12='Flujo de Pagos'!$E122,12,9999)</f>
        <v>12</v>
      </c>
      <c r="AG122" s="0" t="n">
        <f aca="false">IF(Presupuesto!$B$13='Flujo de Pagos'!$E122,13,9999)</f>
        <v>13</v>
      </c>
      <c r="AH122" s="0" t="n">
        <f aca="false">IF(Presupuesto!$B$14='Flujo de Pagos'!$E122,14,9999)</f>
        <v>14</v>
      </c>
      <c r="AI122" s="0" t="n">
        <f aca="false">IF(Presupuesto!$B$15='Flujo de Pagos'!$E122,15,9999)</f>
        <v>15</v>
      </c>
      <c r="AJ122" s="0" t="n">
        <f aca="false">IF(Presupuesto!$B$16='Flujo de Pagos'!$E122,16,9999)</f>
        <v>16</v>
      </c>
      <c r="AK122" s="0" t="n">
        <f aca="false">IF(Presupuesto!$B$17='Flujo de Pagos'!$E122,17,9999)</f>
        <v>17</v>
      </c>
      <c r="AL122" s="0" t="n">
        <f aca="false">IF(Presupuesto!$B$18='Flujo de Pagos'!$E122,18,9999)</f>
        <v>18</v>
      </c>
      <c r="AM122" s="0" t="n">
        <f aca="false">IF(Presupuesto!$B$19='Flujo de Pagos'!$E122,19,9999)</f>
        <v>19</v>
      </c>
      <c r="AN122" s="0" t="n">
        <f aca="false">IF(Presupuesto!$B$20='Flujo de Pagos'!$E122,20,9999)</f>
        <v>20</v>
      </c>
      <c r="AO122" s="0" t="n">
        <f aca="false">IF(Presupuesto!$B$21='Flujo de Pagos'!$E122,21,9999)</f>
        <v>21</v>
      </c>
      <c r="AP122" s="0" t="n">
        <f aca="false">IF(Presupuesto!$B$22='Flujo de Pagos'!$E122,22,9999)</f>
        <v>22</v>
      </c>
      <c r="AQ122" s="0" t="n">
        <f aca="false">IF(Presupuesto!$B$23='Flujo de Pagos'!$E122,23,9999)</f>
        <v>23</v>
      </c>
      <c r="AR122" s="0" t="n">
        <f aca="false">IF(Presupuesto!$B$24='Flujo de Pagos'!$E122,24,9999)</f>
        <v>24</v>
      </c>
      <c r="AS122" s="0" t="n">
        <f aca="false">IF(Presupuesto!$B$25='Flujo de Pagos'!$E122,25,9999)</f>
        <v>25</v>
      </c>
      <c r="AT122" s="0" t="n">
        <f aca="false">IF(Presupuesto!$B$26='Flujo de Pagos'!$E122,26,9999)</f>
        <v>26</v>
      </c>
      <c r="AU122" s="0" t="n">
        <f aca="false">IF(Presupuesto!$B$27='Flujo de Pagos'!$E122,27,9999)</f>
        <v>27</v>
      </c>
      <c r="AV122" s="0" t="n">
        <f aca="false">IF(Presupuesto!$B$28='Flujo de Pagos'!$E122,28,9999)</f>
        <v>28</v>
      </c>
      <c r="AW122" s="0" t="n">
        <f aca="false">IF(Presupuesto!$B$29='Flujo de Pagos'!$E122,29,9999)</f>
        <v>29</v>
      </c>
      <c r="AX122" s="0" t="n">
        <f aca="false">IF(Presupuesto!$B$30='Flujo de Pagos'!$E122,30,9999)</f>
        <v>30</v>
      </c>
      <c r="AY122" s="0" t="n">
        <f aca="false">IF(Presupuesto!$B$31='Flujo de Pagos'!$E122,31,9999)</f>
        <v>31</v>
      </c>
      <c r="AZ122" s="0" t="n">
        <f aca="false">IF(Presupuesto!$B$32='Flujo de Pagos'!$E122,32,9999)</f>
        <v>32</v>
      </c>
      <c r="BA122" s="0" t="n">
        <f aca="false">IF(Presupuesto!$B$33='Flujo de Pagos'!$E122,33,9999)</f>
        <v>33</v>
      </c>
      <c r="BB122" s="0" t="n">
        <f aca="false">IF(Presupuesto!$B$34='Flujo de Pagos'!$E122,34,9999)</f>
        <v>34</v>
      </c>
      <c r="BC122" s="0" t="n">
        <f aca="false">IF(Presupuesto!$B$35='Flujo de Pagos'!$E122,35,9999)</f>
        <v>35</v>
      </c>
      <c r="BD122" s="0" t="n">
        <f aca="false">IF(Presupuesto!$B$36='Flujo de Pagos'!$E122,36,9999)</f>
        <v>36</v>
      </c>
      <c r="BE122" s="0" t="n">
        <f aca="false">IF(Presupuesto!$B$37='Flujo de Pagos'!$E122,37,9999)</f>
        <v>37</v>
      </c>
      <c r="BF122" s="0" t="n">
        <f aca="false">IF(Presupuesto!$B$38='Flujo de Pagos'!$E122,38,9999)</f>
        <v>38</v>
      </c>
      <c r="BG122" s="0" t="n">
        <f aca="false">IF(Presupuesto!$B$39='Flujo de Pagos'!$E122,39,9999)</f>
        <v>39</v>
      </c>
      <c r="BH122" s="0" t="n">
        <f aca="false">IF(Presupuesto!$B$40='Flujo de Pagos'!$E122,40,9999)</f>
        <v>40</v>
      </c>
      <c r="BI122" s="0" t="n">
        <f aca="false">IF(Presupuesto!$B$41='Flujo de Pagos'!$E122,41,9999)</f>
        <v>41</v>
      </c>
      <c r="BJ122" s="0" t="n">
        <f aca="false">IF(Presupuesto!$B$42='Flujo de Pagos'!$E122,42,9999)</f>
        <v>42</v>
      </c>
      <c r="BK122" s="0" t="n">
        <f aca="false">IF(Presupuesto!$B$43='Flujo de Pagos'!$E122,43,9999)</f>
        <v>43</v>
      </c>
      <c r="BL122" s="0" t="n">
        <f aca="false">IF(Presupuesto!$B$44='Flujo de Pagos'!$E122,44,9999)</f>
        <v>44</v>
      </c>
      <c r="BM122" s="0" t="n">
        <f aca="false">IF(Presupuesto!$B$45='Flujo de Pagos'!$E122,45,9999)</f>
        <v>45</v>
      </c>
      <c r="BN122" s="0" t="n">
        <f aca="false">IF(Presupuesto!$B$46='Flujo de Pagos'!$E122,46,9999)</f>
        <v>46</v>
      </c>
      <c r="BO122" s="0" t="n">
        <f aca="false">IF(Presupuesto!$B$47='Flujo de Pagos'!$E122,47,9999)</f>
        <v>47</v>
      </c>
      <c r="BP122" s="0" t="n">
        <f aca="false">IF(Presupuesto!$B$48='Flujo de Pagos'!$E122,48,9999)</f>
        <v>48</v>
      </c>
      <c r="BQ122" s="0" t="n">
        <f aca="false">IF(Presupuesto!$B$49='Flujo de Pagos'!$E122,49,9999)</f>
        <v>49</v>
      </c>
      <c r="BR122" s="0" t="n">
        <f aca="false">IF(Presupuesto!$B$50='Flujo de Pagos'!$E122,50,9999)</f>
        <v>50</v>
      </c>
      <c r="BS122" s="0" t="n">
        <f aca="false">IF(Presupuesto!$B$51='Flujo de Pagos'!$E122,51,9999)</f>
        <v>51</v>
      </c>
      <c r="BT122" s="0" t="n">
        <f aca="false">IF(Presupuesto!$B$52='Flujo de Pagos'!$E122,52,9999)</f>
        <v>52</v>
      </c>
      <c r="BU122" s="0" t="n">
        <f aca="false">IF(Presupuesto!$B$53='Flujo de Pagos'!$E122,53,9999)</f>
        <v>53</v>
      </c>
      <c r="BV122" s="0" t="n">
        <f aca="false">IF(Presupuesto!$B$54='Flujo de Pagos'!$E122,54,9999)</f>
        <v>54</v>
      </c>
      <c r="BW122" s="0" t="n">
        <f aca="false">IF(Presupuesto!$B$55='Flujo de Pagos'!$E122,55,9999)</f>
        <v>55</v>
      </c>
      <c r="BX122" s="0" t="n">
        <f aca="false">IF(Presupuesto!$B$56='Flujo de Pagos'!$E122,56,9999)</f>
        <v>56</v>
      </c>
      <c r="BY122" s="0" t="n">
        <f aca="false">IF(Presupuesto!$B$57='Flujo de Pagos'!$E122,57,9999)</f>
        <v>57</v>
      </c>
      <c r="BZ122" s="0" t="n">
        <f aca="false">IF(Presupuesto!$B$58='Flujo de Pagos'!$E122,58,9999)</f>
        <v>58</v>
      </c>
      <c r="CA122" s="0" t="n">
        <f aca="false">IF(Presupuesto!$B$59='Flujo de Pagos'!$E122,59,9999)</f>
        <v>59</v>
      </c>
      <c r="CB122" s="0" t="n">
        <f aca="false">IF(Presupuesto!$B$60='Flujo de Pagos'!$E122,60,9999)</f>
        <v>60</v>
      </c>
      <c r="CC122" s="0" t="n">
        <f aca="false">IF(Presupuesto!$B$61='Flujo de Pagos'!$E122,61,9999)</f>
        <v>61</v>
      </c>
      <c r="CD122" s="0" t="n">
        <f aca="false">IF(Presupuesto!$B$62='Flujo de Pagos'!$E122,62,9999)</f>
        <v>62</v>
      </c>
      <c r="CE122" s="0" t="n">
        <f aca="false">IF(Presupuesto!$B$63='Flujo de Pagos'!$E122,63,9999)</f>
        <v>63</v>
      </c>
      <c r="CF122" s="0" t="n">
        <f aca="false">IF(Presupuesto!$B$64='Flujo de Pagos'!$E122,64,9999)</f>
        <v>64</v>
      </c>
      <c r="CG122" s="0" t="n">
        <f aca="false">IF(Presupuesto!$B$65='Flujo de Pagos'!$E122,65,9999)</f>
        <v>65</v>
      </c>
      <c r="CH122" s="0" t="n">
        <f aca="false">IF(Presupuesto!$B$66='Flujo de Pagos'!$E122,66,9999)</f>
        <v>66</v>
      </c>
    </row>
    <row r="123" customFormat="false" ht="15" hidden="false" customHeight="true" outlineLevel="0" collapsed="false">
      <c r="B123" s="1" t="n">
        <f aca="false">IF(AND('Flujo de Pagos'!E128=Carátula!$B$2,'Flujo de Pagos'!F128=Carátula!$B$4,'Flujo de Pagos'!H128&lt;&gt;""),128,99999)</f>
        <v>99999</v>
      </c>
      <c r="H123" s="1" t="n">
        <f aca="false">IF(SMALL($AA123:$CH123,1)&gt;=9999,"",INDEX(Presupuesto!$C:$C,SMALL($AA123:$CH123,1)))</f>
        <v>0</v>
      </c>
      <c r="I123" s="1" t="n">
        <f aca="false">IF(SMALL($AA123:$CH123,2)&gt;=9999,"",INDEX(Presupuesto!$C:$C,SMALL($AA123:$CH123,2)))</f>
        <v>0</v>
      </c>
      <c r="J123" s="1" t="n">
        <f aca="false">IF(SMALL($AA123:$CH123,3)&gt;=9999,"",INDEX(Presupuesto!$C:$C,SMALL($AA123:$CH123,3)))</f>
        <v>0</v>
      </c>
      <c r="K123" s="1" t="n">
        <f aca="false">IF(SMALL($AA123:$CH123,4)&gt;=9999,"",INDEX(Presupuesto!$C:$C,SMALL($AA123:$CH123,4)))</f>
        <v>0</v>
      </c>
      <c r="L123" s="1" t="n">
        <f aca="false">IF(SMALL($AA123:$CH123,5)&gt;=9999,"",INDEX(Presupuesto!$C:$C,SMALL($AA123:$CH123,5)))</f>
        <v>0</v>
      </c>
      <c r="M123" s="1" t="n">
        <f aca="false">IF(SMALL($AA123:$CH123,6)&gt;=9999,"",INDEX(Presupuesto!$C:$C,SMALL($AA123:$CH123,6)))</f>
        <v>0</v>
      </c>
      <c r="N123" s="1" t="n">
        <f aca="false">IF(SMALL($AA123:$CH123,7)&gt;=9999,"",INDEX(Presupuesto!$C:$C,SMALL($AA123:$CH123,7)))</f>
        <v>0</v>
      </c>
      <c r="O123" s="1" t="n">
        <f aca="false">IF(SMALL($AA123:$CH123,8)&gt;=9999,"",INDEX(Presupuesto!$C:$C,SMALL($AA123:$CH123,8)))</f>
        <v>0</v>
      </c>
      <c r="P123" s="1" t="n">
        <f aca="false">IF(SMALL($AA123:$CH123,9)&gt;=9999,"",INDEX(Presupuesto!$C:$C,SMALL($AA123:$CH123,9)))</f>
        <v>0</v>
      </c>
      <c r="Q123" s="1" t="n">
        <f aca="false">IF(SMALL($AA123:$CH123,10)&gt;=9999,"",INDEX(Presupuesto!$C:$C,SMALL($AA123:$CH123,10)))</f>
        <v>0</v>
      </c>
      <c r="AA123" s="0" t="n">
        <f aca="false">IF(Presupuesto!$B$7='Flujo de Pagos'!$E123,7,9999)</f>
        <v>9999</v>
      </c>
      <c r="AB123" s="0" t="n">
        <f aca="false">IF(Presupuesto!$B$8='Flujo de Pagos'!$E123,8,9999)</f>
        <v>9999</v>
      </c>
      <c r="AC123" s="0" t="n">
        <f aca="false">IF(Presupuesto!$B$9='Flujo de Pagos'!$E123,9,9999)</f>
        <v>9999</v>
      </c>
      <c r="AD123" s="0" t="n">
        <f aca="false">IF(Presupuesto!$B$10='Flujo de Pagos'!$E123,10,9999)</f>
        <v>9999</v>
      </c>
      <c r="AE123" s="0" t="n">
        <f aca="false">IF(Presupuesto!$B$11='Flujo de Pagos'!$E123,11,9999)</f>
        <v>9999</v>
      </c>
      <c r="AF123" s="0" t="n">
        <f aca="false">IF(Presupuesto!$B$12='Flujo de Pagos'!$E123,12,9999)</f>
        <v>12</v>
      </c>
      <c r="AG123" s="0" t="n">
        <f aca="false">IF(Presupuesto!$B$13='Flujo de Pagos'!$E123,13,9999)</f>
        <v>13</v>
      </c>
      <c r="AH123" s="0" t="n">
        <f aca="false">IF(Presupuesto!$B$14='Flujo de Pagos'!$E123,14,9999)</f>
        <v>14</v>
      </c>
      <c r="AI123" s="0" t="n">
        <f aca="false">IF(Presupuesto!$B$15='Flujo de Pagos'!$E123,15,9999)</f>
        <v>15</v>
      </c>
      <c r="AJ123" s="0" t="n">
        <f aca="false">IF(Presupuesto!$B$16='Flujo de Pagos'!$E123,16,9999)</f>
        <v>16</v>
      </c>
      <c r="AK123" s="0" t="n">
        <f aca="false">IF(Presupuesto!$B$17='Flujo de Pagos'!$E123,17,9999)</f>
        <v>17</v>
      </c>
      <c r="AL123" s="0" t="n">
        <f aca="false">IF(Presupuesto!$B$18='Flujo de Pagos'!$E123,18,9999)</f>
        <v>18</v>
      </c>
      <c r="AM123" s="0" t="n">
        <f aca="false">IF(Presupuesto!$B$19='Flujo de Pagos'!$E123,19,9999)</f>
        <v>19</v>
      </c>
      <c r="AN123" s="0" t="n">
        <f aca="false">IF(Presupuesto!$B$20='Flujo de Pagos'!$E123,20,9999)</f>
        <v>20</v>
      </c>
      <c r="AO123" s="0" t="n">
        <f aca="false">IF(Presupuesto!$B$21='Flujo de Pagos'!$E123,21,9999)</f>
        <v>21</v>
      </c>
      <c r="AP123" s="0" t="n">
        <f aca="false">IF(Presupuesto!$B$22='Flujo de Pagos'!$E123,22,9999)</f>
        <v>22</v>
      </c>
      <c r="AQ123" s="0" t="n">
        <f aca="false">IF(Presupuesto!$B$23='Flujo de Pagos'!$E123,23,9999)</f>
        <v>23</v>
      </c>
      <c r="AR123" s="0" t="n">
        <f aca="false">IF(Presupuesto!$B$24='Flujo de Pagos'!$E123,24,9999)</f>
        <v>24</v>
      </c>
      <c r="AS123" s="0" t="n">
        <f aca="false">IF(Presupuesto!$B$25='Flujo de Pagos'!$E123,25,9999)</f>
        <v>25</v>
      </c>
      <c r="AT123" s="0" t="n">
        <f aca="false">IF(Presupuesto!$B$26='Flujo de Pagos'!$E123,26,9999)</f>
        <v>26</v>
      </c>
      <c r="AU123" s="0" t="n">
        <f aca="false">IF(Presupuesto!$B$27='Flujo de Pagos'!$E123,27,9999)</f>
        <v>27</v>
      </c>
      <c r="AV123" s="0" t="n">
        <f aca="false">IF(Presupuesto!$B$28='Flujo de Pagos'!$E123,28,9999)</f>
        <v>28</v>
      </c>
      <c r="AW123" s="0" t="n">
        <f aca="false">IF(Presupuesto!$B$29='Flujo de Pagos'!$E123,29,9999)</f>
        <v>29</v>
      </c>
      <c r="AX123" s="0" t="n">
        <f aca="false">IF(Presupuesto!$B$30='Flujo de Pagos'!$E123,30,9999)</f>
        <v>30</v>
      </c>
      <c r="AY123" s="0" t="n">
        <f aca="false">IF(Presupuesto!$B$31='Flujo de Pagos'!$E123,31,9999)</f>
        <v>31</v>
      </c>
      <c r="AZ123" s="0" t="n">
        <f aca="false">IF(Presupuesto!$B$32='Flujo de Pagos'!$E123,32,9999)</f>
        <v>32</v>
      </c>
      <c r="BA123" s="0" t="n">
        <f aca="false">IF(Presupuesto!$B$33='Flujo de Pagos'!$E123,33,9999)</f>
        <v>33</v>
      </c>
      <c r="BB123" s="0" t="n">
        <f aca="false">IF(Presupuesto!$B$34='Flujo de Pagos'!$E123,34,9999)</f>
        <v>34</v>
      </c>
      <c r="BC123" s="0" t="n">
        <f aca="false">IF(Presupuesto!$B$35='Flujo de Pagos'!$E123,35,9999)</f>
        <v>35</v>
      </c>
      <c r="BD123" s="0" t="n">
        <f aca="false">IF(Presupuesto!$B$36='Flujo de Pagos'!$E123,36,9999)</f>
        <v>36</v>
      </c>
      <c r="BE123" s="0" t="n">
        <f aca="false">IF(Presupuesto!$B$37='Flujo de Pagos'!$E123,37,9999)</f>
        <v>37</v>
      </c>
      <c r="BF123" s="0" t="n">
        <f aca="false">IF(Presupuesto!$B$38='Flujo de Pagos'!$E123,38,9999)</f>
        <v>38</v>
      </c>
      <c r="BG123" s="0" t="n">
        <f aca="false">IF(Presupuesto!$B$39='Flujo de Pagos'!$E123,39,9999)</f>
        <v>39</v>
      </c>
      <c r="BH123" s="0" t="n">
        <f aca="false">IF(Presupuesto!$B$40='Flujo de Pagos'!$E123,40,9999)</f>
        <v>40</v>
      </c>
      <c r="BI123" s="0" t="n">
        <f aca="false">IF(Presupuesto!$B$41='Flujo de Pagos'!$E123,41,9999)</f>
        <v>41</v>
      </c>
      <c r="BJ123" s="0" t="n">
        <f aca="false">IF(Presupuesto!$B$42='Flujo de Pagos'!$E123,42,9999)</f>
        <v>42</v>
      </c>
      <c r="BK123" s="0" t="n">
        <f aca="false">IF(Presupuesto!$B$43='Flujo de Pagos'!$E123,43,9999)</f>
        <v>43</v>
      </c>
      <c r="BL123" s="0" t="n">
        <f aca="false">IF(Presupuesto!$B$44='Flujo de Pagos'!$E123,44,9999)</f>
        <v>44</v>
      </c>
      <c r="BM123" s="0" t="n">
        <f aca="false">IF(Presupuesto!$B$45='Flujo de Pagos'!$E123,45,9999)</f>
        <v>45</v>
      </c>
      <c r="BN123" s="0" t="n">
        <f aca="false">IF(Presupuesto!$B$46='Flujo de Pagos'!$E123,46,9999)</f>
        <v>46</v>
      </c>
      <c r="BO123" s="0" t="n">
        <f aca="false">IF(Presupuesto!$B$47='Flujo de Pagos'!$E123,47,9999)</f>
        <v>47</v>
      </c>
      <c r="BP123" s="0" t="n">
        <f aca="false">IF(Presupuesto!$B$48='Flujo de Pagos'!$E123,48,9999)</f>
        <v>48</v>
      </c>
      <c r="BQ123" s="0" t="n">
        <f aca="false">IF(Presupuesto!$B$49='Flujo de Pagos'!$E123,49,9999)</f>
        <v>49</v>
      </c>
      <c r="BR123" s="0" t="n">
        <f aca="false">IF(Presupuesto!$B$50='Flujo de Pagos'!$E123,50,9999)</f>
        <v>50</v>
      </c>
      <c r="BS123" s="0" t="n">
        <f aca="false">IF(Presupuesto!$B$51='Flujo de Pagos'!$E123,51,9999)</f>
        <v>51</v>
      </c>
      <c r="BT123" s="0" t="n">
        <f aca="false">IF(Presupuesto!$B$52='Flujo de Pagos'!$E123,52,9999)</f>
        <v>52</v>
      </c>
      <c r="BU123" s="0" t="n">
        <f aca="false">IF(Presupuesto!$B$53='Flujo de Pagos'!$E123,53,9999)</f>
        <v>53</v>
      </c>
      <c r="BV123" s="0" t="n">
        <f aca="false">IF(Presupuesto!$B$54='Flujo de Pagos'!$E123,54,9999)</f>
        <v>54</v>
      </c>
      <c r="BW123" s="0" t="n">
        <f aca="false">IF(Presupuesto!$B$55='Flujo de Pagos'!$E123,55,9999)</f>
        <v>55</v>
      </c>
      <c r="BX123" s="0" t="n">
        <f aca="false">IF(Presupuesto!$B$56='Flujo de Pagos'!$E123,56,9999)</f>
        <v>56</v>
      </c>
      <c r="BY123" s="0" t="n">
        <f aca="false">IF(Presupuesto!$B$57='Flujo de Pagos'!$E123,57,9999)</f>
        <v>57</v>
      </c>
      <c r="BZ123" s="0" t="n">
        <f aca="false">IF(Presupuesto!$B$58='Flujo de Pagos'!$E123,58,9999)</f>
        <v>58</v>
      </c>
      <c r="CA123" s="0" t="n">
        <f aca="false">IF(Presupuesto!$B$59='Flujo de Pagos'!$E123,59,9999)</f>
        <v>59</v>
      </c>
      <c r="CB123" s="0" t="n">
        <f aca="false">IF(Presupuesto!$B$60='Flujo de Pagos'!$E123,60,9999)</f>
        <v>60</v>
      </c>
      <c r="CC123" s="0" t="n">
        <f aca="false">IF(Presupuesto!$B$61='Flujo de Pagos'!$E123,61,9999)</f>
        <v>61</v>
      </c>
      <c r="CD123" s="0" t="n">
        <f aca="false">IF(Presupuesto!$B$62='Flujo de Pagos'!$E123,62,9999)</f>
        <v>62</v>
      </c>
      <c r="CE123" s="0" t="n">
        <f aca="false">IF(Presupuesto!$B$63='Flujo de Pagos'!$E123,63,9999)</f>
        <v>63</v>
      </c>
      <c r="CF123" s="0" t="n">
        <f aca="false">IF(Presupuesto!$B$64='Flujo de Pagos'!$E123,64,9999)</f>
        <v>64</v>
      </c>
      <c r="CG123" s="0" t="n">
        <f aca="false">IF(Presupuesto!$B$65='Flujo de Pagos'!$E123,65,9999)</f>
        <v>65</v>
      </c>
      <c r="CH123" s="0" t="n">
        <f aca="false">IF(Presupuesto!$B$66='Flujo de Pagos'!$E123,66,9999)</f>
        <v>66</v>
      </c>
    </row>
    <row r="124" customFormat="false" ht="15" hidden="false" customHeight="true" outlineLevel="0" collapsed="false">
      <c r="B124" s="1" t="n">
        <f aca="false">IF(AND('Flujo de Pagos'!E129=Carátula!$B$2,'Flujo de Pagos'!F129=Carátula!$B$4,'Flujo de Pagos'!H129&lt;&gt;""),129,99999)</f>
        <v>99999</v>
      </c>
      <c r="H124" s="1" t="n">
        <f aca="false">IF(SMALL($AA124:$CH124,1)&gt;=9999,"",INDEX(Presupuesto!$C:$C,SMALL($AA124:$CH124,1)))</f>
        <v>0</v>
      </c>
      <c r="I124" s="1" t="n">
        <f aca="false">IF(SMALL($AA124:$CH124,2)&gt;=9999,"",INDEX(Presupuesto!$C:$C,SMALL($AA124:$CH124,2)))</f>
        <v>0</v>
      </c>
      <c r="J124" s="1" t="n">
        <f aca="false">IF(SMALL($AA124:$CH124,3)&gt;=9999,"",INDEX(Presupuesto!$C:$C,SMALL($AA124:$CH124,3)))</f>
        <v>0</v>
      </c>
      <c r="K124" s="1" t="n">
        <f aca="false">IF(SMALL($AA124:$CH124,4)&gt;=9999,"",INDEX(Presupuesto!$C:$C,SMALL($AA124:$CH124,4)))</f>
        <v>0</v>
      </c>
      <c r="L124" s="1" t="n">
        <f aca="false">IF(SMALL($AA124:$CH124,5)&gt;=9999,"",INDEX(Presupuesto!$C:$C,SMALL($AA124:$CH124,5)))</f>
        <v>0</v>
      </c>
      <c r="M124" s="1" t="n">
        <f aca="false">IF(SMALL($AA124:$CH124,6)&gt;=9999,"",INDEX(Presupuesto!$C:$C,SMALL($AA124:$CH124,6)))</f>
        <v>0</v>
      </c>
      <c r="N124" s="1" t="n">
        <f aca="false">IF(SMALL($AA124:$CH124,7)&gt;=9999,"",INDEX(Presupuesto!$C:$C,SMALL($AA124:$CH124,7)))</f>
        <v>0</v>
      </c>
      <c r="O124" s="1" t="n">
        <f aca="false">IF(SMALL($AA124:$CH124,8)&gt;=9999,"",INDEX(Presupuesto!$C:$C,SMALL($AA124:$CH124,8)))</f>
        <v>0</v>
      </c>
      <c r="P124" s="1" t="n">
        <f aca="false">IF(SMALL($AA124:$CH124,9)&gt;=9999,"",INDEX(Presupuesto!$C:$C,SMALL($AA124:$CH124,9)))</f>
        <v>0</v>
      </c>
      <c r="Q124" s="1" t="n">
        <f aca="false">IF(SMALL($AA124:$CH124,10)&gt;=9999,"",INDEX(Presupuesto!$C:$C,SMALL($AA124:$CH124,10)))</f>
        <v>0</v>
      </c>
      <c r="AA124" s="0" t="n">
        <f aca="false">IF(Presupuesto!$B$7='Flujo de Pagos'!$E124,7,9999)</f>
        <v>9999</v>
      </c>
      <c r="AB124" s="0" t="n">
        <f aca="false">IF(Presupuesto!$B$8='Flujo de Pagos'!$E124,8,9999)</f>
        <v>9999</v>
      </c>
      <c r="AC124" s="0" t="n">
        <f aca="false">IF(Presupuesto!$B$9='Flujo de Pagos'!$E124,9,9999)</f>
        <v>9999</v>
      </c>
      <c r="AD124" s="0" t="n">
        <f aca="false">IF(Presupuesto!$B$10='Flujo de Pagos'!$E124,10,9999)</f>
        <v>9999</v>
      </c>
      <c r="AE124" s="0" t="n">
        <f aca="false">IF(Presupuesto!$B$11='Flujo de Pagos'!$E124,11,9999)</f>
        <v>9999</v>
      </c>
      <c r="AF124" s="0" t="n">
        <f aca="false">IF(Presupuesto!$B$12='Flujo de Pagos'!$E124,12,9999)</f>
        <v>12</v>
      </c>
      <c r="AG124" s="0" t="n">
        <f aca="false">IF(Presupuesto!$B$13='Flujo de Pagos'!$E124,13,9999)</f>
        <v>13</v>
      </c>
      <c r="AH124" s="0" t="n">
        <f aca="false">IF(Presupuesto!$B$14='Flujo de Pagos'!$E124,14,9999)</f>
        <v>14</v>
      </c>
      <c r="AI124" s="0" t="n">
        <f aca="false">IF(Presupuesto!$B$15='Flujo de Pagos'!$E124,15,9999)</f>
        <v>15</v>
      </c>
      <c r="AJ124" s="0" t="n">
        <f aca="false">IF(Presupuesto!$B$16='Flujo de Pagos'!$E124,16,9999)</f>
        <v>16</v>
      </c>
      <c r="AK124" s="0" t="n">
        <f aca="false">IF(Presupuesto!$B$17='Flujo de Pagos'!$E124,17,9999)</f>
        <v>17</v>
      </c>
      <c r="AL124" s="0" t="n">
        <f aca="false">IF(Presupuesto!$B$18='Flujo de Pagos'!$E124,18,9999)</f>
        <v>18</v>
      </c>
      <c r="AM124" s="0" t="n">
        <f aca="false">IF(Presupuesto!$B$19='Flujo de Pagos'!$E124,19,9999)</f>
        <v>19</v>
      </c>
      <c r="AN124" s="0" t="n">
        <f aca="false">IF(Presupuesto!$B$20='Flujo de Pagos'!$E124,20,9999)</f>
        <v>20</v>
      </c>
      <c r="AO124" s="0" t="n">
        <f aca="false">IF(Presupuesto!$B$21='Flujo de Pagos'!$E124,21,9999)</f>
        <v>21</v>
      </c>
      <c r="AP124" s="0" t="n">
        <f aca="false">IF(Presupuesto!$B$22='Flujo de Pagos'!$E124,22,9999)</f>
        <v>22</v>
      </c>
      <c r="AQ124" s="0" t="n">
        <f aca="false">IF(Presupuesto!$B$23='Flujo de Pagos'!$E124,23,9999)</f>
        <v>23</v>
      </c>
      <c r="AR124" s="0" t="n">
        <f aca="false">IF(Presupuesto!$B$24='Flujo de Pagos'!$E124,24,9999)</f>
        <v>24</v>
      </c>
      <c r="AS124" s="0" t="n">
        <f aca="false">IF(Presupuesto!$B$25='Flujo de Pagos'!$E124,25,9999)</f>
        <v>25</v>
      </c>
      <c r="AT124" s="0" t="n">
        <f aca="false">IF(Presupuesto!$B$26='Flujo de Pagos'!$E124,26,9999)</f>
        <v>26</v>
      </c>
      <c r="AU124" s="0" t="n">
        <f aca="false">IF(Presupuesto!$B$27='Flujo de Pagos'!$E124,27,9999)</f>
        <v>27</v>
      </c>
      <c r="AV124" s="0" t="n">
        <f aca="false">IF(Presupuesto!$B$28='Flujo de Pagos'!$E124,28,9999)</f>
        <v>28</v>
      </c>
      <c r="AW124" s="0" t="n">
        <f aca="false">IF(Presupuesto!$B$29='Flujo de Pagos'!$E124,29,9999)</f>
        <v>29</v>
      </c>
      <c r="AX124" s="0" t="n">
        <f aca="false">IF(Presupuesto!$B$30='Flujo de Pagos'!$E124,30,9999)</f>
        <v>30</v>
      </c>
      <c r="AY124" s="0" t="n">
        <f aca="false">IF(Presupuesto!$B$31='Flujo de Pagos'!$E124,31,9999)</f>
        <v>31</v>
      </c>
      <c r="AZ124" s="0" t="n">
        <f aca="false">IF(Presupuesto!$B$32='Flujo de Pagos'!$E124,32,9999)</f>
        <v>32</v>
      </c>
      <c r="BA124" s="0" t="n">
        <f aca="false">IF(Presupuesto!$B$33='Flujo de Pagos'!$E124,33,9999)</f>
        <v>33</v>
      </c>
      <c r="BB124" s="0" t="n">
        <f aca="false">IF(Presupuesto!$B$34='Flujo de Pagos'!$E124,34,9999)</f>
        <v>34</v>
      </c>
      <c r="BC124" s="0" t="n">
        <f aca="false">IF(Presupuesto!$B$35='Flujo de Pagos'!$E124,35,9999)</f>
        <v>35</v>
      </c>
      <c r="BD124" s="0" t="n">
        <f aca="false">IF(Presupuesto!$B$36='Flujo de Pagos'!$E124,36,9999)</f>
        <v>36</v>
      </c>
      <c r="BE124" s="0" t="n">
        <f aca="false">IF(Presupuesto!$B$37='Flujo de Pagos'!$E124,37,9999)</f>
        <v>37</v>
      </c>
      <c r="BF124" s="0" t="n">
        <f aca="false">IF(Presupuesto!$B$38='Flujo de Pagos'!$E124,38,9999)</f>
        <v>38</v>
      </c>
      <c r="BG124" s="0" t="n">
        <f aca="false">IF(Presupuesto!$B$39='Flujo de Pagos'!$E124,39,9999)</f>
        <v>39</v>
      </c>
      <c r="BH124" s="0" t="n">
        <f aca="false">IF(Presupuesto!$B$40='Flujo de Pagos'!$E124,40,9999)</f>
        <v>40</v>
      </c>
      <c r="BI124" s="0" t="n">
        <f aca="false">IF(Presupuesto!$B$41='Flujo de Pagos'!$E124,41,9999)</f>
        <v>41</v>
      </c>
      <c r="BJ124" s="0" t="n">
        <f aca="false">IF(Presupuesto!$B$42='Flujo de Pagos'!$E124,42,9999)</f>
        <v>42</v>
      </c>
      <c r="BK124" s="0" t="n">
        <f aca="false">IF(Presupuesto!$B$43='Flujo de Pagos'!$E124,43,9999)</f>
        <v>43</v>
      </c>
      <c r="BL124" s="0" t="n">
        <f aca="false">IF(Presupuesto!$B$44='Flujo de Pagos'!$E124,44,9999)</f>
        <v>44</v>
      </c>
      <c r="BM124" s="0" t="n">
        <f aca="false">IF(Presupuesto!$B$45='Flujo de Pagos'!$E124,45,9999)</f>
        <v>45</v>
      </c>
      <c r="BN124" s="0" t="n">
        <f aca="false">IF(Presupuesto!$B$46='Flujo de Pagos'!$E124,46,9999)</f>
        <v>46</v>
      </c>
      <c r="BO124" s="0" t="n">
        <f aca="false">IF(Presupuesto!$B$47='Flujo de Pagos'!$E124,47,9999)</f>
        <v>47</v>
      </c>
      <c r="BP124" s="0" t="n">
        <f aca="false">IF(Presupuesto!$B$48='Flujo de Pagos'!$E124,48,9999)</f>
        <v>48</v>
      </c>
      <c r="BQ124" s="0" t="n">
        <f aca="false">IF(Presupuesto!$B$49='Flujo de Pagos'!$E124,49,9999)</f>
        <v>49</v>
      </c>
      <c r="BR124" s="0" t="n">
        <f aca="false">IF(Presupuesto!$B$50='Flujo de Pagos'!$E124,50,9999)</f>
        <v>50</v>
      </c>
      <c r="BS124" s="0" t="n">
        <f aca="false">IF(Presupuesto!$B$51='Flujo de Pagos'!$E124,51,9999)</f>
        <v>51</v>
      </c>
      <c r="BT124" s="0" t="n">
        <f aca="false">IF(Presupuesto!$B$52='Flujo de Pagos'!$E124,52,9999)</f>
        <v>52</v>
      </c>
      <c r="BU124" s="0" t="n">
        <f aca="false">IF(Presupuesto!$B$53='Flujo de Pagos'!$E124,53,9999)</f>
        <v>53</v>
      </c>
      <c r="BV124" s="0" t="n">
        <f aca="false">IF(Presupuesto!$B$54='Flujo de Pagos'!$E124,54,9999)</f>
        <v>54</v>
      </c>
      <c r="BW124" s="0" t="n">
        <f aca="false">IF(Presupuesto!$B$55='Flujo de Pagos'!$E124,55,9999)</f>
        <v>55</v>
      </c>
      <c r="BX124" s="0" t="n">
        <f aca="false">IF(Presupuesto!$B$56='Flujo de Pagos'!$E124,56,9999)</f>
        <v>56</v>
      </c>
      <c r="BY124" s="0" t="n">
        <f aca="false">IF(Presupuesto!$B$57='Flujo de Pagos'!$E124,57,9999)</f>
        <v>57</v>
      </c>
      <c r="BZ124" s="0" t="n">
        <f aca="false">IF(Presupuesto!$B$58='Flujo de Pagos'!$E124,58,9999)</f>
        <v>58</v>
      </c>
      <c r="CA124" s="0" t="n">
        <f aca="false">IF(Presupuesto!$B$59='Flujo de Pagos'!$E124,59,9999)</f>
        <v>59</v>
      </c>
      <c r="CB124" s="0" t="n">
        <f aca="false">IF(Presupuesto!$B$60='Flujo de Pagos'!$E124,60,9999)</f>
        <v>60</v>
      </c>
      <c r="CC124" s="0" t="n">
        <f aca="false">IF(Presupuesto!$B$61='Flujo de Pagos'!$E124,61,9999)</f>
        <v>61</v>
      </c>
      <c r="CD124" s="0" t="n">
        <f aca="false">IF(Presupuesto!$B$62='Flujo de Pagos'!$E124,62,9999)</f>
        <v>62</v>
      </c>
      <c r="CE124" s="0" t="n">
        <f aca="false">IF(Presupuesto!$B$63='Flujo de Pagos'!$E124,63,9999)</f>
        <v>63</v>
      </c>
      <c r="CF124" s="0" t="n">
        <f aca="false">IF(Presupuesto!$B$64='Flujo de Pagos'!$E124,64,9999)</f>
        <v>64</v>
      </c>
      <c r="CG124" s="0" t="n">
        <f aca="false">IF(Presupuesto!$B$65='Flujo de Pagos'!$E124,65,9999)</f>
        <v>65</v>
      </c>
      <c r="CH124" s="0" t="n">
        <f aca="false">IF(Presupuesto!$B$66='Flujo de Pagos'!$E124,66,9999)</f>
        <v>66</v>
      </c>
    </row>
    <row r="125" customFormat="false" ht="15" hidden="false" customHeight="true" outlineLevel="0" collapsed="false">
      <c r="B125" s="1" t="n">
        <f aca="false">IF(AND('Flujo de Pagos'!E130=Carátula!$B$2,'Flujo de Pagos'!F130=Carátula!$B$4,'Flujo de Pagos'!H130&lt;&gt;""),130,99999)</f>
        <v>99999</v>
      </c>
      <c r="H125" s="1" t="n">
        <f aca="false">IF(SMALL($AA125:$CH125,1)&gt;=9999,"",INDEX(Presupuesto!$C:$C,SMALL($AA125:$CH125,1)))</f>
        <v>0</v>
      </c>
      <c r="I125" s="1" t="n">
        <f aca="false">IF(SMALL($AA125:$CH125,2)&gt;=9999,"",INDEX(Presupuesto!$C:$C,SMALL($AA125:$CH125,2)))</f>
        <v>0</v>
      </c>
      <c r="J125" s="1" t="n">
        <f aca="false">IF(SMALL($AA125:$CH125,3)&gt;=9999,"",INDEX(Presupuesto!$C:$C,SMALL($AA125:$CH125,3)))</f>
        <v>0</v>
      </c>
      <c r="K125" s="1" t="n">
        <f aca="false">IF(SMALL($AA125:$CH125,4)&gt;=9999,"",INDEX(Presupuesto!$C:$C,SMALL($AA125:$CH125,4)))</f>
        <v>0</v>
      </c>
      <c r="L125" s="1" t="n">
        <f aca="false">IF(SMALL($AA125:$CH125,5)&gt;=9999,"",INDEX(Presupuesto!$C:$C,SMALL($AA125:$CH125,5)))</f>
        <v>0</v>
      </c>
      <c r="M125" s="1" t="n">
        <f aca="false">IF(SMALL($AA125:$CH125,6)&gt;=9999,"",INDEX(Presupuesto!$C:$C,SMALL($AA125:$CH125,6)))</f>
        <v>0</v>
      </c>
      <c r="N125" s="1" t="n">
        <f aca="false">IF(SMALL($AA125:$CH125,7)&gt;=9999,"",INDEX(Presupuesto!$C:$C,SMALL($AA125:$CH125,7)))</f>
        <v>0</v>
      </c>
      <c r="O125" s="1" t="n">
        <f aca="false">IF(SMALL($AA125:$CH125,8)&gt;=9999,"",INDEX(Presupuesto!$C:$C,SMALL($AA125:$CH125,8)))</f>
        <v>0</v>
      </c>
      <c r="P125" s="1" t="n">
        <f aca="false">IF(SMALL($AA125:$CH125,9)&gt;=9999,"",INDEX(Presupuesto!$C:$C,SMALL($AA125:$CH125,9)))</f>
        <v>0</v>
      </c>
      <c r="Q125" s="1" t="n">
        <f aca="false">IF(SMALL($AA125:$CH125,10)&gt;=9999,"",INDEX(Presupuesto!$C:$C,SMALL($AA125:$CH125,10)))</f>
        <v>0</v>
      </c>
      <c r="AA125" s="0" t="n">
        <f aca="false">IF(Presupuesto!$B$7='Flujo de Pagos'!$E125,7,9999)</f>
        <v>9999</v>
      </c>
      <c r="AB125" s="0" t="n">
        <f aca="false">IF(Presupuesto!$B$8='Flujo de Pagos'!$E125,8,9999)</f>
        <v>9999</v>
      </c>
      <c r="AC125" s="0" t="n">
        <f aca="false">IF(Presupuesto!$B$9='Flujo de Pagos'!$E125,9,9999)</f>
        <v>9999</v>
      </c>
      <c r="AD125" s="0" t="n">
        <f aca="false">IF(Presupuesto!$B$10='Flujo de Pagos'!$E125,10,9999)</f>
        <v>9999</v>
      </c>
      <c r="AE125" s="0" t="n">
        <f aca="false">IF(Presupuesto!$B$11='Flujo de Pagos'!$E125,11,9999)</f>
        <v>9999</v>
      </c>
      <c r="AF125" s="0" t="n">
        <f aca="false">IF(Presupuesto!$B$12='Flujo de Pagos'!$E125,12,9999)</f>
        <v>12</v>
      </c>
      <c r="AG125" s="0" t="n">
        <f aca="false">IF(Presupuesto!$B$13='Flujo de Pagos'!$E125,13,9999)</f>
        <v>13</v>
      </c>
      <c r="AH125" s="0" t="n">
        <f aca="false">IF(Presupuesto!$B$14='Flujo de Pagos'!$E125,14,9999)</f>
        <v>14</v>
      </c>
      <c r="AI125" s="0" t="n">
        <f aca="false">IF(Presupuesto!$B$15='Flujo de Pagos'!$E125,15,9999)</f>
        <v>15</v>
      </c>
      <c r="AJ125" s="0" t="n">
        <f aca="false">IF(Presupuesto!$B$16='Flujo de Pagos'!$E125,16,9999)</f>
        <v>16</v>
      </c>
      <c r="AK125" s="0" t="n">
        <f aca="false">IF(Presupuesto!$B$17='Flujo de Pagos'!$E125,17,9999)</f>
        <v>17</v>
      </c>
      <c r="AL125" s="0" t="n">
        <f aca="false">IF(Presupuesto!$B$18='Flujo de Pagos'!$E125,18,9999)</f>
        <v>18</v>
      </c>
      <c r="AM125" s="0" t="n">
        <f aca="false">IF(Presupuesto!$B$19='Flujo de Pagos'!$E125,19,9999)</f>
        <v>19</v>
      </c>
      <c r="AN125" s="0" t="n">
        <f aca="false">IF(Presupuesto!$B$20='Flujo de Pagos'!$E125,20,9999)</f>
        <v>20</v>
      </c>
      <c r="AO125" s="0" t="n">
        <f aca="false">IF(Presupuesto!$B$21='Flujo de Pagos'!$E125,21,9999)</f>
        <v>21</v>
      </c>
      <c r="AP125" s="0" t="n">
        <f aca="false">IF(Presupuesto!$B$22='Flujo de Pagos'!$E125,22,9999)</f>
        <v>22</v>
      </c>
      <c r="AQ125" s="0" t="n">
        <f aca="false">IF(Presupuesto!$B$23='Flujo de Pagos'!$E125,23,9999)</f>
        <v>23</v>
      </c>
      <c r="AR125" s="0" t="n">
        <f aca="false">IF(Presupuesto!$B$24='Flujo de Pagos'!$E125,24,9999)</f>
        <v>24</v>
      </c>
      <c r="AS125" s="0" t="n">
        <f aca="false">IF(Presupuesto!$B$25='Flujo de Pagos'!$E125,25,9999)</f>
        <v>25</v>
      </c>
      <c r="AT125" s="0" t="n">
        <f aca="false">IF(Presupuesto!$B$26='Flujo de Pagos'!$E125,26,9999)</f>
        <v>26</v>
      </c>
      <c r="AU125" s="0" t="n">
        <f aca="false">IF(Presupuesto!$B$27='Flujo de Pagos'!$E125,27,9999)</f>
        <v>27</v>
      </c>
      <c r="AV125" s="0" t="n">
        <f aca="false">IF(Presupuesto!$B$28='Flujo de Pagos'!$E125,28,9999)</f>
        <v>28</v>
      </c>
      <c r="AW125" s="0" t="n">
        <f aca="false">IF(Presupuesto!$B$29='Flujo de Pagos'!$E125,29,9999)</f>
        <v>29</v>
      </c>
      <c r="AX125" s="0" t="n">
        <f aca="false">IF(Presupuesto!$B$30='Flujo de Pagos'!$E125,30,9999)</f>
        <v>30</v>
      </c>
      <c r="AY125" s="0" t="n">
        <f aca="false">IF(Presupuesto!$B$31='Flujo de Pagos'!$E125,31,9999)</f>
        <v>31</v>
      </c>
      <c r="AZ125" s="0" t="n">
        <f aca="false">IF(Presupuesto!$B$32='Flujo de Pagos'!$E125,32,9999)</f>
        <v>32</v>
      </c>
      <c r="BA125" s="0" t="n">
        <f aca="false">IF(Presupuesto!$B$33='Flujo de Pagos'!$E125,33,9999)</f>
        <v>33</v>
      </c>
      <c r="BB125" s="0" t="n">
        <f aca="false">IF(Presupuesto!$B$34='Flujo de Pagos'!$E125,34,9999)</f>
        <v>34</v>
      </c>
      <c r="BC125" s="0" t="n">
        <f aca="false">IF(Presupuesto!$B$35='Flujo de Pagos'!$E125,35,9999)</f>
        <v>35</v>
      </c>
      <c r="BD125" s="0" t="n">
        <f aca="false">IF(Presupuesto!$B$36='Flujo de Pagos'!$E125,36,9999)</f>
        <v>36</v>
      </c>
      <c r="BE125" s="0" t="n">
        <f aca="false">IF(Presupuesto!$B$37='Flujo de Pagos'!$E125,37,9999)</f>
        <v>37</v>
      </c>
      <c r="BF125" s="0" t="n">
        <f aca="false">IF(Presupuesto!$B$38='Flujo de Pagos'!$E125,38,9999)</f>
        <v>38</v>
      </c>
      <c r="BG125" s="0" t="n">
        <f aca="false">IF(Presupuesto!$B$39='Flujo de Pagos'!$E125,39,9999)</f>
        <v>39</v>
      </c>
      <c r="BH125" s="0" t="n">
        <f aca="false">IF(Presupuesto!$B$40='Flujo de Pagos'!$E125,40,9999)</f>
        <v>40</v>
      </c>
      <c r="BI125" s="0" t="n">
        <f aca="false">IF(Presupuesto!$B$41='Flujo de Pagos'!$E125,41,9999)</f>
        <v>41</v>
      </c>
      <c r="BJ125" s="0" t="n">
        <f aca="false">IF(Presupuesto!$B$42='Flujo de Pagos'!$E125,42,9999)</f>
        <v>42</v>
      </c>
      <c r="BK125" s="0" t="n">
        <f aca="false">IF(Presupuesto!$B$43='Flujo de Pagos'!$E125,43,9999)</f>
        <v>43</v>
      </c>
      <c r="BL125" s="0" t="n">
        <f aca="false">IF(Presupuesto!$B$44='Flujo de Pagos'!$E125,44,9999)</f>
        <v>44</v>
      </c>
      <c r="BM125" s="0" t="n">
        <f aca="false">IF(Presupuesto!$B$45='Flujo de Pagos'!$E125,45,9999)</f>
        <v>45</v>
      </c>
      <c r="BN125" s="0" t="n">
        <f aca="false">IF(Presupuesto!$B$46='Flujo de Pagos'!$E125,46,9999)</f>
        <v>46</v>
      </c>
      <c r="BO125" s="0" t="n">
        <f aca="false">IF(Presupuesto!$B$47='Flujo de Pagos'!$E125,47,9999)</f>
        <v>47</v>
      </c>
      <c r="BP125" s="0" t="n">
        <f aca="false">IF(Presupuesto!$B$48='Flujo de Pagos'!$E125,48,9999)</f>
        <v>48</v>
      </c>
      <c r="BQ125" s="0" t="n">
        <f aca="false">IF(Presupuesto!$B$49='Flujo de Pagos'!$E125,49,9999)</f>
        <v>49</v>
      </c>
      <c r="BR125" s="0" t="n">
        <f aca="false">IF(Presupuesto!$B$50='Flujo de Pagos'!$E125,50,9999)</f>
        <v>50</v>
      </c>
      <c r="BS125" s="0" t="n">
        <f aca="false">IF(Presupuesto!$B$51='Flujo de Pagos'!$E125,51,9999)</f>
        <v>51</v>
      </c>
      <c r="BT125" s="0" t="n">
        <f aca="false">IF(Presupuesto!$B$52='Flujo de Pagos'!$E125,52,9999)</f>
        <v>52</v>
      </c>
      <c r="BU125" s="0" t="n">
        <f aca="false">IF(Presupuesto!$B$53='Flujo de Pagos'!$E125,53,9999)</f>
        <v>53</v>
      </c>
      <c r="BV125" s="0" t="n">
        <f aca="false">IF(Presupuesto!$B$54='Flujo de Pagos'!$E125,54,9999)</f>
        <v>54</v>
      </c>
      <c r="BW125" s="0" t="n">
        <f aca="false">IF(Presupuesto!$B$55='Flujo de Pagos'!$E125,55,9999)</f>
        <v>55</v>
      </c>
      <c r="BX125" s="0" t="n">
        <f aca="false">IF(Presupuesto!$B$56='Flujo de Pagos'!$E125,56,9999)</f>
        <v>56</v>
      </c>
      <c r="BY125" s="0" t="n">
        <f aca="false">IF(Presupuesto!$B$57='Flujo de Pagos'!$E125,57,9999)</f>
        <v>57</v>
      </c>
      <c r="BZ125" s="0" t="n">
        <f aca="false">IF(Presupuesto!$B$58='Flujo de Pagos'!$E125,58,9999)</f>
        <v>58</v>
      </c>
      <c r="CA125" s="0" t="n">
        <f aca="false">IF(Presupuesto!$B$59='Flujo de Pagos'!$E125,59,9999)</f>
        <v>59</v>
      </c>
      <c r="CB125" s="0" t="n">
        <f aca="false">IF(Presupuesto!$B$60='Flujo de Pagos'!$E125,60,9999)</f>
        <v>60</v>
      </c>
      <c r="CC125" s="0" t="n">
        <f aca="false">IF(Presupuesto!$B$61='Flujo de Pagos'!$E125,61,9999)</f>
        <v>61</v>
      </c>
      <c r="CD125" s="0" t="n">
        <f aca="false">IF(Presupuesto!$B$62='Flujo de Pagos'!$E125,62,9999)</f>
        <v>62</v>
      </c>
      <c r="CE125" s="0" t="n">
        <f aca="false">IF(Presupuesto!$B$63='Flujo de Pagos'!$E125,63,9999)</f>
        <v>63</v>
      </c>
      <c r="CF125" s="0" t="n">
        <f aca="false">IF(Presupuesto!$B$64='Flujo de Pagos'!$E125,64,9999)</f>
        <v>64</v>
      </c>
      <c r="CG125" s="0" t="n">
        <f aca="false">IF(Presupuesto!$B$65='Flujo de Pagos'!$E125,65,9999)</f>
        <v>65</v>
      </c>
      <c r="CH125" s="0" t="n">
        <f aca="false">IF(Presupuesto!$B$66='Flujo de Pagos'!$E125,66,9999)</f>
        <v>66</v>
      </c>
    </row>
    <row r="126" customFormat="false" ht="15" hidden="false" customHeight="true" outlineLevel="0" collapsed="false">
      <c r="B126" s="1" t="n">
        <f aca="false">IF(AND('Flujo de Pagos'!E131=Carátula!$B$2,'Flujo de Pagos'!F131=Carátula!$B$4,'Flujo de Pagos'!H131&lt;&gt;""),131,99999)</f>
        <v>99999</v>
      </c>
      <c r="H126" s="1" t="n">
        <f aca="false">IF(SMALL($AA126:$CH126,1)&gt;=9999,"",INDEX(Presupuesto!$C:$C,SMALL($AA126:$CH126,1)))</f>
        <v>0</v>
      </c>
      <c r="I126" s="1" t="n">
        <f aca="false">IF(SMALL($AA126:$CH126,2)&gt;=9999,"",INDEX(Presupuesto!$C:$C,SMALL($AA126:$CH126,2)))</f>
        <v>0</v>
      </c>
      <c r="J126" s="1" t="n">
        <f aca="false">IF(SMALL($AA126:$CH126,3)&gt;=9999,"",INDEX(Presupuesto!$C:$C,SMALL($AA126:$CH126,3)))</f>
        <v>0</v>
      </c>
      <c r="K126" s="1" t="n">
        <f aca="false">IF(SMALL($AA126:$CH126,4)&gt;=9999,"",INDEX(Presupuesto!$C:$C,SMALL($AA126:$CH126,4)))</f>
        <v>0</v>
      </c>
      <c r="L126" s="1" t="n">
        <f aca="false">IF(SMALL($AA126:$CH126,5)&gt;=9999,"",INDEX(Presupuesto!$C:$C,SMALL($AA126:$CH126,5)))</f>
        <v>0</v>
      </c>
      <c r="M126" s="1" t="n">
        <f aca="false">IF(SMALL($AA126:$CH126,6)&gt;=9999,"",INDEX(Presupuesto!$C:$C,SMALL($AA126:$CH126,6)))</f>
        <v>0</v>
      </c>
      <c r="N126" s="1" t="n">
        <f aca="false">IF(SMALL($AA126:$CH126,7)&gt;=9999,"",INDEX(Presupuesto!$C:$C,SMALL($AA126:$CH126,7)))</f>
        <v>0</v>
      </c>
      <c r="O126" s="1" t="n">
        <f aca="false">IF(SMALL($AA126:$CH126,8)&gt;=9999,"",INDEX(Presupuesto!$C:$C,SMALL($AA126:$CH126,8)))</f>
        <v>0</v>
      </c>
      <c r="P126" s="1" t="n">
        <f aca="false">IF(SMALL($AA126:$CH126,9)&gt;=9999,"",INDEX(Presupuesto!$C:$C,SMALL($AA126:$CH126,9)))</f>
        <v>0</v>
      </c>
      <c r="Q126" s="1" t="n">
        <f aca="false">IF(SMALL($AA126:$CH126,10)&gt;=9999,"",INDEX(Presupuesto!$C:$C,SMALL($AA126:$CH126,10)))</f>
        <v>0</v>
      </c>
      <c r="AA126" s="0" t="n">
        <f aca="false">IF(Presupuesto!$B$7='Flujo de Pagos'!$E126,7,9999)</f>
        <v>9999</v>
      </c>
      <c r="AB126" s="0" t="n">
        <f aca="false">IF(Presupuesto!$B$8='Flujo de Pagos'!$E126,8,9999)</f>
        <v>9999</v>
      </c>
      <c r="AC126" s="0" t="n">
        <f aca="false">IF(Presupuesto!$B$9='Flujo de Pagos'!$E126,9,9999)</f>
        <v>9999</v>
      </c>
      <c r="AD126" s="0" t="n">
        <f aca="false">IF(Presupuesto!$B$10='Flujo de Pagos'!$E126,10,9999)</f>
        <v>9999</v>
      </c>
      <c r="AE126" s="0" t="n">
        <f aca="false">IF(Presupuesto!$B$11='Flujo de Pagos'!$E126,11,9999)</f>
        <v>9999</v>
      </c>
      <c r="AF126" s="0" t="n">
        <f aca="false">IF(Presupuesto!$B$12='Flujo de Pagos'!$E126,12,9999)</f>
        <v>12</v>
      </c>
      <c r="AG126" s="0" t="n">
        <f aca="false">IF(Presupuesto!$B$13='Flujo de Pagos'!$E126,13,9999)</f>
        <v>13</v>
      </c>
      <c r="AH126" s="0" t="n">
        <f aca="false">IF(Presupuesto!$B$14='Flujo de Pagos'!$E126,14,9999)</f>
        <v>14</v>
      </c>
      <c r="AI126" s="0" t="n">
        <f aca="false">IF(Presupuesto!$B$15='Flujo de Pagos'!$E126,15,9999)</f>
        <v>15</v>
      </c>
      <c r="AJ126" s="0" t="n">
        <f aca="false">IF(Presupuesto!$B$16='Flujo de Pagos'!$E126,16,9999)</f>
        <v>16</v>
      </c>
      <c r="AK126" s="0" t="n">
        <f aca="false">IF(Presupuesto!$B$17='Flujo de Pagos'!$E126,17,9999)</f>
        <v>17</v>
      </c>
      <c r="AL126" s="0" t="n">
        <f aca="false">IF(Presupuesto!$B$18='Flujo de Pagos'!$E126,18,9999)</f>
        <v>18</v>
      </c>
      <c r="AM126" s="0" t="n">
        <f aca="false">IF(Presupuesto!$B$19='Flujo de Pagos'!$E126,19,9999)</f>
        <v>19</v>
      </c>
      <c r="AN126" s="0" t="n">
        <f aca="false">IF(Presupuesto!$B$20='Flujo de Pagos'!$E126,20,9999)</f>
        <v>20</v>
      </c>
      <c r="AO126" s="0" t="n">
        <f aca="false">IF(Presupuesto!$B$21='Flujo de Pagos'!$E126,21,9999)</f>
        <v>21</v>
      </c>
      <c r="AP126" s="0" t="n">
        <f aca="false">IF(Presupuesto!$B$22='Flujo de Pagos'!$E126,22,9999)</f>
        <v>22</v>
      </c>
      <c r="AQ126" s="0" t="n">
        <f aca="false">IF(Presupuesto!$B$23='Flujo de Pagos'!$E126,23,9999)</f>
        <v>23</v>
      </c>
      <c r="AR126" s="0" t="n">
        <f aca="false">IF(Presupuesto!$B$24='Flujo de Pagos'!$E126,24,9999)</f>
        <v>24</v>
      </c>
      <c r="AS126" s="0" t="n">
        <f aca="false">IF(Presupuesto!$B$25='Flujo de Pagos'!$E126,25,9999)</f>
        <v>25</v>
      </c>
      <c r="AT126" s="0" t="n">
        <f aca="false">IF(Presupuesto!$B$26='Flujo de Pagos'!$E126,26,9999)</f>
        <v>26</v>
      </c>
      <c r="AU126" s="0" t="n">
        <f aca="false">IF(Presupuesto!$B$27='Flujo de Pagos'!$E126,27,9999)</f>
        <v>27</v>
      </c>
      <c r="AV126" s="0" t="n">
        <f aca="false">IF(Presupuesto!$B$28='Flujo de Pagos'!$E126,28,9999)</f>
        <v>28</v>
      </c>
      <c r="AW126" s="0" t="n">
        <f aca="false">IF(Presupuesto!$B$29='Flujo de Pagos'!$E126,29,9999)</f>
        <v>29</v>
      </c>
      <c r="AX126" s="0" t="n">
        <f aca="false">IF(Presupuesto!$B$30='Flujo de Pagos'!$E126,30,9999)</f>
        <v>30</v>
      </c>
      <c r="AY126" s="0" t="n">
        <f aca="false">IF(Presupuesto!$B$31='Flujo de Pagos'!$E126,31,9999)</f>
        <v>31</v>
      </c>
      <c r="AZ126" s="0" t="n">
        <f aca="false">IF(Presupuesto!$B$32='Flujo de Pagos'!$E126,32,9999)</f>
        <v>32</v>
      </c>
      <c r="BA126" s="0" t="n">
        <f aca="false">IF(Presupuesto!$B$33='Flujo de Pagos'!$E126,33,9999)</f>
        <v>33</v>
      </c>
      <c r="BB126" s="0" t="n">
        <f aca="false">IF(Presupuesto!$B$34='Flujo de Pagos'!$E126,34,9999)</f>
        <v>34</v>
      </c>
      <c r="BC126" s="0" t="n">
        <f aca="false">IF(Presupuesto!$B$35='Flujo de Pagos'!$E126,35,9999)</f>
        <v>35</v>
      </c>
      <c r="BD126" s="0" t="n">
        <f aca="false">IF(Presupuesto!$B$36='Flujo de Pagos'!$E126,36,9999)</f>
        <v>36</v>
      </c>
      <c r="BE126" s="0" t="n">
        <f aca="false">IF(Presupuesto!$B$37='Flujo de Pagos'!$E126,37,9999)</f>
        <v>37</v>
      </c>
      <c r="BF126" s="0" t="n">
        <f aca="false">IF(Presupuesto!$B$38='Flujo de Pagos'!$E126,38,9999)</f>
        <v>38</v>
      </c>
      <c r="BG126" s="0" t="n">
        <f aca="false">IF(Presupuesto!$B$39='Flujo de Pagos'!$E126,39,9999)</f>
        <v>39</v>
      </c>
      <c r="BH126" s="0" t="n">
        <f aca="false">IF(Presupuesto!$B$40='Flujo de Pagos'!$E126,40,9999)</f>
        <v>40</v>
      </c>
      <c r="BI126" s="0" t="n">
        <f aca="false">IF(Presupuesto!$B$41='Flujo de Pagos'!$E126,41,9999)</f>
        <v>41</v>
      </c>
      <c r="BJ126" s="0" t="n">
        <f aca="false">IF(Presupuesto!$B$42='Flujo de Pagos'!$E126,42,9999)</f>
        <v>42</v>
      </c>
      <c r="BK126" s="0" t="n">
        <f aca="false">IF(Presupuesto!$B$43='Flujo de Pagos'!$E126,43,9999)</f>
        <v>43</v>
      </c>
      <c r="BL126" s="0" t="n">
        <f aca="false">IF(Presupuesto!$B$44='Flujo de Pagos'!$E126,44,9999)</f>
        <v>44</v>
      </c>
      <c r="BM126" s="0" t="n">
        <f aca="false">IF(Presupuesto!$B$45='Flujo de Pagos'!$E126,45,9999)</f>
        <v>45</v>
      </c>
      <c r="BN126" s="0" t="n">
        <f aca="false">IF(Presupuesto!$B$46='Flujo de Pagos'!$E126,46,9999)</f>
        <v>46</v>
      </c>
      <c r="BO126" s="0" t="n">
        <f aca="false">IF(Presupuesto!$B$47='Flujo de Pagos'!$E126,47,9999)</f>
        <v>47</v>
      </c>
      <c r="BP126" s="0" t="n">
        <f aca="false">IF(Presupuesto!$B$48='Flujo de Pagos'!$E126,48,9999)</f>
        <v>48</v>
      </c>
      <c r="BQ126" s="0" t="n">
        <f aca="false">IF(Presupuesto!$B$49='Flujo de Pagos'!$E126,49,9999)</f>
        <v>49</v>
      </c>
      <c r="BR126" s="0" t="n">
        <f aca="false">IF(Presupuesto!$B$50='Flujo de Pagos'!$E126,50,9999)</f>
        <v>50</v>
      </c>
      <c r="BS126" s="0" t="n">
        <f aca="false">IF(Presupuesto!$B$51='Flujo de Pagos'!$E126,51,9999)</f>
        <v>51</v>
      </c>
      <c r="BT126" s="0" t="n">
        <f aca="false">IF(Presupuesto!$B$52='Flujo de Pagos'!$E126,52,9999)</f>
        <v>52</v>
      </c>
      <c r="BU126" s="0" t="n">
        <f aca="false">IF(Presupuesto!$B$53='Flujo de Pagos'!$E126,53,9999)</f>
        <v>53</v>
      </c>
      <c r="BV126" s="0" t="n">
        <f aca="false">IF(Presupuesto!$B$54='Flujo de Pagos'!$E126,54,9999)</f>
        <v>54</v>
      </c>
      <c r="BW126" s="0" t="n">
        <f aca="false">IF(Presupuesto!$B$55='Flujo de Pagos'!$E126,55,9999)</f>
        <v>55</v>
      </c>
      <c r="BX126" s="0" t="n">
        <f aca="false">IF(Presupuesto!$B$56='Flujo de Pagos'!$E126,56,9999)</f>
        <v>56</v>
      </c>
      <c r="BY126" s="0" t="n">
        <f aca="false">IF(Presupuesto!$B$57='Flujo de Pagos'!$E126,57,9999)</f>
        <v>57</v>
      </c>
      <c r="BZ126" s="0" t="n">
        <f aca="false">IF(Presupuesto!$B$58='Flujo de Pagos'!$E126,58,9999)</f>
        <v>58</v>
      </c>
      <c r="CA126" s="0" t="n">
        <f aca="false">IF(Presupuesto!$B$59='Flujo de Pagos'!$E126,59,9999)</f>
        <v>59</v>
      </c>
      <c r="CB126" s="0" t="n">
        <f aca="false">IF(Presupuesto!$B$60='Flujo de Pagos'!$E126,60,9999)</f>
        <v>60</v>
      </c>
      <c r="CC126" s="0" t="n">
        <f aca="false">IF(Presupuesto!$B$61='Flujo de Pagos'!$E126,61,9999)</f>
        <v>61</v>
      </c>
      <c r="CD126" s="0" t="n">
        <f aca="false">IF(Presupuesto!$B$62='Flujo de Pagos'!$E126,62,9999)</f>
        <v>62</v>
      </c>
      <c r="CE126" s="0" t="n">
        <f aca="false">IF(Presupuesto!$B$63='Flujo de Pagos'!$E126,63,9999)</f>
        <v>63</v>
      </c>
      <c r="CF126" s="0" t="n">
        <f aca="false">IF(Presupuesto!$B$64='Flujo de Pagos'!$E126,64,9999)</f>
        <v>64</v>
      </c>
      <c r="CG126" s="0" t="n">
        <f aca="false">IF(Presupuesto!$B$65='Flujo de Pagos'!$E126,65,9999)</f>
        <v>65</v>
      </c>
      <c r="CH126" s="0" t="n">
        <f aca="false">IF(Presupuesto!$B$66='Flujo de Pagos'!$E126,66,9999)</f>
        <v>66</v>
      </c>
    </row>
    <row r="127" customFormat="false" ht="15" hidden="false" customHeight="true" outlineLevel="0" collapsed="false">
      <c r="B127" s="1" t="n">
        <f aca="false">IF(AND('Flujo de Pagos'!E132=Carátula!$B$2,'Flujo de Pagos'!F132=Carátula!$B$4,'Flujo de Pagos'!H132&lt;&gt;""),132,99999)</f>
        <v>99999</v>
      </c>
      <c r="H127" s="1" t="n">
        <f aca="false">IF(SMALL($AA127:$CH127,1)&gt;=9999,"",INDEX(Presupuesto!$C:$C,SMALL($AA127:$CH127,1)))</f>
        <v>0</v>
      </c>
      <c r="I127" s="1" t="n">
        <f aca="false">IF(SMALL($AA127:$CH127,2)&gt;=9999,"",INDEX(Presupuesto!$C:$C,SMALL($AA127:$CH127,2)))</f>
        <v>0</v>
      </c>
      <c r="J127" s="1" t="n">
        <f aca="false">IF(SMALL($AA127:$CH127,3)&gt;=9999,"",INDEX(Presupuesto!$C:$C,SMALL($AA127:$CH127,3)))</f>
        <v>0</v>
      </c>
      <c r="K127" s="1" t="n">
        <f aca="false">IF(SMALL($AA127:$CH127,4)&gt;=9999,"",INDEX(Presupuesto!$C:$C,SMALL($AA127:$CH127,4)))</f>
        <v>0</v>
      </c>
      <c r="L127" s="1" t="n">
        <f aca="false">IF(SMALL($AA127:$CH127,5)&gt;=9999,"",INDEX(Presupuesto!$C:$C,SMALL($AA127:$CH127,5)))</f>
        <v>0</v>
      </c>
      <c r="M127" s="1" t="n">
        <f aca="false">IF(SMALL($AA127:$CH127,6)&gt;=9999,"",INDEX(Presupuesto!$C:$C,SMALL($AA127:$CH127,6)))</f>
        <v>0</v>
      </c>
      <c r="N127" s="1" t="n">
        <f aca="false">IF(SMALL($AA127:$CH127,7)&gt;=9999,"",INDEX(Presupuesto!$C:$C,SMALL($AA127:$CH127,7)))</f>
        <v>0</v>
      </c>
      <c r="O127" s="1" t="n">
        <f aca="false">IF(SMALL($AA127:$CH127,8)&gt;=9999,"",INDEX(Presupuesto!$C:$C,SMALL($AA127:$CH127,8)))</f>
        <v>0</v>
      </c>
      <c r="P127" s="1" t="n">
        <f aca="false">IF(SMALL($AA127:$CH127,9)&gt;=9999,"",INDEX(Presupuesto!$C:$C,SMALL($AA127:$CH127,9)))</f>
        <v>0</v>
      </c>
      <c r="Q127" s="1" t="n">
        <f aca="false">IF(SMALL($AA127:$CH127,10)&gt;=9999,"",INDEX(Presupuesto!$C:$C,SMALL($AA127:$CH127,10)))</f>
        <v>0</v>
      </c>
      <c r="AA127" s="0" t="n">
        <f aca="false">IF(Presupuesto!$B$7='Flujo de Pagos'!$E127,7,9999)</f>
        <v>9999</v>
      </c>
      <c r="AB127" s="0" t="n">
        <f aca="false">IF(Presupuesto!$B$8='Flujo de Pagos'!$E127,8,9999)</f>
        <v>9999</v>
      </c>
      <c r="AC127" s="0" t="n">
        <f aca="false">IF(Presupuesto!$B$9='Flujo de Pagos'!$E127,9,9999)</f>
        <v>9999</v>
      </c>
      <c r="AD127" s="0" t="n">
        <f aca="false">IF(Presupuesto!$B$10='Flujo de Pagos'!$E127,10,9999)</f>
        <v>9999</v>
      </c>
      <c r="AE127" s="0" t="n">
        <f aca="false">IF(Presupuesto!$B$11='Flujo de Pagos'!$E127,11,9999)</f>
        <v>9999</v>
      </c>
      <c r="AF127" s="0" t="n">
        <f aca="false">IF(Presupuesto!$B$12='Flujo de Pagos'!$E127,12,9999)</f>
        <v>12</v>
      </c>
      <c r="AG127" s="0" t="n">
        <f aca="false">IF(Presupuesto!$B$13='Flujo de Pagos'!$E127,13,9999)</f>
        <v>13</v>
      </c>
      <c r="AH127" s="0" t="n">
        <f aca="false">IF(Presupuesto!$B$14='Flujo de Pagos'!$E127,14,9999)</f>
        <v>14</v>
      </c>
      <c r="AI127" s="0" t="n">
        <f aca="false">IF(Presupuesto!$B$15='Flujo de Pagos'!$E127,15,9999)</f>
        <v>15</v>
      </c>
      <c r="AJ127" s="0" t="n">
        <f aca="false">IF(Presupuesto!$B$16='Flujo de Pagos'!$E127,16,9999)</f>
        <v>16</v>
      </c>
      <c r="AK127" s="0" t="n">
        <f aca="false">IF(Presupuesto!$B$17='Flujo de Pagos'!$E127,17,9999)</f>
        <v>17</v>
      </c>
      <c r="AL127" s="0" t="n">
        <f aca="false">IF(Presupuesto!$B$18='Flujo de Pagos'!$E127,18,9999)</f>
        <v>18</v>
      </c>
      <c r="AM127" s="0" t="n">
        <f aca="false">IF(Presupuesto!$B$19='Flujo de Pagos'!$E127,19,9999)</f>
        <v>19</v>
      </c>
      <c r="AN127" s="0" t="n">
        <f aca="false">IF(Presupuesto!$B$20='Flujo de Pagos'!$E127,20,9999)</f>
        <v>20</v>
      </c>
      <c r="AO127" s="0" t="n">
        <f aca="false">IF(Presupuesto!$B$21='Flujo de Pagos'!$E127,21,9999)</f>
        <v>21</v>
      </c>
      <c r="AP127" s="0" t="n">
        <f aca="false">IF(Presupuesto!$B$22='Flujo de Pagos'!$E127,22,9999)</f>
        <v>22</v>
      </c>
      <c r="AQ127" s="0" t="n">
        <f aca="false">IF(Presupuesto!$B$23='Flujo de Pagos'!$E127,23,9999)</f>
        <v>23</v>
      </c>
      <c r="AR127" s="0" t="n">
        <f aca="false">IF(Presupuesto!$B$24='Flujo de Pagos'!$E127,24,9999)</f>
        <v>24</v>
      </c>
      <c r="AS127" s="0" t="n">
        <f aca="false">IF(Presupuesto!$B$25='Flujo de Pagos'!$E127,25,9999)</f>
        <v>25</v>
      </c>
      <c r="AT127" s="0" t="n">
        <f aca="false">IF(Presupuesto!$B$26='Flujo de Pagos'!$E127,26,9999)</f>
        <v>26</v>
      </c>
      <c r="AU127" s="0" t="n">
        <f aca="false">IF(Presupuesto!$B$27='Flujo de Pagos'!$E127,27,9999)</f>
        <v>27</v>
      </c>
      <c r="AV127" s="0" t="n">
        <f aca="false">IF(Presupuesto!$B$28='Flujo de Pagos'!$E127,28,9999)</f>
        <v>28</v>
      </c>
      <c r="AW127" s="0" t="n">
        <f aca="false">IF(Presupuesto!$B$29='Flujo de Pagos'!$E127,29,9999)</f>
        <v>29</v>
      </c>
      <c r="AX127" s="0" t="n">
        <f aca="false">IF(Presupuesto!$B$30='Flujo de Pagos'!$E127,30,9999)</f>
        <v>30</v>
      </c>
      <c r="AY127" s="0" t="n">
        <f aca="false">IF(Presupuesto!$B$31='Flujo de Pagos'!$E127,31,9999)</f>
        <v>31</v>
      </c>
      <c r="AZ127" s="0" t="n">
        <f aca="false">IF(Presupuesto!$B$32='Flujo de Pagos'!$E127,32,9999)</f>
        <v>32</v>
      </c>
      <c r="BA127" s="0" t="n">
        <f aca="false">IF(Presupuesto!$B$33='Flujo de Pagos'!$E127,33,9999)</f>
        <v>33</v>
      </c>
      <c r="BB127" s="0" t="n">
        <f aca="false">IF(Presupuesto!$B$34='Flujo de Pagos'!$E127,34,9999)</f>
        <v>34</v>
      </c>
      <c r="BC127" s="0" t="n">
        <f aca="false">IF(Presupuesto!$B$35='Flujo de Pagos'!$E127,35,9999)</f>
        <v>35</v>
      </c>
      <c r="BD127" s="0" t="n">
        <f aca="false">IF(Presupuesto!$B$36='Flujo de Pagos'!$E127,36,9999)</f>
        <v>36</v>
      </c>
      <c r="BE127" s="0" t="n">
        <f aca="false">IF(Presupuesto!$B$37='Flujo de Pagos'!$E127,37,9999)</f>
        <v>37</v>
      </c>
      <c r="BF127" s="0" t="n">
        <f aca="false">IF(Presupuesto!$B$38='Flujo de Pagos'!$E127,38,9999)</f>
        <v>38</v>
      </c>
      <c r="BG127" s="0" t="n">
        <f aca="false">IF(Presupuesto!$B$39='Flujo de Pagos'!$E127,39,9999)</f>
        <v>39</v>
      </c>
      <c r="BH127" s="0" t="n">
        <f aca="false">IF(Presupuesto!$B$40='Flujo de Pagos'!$E127,40,9999)</f>
        <v>40</v>
      </c>
      <c r="BI127" s="0" t="n">
        <f aca="false">IF(Presupuesto!$B$41='Flujo de Pagos'!$E127,41,9999)</f>
        <v>41</v>
      </c>
      <c r="BJ127" s="0" t="n">
        <f aca="false">IF(Presupuesto!$B$42='Flujo de Pagos'!$E127,42,9999)</f>
        <v>42</v>
      </c>
      <c r="BK127" s="0" t="n">
        <f aca="false">IF(Presupuesto!$B$43='Flujo de Pagos'!$E127,43,9999)</f>
        <v>43</v>
      </c>
      <c r="BL127" s="0" t="n">
        <f aca="false">IF(Presupuesto!$B$44='Flujo de Pagos'!$E127,44,9999)</f>
        <v>44</v>
      </c>
      <c r="BM127" s="0" t="n">
        <f aca="false">IF(Presupuesto!$B$45='Flujo de Pagos'!$E127,45,9999)</f>
        <v>45</v>
      </c>
      <c r="BN127" s="0" t="n">
        <f aca="false">IF(Presupuesto!$B$46='Flujo de Pagos'!$E127,46,9999)</f>
        <v>46</v>
      </c>
      <c r="BO127" s="0" t="n">
        <f aca="false">IF(Presupuesto!$B$47='Flujo de Pagos'!$E127,47,9999)</f>
        <v>47</v>
      </c>
      <c r="BP127" s="0" t="n">
        <f aca="false">IF(Presupuesto!$B$48='Flujo de Pagos'!$E127,48,9999)</f>
        <v>48</v>
      </c>
      <c r="BQ127" s="0" t="n">
        <f aca="false">IF(Presupuesto!$B$49='Flujo de Pagos'!$E127,49,9999)</f>
        <v>49</v>
      </c>
      <c r="BR127" s="0" t="n">
        <f aca="false">IF(Presupuesto!$B$50='Flujo de Pagos'!$E127,50,9999)</f>
        <v>50</v>
      </c>
      <c r="BS127" s="0" t="n">
        <f aca="false">IF(Presupuesto!$B$51='Flujo de Pagos'!$E127,51,9999)</f>
        <v>51</v>
      </c>
      <c r="BT127" s="0" t="n">
        <f aca="false">IF(Presupuesto!$B$52='Flujo de Pagos'!$E127,52,9999)</f>
        <v>52</v>
      </c>
      <c r="BU127" s="0" t="n">
        <f aca="false">IF(Presupuesto!$B$53='Flujo de Pagos'!$E127,53,9999)</f>
        <v>53</v>
      </c>
      <c r="BV127" s="0" t="n">
        <f aca="false">IF(Presupuesto!$B$54='Flujo de Pagos'!$E127,54,9999)</f>
        <v>54</v>
      </c>
      <c r="BW127" s="0" t="n">
        <f aca="false">IF(Presupuesto!$B$55='Flujo de Pagos'!$E127,55,9999)</f>
        <v>55</v>
      </c>
      <c r="BX127" s="0" t="n">
        <f aca="false">IF(Presupuesto!$B$56='Flujo de Pagos'!$E127,56,9999)</f>
        <v>56</v>
      </c>
      <c r="BY127" s="0" t="n">
        <f aca="false">IF(Presupuesto!$B$57='Flujo de Pagos'!$E127,57,9999)</f>
        <v>57</v>
      </c>
      <c r="BZ127" s="0" t="n">
        <f aca="false">IF(Presupuesto!$B$58='Flujo de Pagos'!$E127,58,9999)</f>
        <v>58</v>
      </c>
      <c r="CA127" s="0" t="n">
        <f aca="false">IF(Presupuesto!$B$59='Flujo de Pagos'!$E127,59,9999)</f>
        <v>59</v>
      </c>
      <c r="CB127" s="0" t="n">
        <f aca="false">IF(Presupuesto!$B$60='Flujo de Pagos'!$E127,60,9999)</f>
        <v>60</v>
      </c>
      <c r="CC127" s="0" t="n">
        <f aca="false">IF(Presupuesto!$B$61='Flujo de Pagos'!$E127,61,9999)</f>
        <v>61</v>
      </c>
      <c r="CD127" s="0" t="n">
        <f aca="false">IF(Presupuesto!$B$62='Flujo de Pagos'!$E127,62,9999)</f>
        <v>62</v>
      </c>
      <c r="CE127" s="0" t="n">
        <f aca="false">IF(Presupuesto!$B$63='Flujo de Pagos'!$E127,63,9999)</f>
        <v>63</v>
      </c>
      <c r="CF127" s="0" t="n">
        <f aca="false">IF(Presupuesto!$B$64='Flujo de Pagos'!$E127,64,9999)</f>
        <v>64</v>
      </c>
      <c r="CG127" s="0" t="n">
        <f aca="false">IF(Presupuesto!$B$65='Flujo de Pagos'!$E127,65,9999)</f>
        <v>65</v>
      </c>
      <c r="CH127" s="0" t="n">
        <f aca="false">IF(Presupuesto!$B$66='Flujo de Pagos'!$E127,66,9999)</f>
        <v>66</v>
      </c>
    </row>
    <row r="128" customFormat="false" ht="15" hidden="false" customHeight="true" outlineLevel="0" collapsed="false">
      <c r="B128" s="1" t="n">
        <f aca="false">IF(AND('Flujo de Pagos'!E133=Carátula!$B$2,'Flujo de Pagos'!F133=Carátula!$B$4,'Flujo de Pagos'!H133&lt;&gt;""),133,99999)</f>
        <v>99999</v>
      </c>
      <c r="H128" s="1" t="n">
        <f aca="false">IF(SMALL($AA128:$CH128,1)&gt;=9999,"",INDEX(Presupuesto!$C:$C,SMALL($AA128:$CH128,1)))</f>
        <v>0</v>
      </c>
      <c r="I128" s="1" t="n">
        <f aca="false">IF(SMALL($AA128:$CH128,2)&gt;=9999,"",INDEX(Presupuesto!$C:$C,SMALL($AA128:$CH128,2)))</f>
        <v>0</v>
      </c>
      <c r="J128" s="1" t="n">
        <f aca="false">IF(SMALL($AA128:$CH128,3)&gt;=9999,"",INDEX(Presupuesto!$C:$C,SMALL($AA128:$CH128,3)))</f>
        <v>0</v>
      </c>
      <c r="K128" s="1" t="n">
        <f aca="false">IF(SMALL($AA128:$CH128,4)&gt;=9999,"",INDEX(Presupuesto!$C:$C,SMALL($AA128:$CH128,4)))</f>
        <v>0</v>
      </c>
      <c r="L128" s="1" t="n">
        <f aca="false">IF(SMALL($AA128:$CH128,5)&gt;=9999,"",INDEX(Presupuesto!$C:$C,SMALL($AA128:$CH128,5)))</f>
        <v>0</v>
      </c>
      <c r="M128" s="1" t="n">
        <f aca="false">IF(SMALL($AA128:$CH128,6)&gt;=9999,"",INDEX(Presupuesto!$C:$C,SMALL($AA128:$CH128,6)))</f>
        <v>0</v>
      </c>
      <c r="N128" s="1" t="n">
        <f aca="false">IF(SMALL($AA128:$CH128,7)&gt;=9999,"",INDEX(Presupuesto!$C:$C,SMALL($AA128:$CH128,7)))</f>
        <v>0</v>
      </c>
      <c r="O128" s="1" t="n">
        <f aca="false">IF(SMALL($AA128:$CH128,8)&gt;=9999,"",INDEX(Presupuesto!$C:$C,SMALL($AA128:$CH128,8)))</f>
        <v>0</v>
      </c>
      <c r="P128" s="1" t="n">
        <f aca="false">IF(SMALL($AA128:$CH128,9)&gt;=9999,"",INDEX(Presupuesto!$C:$C,SMALL($AA128:$CH128,9)))</f>
        <v>0</v>
      </c>
      <c r="Q128" s="1" t="n">
        <f aca="false">IF(SMALL($AA128:$CH128,10)&gt;=9999,"",INDEX(Presupuesto!$C:$C,SMALL($AA128:$CH128,10)))</f>
        <v>0</v>
      </c>
      <c r="AA128" s="0" t="n">
        <f aca="false">IF(Presupuesto!$B$7='Flujo de Pagos'!$E128,7,9999)</f>
        <v>9999</v>
      </c>
      <c r="AB128" s="0" t="n">
        <f aca="false">IF(Presupuesto!$B$8='Flujo de Pagos'!$E128,8,9999)</f>
        <v>9999</v>
      </c>
      <c r="AC128" s="0" t="n">
        <f aca="false">IF(Presupuesto!$B$9='Flujo de Pagos'!$E128,9,9999)</f>
        <v>9999</v>
      </c>
      <c r="AD128" s="0" t="n">
        <f aca="false">IF(Presupuesto!$B$10='Flujo de Pagos'!$E128,10,9999)</f>
        <v>9999</v>
      </c>
      <c r="AE128" s="0" t="n">
        <f aca="false">IF(Presupuesto!$B$11='Flujo de Pagos'!$E128,11,9999)</f>
        <v>9999</v>
      </c>
      <c r="AF128" s="0" t="n">
        <f aca="false">IF(Presupuesto!$B$12='Flujo de Pagos'!$E128,12,9999)</f>
        <v>12</v>
      </c>
      <c r="AG128" s="0" t="n">
        <f aca="false">IF(Presupuesto!$B$13='Flujo de Pagos'!$E128,13,9999)</f>
        <v>13</v>
      </c>
      <c r="AH128" s="0" t="n">
        <f aca="false">IF(Presupuesto!$B$14='Flujo de Pagos'!$E128,14,9999)</f>
        <v>14</v>
      </c>
      <c r="AI128" s="0" t="n">
        <f aca="false">IF(Presupuesto!$B$15='Flujo de Pagos'!$E128,15,9999)</f>
        <v>15</v>
      </c>
      <c r="AJ128" s="0" t="n">
        <f aca="false">IF(Presupuesto!$B$16='Flujo de Pagos'!$E128,16,9999)</f>
        <v>16</v>
      </c>
      <c r="AK128" s="0" t="n">
        <f aca="false">IF(Presupuesto!$B$17='Flujo de Pagos'!$E128,17,9999)</f>
        <v>17</v>
      </c>
      <c r="AL128" s="0" t="n">
        <f aca="false">IF(Presupuesto!$B$18='Flujo de Pagos'!$E128,18,9999)</f>
        <v>18</v>
      </c>
      <c r="AM128" s="0" t="n">
        <f aca="false">IF(Presupuesto!$B$19='Flujo de Pagos'!$E128,19,9999)</f>
        <v>19</v>
      </c>
      <c r="AN128" s="0" t="n">
        <f aca="false">IF(Presupuesto!$B$20='Flujo de Pagos'!$E128,20,9999)</f>
        <v>20</v>
      </c>
      <c r="AO128" s="0" t="n">
        <f aca="false">IF(Presupuesto!$B$21='Flujo de Pagos'!$E128,21,9999)</f>
        <v>21</v>
      </c>
      <c r="AP128" s="0" t="n">
        <f aca="false">IF(Presupuesto!$B$22='Flujo de Pagos'!$E128,22,9999)</f>
        <v>22</v>
      </c>
      <c r="AQ128" s="0" t="n">
        <f aca="false">IF(Presupuesto!$B$23='Flujo de Pagos'!$E128,23,9999)</f>
        <v>23</v>
      </c>
      <c r="AR128" s="0" t="n">
        <f aca="false">IF(Presupuesto!$B$24='Flujo de Pagos'!$E128,24,9999)</f>
        <v>24</v>
      </c>
      <c r="AS128" s="0" t="n">
        <f aca="false">IF(Presupuesto!$B$25='Flujo de Pagos'!$E128,25,9999)</f>
        <v>25</v>
      </c>
      <c r="AT128" s="0" t="n">
        <f aca="false">IF(Presupuesto!$B$26='Flujo de Pagos'!$E128,26,9999)</f>
        <v>26</v>
      </c>
      <c r="AU128" s="0" t="n">
        <f aca="false">IF(Presupuesto!$B$27='Flujo de Pagos'!$E128,27,9999)</f>
        <v>27</v>
      </c>
      <c r="AV128" s="0" t="n">
        <f aca="false">IF(Presupuesto!$B$28='Flujo de Pagos'!$E128,28,9999)</f>
        <v>28</v>
      </c>
      <c r="AW128" s="0" t="n">
        <f aca="false">IF(Presupuesto!$B$29='Flujo de Pagos'!$E128,29,9999)</f>
        <v>29</v>
      </c>
      <c r="AX128" s="0" t="n">
        <f aca="false">IF(Presupuesto!$B$30='Flujo de Pagos'!$E128,30,9999)</f>
        <v>30</v>
      </c>
      <c r="AY128" s="0" t="n">
        <f aca="false">IF(Presupuesto!$B$31='Flujo de Pagos'!$E128,31,9999)</f>
        <v>31</v>
      </c>
      <c r="AZ128" s="0" t="n">
        <f aca="false">IF(Presupuesto!$B$32='Flujo de Pagos'!$E128,32,9999)</f>
        <v>32</v>
      </c>
      <c r="BA128" s="0" t="n">
        <f aca="false">IF(Presupuesto!$B$33='Flujo de Pagos'!$E128,33,9999)</f>
        <v>33</v>
      </c>
      <c r="BB128" s="0" t="n">
        <f aca="false">IF(Presupuesto!$B$34='Flujo de Pagos'!$E128,34,9999)</f>
        <v>34</v>
      </c>
      <c r="BC128" s="0" t="n">
        <f aca="false">IF(Presupuesto!$B$35='Flujo de Pagos'!$E128,35,9999)</f>
        <v>35</v>
      </c>
      <c r="BD128" s="0" t="n">
        <f aca="false">IF(Presupuesto!$B$36='Flujo de Pagos'!$E128,36,9999)</f>
        <v>36</v>
      </c>
      <c r="BE128" s="0" t="n">
        <f aca="false">IF(Presupuesto!$B$37='Flujo de Pagos'!$E128,37,9999)</f>
        <v>37</v>
      </c>
      <c r="BF128" s="0" t="n">
        <f aca="false">IF(Presupuesto!$B$38='Flujo de Pagos'!$E128,38,9999)</f>
        <v>38</v>
      </c>
      <c r="BG128" s="0" t="n">
        <f aca="false">IF(Presupuesto!$B$39='Flujo de Pagos'!$E128,39,9999)</f>
        <v>39</v>
      </c>
      <c r="BH128" s="0" t="n">
        <f aca="false">IF(Presupuesto!$B$40='Flujo de Pagos'!$E128,40,9999)</f>
        <v>40</v>
      </c>
      <c r="BI128" s="0" t="n">
        <f aca="false">IF(Presupuesto!$B$41='Flujo de Pagos'!$E128,41,9999)</f>
        <v>41</v>
      </c>
      <c r="BJ128" s="0" t="n">
        <f aca="false">IF(Presupuesto!$B$42='Flujo de Pagos'!$E128,42,9999)</f>
        <v>42</v>
      </c>
      <c r="BK128" s="0" t="n">
        <f aca="false">IF(Presupuesto!$B$43='Flujo de Pagos'!$E128,43,9999)</f>
        <v>43</v>
      </c>
      <c r="BL128" s="0" t="n">
        <f aca="false">IF(Presupuesto!$B$44='Flujo de Pagos'!$E128,44,9999)</f>
        <v>44</v>
      </c>
      <c r="BM128" s="0" t="n">
        <f aca="false">IF(Presupuesto!$B$45='Flujo de Pagos'!$E128,45,9999)</f>
        <v>45</v>
      </c>
      <c r="BN128" s="0" t="n">
        <f aca="false">IF(Presupuesto!$B$46='Flujo de Pagos'!$E128,46,9999)</f>
        <v>46</v>
      </c>
      <c r="BO128" s="0" t="n">
        <f aca="false">IF(Presupuesto!$B$47='Flujo de Pagos'!$E128,47,9999)</f>
        <v>47</v>
      </c>
      <c r="BP128" s="0" t="n">
        <f aca="false">IF(Presupuesto!$B$48='Flujo de Pagos'!$E128,48,9999)</f>
        <v>48</v>
      </c>
      <c r="BQ128" s="0" t="n">
        <f aca="false">IF(Presupuesto!$B$49='Flujo de Pagos'!$E128,49,9999)</f>
        <v>49</v>
      </c>
      <c r="BR128" s="0" t="n">
        <f aca="false">IF(Presupuesto!$B$50='Flujo de Pagos'!$E128,50,9999)</f>
        <v>50</v>
      </c>
      <c r="BS128" s="0" t="n">
        <f aca="false">IF(Presupuesto!$B$51='Flujo de Pagos'!$E128,51,9999)</f>
        <v>51</v>
      </c>
      <c r="BT128" s="0" t="n">
        <f aca="false">IF(Presupuesto!$B$52='Flujo de Pagos'!$E128,52,9999)</f>
        <v>52</v>
      </c>
      <c r="BU128" s="0" t="n">
        <f aca="false">IF(Presupuesto!$B$53='Flujo de Pagos'!$E128,53,9999)</f>
        <v>53</v>
      </c>
      <c r="BV128" s="0" t="n">
        <f aca="false">IF(Presupuesto!$B$54='Flujo de Pagos'!$E128,54,9999)</f>
        <v>54</v>
      </c>
      <c r="BW128" s="0" t="n">
        <f aca="false">IF(Presupuesto!$B$55='Flujo de Pagos'!$E128,55,9999)</f>
        <v>55</v>
      </c>
      <c r="BX128" s="0" t="n">
        <f aca="false">IF(Presupuesto!$B$56='Flujo de Pagos'!$E128,56,9999)</f>
        <v>56</v>
      </c>
      <c r="BY128" s="0" t="n">
        <f aca="false">IF(Presupuesto!$B$57='Flujo de Pagos'!$E128,57,9999)</f>
        <v>57</v>
      </c>
      <c r="BZ128" s="0" t="n">
        <f aca="false">IF(Presupuesto!$B$58='Flujo de Pagos'!$E128,58,9999)</f>
        <v>58</v>
      </c>
      <c r="CA128" s="0" t="n">
        <f aca="false">IF(Presupuesto!$B$59='Flujo de Pagos'!$E128,59,9999)</f>
        <v>59</v>
      </c>
      <c r="CB128" s="0" t="n">
        <f aca="false">IF(Presupuesto!$B$60='Flujo de Pagos'!$E128,60,9999)</f>
        <v>60</v>
      </c>
      <c r="CC128" s="0" t="n">
        <f aca="false">IF(Presupuesto!$B$61='Flujo de Pagos'!$E128,61,9999)</f>
        <v>61</v>
      </c>
      <c r="CD128" s="0" t="n">
        <f aca="false">IF(Presupuesto!$B$62='Flujo de Pagos'!$E128,62,9999)</f>
        <v>62</v>
      </c>
      <c r="CE128" s="0" t="n">
        <f aca="false">IF(Presupuesto!$B$63='Flujo de Pagos'!$E128,63,9999)</f>
        <v>63</v>
      </c>
      <c r="CF128" s="0" t="n">
        <f aca="false">IF(Presupuesto!$B$64='Flujo de Pagos'!$E128,64,9999)</f>
        <v>64</v>
      </c>
      <c r="CG128" s="0" t="n">
        <f aca="false">IF(Presupuesto!$B$65='Flujo de Pagos'!$E128,65,9999)</f>
        <v>65</v>
      </c>
      <c r="CH128" s="0" t="n">
        <f aca="false">IF(Presupuesto!$B$66='Flujo de Pagos'!$E128,66,9999)</f>
        <v>66</v>
      </c>
    </row>
    <row r="129" customFormat="false" ht="15" hidden="false" customHeight="true" outlineLevel="0" collapsed="false">
      <c r="B129" s="1" t="n">
        <f aca="false">IF(AND('Flujo de Pagos'!E134=Carátula!$B$2,'Flujo de Pagos'!F134=Carátula!$B$4,'Flujo de Pagos'!H134&lt;&gt;""),134,99999)</f>
        <v>99999</v>
      </c>
      <c r="H129" s="1" t="n">
        <f aca="false">IF(SMALL($AA129:$CH129,1)&gt;=9999,"",INDEX(Presupuesto!$C:$C,SMALL($AA129:$CH129,1)))</f>
        <v>0</v>
      </c>
      <c r="I129" s="1" t="n">
        <f aca="false">IF(SMALL($AA129:$CH129,2)&gt;=9999,"",INDEX(Presupuesto!$C:$C,SMALL($AA129:$CH129,2)))</f>
        <v>0</v>
      </c>
      <c r="J129" s="1" t="n">
        <f aca="false">IF(SMALL($AA129:$CH129,3)&gt;=9999,"",INDEX(Presupuesto!$C:$C,SMALL($AA129:$CH129,3)))</f>
        <v>0</v>
      </c>
      <c r="K129" s="1" t="n">
        <f aca="false">IF(SMALL($AA129:$CH129,4)&gt;=9999,"",INDEX(Presupuesto!$C:$C,SMALL($AA129:$CH129,4)))</f>
        <v>0</v>
      </c>
      <c r="L129" s="1" t="n">
        <f aca="false">IF(SMALL($AA129:$CH129,5)&gt;=9999,"",INDEX(Presupuesto!$C:$C,SMALL($AA129:$CH129,5)))</f>
        <v>0</v>
      </c>
      <c r="M129" s="1" t="n">
        <f aca="false">IF(SMALL($AA129:$CH129,6)&gt;=9999,"",INDEX(Presupuesto!$C:$C,SMALL($AA129:$CH129,6)))</f>
        <v>0</v>
      </c>
      <c r="N129" s="1" t="n">
        <f aca="false">IF(SMALL($AA129:$CH129,7)&gt;=9999,"",INDEX(Presupuesto!$C:$C,SMALL($AA129:$CH129,7)))</f>
        <v>0</v>
      </c>
      <c r="O129" s="1" t="n">
        <f aca="false">IF(SMALL($AA129:$CH129,8)&gt;=9999,"",INDEX(Presupuesto!$C:$C,SMALL($AA129:$CH129,8)))</f>
        <v>0</v>
      </c>
      <c r="P129" s="1" t="n">
        <f aca="false">IF(SMALL($AA129:$CH129,9)&gt;=9999,"",INDEX(Presupuesto!$C:$C,SMALL($AA129:$CH129,9)))</f>
        <v>0</v>
      </c>
      <c r="Q129" s="1" t="n">
        <f aca="false">IF(SMALL($AA129:$CH129,10)&gt;=9999,"",INDEX(Presupuesto!$C:$C,SMALL($AA129:$CH129,10)))</f>
        <v>0</v>
      </c>
      <c r="AA129" s="0" t="n">
        <f aca="false">IF(Presupuesto!$B$7='Flujo de Pagos'!$E129,7,9999)</f>
        <v>9999</v>
      </c>
      <c r="AB129" s="0" t="n">
        <f aca="false">IF(Presupuesto!$B$8='Flujo de Pagos'!$E129,8,9999)</f>
        <v>9999</v>
      </c>
      <c r="AC129" s="0" t="n">
        <f aca="false">IF(Presupuesto!$B$9='Flujo de Pagos'!$E129,9,9999)</f>
        <v>9999</v>
      </c>
      <c r="AD129" s="0" t="n">
        <f aca="false">IF(Presupuesto!$B$10='Flujo de Pagos'!$E129,10,9999)</f>
        <v>9999</v>
      </c>
      <c r="AE129" s="0" t="n">
        <f aca="false">IF(Presupuesto!$B$11='Flujo de Pagos'!$E129,11,9999)</f>
        <v>9999</v>
      </c>
      <c r="AF129" s="0" t="n">
        <f aca="false">IF(Presupuesto!$B$12='Flujo de Pagos'!$E129,12,9999)</f>
        <v>12</v>
      </c>
      <c r="AG129" s="0" t="n">
        <f aca="false">IF(Presupuesto!$B$13='Flujo de Pagos'!$E129,13,9999)</f>
        <v>13</v>
      </c>
      <c r="AH129" s="0" t="n">
        <f aca="false">IF(Presupuesto!$B$14='Flujo de Pagos'!$E129,14,9999)</f>
        <v>14</v>
      </c>
      <c r="AI129" s="0" t="n">
        <f aca="false">IF(Presupuesto!$B$15='Flujo de Pagos'!$E129,15,9999)</f>
        <v>15</v>
      </c>
      <c r="AJ129" s="0" t="n">
        <f aca="false">IF(Presupuesto!$B$16='Flujo de Pagos'!$E129,16,9999)</f>
        <v>16</v>
      </c>
      <c r="AK129" s="0" t="n">
        <f aca="false">IF(Presupuesto!$B$17='Flujo de Pagos'!$E129,17,9999)</f>
        <v>17</v>
      </c>
      <c r="AL129" s="0" t="n">
        <f aca="false">IF(Presupuesto!$B$18='Flujo de Pagos'!$E129,18,9999)</f>
        <v>18</v>
      </c>
      <c r="AM129" s="0" t="n">
        <f aca="false">IF(Presupuesto!$B$19='Flujo de Pagos'!$E129,19,9999)</f>
        <v>19</v>
      </c>
      <c r="AN129" s="0" t="n">
        <f aca="false">IF(Presupuesto!$B$20='Flujo de Pagos'!$E129,20,9999)</f>
        <v>20</v>
      </c>
      <c r="AO129" s="0" t="n">
        <f aca="false">IF(Presupuesto!$B$21='Flujo de Pagos'!$E129,21,9999)</f>
        <v>21</v>
      </c>
      <c r="AP129" s="0" t="n">
        <f aca="false">IF(Presupuesto!$B$22='Flujo de Pagos'!$E129,22,9999)</f>
        <v>22</v>
      </c>
      <c r="AQ129" s="0" t="n">
        <f aca="false">IF(Presupuesto!$B$23='Flujo de Pagos'!$E129,23,9999)</f>
        <v>23</v>
      </c>
      <c r="AR129" s="0" t="n">
        <f aca="false">IF(Presupuesto!$B$24='Flujo de Pagos'!$E129,24,9999)</f>
        <v>24</v>
      </c>
      <c r="AS129" s="0" t="n">
        <f aca="false">IF(Presupuesto!$B$25='Flujo de Pagos'!$E129,25,9999)</f>
        <v>25</v>
      </c>
      <c r="AT129" s="0" t="n">
        <f aca="false">IF(Presupuesto!$B$26='Flujo de Pagos'!$E129,26,9999)</f>
        <v>26</v>
      </c>
      <c r="AU129" s="0" t="n">
        <f aca="false">IF(Presupuesto!$B$27='Flujo de Pagos'!$E129,27,9999)</f>
        <v>27</v>
      </c>
      <c r="AV129" s="0" t="n">
        <f aca="false">IF(Presupuesto!$B$28='Flujo de Pagos'!$E129,28,9999)</f>
        <v>28</v>
      </c>
      <c r="AW129" s="0" t="n">
        <f aca="false">IF(Presupuesto!$B$29='Flujo de Pagos'!$E129,29,9999)</f>
        <v>29</v>
      </c>
      <c r="AX129" s="0" t="n">
        <f aca="false">IF(Presupuesto!$B$30='Flujo de Pagos'!$E129,30,9999)</f>
        <v>30</v>
      </c>
      <c r="AY129" s="0" t="n">
        <f aca="false">IF(Presupuesto!$B$31='Flujo de Pagos'!$E129,31,9999)</f>
        <v>31</v>
      </c>
      <c r="AZ129" s="0" t="n">
        <f aca="false">IF(Presupuesto!$B$32='Flujo de Pagos'!$E129,32,9999)</f>
        <v>32</v>
      </c>
      <c r="BA129" s="0" t="n">
        <f aca="false">IF(Presupuesto!$B$33='Flujo de Pagos'!$E129,33,9999)</f>
        <v>33</v>
      </c>
      <c r="BB129" s="0" t="n">
        <f aca="false">IF(Presupuesto!$B$34='Flujo de Pagos'!$E129,34,9999)</f>
        <v>34</v>
      </c>
      <c r="BC129" s="0" t="n">
        <f aca="false">IF(Presupuesto!$B$35='Flujo de Pagos'!$E129,35,9999)</f>
        <v>35</v>
      </c>
      <c r="BD129" s="0" t="n">
        <f aca="false">IF(Presupuesto!$B$36='Flujo de Pagos'!$E129,36,9999)</f>
        <v>36</v>
      </c>
      <c r="BE129" s="0" t="n">
        <f aca="false">IF(Presupuesto!$B$37='Flujo de Pagos'!$E129,37,9999)</f>
        <v>37</v>
      </c>
      <c r="BF129" s="0" t="n">
        <f aca="false">IF(Presupuesto!$B$38='Flujo de Pagos'!$E129,38,9999)</f>
        <v>38</v>
      </c>
      <c r="BG129" s="0" t="n">
        <f aca="false">IF(Presupuesto!$B$39='Flujo de Pagos'!$E129,39,9999)</f>
        <v>39</v>
      </c>
      <c r="BH129" s="0" t="n">
        <f aca="false">IF(Presupuesto!$B$40='Flujo de Pagos'!$E129,40,9999)</f>
        <v>40</v>
      </c>
      <c r="BI129" s="0" t="n">
        <f aca="false">IF(Presupuesto!$B$41='Flujo de Pagos'!$E129,41,9999)</f>
        <v>41</v>
      </c>
      <c r="BJ129" s="0" t="n">
        <f aca="false">IF(Presupuesto!$B$42='Flujo de Pagos'!$E129,42,9999)</f>
        <v>42</v>
      </c>
      <c r="BK129" s="0" t="n">
        <f aca="false">IF(Presupuesto!$B$43='Flujo de Pagos'!$E129,43,9999)</f>
        <v>43</v>
      </c>
      <c r="BL129" s="0" t="n">
        <f aca="false">IF(Presupuesto!$B$44='Flujo de Pagos'!$E129,44,9999)</f>
        <v>44</v>
      </c>
      <c r="BM129" s="0" t="n">
        <f aca="false">IF(Presupuesto!$B$45='Flujo de Pagos'!$E129,45,9999)</f>
        <v>45</v>
      </c>
      <c r="BN129" s="0" t="n">
        <f aca="false">IF(Presupuesto!$B$46='Flujo de Pagos'!$E129,46,9999)</f>
        <v>46</v>
      </c>
      <c r="BO129" s="0" t="n">
        <f aca="false">IF(Presupuesto!$B$47='Flujo de Pagos'!$E129,47,9999)</f>
        <v>47</v>
      </c>
      <c r="BP129" s="0" t="n">
        <f aca="false">IF(Presupuesto!$B$48='Flujo de Pagos'!$E129,48,9999)</f>
        <v>48</v>
      </c>
      <c r="BQ129" s="0" t="n">
        <f aca="false">IF(Presupuesto!$B$49='Flujo de Pagos'!$E129,49,9999)</f>
        <v>49</v>
      </c>
      <c r="BR129" s="0" t="n">
        <f aca="false">IF(Presupuesto!$B$50='Flujo de Pagos'!$E129,50,9999)</f>
        <v>50</v>
      </c>
      <c r="BS129" s="0" t="n">
        <f aca="false">IF(Presupuesto!$B$51='Flujo de Pagos'!$E129,51,9999)</f>
        <v>51</v>
      </c>
      <c r="BT129" s="0" t="n">
        <f aca="false">IF(Presupuesto!$B$52='Flujo de Pagos'!$E129,52,9999)</f>
        <v>52</v>
      </c>
      <c r="BU129" s="0" t="n">
        <f aca="false">IF(Presupuesto!$B$53='Flujo de Pagos'!$E129,53,9999)</f>
        <v>53</v>
      </c>
      <c r="BV129" s="0" t="n">
        <f aca="false">IF(Presupuesto!$B$54='Flujo de Pagos'!$E129,54,9999)</f>
        <v>54</v>
      </c>
      <c r="BW129" s="0" t="n">
        <f aca="false">IF(Presupuesto!$B$55='Flujo de Pagos'!$E129,55,9999)</f>
        <v>55</v>
      </c>
      <c r="BX129" s="0" t="n">
        <f aca="false">IF(Presupuesto!$B$56='Flujo de Pagos'!$E129,56,9999)</f>
        <v>56</v>
      </c>
      <c r="BY129" s="0" t="n">
        <f aca="false">IF(Presupuesto!$B$57='Flujo de Pagos'!$E129,57,9999)</f>
        <v>57</v>
      </c>
      <c r="BZ129" s="0" t="n">
        <f aca="false">IF(Presupuesto!$B$58='Flujo de Pagos'!$E129,58,9999)</f>
        <v>58</v>
      </c>
      <c r="CA129" s="0" t="n">
        <f aca="false">IF(Presupuesto!$B$59='Flujo de Pagos'!$E129,59,9999)</f>
        <v>59</v>
      </c>
      <c r="CB129" s="0" t="n">
        <f aca="false">IF(Presupuesto!$B$60='Flujo de Pagos'!$E129,60,9999)</f>
        <v>60</v>
      </c>
      <c r="CC129" s="0" t="n">
        <f aca="false">IF(Presupuesto!$B$61='Flujo de Pagos'!$E129,61,9999)</f>
        <v>61</v>
      </c>
      <c r="CD129" s="0" t="n">
        <f aca="false">IF(Presupuesto!$B$62='Flujo de Pagos'!$E129,62,9999)</f>
        <v>62</v>
      </c>
      <c r="CE129" s="0" t="n">
        <f aca="false">IF(Presupuesto!$B$63='Flujo de Pagos'!$E129,63,9999)</f>
        <v>63</v>
      </c>
      <c r="CF129" s="0" t="n">
        <f aca="false">IF(Presupuesto!$B$64='Flujo de Pagos'!$E129,64,9999)</f>
        <v>64</v>
      </c>
      <c r="CG129" s="0" t="n">
        <f aca="false">IF(Presupuesto!$B$65='Flujo de Pagos'!$E129,65,9999)</f>
        <v>65</v>
      </c>
      <c r="CH129" s="0" t="n">
        <f aca="false">IF(Presupuesto!$B$66='Flujo de Pagos'!$E129,66,9999)</f>
        <v>66</v>
      </c>
    </row>
    <row r="130" customFormat="false" ht="15" hidden="false" customHeight="true" outlineLevel="0" collapsed="false">
      <c r="B130" s="1" t="n">
        <f aca="false">IF(AND('Flujo de Pagos'!E135=Carátula!$B$2,'Flujo de Pagos'!F135=Carátula!$B$4,'Flujo de Pagos'!H135&lt;&gt;""),135,99999)</f>
        <v>99999</v>
      </c>
      <c r="H130" s="1" t="n">
        <f aca="false">IF(SMALL($AA130:$CH130,1)&gt;=9999,"",INDEX(Presupuesto!$C:$C,SMALL($AA130:$CH130,1)))</f>
        <v>0</v>
      </c>
      <c r="I130" s="1" t="n">
        <f aca="false">IF(SMALL($AA130:$CH130,2)&gt;=9999,"",INDEX(Presupuesto!$C:$C,SMALL($AA130:$CH130,2)))</f>
        <v>0</v>
      </c>
      <c r="J130" s="1" t="n">
        <f aca="false">IF(SMALL($AA130:$CH130,3)&gt;=9999,"",INDEX(Presupuesto!$C:$C,SMALL($AA130:$CH130,3)))</f>
        <v>0</v>
      </c>
      <c r="K130" s="1" t="n">
        <f aca="false">IF(SMALL($AA130:$CH130,4)&gt;=9999,"",INDEX(Presupuesto!$C:$C,SMALL($AA130:$CH130,4)))</f>
        <v>0</v>
      </c>
      <c r="L130" s="1" t="n">
        <f aca="false">IF(SMALL($AA130:$CH130,5)&gt;=9999,"",INDEX(Presupuesto!$C:$C,SMALL($AA130:$CH130,5)))</f>
        <v>0</v>
      </c>
      <c r="M130" s="1" t="n">
        <f aca="false">IF(SMALL($AA130:$CH130,6)&gt;=9999,"",INDEX(Presupuesto!$C:$C,SMALL($AA130:$CH130,6)))</f>
        <v>0</v>
      </c>
      <c r="N130" s="1" t="n">
        <f aca="false">IF(SMALL($AA130:$CH130,7)&gt;=9999,"",INDEX(Presupuesto!$C:$C,SMALL($AA130:$CH130,7)))</f>
        <v>0</v>
      </c>
      <c r="O130" s="1" t="n">
        <f aca="false">IF(SMALL($AA130:$CH130,8)&gt;=9999,"",INDEX(Presupuesto!$C:$C,SMALL($AA130:$CH130,8)))</f>
        <v>0</v>
      </c>
      <c r="P130" s="1" t="n">
        <f aca="false">IF(SMALL($AA130:$CH130,9)&gt;=9999,"",INDEX(Presupuesto!$C:$C,SMALL($AA130:$CH130,9)))</f>
        <v>0</v>
      </c>
      <c r="Q130" s="1" t="n">
        <f aca="false">IF(SMALL($AA130:$CH130,10)&gt;=9999,"",INDEX(Presupuesto!$C:$C,SMALL($AA130:$CH130,10)))</f>
        <v>0</v>
      </c>
      <c r="AA130" s="0" t="n">
        <f aca="false">IF(Presupuesto!$B$7='Flujo de Pagos'!$E130,7,9999)</f>
        <v>9999</v>
      </c>
      <c r="AB130" s="0" t="n">
        <f aca="false">IF(Presupuesto!$B$8='Flujo de Pagos'!$E130,8,9999)</f>
        <v>9999</v>
      </c>
      <c r="AC130" s="0" t="n">
        <f aca="false">IF(Presupuesto!$B$9='Flujo de Pagos'!$E130,9,9999)</f>
        <v>9999</v>
      </c>
      <c r="AD130" s="0" t="n">
        <f aca="false">IF(Presupuesto!$B$10='Flujo de Pagos'!$E130,10,9999)</f>
        <v>9999</v>
      </c>
      <c r="AE130" s="0" t="n">
        <f aca="false">IF(Presupuesto!$B$11='Flujo de Pagos'!$E130,11,9999)</f>
        <v>9999</v>
      </c>
      <c r="AF130" s="0" t="n">
        <f aca="false">IF(Presupuesto!$B$12='Flujo de Pagos'!$E130,12,9999)</f>
        <v>12</v>
      </c>
      <c r="AG130" s="0" t="n">
        <f aca="false">IF(Presupuesto!$B$13='Flujo de Pagos'!$E130,13,9999)</f>
        <v>13</v>
      </c>
      <c r="AH130" s="0" t="n">
        <f aca="false">IF(Presupuesto!$B$14='Flujo de Pagos'!$E130,14,9999)</f>
        <v>14</v>
      </c>
      <c r="AI130" s="0" t="n">
        <f aca="false">IF(Presupuesto!$B$15='Flujo de Pagos'!$E130,15,9999)</f>
        <v>15</v>
      </c>
      <c r="AJ130" s="0" t="n">
        <f aca="false">IF(Presupuesto!$B$16='Flujo de Pagos'!$E130,16,9999)</f>
        <v>16</v>
      </c>
      <c r="AK130" s="0" t="n">
        <f aca="false">IF(Presupuesto!$B$17='Flujo de Pagos'!$E130,17,9999)</f>
        <v>17</v>
      </c>
      <c r="AL130" s="0" t="n">
        <f aca="false">IF(Presupuesto!$B$18='Flujo de Pagos'!$E130,18,9999)</f>
        <v>18</v>
      </c>
      <c r="AM130" s="0" t="n">
        <f aca="false">IF(Presupuesto!$B$19='Flujo de Pagos'!$E130,19,9999)</f>
        <v>19</v>
      </c>
      <c r="AN130" s="0" t="n">
        <f aca="false">IF(Presupuesto!$B$20='Flujo de Pagos'!$E130,20,9999)</f>
        <v>20</v>
      </c>
      <c r="AO130" s="0" t="n">
        <f aca="false">IF(Presupuesto!$B$21='Flujo de Pagos'!$E130,21,9999)</f>
        <v>21</v>
      </c>
      <c r="AP130" s="0" t="n">
        <f aca="false">IF(Presupuesto!$B$22='Flujo de Pagos'!$E130,22,9999)</f>
        <v>22</v>
      </c>
      <c r="AQ130" s="0" t="n">
        <f aca="false">IF(Presupuesto!$B$23='Flujo de Pagos'!$E130,23,9999)</f>
        <v>23</v>
      </c>
      <c r="AR130" s="0" t="n">
        <f aca="false">IF(Presupuesto!$B$24='Flujo de Pagos'!$E130,24,9999)</f>
        <v>24</v>
      </c>
      <c r="AS130" s="0" t="n">
        <f aca="false">IF(Presupuesto!$B$25='Flujo de Pagos'!$E130,25,9999)</f>
        <v>25</v>
      </c>
      <c r="AT130" s="0" t="n">
        <f aca="false">IF(Presupuesto!$B$26='Flujo de Pagos'!$E130,26,9999)</f>
        <v>26</v>
      </c>
      <c r="AU130" s="0" t="n">
        <f aca="false">IF(Presupuesto!$B$27='Flujo de Pagos'!$E130,27,9999)</f>
        <v>27</v>
      </c>
      <c r="AV130" s="0" t="n">
        <f aca="false">IF(Presupuesto!$B$28='Flujo de Pagos'!$E130,28,9999)</f>
        <v>28</v>
      </c>
      <c r="AW130" s="0" t="n">
        <f aca="false">IF(Presupuesto!$B$29='Flujo de Pagos'!$E130,29,9999)</f>
        <v>29</v>
      </c>
      <c r="AX130" s="0" t="n">
        <f aca="false">IF(Presupuesto!$B$30='Flujo de Pagos'!$E130,30,9999)</f>
        <v>30</v>
      </c>
      <c r="AY130" s="0" t="n">
        <f aca="false">IF(Presupuesto!$B$31='Flujo de Pagos'!$E130,31,9999)</f>
        <v>31</v>
      </c>
      <c r="AZ130" s="0" t="n">
        <f aca="false">IF(Presupuesto!$B$32='Flujo de Pagos'!$E130,32,9999)</f>
        <v>32</v>
      </c>
      <c r="BA130" s="0" t="n">
        <f aca="false">IF(Presupuesto!$B$33='Flujo de Pagos'!$E130,33,9999)</f>
        <v>33</v>
      </c>
      <c r="BB130" s="0" t="n">
        <f aca="false">IF(Presupuesto!$B$34='Flujo de Pagos'!$E130,34,9999)</f>
        <v>34</v>
      </c>
      <c r="BC130" s="0" t="n">
        <f aca="false">IF(Presupuesto!$B$35='Flujo de Pagos'!$E130,35,9999)</f>
        <v>35</v>
      </c>
      <c r="BD130" s="0" t="n">
        <f aca="false">IF(Presupuesto!$B$36='Flujo de Pagos'!$E130,36,9999)</f>
        <v>36</v>
      </c>
      <c r="BE130" s="0" t="n">
        <f aca="false">IF(Presupuesto!$B$37='Flujo de Pagos'!$E130,37,9999)</f>
        <v>37</v>
      </c>
      <c r="BF130" s="0" t="n">
        <f aca="false">IF(Presupuesto!$B$38='Flujo de Pagos'!$E130,38,9999)</f>
        <v>38</v>
      </c>
      <c r="BG130" s="0" t="n">
        <f aca="false">IF(Presupuesto!$B$39='Flujo de Pagos'!$E130,39,9999)</f>
        <v>39</v>
      </c>
      <c r="BH130" s="0" t="n">
        <f aca="false">IF(Presupuesto!$B$40='Flujo de Pagos'!$E130,40,9999)</f>
        <v>40</v>
      </c>
      <c r="BI130" s="0" t="n">
        <f aca="false">IF(Presupuesto!$B$41='Flujo de Pagos'!$E130,41,9999)</f>
        <v>41</v>
      </c>
      <c r="BJ130" s="0" t="n">
        <f aca="false">IF(Presupuesto!$B$42='Flujo de Pagos'!$E130,42,9999)</f>
        <v>42</v>
      </c>
      <c r="BK130" s="0" t="n">
        <f aca="false">IF(Presupuesto!$B$43='Flujo de Pagos'!$E130,43,9999)</f>
        <v>43</v>
      </c>
      <c r="BL130" s="0" t="n">
        <f aca="false">IF(Presupuesto!$B$44='Flujo de Pagos'!$E130,44,9999)</f>
        <v>44</v>
      </c>
      <c r="BM130" s="0" t="n">
        <f aca="false">IF(Presupuesto!$B$45='Flujo de Pagos'!$E130,45,9999)</f>
        <v>45</v>
      </c>
      <c r="BN130" s="0" t="n">
        <f aca="false">IF(Presupuesto!$B$46='Flujo de Pagos'!$E130,46,9999)</f>
        <v>46</v>
      </c>
      <c r="BO130" s="0" t="n">
        <f aca="false">IF(Presupuesto!$B$47='Flujo de Pagos'!$E130,47,9999)</f>
        <v>47</v>
      </c>
      <c r="BP130" s="0" t="n">
        <f aca="false">IF(Presupuesto!$B$48='Flujo de Pagos'!$E130,48,9999)</f>
        <v>48</v>
      </c>
      <c r="BQ130" s="0" t="n">
        <f aca="false">IF(Presupuesto!$B$49='Flujo de Pagos'!$E130,49,9999)</f>
        <v>49</v>
      </c>
      <c r="BR130" s="0" t="n">
        <f aca="false">IF(Presupuesto!$B$50='Flujo de Pagos'!$E130,50,9999)</f>
        <v>50</v>
      </c>
      <c r="BS130" s="0" t="n">
        <f aca="false">IF(Presupuesto!$B$51='Flujo de Pagos'!$E130,51,9999)</f>
        <v>51</v>
      </c>
      <c r="BT130" s="0" t="n">
        <f aca="false">IF(Presupuesto!$B$52='Flujo de Pagos'!$E130,52,9999)</f>
        <v>52</v>
      </c>
      <c r="BU130" s="0" t="n">
        <f aca="false">IF(Presupuesto!$B$53='Flujo de Pagos'!$E130,53,9999)</f>
        <v>53</v>
      </c>
      <c r="BV130" s="0" t="n">
        <f aca="false">IF(Presupuesto!$B$54='Flujo de Pagos'!$E130,54,9999)</f>
        <v>54</v>
      </c>
      <c r="BW130" s="0" t="n">
        <f aca="false">IF(Presupuesto!$B$55='Flujo de Pagos'!$E130,55,9999)</f>
        <v>55</v>
      </c>
      <c r="BX130" s="0" t="n">
        <f aca="false">IF(Presupuesto!$B$56='Flujo de Pagos'!$E130,56,9999)</f>
        <v>56</v>
      </c>
      <c r="BY130" s="0" t="n">
        <f aca="false">IF(Presupuesto!$B$57='Flujo de Pagos'!$E130,57,9999)</f>
        <v>57</v>
      </c>
      <c r="BZ130" s="0" t="n">
        <f aca="false">IF(Presupuesto!$B$58='Flujo de Pagos'!$E130,58,9999)</f>
        <v>58</v>
      </c>
      <c r="CA130" s="0" t="n">
        <f aca="false">IF(Presupuesto!$B$59='Flujo de Pagos'!$E130,59,9999)</f>
        <v>59</v>
      </c>
      <c r="CB130" s="0" t="n">
        <f aca="false">IF(Presupuesto!$B$60='Flujo de Pagos'!$E130,60,9999)</f>
        <v>60</v>
      </c>
      <c r="CC130" s="0" t="n">
        <f aca="false">IF(Presupuesto!$B$61='Flujo de Pagos'!$E130,61,9999)</f>
        <v>61</v>
      </c>
      <c r="CD130" s="0" t="n">
        <f aca="false">IF(Presupuesto!$B$62='Flujo de Pagos'!$E130,62,9999)</f>
        <v>62</v>
      </c>
      <c r="CE130" s="0" t="n">
        <f aca="false">IF(Presupuesto!$B$63='Flujo de Pagos'!$E130,63,9999)</f>
        <v>63</v>
      </c>
      <c r="CF130" s="0" t="n">
        <f aca="false">IF(Presupuesto!$B$64='Flujo de Pagos'!$E130,64,9999)</f>
        <v>64</v>
      </c>
      <c r="CG130" s="0" t="n">
        <f aca="false">IF(Presupuesto!$B$65='Flujo de Pagos'!$E130,65,9999)</f>
        <v>65</v>
      </c>
      <c r="CH130" s="0" t="n">
        <f aca="false">IF(Presupuesto!$B$66='Flujo de Pagos'!$E130,66,9999)</f>
        <v>66</v>
      </c>
    </row>
    <row r="131" customFormat="false" ht="15" hidden="false" customHeight="true" outlineLevel="0" collapsed="false">
      <c r="B131" s="1" t="n">
        <f aca="false">IF(AND('Flujo de Pagos'!E136=Carátula!$B$2,'Flujo de Pagos'!F136=Carátula!$B$4,'Flujo de Pagos'!H136&lt;&gt;""),136,99999)</f>
        <v>99999</v>
      </c>
      <c r="H131" s="1" t="n">
        <f aca="false">IF(SMALL($AA131:$CH131,1)&gt;=9999,"",INDEX(Presupuesto!$C:$C,SMALL($AA131:$CH131,1)))</f>
        <v>0</v>
      </c>
      <c r="I131" s="1" t="n">
        <f aca="false">IF(SMALL($AA131:$CH131,2)&gt;=9999,"",INDEX(Presupuesto!$C:$C,SMALL($AA131:$CH131,2)))</f>
        <v>0</v>
      </c>
      <c r="J131" s="1" t="n">
        <f aca="false">IF(SMALL($AA131:$CH131,3)&gt;=9999,"",INDEX(Presupuesto!$C:$C,SMALL($AA131:$CH131,3)))</f>
        <v>0</v>
      </c>
      <c r="K131" s="1" t="n">
        <f aca="false">IF(SMALL($AA131:$CH131,4)&gt;=9999,"",INDEX(Presupuesto!$C:$C,SMALL($AA131:$CH131,4)))</f>
        <v>0</v>
      </c>
      <c r="L131" s="1" t="n">
        <f aca="false">IF(SMALL($AA131:$CH131,5)&gt;=9999,"",INDEX(Presupuesto!$C:$C,SMALL($AA131:$CH131,5)))</f>
        <v>0</v>
      </c>
      <c r="M131" s="1" t="n">
        <f aca="false">IF(SMALL($AA131:$CH131,6)&gt;=9999,"",INDEX(Presupuesto!$C:$C,SMALL($AA131:$CH131,6)))</f>
        <v>0</v>
      </c>
      <c r="N131" s="1" t="n">
        <f aca="false">IF(SMALL($AA131:$CH131,7)&gt;=9999,"",INDEX(Presupuesto!$C:$C,SMALL($AA131:$CH131,7)))</f>
        <v>0</v>
      </c>
      <c r="O131" s="1" t="n">
        <f aca="false">IF(SMALL($AA131:$CH131,8)&gt;=9999,"",INDEX(Presupuesto!$C:$C,SMALL($AA131:$CH131,8)))</f>
        <v>0</v>
      </c>
      <c r="P131" s="1" t="n">
        <f aca="false">IF(SMALL($AA131:$CH131,9)&gt;=9999,"",INDEX(Presupuesto!$C:$C,SMALL($AA131:$CH131,9)))</f>
        <v>0</v>
      </c>
      <c r="Q131" s="1" t="n">
        <f aca="false">IF(SMALL($AA131:$CH131,10)&gt;=9999,"",INDEX(Presupuesto!$C:$C,SMALL($AA131:$CH131,10)))</f>
        <v>0</v>
      </c>
      <c r="AA131" s="0" t="n">
        <f aca="false">IF(Presupuesto!$B$7='Flujo de Pagos'!$E131,7,9999)</f>
        <v>9999</v>
      </c>
      <c r="AB131" s="0" t="n">
        <f aca="false">IF(Presupuesto!$B$8='Flujo de Pagos'!$E131,8,9999)</f>
        <v>9999</v>
      </c>
      <c r="AC131" s="0" t="n">
        <f aca="false">IF(Presupuesto!$B$9='Flujo de Pagos'!$E131,9,9999)</f>
        <v>9999</v>
      </c>
      <c r="AD131" s="0" t="n">
        <f aca="false">IF(Presupuesto!$B$10='Flujo de Pagos'!$E131,10,9999)</f>
        <v>9999</v>
      </c>
      <c r="AE131" s="0" t="n">
        <f aca="false">IF(Presupuesto!$B$11='Flujo de Pagos'!$E131,11,9999)</f>
        <v>9999</v>
      </c>
      <c r="AF131" s="0" t="n">
        <f aca="false">IF(Presupuesto!$B$12='Flujo de Pagos'!$E131,12,9999)</f>
        <v>12</v>
      </c>
      <c r="AG131" s="0" t="n">
        <f aca="false">IF(Presupuesto!$B$13='Flujo de Pagos'!$E131,13,9999)</f>
        <v>13</v>
      </c>
      <c r="AH131" s="0" t="n">
        <f aca="false">IF(Presupuesto!$B$14='Flujo de Pagos'!$E131,14,9999)</f>
        <v>14</v>
      </c>
      <c r="AI131" s="0" t="n">
        <f aca="false">IF(Presupuesto!$B$15='Flujo de Pagos'!$E131,15,9999)</f>
        <v>15</v>
      </c>
      <c r="AJ131" s="0" t="n">
        <f aca="false">IF(Presupuesto!$B$16='Flujo de Pagos'!$E131,16,9999)</f>
        <v>16</v>
      </c>
      <c r="AK131" s="0" t="n">
        <f aca="false">IF(Presupuesto!$B$17='Flujo de Pagos'!$E131,17,9999)</f>
        <v>17</v>
      </c>
      <c r="AL131" s="0" t="n">
        <f aca="false">IF(Presupuesto!$B$18='Flujo de Pagos'!$E131,18,9999)</f>
        <v>18</v>
      </c>
      <c r="AM131" s="0" t="n">
        <f aca="false">IF(Presupuesto!$B$19='Flujo de Pagos'!$E131,19,9999)</f>
        <v>19</v>
      </c>
      <c r="AN131" s="0" t="n">
        <f aca="false">IF(Presupuesto!$B$20='Flujo de Pagos'!$E131,20,9999)</f>
        <v>20</v>
      </c>
      <c r="AO131" s="0" t="n">
        <f aca="false">IF(Presupuesto!$B$21='Flujo de Pagos'!$E131,21,9999)</f>
        <v>21</v>
      </c>
      <c r="AP131" s="0" t="n">
        <f aca="false">IF(Presupuesto!$B$22='Flujo de Pagos'!$E131,22,9999)</f>
        <v>22</v>
      </c>
      <c r="AQ131" s="0" t="n">
        <f aca="false">IF(Presupuesto!$B$23='Flujo de Pagos'!$E131,23,9999)</f>
        <v>23</v>
      </c>
      <c r="AR131" s="0" t="n">
        <f aca="false">IF(Presupuesto!$B$24='Flujo de Pagos'!$E131,24,9999)</f>
        <v>24</v>
      </c>
      <c r="AS131" s="0" t="n">
        <f aca="false">IF(Presupuesto!$B$25='Flujo de Pagos'!$E131,25,9999)</f>
        <v>25</v>
      </c>
      <c r="AT131" s="0" t="n">
        <f aca="false">IF(Presupuesto!$B$26='Flujo de Pagos'!$E131,26,9999)</f>
        <v>26</v>
      </c>
      <c r="AU131" s="0" t="n">
        <f aca="false">IF(Presupuesto!$B$27='Flujo de Pagos'!$E131,27,9999)</f>
        <v>27</v>
      </c>
      <c r="AV131" s="0" t="n">
        <f aca="false">IF(Presupuesto!$B$28='Flujo de Pagos'!$E131,28,9999)</f>
        <v>28</v>
      </c>
      <c r="AW131" s="0" t="n">
        <f aca="false">IF(Presupuesto!$B$29='Flujo de Pagos'!$E131,29,9999)</f>
        <v>29</v>
      </c>
      <c r="AX131" s="0" t="n">
        <f aca="false">IF(Presupuesto!$B$30='Flujo de Pagos'!$E131,30,9999)</f>
        <v>30</v>
      </c>
      <c r="AY131" s="0" t="n">
        <f aca="false">IF(Presupuesto!$B$31='Flujo de Pagos'!$E131,31,9999)</f>
        <v>31</v>
      </c>
      <c r="AZ131" s="0" t="n">
        <f aca="false">IF(Presupuesto!$B$32='Flujo de Pagos'!$E131,32,9999)</f>
        <v>32</v>
      </c>
      <c r="BA131" s="0" t="n">
        <f aca="false">IF(Presupuesto!$B$33='Flujo de Pagos'!$E131,33,9999)</f>
        <v>33</v>
      </c>
      <c r="BB131" s="0" t="n">
        <f aca="false">IF(Presupuesto!$B$34='Flujo de Pagos'!$E131,34,9999)</f>
        <v>34</v>
      </c>
      <c r="BC131" s="0" t="n">
        <f aca="false">IF(Presupuesto!$B$35='Flujo de Pagos'!$E131,35,9999)</f>
        <v>35</v>
      </c>
      <c r="BD131" s="0" t="n">
        <f aca="false">IF(Presupuesto!$B$36='Flujo de Pagos'!$E131,36,9999)</f>
        <v>36</v>
      </c>
      <c r="BE131" s="0" t="n">
        <f aca="false">IF(Presupuesto!$B$37='Flujo de Pagos'!$E131,37,9999)</f>
        <v>37</v>
      </c>
      <c r="BF131" s="0" t="n">
        <f aca="false">IF(Presupuesto!$B$38='Flujo de Pagos'!$E131,38,9999)</f>
        <v>38</v>
      </c>
      <c r="BG131" s="0" t="n">
        <f aca="false">IF(Presupuesto!$B$39='Flujo de Pagos'!$E131,39,9999)</f>
        <v>39</v>
      </c>
      <c r="BH131" s="0" t="n">
        <f aca="false">IF(Presupuesto!$B$40='Flujo de Pagos'!$E131,40,9999)</f>
        <v>40</v>
      </c>
      <c r="BI131" s="0" t="n">
        <f aca="false">IF(Presupuesto!$B$41='Flujo de Pagos'!$E131,41,9999)</f>
        <v>41</v>
      </c>
      <c r="BJ131" s="0" t="n">
        <f aca="false">IF(Presupuesto!$B$42='Flujo de Pagos'!$E131,42,9999)</f>
        <v>42</v>
      </c>
      <c r="BK131" s="0" t="n">
        <f aca="false">IF(Presupuesto!$B$43='Flujo de Pagos'!$E131,43,9999)</f>
        <v>43</v>
      </c>
      <c r="BL131" s="0" t="n">
        <f aca="false">IF(Presupuesto!$B$44='Flujo de Pagos'!$E131,44,9999)</f>
        <v>44</v>
      </c>
      <c r="BM131" s="0" t="n">
        <f aca="false">IF(Presupuesto!$B$45='Flujo de Pagos'!$E131,45,9999)</f>
        <v>45</v>
      </c>
      <c r="BN131" s="0" t="n">
        <f aca="false">IF(Presupuesto!$B$46='Flujo de Pagos'!$E131,46,9999)</f>
        <v>46</v>
      </c>
      <c r="BO131" s="0" t="n">
        <f aca="false">IF(Presupuesto!$B$47='Flujo de Pagos'!$E131,47,9999)</f>
        <v>47</v>
      </c>
      <c r="BP131" s="0" t="n">
        <f aca="false">IF(Presupuesto!$B$48='Flujo de Pagos'!$E131,48,9999)</f>
        <v>48</v>
      </c>
      <c r="BQ131" s="0" t="n">
        <f aca="false">IF(Presupuesto!$B$49='Flujo de Pagos'!$E131,49,9999)</f>
        <v>49</v>
      </c>
      <c r="BR131" s="0" t="n">
        <f aca="false">IF(Presupuesto!$B$50='Flujo de Pagos'!$E131,50,9999)</f>
        <v>50</v>
      </c>
      <c r="BS131" s="0" t="n">
        <f aca="false">IF(Presupuesto!$B$51='Flujo de Pagos'!$E131,51,9999)</f>
        <v>51</v>
      </c>
      <c r="BT131" s="0" t="n">
        <f aca="false">IF(Presupuesto!$B$52='Flujo de Pagos'!$E131,52,9999)</f>
        <v>52</v>
      </c>
      <c r="BU131" s="0" t="n">
        <f aca="false">IF(Presupuesto!$B$53='Flujo de Pagos'!$E131,53,9999)</f>
        <v>53</v>
      </c>
      <c r="BV131" s="0" t="n">
        <f aca="false">IF(Presupuesto!$B$54='Flujo de Pagos'!$E131,54,9999)</f>
        <v>54</v>
      </c>
      <c r="BW131" s="0" t="n">
        <f aca="false">IF(Presupuesto!$B$55='Flujo de Pagos'!$E131,55,9999)</f>
        <v>55</v>
      </c>
      <c r="BX131" s="0" t="n">
        <f aca="false">IF(Presupuesto!$B$56='Flujo de Pagos'!$E131,56,9999)</f>
        <v>56</v>
      </c>
      <c r="BY131" s="0" t="n">
        <f aca="false">IF(Presupuesto!$B$57='Flujo de Pagos'!$E131,57,9999)</f>
        <v>57</v>
      </c>
      <c r="BZ131" s="0" t="n">
        <f aca="false">IF(Presupuesto!$B$58='Flujo de Pagos'!$E131,58,9999)</f>
        <v>58</v>
      </c>
      <c r="CA131" s="0" t="n">
        <f aca="false">IF(Presupuesto!$B$59='Flujo de Pagos'!$E131,59,9999)</f>
        <v>59</v>
      </c>
      <c r="CB131" s="0" t="n">
        <f aca="false">IF(Presupuesto!$B$60='Flujo de Pagos'!$E131,60,9999)</f>
        <v>60</v>
      </c>
      <c r="CC131" s="0" t="n">
        <f aca="false">IF(Presupuesto!$B$61='Flujo de Pagos'!$E131,61,9999)</f>
        <v>61</v>
      </c>
      <c r="CD131" s="0" t="n">
        <f aca="false">IF(Presupuesto!$B$62='Flujo de Pagos'!$E131,62,9999)</f>
        <v>62</v>
      </c>
      <c r="CE131" s="0" t="n">
        <f aca="false">IF(Presupuesto!$B$63='Flujo de Pagos'!$E131,63,9999)</f>
        <v>63</v>
      </c>
      <c r="CF131" s="0" t="n">
        <f aca="false">IF(Presupuesto!$B$64='Flujo de Pagos'!$E131,64,9999)</f>
        <v>64</v>
      </c>
      <c r="CG131" s="0" t="n">
        <f aca="false">IF(Presupuesto!$B$65='Flujo de Pagos'!$E131,65,9999)</f>
        <v>65</v>
      </c>
      <c r="CH131" s="0" t="n">
        <f aca="false">IF(Presupuesto!$B$66='Flujo de Pagos'!$E131,66,9999)</f>
        <v>66</v>
      </c>
    </row>
    <row r="132" customFormat="false" ht="15" hidden="false" customHeight="true" outlineLevel="0" collapsed="false">
      <c r="B132" s="1" t="n">
        <f aca="false">IF(AND('Flujo de Pagos'!E137=Carátula!$B$2,'Flujo de Pagos'!F137=Carátula!$B$4,'Flujo de Pagos'!H137&lt;&gt;""),137,99999)</f>
        <v>99999</v>
      </c>
      <c r="H132" s="1" t="n">
        <f aca="false">IF(SMALL($AA132:$CH132,1)&gt;=9999,"",INDEX(Presupuesto!$C:$C,SMALL($AA132:$CH132,1)))</f>
        <v>0</v>
      </c>
      <c r="I132" s="1" t="n">
        <f aca="false">IF(SMALL($AA132:$CH132,2)&gt;=9999,"",INDEX(Presupuesto!$C:$C,SMALL($AA132:$CH132,2)))</f>
        <v>0</v>
      </c>
      <c r="J132" s="1" t="n">
        <f aca="false">IF(SMALL($AA132:$CH132,3)&gt;=9999,"",INDEX(Presupuesto!$C:$C,SMALL($AA132:$CH132,3)))</f>
        <v>0</v>
      </c>
      <c r="K132" s="1" t="n">
        <f aca="false">IF(SMALL($AA132:$CH132,4)&gt;=9999,"",INDEX(Presupuesto!$C:$C,SMALL($AA132:$CH132,4)))</f>
        <v>0</v>
      </c>
      <c r="L132" s="1" t="n">
        <f aca="false">IF(SMALL($AA132:$CH132,5)&gt;=9999,"",INDEX(Presupuesto!$C:$C,SMALL($AA132:$CH132,5)))</f>
        <v>0</v>
      </c>
      <c r="M132" s="1" t="n">
        <f aca="false">IF(SMALL($AA132:$CH132,6)&gt;=9999,"",INDEX(Presupuesto!$C:$C,SMALL($AA132:$CH132,6)))</f>
        <v>0</v>
      </c>
      <c r="N132" s="1" t="n">
        <f aca="false">IF(SMALL($AA132:$CH132,7)&gt;=9999,"",INDEX(Presupuesto!$C:$C,SMALL($AA132:$CH132,7)))</f>
        <v>0</v>
      </c>
      <c r="O132" s="1" t="n">
        <f aca="false">IF(SMALL($AA132:$CH132,8)&gt;=9999,"",INDEX(Presupuesto!$C:$C,SMALL($AA132:$CH132,8)))</f>
        <v>0</v>
      </c>
      <c r="P132" s="1" t="n">
        <f aca="false">IF(SMALL($AA132:$CH132,9)&gt;=9999,"",INDEX(Presupuesto!$C:$C,SMALL($AA132:$CH132,9)))</f>
        <v>0</v>
      </c>
      <c r="Q132" s="1" t="n">
        <f aca="false">IF(SMALL($AA132:$CH132,10)&gt;=9999,"",INDEX(Presupuesto!$C:$C,SMALL($AA132:$CH132,10)))</f>
        <v>0</v>
      </c>
      <c r="AA132" s="0" t="n">
        <f aca="false">IF(Presupuesto!$B$7='Flujo de Pagos'!$E132,7,9999)</f>
        <v>9999</v>
      </c>
      <c r="AB132" s="0" t="n">
        <f aca="false">IF(Presupuesto!$B$8='Flujo de Pagos'!$E132,8,9999)</f>
        <v>9999</v>
      </c>
      <c r="AC132" s="0" t="n">
        <f aca="false">IF(Presupuesto!$B$9='Flujo de Pagos'!$E132,9,9999)</f>
        <v>9999</v>
      </c>
      <c r="AD132" s="0" t="n">
        <f aca="false">IF(Presupuesto!$B$10='Flujo de Pagos'!$E132,10,9999)</f>
        <v>9999</v>
      </c>
      <c r="AE132" s="0" t="n">
        <f aca="false">IF(Presupuesto!$B$11='Flujo de Pagos'!$E132,11,9999)</f>
        <v>9999</v>
      </c>
      <c r="AF132" s="0" t="n">
        <f aca="false">IF(Presupuesto!$B$12='Flujo de Pagos'!$E132,12,9999)</f>
        <v>12</v>
      </c>
      <c r="AG132" s="0" t="n">
        <f aca="false">IF(Presupuesto!$B$13='Flujo de Pagos'!$E132,13,9999)</f>
        <v>13</v>
      </c>
      <c r="AH132" s="0" t="n">
        <f aca="false">IF(Presupuesto!$B$14='Flujo de Pagos'!$E132,14,9999)</f>
        <v>14</v>
      </c>
      <c r="AI132" s="0" t="n">
        <f aca="false">IF(Presupuesto!$B$15='Flujo de Pagos'!$E132,15,9999)</f>
        <v>15</v>
      </c>
      <c r="AJ132" s="0" t="n">
        <f aca="false">IF(Presupuesto!$B$16='Flujo de Pagos'!$E132,16,9999)</f>
        <v>16</v>
      </c>
      <c r="AK132" s="0" t="n">
        <f aca="false">IF(Presupuesto!$B$17='Flujo de Pagos'!$E132,17,9999)</f>
        <v>17</v>
      </c>
      <c r="AL132" s="0" t="n">
        <f aca="false">IF(Presupuesto!$B$18='Flujo de Pagos'!$E132,18,9999)</f>
        <v>18</v>
      </c>
      <c r="AM132" s="0" t="n">
        <f aca="false">IF(Presupuesto!$B$19='Flujo de Pagos'!$E132,19,9999)</f>
        <v>19</v>
      </c>
      <c r="AN132" s="0" t="n">
        <f aca="false">IF(Presupuesto!$B$20='Flujo de Pagos'!$E132,20,9999)</f>
        <v>20</v>
      </c>
      <c r="AO132" s="0" t="n">
        <f aca="false">IF(Presupuesto!$B$21='Flujo de Pagos'!$E132,21,9999)</f>
        <v>21</v>
      </c>
      <c r="AP132" s="0" t="n">
        <f aca="false">IF(Presupuesto!$B$22='Flujo de Pagos'!$E132,22,9999)</f>
        <v>22</v>
      </c>
      <c r="AQ132" s="0" t="n">
        <f aca="false">IF(Presupuesto!$B$23='Flujo de Pagos'!$E132,23,9999)</f>
        <v>23</v>
      </c>
      <c r="AR132" s="0" t="n">
        <f aca="false">IF(Presupuesto!$B$24='Flujo de Pagos'!$E132,24,9999)</f>
        <v>24</v>
      </c>
      <c r="AS132" s="0" t="n">
        <f aca="false">IF(Presupuesto!$B$25='Flujo de Pagos'!$E132,25,9999)</f>
        <v>25</v>
      </c>
      <c r="AT132" s="0" t="n">
        <f aca="false">IF(Presupuesto!$B$26='Flujo de Pagos'!$E132,26,9999)</f>
        <v>26</v>
      </c>
      <c r="AU132" s="0" t="n">
        <f aca="false">IF(Presupuesto!$B$27='Flujo de Pagos'!$E132,27,9999)</f>
        <v>27</v>
      </c>
      <c r="AV132" s="0" t="n">
        <f aca="false">IF(Presupuesto!$B$28='Flujo de Pagos'!$E132,28,9999)</f>
        <v>28</v>
      </c>
      <c r="AW132" s="0" t="n">
        <f aca="false">IF(Presupuesto!$B$29='Flujo de Pagos'!$E132,29,9999)</f>
        <v>29</v>
      </c>
      <c r="AX132" s="0" t="n">
        <f aca="false">IF(Presupuesto!$B$30='Flujo de Pagos'!$E132,30,9999)</f>
        <v>30</v>
      </c>
      <c r="AY132" s="0" t="n">
        <f aca="false">IF(Presupuesto!$B$31='Flujo de Pagos'!$E132,31,9999)</f>
        <v>31</v>
      </c>
      <c r="AZ132" s="0" t="n">
        <f aca="false">IF(Presupuesto!$B$32='Flujo de Pagos'!$E132,32,9999)</f>
        <v>32</v>
      </c>
      <c r="BA132" s="0" t="n">
        <f aca="false">IF(Presupuesto!$B$33='Flujo de Pagos'!$E132,33,9999)</f>
        <v>33</v>
      </c>
      <c r="BB132" s="0" t="n">
        <f aca="false">IF(Presupuesto!$B$34='Flujo de Pagos'!$E132,34,9999)</f>
        <v>34</v>
      </c>
      <c r="BC132" s="0" t="n">
        <f aca="false">IF(Presupuesto!$B$35='Flujo de Pagos'!$E132,35,9999)</f>
        <v>35</v>
      </c>
      <c r="BD132" s="0" t="n">
        <f aca="false">IF(Presupuesto!$B$36='Flujo de Pagos'!$E132,36,9999)</f>
        <v>36</v>
      </c>
      <c r="BE132" s="0" t="n">
        <f aca="false">IF(Presupuesto!$B$37='Flujo de Pagos'!$E132,37,9999)</f>
        <v>37</v>
      </c>
      <c r="BF132" s="0" t="n">
        <f aca="false">IF(Presupuesto!$B$38='Flujo de Pagos'!$E132,38,9999)</f>
        <v>38</v>
      </c>
      <c r="BG132" s="0" t="n">
        <f aca="false">IF(Presupuesto!$B$39='Flujo de Pagos'!$E132,39,9999)</f>
        <v>39</v>
      </c>
      <c r="BH132" s="0" t="n">
        <f aca="false">IF(Presupuesto!$B$40='Flujo de Pagos'!$E132,40,9999)</f>
        <v>40</v>
      </c>
      <c r="BI132" s="0" t="n">
        <f aca="false">IF(Presupuesto!$B$41='Flujo de Pagos'!$E132,41,9999)</f>
        <v>41</v>
      </c>
      <c r="BJ132" s="0" t="n">
        <f aca="false">IF(Presupuesto!$B$42='Flujo de Pagos'!$E132,42,9999)</f>
        <v>42</v>
      </c>
      <c r="BK132" s="0" t="n">
        <f aca="false">IF(Presupuesto!$B$43='Flujo de Pagos'!$E132,43,9999)</f>
        <v>43</v>
      </c>
      <c r="BL132" s="0" t="n">
        <f aca="false">IF(Presupuesto!$B$44='Flujo de Pagos'!$E132,44,9999)</f>
        <v>44</v>
      </c>
      <c r="BM132" s="0" t="n">
        <f aca="false">IF(Presupuesto!$B$45='Flujo de Pagos'!$E132,45,9999)</f>
        <v>45</v>
      </c>
      <c r="BN132" s="0" t="n">
        <f aca="false">IF(Presupuesto!$B$46='Flujo de Pagos'!$E132,46,9999)</f>
        <v>46</v>
      </c>
      <c r="BO132" s="0" t="n">
        <f aca="false">IF(Presupuesto!$B$47='Flujo de Pagos'!$E132,47,9999)</f>
        <v>47</v>
      </c>
      <c r="BP132" s="0" t="n">
        <f aca="false">IF(Presupuesto!$B$48='Flujo de Pagos'!$E132,48,9999)</f>
        <v>48</v>
      </c>
      <c r="BQ132" s="0" t="n">
        <f aca="false">IF(Presupuesto!$B$49='Flujo de Pagos'!$E132,49,9999)</f>
        <v>49</v>
      </c>
      <c r="BR132" s="0" t="n">
        <f aca="false">IF(Presupuesto!$B$50='Flujo de Pagos'!$E132,50,9999)</f>
        <v>50</v>
      </c>
      <c r="BS132" s="0" t="n">
        <f aca="false">IF(Presupuesto!$B$51='Flujo de Pagos'!$E132,51,9999)</f>
        <v>51</v>
      </c>
      <c r="BT132" s="0" t="n">
        <f aca="false">IF(Presupuesto!$B$52='Flujo de Pagos'!$E132,52,9999)</f>
        <v>52</v>
      </c>
      <c r="BU132" s="0" t="n">
        <f aca="false">IF(Presupuesto!$B$53='Flujo de Pagos'!$E132,53,9999)</f>
        <v>53</v>
      </c>
      <c r="BV132" s="0" t="n">
        <f aca="false">IF(Presupuesto!$B$54='Flujo de Pagos'!$E132,54,9999)</f>
        <v>54</v>
      </c>
      <c r="BW132" s="0" t="n">
        <f aca="false">IF(Presupuesto!$B$55='Flujo de Pagos'!$E132,55,9999)</f>
        <v>55</v>
      </c>
      <c r="BX132" s="0" t="n">
        <f aca="false">IF(Presupuesto!$B$56='Flujo de Pagos'!$E132,56,9999)</f>
        <v>56</v>
      </c>
      <c r="BY132" s="0" t="n">
        <f aca="false">IF(Presupuesto!$B$57='Flujo de Pagos'!$E132,57,9999)</f>
        <v>57</v>
      </c>
      <c r="BZ132" s="0" t="n">
        <f aca="false">IF(Presupuesto!$B$58='Flujo de Pagos'!$E132,58,9999)</f>
        <v>58</v>
      </c>
      <c r="CA132" s="0" t="n">
        <f aca="false">IF(Presupuesto!$B$59='Flujo de Pagos'!$E132,59,9999)</f>
        <v>59</v>
      </c>
      <c r="CB132" s="0" t="n">
        <f aca="false">IF(Presupuesto!$B$60='Flujo de Pagos'!$E132,60,9999)</f>
        <v>60</v>
      </c>
      <c r="CC132" s="0" t="n">
        <f aca="false">IF(Presupuesto!$B$61='Flujo de Pagos'!$E132,61,9999)</f>
        <v>61</v>
      </c>
      <c r="CD132" s="0" t="n">
        <f aca="false">IF(Presupuesto!$B$62='Flujo de Pagos'!$E132,62,9999)</f>
        <v>62</v>
      </c>
      <c r="CE132" s="0" t="n">
        <f aca="false">IF(Presupuesto!$B$63='Flujo de Pagos'!$E132,63,9999)</f>
        <v>63</v>
      </c>
      <c r="CF132" s="0" t="n">
        <f aca="false">IF(Presupuesto!$B$64='Flujo de Pagos'!$E132,64,9999)</f>
        <v>64</v>
      </c>
      <c r="CG132" s="0" t="n">
        <f aca="false">IF(Presupuesto!$B$65='Flujo de Pagos'!$E132,65,9999)</f>
        <v>65</v>
      </c>
      <c r="CH132" s="0" t="n">
        <f aca="false">IF(Presupuesto!$B$66='Flujo de Pagos'!$E132,66,9999)</f>
        <v>66</v>
      </c>
    </row>
    <row r="133" customFormat="false" ht="15" hidden="false" customHeight="true" outlineLevel="0" collapsed="false">
      <c r="B133" s="1" t="n">
        <f aca="false">IF(AND('Flujo de Pagos'!E138=Carátula!$B$2,'Flujo de Pagos'!F138=Carátula!$B$4,'Flujo de Pagos'!H138&lt;&gt;""),138,99999)</f>
        <v>99999</v>
      </c>
      <c r="H133" s="1" t="n">
        <f aca="false">IF(SMALL($AA133:$CH133,1)&gt;=9999,"",INDEX(Presupuesto!$C:$C,SMALL($AA133:$CH133,1)))</f>
        <v>0</v>
      </c>
      <c r="I133" s="1" t="n">
        <f aca="false">IF(SMALL($AA133:$CH133,2)&gt;=9999,"",INDEX(Presupuesto!$C:$C,SMALL($AA133:$CH133,2)))</f>
        <v>0</v>
      </c>
      <c r="J133" s="1" t="n">
        <f aca="false">IF(SMALL($AA133:$CH133,3)&gt;=9999,"",INDEX(Presupuesto!$C:$C,SMALL($AA133:$CH133,3)))</f>
        <v>0</v>
      </c>
      <c r="K133" s="1" t="n">
        <f aca="false">IF(SMALL($AA133:$CH133,4)&gt;=9999,"",INDEX(Presupuesto!$C:$C,SMALL($AA133:$CH133,4)))</f>
        <v>0</v>
      </c>
      <c r="L133" s="1" t="n">
        <f aca="false">IF(SMALL($AA133:$CH133,5)&gt;=9999,"",INDEX(Presupuesto!$C:$C,SMALL($AA133:$CH133,5)))</f>
        <v>0</v>
      </c>
      <c r="M133" s="1" t="n">
        <f aca="false">IF(SMALL($AA133:$CH133,6)&gt;=9999,"",INDEX(Presupuesto!$C:$C,SMALL($AA133:$CH133,6)))</f>
        <v>0</v>
      </c>
      <c r="N133" s="1" t="n">
        <f aca="false">IF(SMALL($AA133:$CH133,7)&gt;=9999,"",INDEX(Presupuesto!$C:$C,SMALL($AA133:$CH133,7)))</f>
        <v>0</v>
      </c>
      <c r="O133" s="1" t="n">
        <f aca="false">IF(SMALL($AA133:$CH133,8)&gt;=9999,"",INDEX(Presupuesto!$C:$C,SMALL($AA133:$CH133,8)))</f>
        <v>0</v>
      </c>
      <c r="P133" s="1" t="n">
        <f aca="false">IF(SMALL($AA133:$CH133,9)&gt;=9999,"",INDEX(Presupuesto!$C:$C,SMALL($AA133:$CH133,9)))</f>
        <v>0</v>
      </c>
      <c r="Q133" s="1" t="n">
        <f aca="false">IF(SMALL($AA133:$CH133,10)&gt;=9999,"",INDEX(Presupuesto!$C:$C,SMALL($AA133:$CH133,10)))</f>
        <v>0</v>
      </c>
      <c r="AA133" s="0" t="n">
        <f aca="false">IF(Presupuesto!$B$7='Flujo de Pagos'!$E133,7,9999)</f>
        <v>9999</v>
      </c>
      <c r="AB133" s="0" t="n">
        <f aca="false">IF(Presupuesto!$B$8='Flujo de Pagos'!$E133,8,9999)</f>
        <v>9999</v>
      </c>
      <c r="AC133" s="0" t="n">
        <f aca="false">IF(Presupuesto!$B$9='Flujo de Pagos'!$E133,9,9999)</f>
        <v>9999</v>
      </c>
      <c r="AD133" s="0" t="n">
        <f aca="false">IF(Presupuesto!$B$10='Flujo de Pagos'!$E133,10,9999)</f>
        <v>9999</v>
      </c>
      <c r="AE133" s="0" t="n">
        <f aca="false">IF(Presupuesto!$B$11='Flujo de Pagos'!$E133,11,9999)</f>
        <v>9999</v>
      </c>
      <c r="AF133" s="0" t="n">
        <f aca="false">IF(Presupuesto!$B$12='Flujo de Pagos'!$E133,12,9999)</f>
        <v>12</v>
      </c>
      <c r="AG133" s="0" t="n">
        <f aca="false">IF(Presupuesto!$B$13='Flujo de Pagos'!$E133,13,9999)</f>
        <v>13</v>
      </c>
      <c r="AH133" s="0" t="n">
        <f aca="false">IF(Presupuesto!$B$14='Flujo de Pagos'!$E133,14,9999)</f>
        <v>14</v>
      </c>
      <c r="AI133" s="0" t="n">
        <f aca="false">IF(Presupuesto!$B$15='Flujo de Pagos'!$E133,15,9999)</f>
        <v>15</v>
      </c>
      <c r="AJ133" s="0" t="n">
        <f aca="false">IF(Presupuesto!$B$16='Flujo de Pagos'!$E133,16,9999)</f>
        <v>16</v>
      </c>
      <c r="AK133" s="0" t="n">
        <f aca="false">IF(Presupuesto!$B$17='Flujo de Pagos'!$E133,17,9999)</f>
        <v>17</v>
      </c>
      <c r="AL133" s="0" t="n">
        <f aca="false">IF(Presupuesto!$B$18='Flujo de Pagos'!$E133,18,9999)</f>
        <v>18</v>
      </c>
      <c r="AM133" s="0" t="n">
        <f aca="false">IF(Presupuesto!$B$19='Flujo de Pagos'!$E133,19,9999)</f>
        <v>19</v>
      </c>
      <c r="AN133" s="0" t="n">
        <f aca="false">IF(Presupuesto!$B$20='Flujo de Pagos'!$E133,20,9999)</f>
        <v>20</v>
      </c>
      <c r="AO133" s="0" t="n">
        <f aca="false">IF(Presupuesto!$B$21='Flujo de Pagos'!$E133,21,9999)</f>
        <v>21</v>
      </c>
      <c r="AP133" s="0" t="n">
        <f aca="false">IF(Presupuesto!$B$22='Flujo de Pagos'!$E133,22,9999)</f>
        <v>22</v>
      </c>
      <c r="AQ133" s="0" t="n">
        <f aca="false">IF(Presupuesto!$B$23='Flujo de Pagos'!$E133,23,9999)</f>
        <v>23</v>
      </c>
      <c r="AR133" s="0" t="n">
        <f aca="false">IF(Presupuesto!$B$24='Flujo de Pagos'!$E133,24,9999)</f>
        <v>24</v>
      </c>
      <c r="AS133" s="0" t="n">
        <f aca="false">IF(Presupuesto!$B$25='Flujo de Pagos'!$E133,25,9999)</f>
        <v>25</v>
      </c>
      <c r="AT133" s="0" t="n">
        <f aca="false">IF(Presupuesto!$B$26='Flujo de Pagos'!$E133,26,9999)</f>
        <v>26</v>
      </c>
      <c r="AU133" s="0" t="n">
        <f aca="false">IF(Presupuesto!$B$27='Flujo de Pagos'!$E133,27,9999)</f>
        <v>27</v>
      </c>
      <c r="AV133" s="0" t="n">
        <f aca="false">IF(Presupuesto!$B$28='Flujo de Pagos'!$E133,28,9999)</f>
        <v>28</v>
      </c>
      <c r="AW133" s="0" t="n">
        <f aca="false">IF(Presupuesto!$B$29='Flujo de Pagos'!$E133,29,9999)</f>
        <v>29</v>
      </c>
      <c r="AX133" s="0" t="n">
        <f aca="false">IF(Presupuesto!$B$30='Flujo de Pagos'!$E133,30,9999)</f>
        <v>30</v>
      </c>
      <c r="AY133" s="0" t="n">
        <f aca="false">IF(Presupuesto!$B$31='Flujo de Pagos'!$E133,31,9999)</f>
        <v>31</v>
      </c>
      <c r="AZ133" s="0" t="n">
        <f aca="false">IF(Presupuesto!$B$32='Flujo de Pagos'!$E133,32,9999)</f>
        <v>32</v>
      </c>
      <c r="BA133" s="0" t="n">
        <f aca="false">IF(Presupuesto!$B$33='Flujo de Pagos'!$E133,33,9999)</f>
        <v>33</v>
      </c>
      <c r="BB133" s="0" t="n">
        <f aca="false">IF(Presupuesto!$B$34='Flujo de Pagos'!$E133,34,9999)</f>
        <v>34</v>
      </c>
      <c r="BC133" s="0" t="n">
        <f aca="false">IF(Presupuesto!$B$35='Flujo de Pagos'!$E133,35,9999)</f>
        <v>35</v>
      </c>
      <c r="BD133" s="0" t="n">
        <f aca="false">IF(Presupuesto!$B$36='Flujo de Pagos'!$E133,36,9999)</f>
        <v>36</v>
      </c>
      <c r="BE133" s="0" t="n">
        <f aca="false">IF(Presupuesto!$B$37='Flujo de Pagos'!$E133,37,9999)</f>
        <v>37</v>
      </c>
      <c r="BF133" s="0" t="n">
        <f aca="false">IF(Presupuesto!$B$38='Flujo de Pagos'!$E133,38,9999)</f>
        <v>38</v>
      </c>
      <c r="BG133" s="0" t="n">
        <f aca="false">IF(Presupuesto!$B$39='Flujo de Pagos'!$E133,39,9999)</f>
        <v>39</v>
      </c>
      <c r="BH133" s="0" t="n">
        <f aca="false">IF(Presupuesto!$B$40='Flujo de Pagos'!$E133,40,9999)</f>
        <v>40</v>
      </c>
      <c r="BI133" s="0" t="n">
        <f aca="false">IF(Presupuesto!$B$41='Flujo de Pagos'!$E133,41,9999)</f>
        <v>41</v>
      </c>
      <c r="BJ133" s="0" t="n">
        <f aca="false">IF(Presupuesto!$B$42='Flujo de Pagos'!$E133,42,9999)</f>
        <v>42</v>
      </c>
      <c r="BK133" s="0" t="n">
        <f aca="false">IF(Presupuesto!$B$43='Flujo de Pagos'!$E133,43,9999)</f>
        <v>43</v>
      </c>
      <c r="BL133" s="0" t="n">
        <f aca="false">IF(Presupuesto!$B$44='Flujo de Pagos'!$E133,44,9999)</f>
        <v>44</v>
      </c>
      <c r="BM133" s="0" t="n">
        <f aca="false">IF(Presupuesto!$B$45='Flujo de Pagos'!$E133,45,9999)</f>
        <v>45</v>
      </c>
      <c r="BN133" s="0" t="n">
        <f aca="false">IF(Presupuesto!$B$46='Flujo de Pagos'!$E133,46,9999)</f>
        <v>46</v>
      </c>
      <c r="BO133" s="0" t="n">
        <f aca="false">IF(Presupuesto!$B$47='Flujo de Pagos'!$E133,47,9999)</f>
        <v>47</v>
      </c>
      <c r="BP133" s="0" t="n">
        <f aca="false">IF(Presupuesto!$B$48='Flujo de Pagos'!$E133,48,9999)</f>
        <v>48</v>
      </c>
      <c r="BQ133" s="0" t="n">
        <f aca="false">IF(Presupuesto!$B$49='Flujo de Pagos'!$E133,49,9999)</f>
        <v>49</v>
      </c>
      <c r="BR133" s="0" t="n">
        <f aca="false">IF(Presupuesto!$B$50='Flujo de Pagos'!$E133,50,9999)</f>
        <v>50</v>
      </c>
      <c r="BS133" s="0" t="n">
        <f aca="false">IF(Presupuesto!$B$51='Flujo de Pagos'!$E133,51,9999)</f>
        <v>51</v>
      </c>
      <c r="BT133" s="0" t="n">
        <f aca="false">IF(Presupuesto!$B$52='Flujo de Pagos'!$E133,52,9999)</f>
        <v>52</v>
      </c>
      <c r="BU133" s="0" t="n">
        <f aca="false">IF(Presupuesto!$B$53='Flujo de Pagos'!$E133,53,9999)</f>
        <v>53</v>
      </c>
      <c r="BV133" s="0" t="n">
        <f aca="false">IF(Presupuesto!$B$54='Flujo de Pagos'!$E133,54,9999)</f>
        <v>54</v>
      </c>
      <c r="BW133" s="0" t="n">
        <f aca="false">IF(Presupuesto!$B$55='Flujo de Pagos'!$E133,55,9999)</f>
        <v>55</v>
      </c>
      <c r="BX133" s="0" t="n">
        <f aca="false">IF(Presupuesto!$B$56='Flujo de Pagos'!$E133,56,9999)</f>
        <v>56</v>
      </c>
      <c r="BY133" s="0" t="n">
        <f aca="false">IF(Presupuesto!$B$57='Flujo de Pagos'!$E133,57,9999)</f>
        <v>57</v>
      </c>
      <c r="BZ133" s="0" t="n">
        <f aca="false">IF(Presupuesto!$B$58='Flujo de Pagos'!$E133,58,9999)</f>
        <v>58</v>
      </c>
      <c r="CA133" s="0" t="n">
        <f aca="false">IF(Presupuesto!$B$59='Flujo de Pagos'!$E133,59,9999)</f>
        <v>59</v>
      </c>
      <c r="CB133" s="0" t="n">
        <f aca="false">IF(Presupuesto!$B$60='Flujo de Pagos'!$E133,60,9999)</f>
        <v>60</v>
      </c>
      <c r="CC133" s="0" t="n">
        <f aca="false">IF(Presupuesto!$B$61='Flujo de Pagos'!$E133,61,9999)</f>
        <v>61</v>
      </c>
      <c r="CD133" s="0" t="n">
        <f aca="false">IF(Presupuesto!$B$62='Flujo de Pagos'!$E133,62,9999)</f>
        <v>62</v>
      </c>
      <c r="CE133" s="0" t="n">
        <f aca="false">IF(Presupuesto!$B$63='Flujo de Pagos'!$E133,63,9999)</f>
        <v>63</v>
      </c>
      <c r="CF133" s="0" t="n">
        <f aca="false">IF(Presupuesto!$B$64='Flujo de Pagos'!$E133,64,9999)</f>
        <v>64</v>
      </c>
      <c r="CG133" s="0" t="n">
        <f aca="false">IF(Presupuesto!$B$65='Flujo de Pagos'!$E133,65,9999)</f>
        <v>65</v>
      </c>
      <c r="CH133" s="0" t="n">
        <f aca="false">IF(Presupuesto!$B$66='Flujo de Pagos'!$E133,66,9999)</f>
        <v>66</v>
      </c>
    </row>
    <row r="134" customFormat="false" ht="15" hidden="false" customHeight="true" outlineLevel="0" collapsed="false">
      <c r="B134" s="1" t="n">
        <f aca="false">IF(AND('Flujo de Pagos'!E139=Carátula!$B$2,'Flujo de Pagos'!F139=Carátula!$B$4,'Flujo de Pagos'!H139&lt;&gt;""),139,99999)</f>
        <v>99999</v>
      </c>
      <c r="H134" s="1" t="n">
        <f aca="false">IF(SMALL($AA134:$CH134,1)&gt;=9999,"",INDEX(Presupuesto!$C:$C,SMALL($AA134:$CH134,1)))</f>
        <v>0</v>
      </c>
      <c r="I134" s="1" t="n">
        <f aca="false">IF(SMALL($AA134:$CH134,2)&gt;=9999,"",INDEX(Presupuesto!$C:$C,SMALL($AA134:$CH134,2)))</f>
        <v>0</v>
      </c>
      <c r="J134" s="1" t="n">
        <f aca="false">IF(SMALL($AA134:$CH134,3)&gt;=9999,"",INDEX(Presupuesto!$C:$C,SMALL($AA134:$CH134,3)))</f>
        <v>0</v>
      </c>
      <c r="K134" s="1" t="n">
        <f aca="false">IF(SMALL($AA134:$CH134,4)&gt;=9999,"",INDEX(Presupuesto!$C:$C,SMALL($AA134:$CH134,4)))</f>
        <v>0</v>
      </c>
      <c r="L134" s="1" t="n">
        <f aca="false">IF(SMALL($AA134:$CH134,5)&gt;=9999,"",INDEX(Presupuesto!$C:$C,SMALL($AA134:$CH134,5)))</f>
        <v>0</v>
      </c>
      <c r="M134" s="1" t="n">
        <f aca="false">IF(SMALL($AA134:$CH134,6)&gt;=9999,"",INDEX(Presupuesto!$C:$C,SMALL($AA134:$CH134,6)))</f>
        <v>0</v>
      </c>
      <c r="N134" s="1" t="n">
        <f aca="false">IF(SMALL($AA134:$CH134,7)&gt;=9999,"",INDEX(Presupuesto!$C:$C,SMALL($AA134:$CH134,7)))</f>
        <v>0</v>
      </c>
      <c r="O134" s="1" t="n">
        <f aca="false">IF(SMALL($AA134:$CH134,8)&gt;=9999,"",INDEX(Presupuesto!$C:$C,SMALL($AA134:$CH134,8)))</f>
        <v>0</v>
      </c>
      <c r="P134" s="1" t="n">
        <f aca="false">IF(SMALL($AA134:$CH134,9)&gt;=9999,"",INDEX(Presupuesto!$C:$C,SMALL($AA134:$CH134,9)))</f>
        <v>0</v>
      </c>
      <c r="Q134" s="1" t="n">
        <f aca="false">IF(SMALL($AA134:$CH134,10)&gt;=9999,"",INDEX(Presupuesto!$C:$C,SMALL($AA134:$CH134,10)))</f>
        <v>0</v>
      </c>
      <c r="AA134" s="0" t="n">
        <f aca="false">IF(Presupuesto!$B$7='Flujo de Pagos'!$E134,7,9999)</f>
        <v>9999</v>
      </c>
      <c r="AB134" s="0" t="n">
        <f aca="false">IF(Presupuesto!$B$8='Flujo de Pagos'!$E134,8,9999)</f>
        <v>9999</v>
      </c>
      <c r="AC134" s="0" t="n">
        <f aca="false">IF(Presupuesto!$B$9='Flujo de Pagos'!$E134,9,9999)</f>
        <v>9999</v>
      </c>
      <c r="AD134" s="0" t="n">
        <f aca="false">IF(Presupuesto!$B$10='Flujo de Pagos'!$E134,10,9999)</f>
        <v>9999</v>
      </c>
      <c r="AE134" s="0" t="n">
        <f aca="false">IF(Presupuesto!$B$11='Flujo de Pagos'!$E134,11,9999)</f>
        <v>9999</v>
      </c>
      <c r="AF134" s="0" t="n">
        <f aca="false">IF(Presupuesto!$B$12='Flujo de Pagos'!$E134,12,9999)</f>
        <v>12</v>
      </c>
      <c r="AG134" s="0" t="n">
        <f aca="false">IF(Presupuesto!$B$13='Flujo de Pagos'!$E134,13,9999)</f>
        <v>13</v>
      </c>
      <c r="AH134" s="0" t="n">
        <f aca="false">IF(Presupuesto!$B$14='Flujo de Pagos'!$E134,14,9999)</f>
        <v>14</v>
      </c>
      <c r="AI134" s="0" t="n">
        <f aca="false">IF(Presupuesto!$B$15='Flujo de Pagos'!$E134,15,9999)</f>
        <v>15</v>
      </c>
      <c r="AJ134" s="0" t="n">
        <f aca="false">IF(Presupuesto!$B$16='Flujo de Pagos'!$E134,16,9999)</f>
        <v>16</v>
      </c>
      <c r="AK134" s="0" t="n">
        <f aca="false">IF(Presupuesto!$B$17='Flujo de Pagos'!$E134,17,9999)</f>
        <v>17</v>
      </c>
      <c r="AL134" s="0" t="n">
        <f aca="false">IF(Presupuesto!$B$18='Flujo de Pagos'!$E134,18,9999)</f>
        <v>18</v>
      </c>
      <c r="AM134" s="0" t="n">
        <f aca="false">IF(Presupuesto!$B$19='Flujo de Pagos'!$E134,19,9999)</f>
        <v>19</v>
      </c>
      <c r="AN134" s="0" t="n">
        <f aca="false">IF(Presupuesto!$B$20='Flujo de Pagos'!$E134,20,9999)</f>
        <v>20</v>
      </c>
      <c r="AO134" s="0" t="n">
        <f aca="false">IF(Presupuesto!$B$21='Flujo de Pagos'!$E134,21,9999)</f>
        <v>21</v>
      </c>
      <c r="AP134" s="0" t="n">
        <f aca="false">IF(Presupuesto!$B$22='Flujo de Pagos'!$E134,22,9999)</f>
        <v>22</v>
      </c>
      <c r="AQ134" s="0" t="n">
        <f aca="false">IF(Presupuesto!$B$23='Flujo de Pagos'!$E134,23,9999)</f>
        <v>23</v>
      </c>
      <c r="AR134" s="0" t="n">
        <f aca="false">IF(Presupuesto!$B$24='Flujo de Pagos'!$E134,24,9999)</f>
        <v>24</v>
      </c>
      <c r="AS134" s="0" t="n">
        <f aca="false">IF(Presupuesto!$B$25='Flujo de Pagos'!$E134,25,9999)</f>
        <v>25</v>
      </c>
      <c r="AT134" s="0" t="n">
        <f aca="false">IF(Presupuesto!$B$26='Flujo de Pagos'!$E134,26,9999)</f>
        <v>26</v>
      </c>
      <c r="AU134" s="0" t="n">
        <f aca="false">IF(Presupuesto!$B$27='Flujo de Pagos'!$E134,27,9999)</f>
        <v>27</v>
      </c>
      <c r="AV134" s="0" t="n">
        <f aca="false">IF(Presupuesto!$B$28='Flujo de Pagos'!$E134,28,9999)</f>
        <v>28</v>
      </c>
      <c r="AW134" s="0" t="n">
        <f aca="false">IF(Presupuesto!$B$29='Flujo de Pagos'!$E134,29,9999)</f>
        <v>29</v>
      </c>
      <c r="AX134" s="0" t="n">
        <f aca="false">IF(Presupuesto!$B$30='Flujo de Pagos'!$E134,30,9999)</f>
        <v>30</v>
      </c>
      <c r="AY134" s="0" t="n">
        <f aca="false">IF(Presupuesto!$B$31='Flujo de Pagos'!$E134,31,9999)</f>
        <v>31</v>
      </c>
      <c r="AZ134" s="0" t="n">
        <f aca="false">IF(Presupuesto!$B$32='Flujo de Pagos'!$E134,32,9999)</f>
        <v>32</v>
      </c>
      <c r="BA134" s="0" t="n">
        <f aca="false">IF(Presupuesto!$B$33='Flujo de Pagos'!$E134,33,9999)</f>
        <v>33</v>
      </c>
      <c r="BB134" s="0" t="n">
        <f aca="false">IF(Presupuesto!$B$34='Flujo de Pagos'!$E134,34,9999)</f>
        <v>34</v>
      </c>
      <c r="BC134" s="0" t="n">
        <f aca="false">IF(Presupuesto!$B$35='Flujo de Pagos'!$E134,35,9999)</f>
        <v>35</v>
      </c>
      <c r="BD134" s="0" t="n">
        <f aca="false">IF(Presupuesto!$B$36='Flujo de Pagos'!$E134,36,9999)</f>
        <v>36</v>
      </c>
      <c r="BE134" s="0" t="n">
        <f aca="false">IF(Presupuesto!$B$37='Flujo de Pagos'!$E134,37,9999)</f>
        <v>37</v>
      </c>
      <c r="BF134" s="0" t="n">
        <f aca="false">IF(Presupuesto!$B$38='Flujo de Pagos'!$E134,38,9999)</f>
        <v>38</v>
      </c>
      <c r="BG134" s="0" t="n">
        <f aca="false">IF(Presupuesto!$B$39='Flujo de Pagos'!$E134,39,9999)</f>
        <v>39</v>
      </c>
      <c r="BH134" s="0" t="n">
        <f aca="false">IF(Presupuesto!$B$40='Flujo de Pagos'!$E134,40,9999)</f>
        <v>40</v>
      </c>
      <c r="BI134" s="0" t="n">
        <f aca="false">IF(Presupuesto!$B$41='Flujo de Pagos'!$E134,41,9999)</f>
        <v>41</v>
      </c>
      <c r="BJ134" s="0" t="n">
        <f aca="false">IF(Presupuesto!$B$42='Flujo de Pagos'!$E134,42,9999)</f>
        <v>42</v>
      </c>
      <c r="BK134" s="0" t="n">
        <f aca="false">IF(Presupuesto!$B$43='Flujo de Pagos'!$E134,43,9999)</f>
        <v>43</v>
      </c>
      <c r="BL134" s="0" t="n">
        <f aca="false">IF(Presupuesto!$B$44='Flujo de Pagos'!$E134,44,9999)</f>
        <v>44</v>
      </c>
      <c r="BM134" s="0" t="n">
        <f aca="false">IF(Presupuesto!$B$45='Flujo de Pagos'!$E134,45,9999)</f>
        <v>45</v>
      </c>
      <c r="BN134" s="0" t="n">
        <f aca="false">IF(Presupuesto!$B$46='Flujo de Pagos'!$E134,46,9999)</f>
        <v>46</v>
      </c>
      <c r="BO134" s="0" t="n">
        <f aca="false">IF(Presupuesto!$B$47='Flujo de Pagos'!$E134,47,9999)</f>
        <v>47</v>
      </c>
      <c r="BP134" s="0" t="n">
        <f aca="false">IF(Presupuesto!$B$48='Flujo de Pagos'!$E134,48,9999)</f>
        <v>48</v>
      </c>
      <c r="BQ134" s="0" t="n">
        <f aca="false">IF(Presupuesto!$B$49='Flujo de Pagos'!$E134,49,9999)</f>
        <v>49</v>
      </c>
      <c r="BR134" s="0" t="n">
        <f aca="false">IF(Presupuesto!$B$50='Flujo de Pagos'!$E134,50,9999)</f>
        <v>50</v>
      </c>
      <c r="BS134" s="0" t="n">
        <f aca="false">IF(Presupuesto!$B$51='Flujo de Pagos'!$E134,51,9999)</f>
        <v>51</v>
      </c>
      <c r="BT134" s="0" t="n">
        <f aca="false">IF(Presupuesto!$B$52='Flujo de Pagos'!$E134,52,9999)</f>
        <v>52</v>
      </c>
      <c r="BU134" s="0" t="n">
        <f aca="false">IF(Presupuesto!$B$53='Flujo de Pagos'!$E134,53,9999)</f>
        <v>53</v>
      </c>
      <c r="BV134" s="0" t="n">
        <f aca="false">IF(Presupuesto!$B$54='Flujo de Pagos'!$E134,54,9999)</f>
        <v>54</v>
      </c>
      <c r="BW134" s="0" t="n">
        <f aca="false">IF(Presupuesto!$B$55='Flujo de Pagos'!$E134,55,9999)</f>
        <v>55</v>
      </c>
      <c r="BX134" s="0" t="n">
        <f aca="false">IF(Presupuesto!$B$56='Flujo de Pagos'!$E134,56,9999)</f>
        <v>56</v>
      </c>
      <c r="BY134" s="0" t="n">
        <f aca="false">IF(Presupuesto!$B$57='Flujo de Pagos'!$E134,57,9999)</f>
        <v>57</v>
      </c>
      <c r="BZ134" s="0" t="n">
        <f aca="false">IF(Presupuesto!$B$58='Flujo de Pagos'!$E134,58,9999)</f>
        <v>58</v>
      </c>
      <c r="CA134" s="0" t="n">
        <f aca="false">IF(Presupuesto!$B$59='Flujo de Pagos'!$E134,59,9999)</f>
        <v>59</v>
      </c>
      <c r="CB134" s="0" t="n">
        <f aca="false">IF(Presupuesto!$B$60='Flujo de Pagos'!$E134,60,9999)</f>
        <v>60</v>
      </c>
      <c r="CC134" s="0" t="n">
        <f aca="false">IF(Presupuesto!$B$61='Flujo de Pagos'!$E134,61,9999)</f>
        <v>61</v>
      </c>
      <c r="CD134" s="0" t="n">
        <f aca="false">IF(Presupuesto!$B$62='Flujo de Pagos'!$E134,62,9999)</f>
        <v>62</v>
      </c>
      <c r="CE134" s="0" t="n">
        <f aca="false">IF(Presupuesto!$B$63='Flujo de Pagos'!$E134,63,9999)</f>
        <v>63</v>
      </c>
      <c r="CF134" s="0" t="n">
        <f aca="false">IF(Presupuesto!$B$64='Flujo de Pagos'!$E134,64,9999)</f>
        <v>64</v>
      </c>
      <c r="CG134" s="0" t="n">
        <f aca="false">IF(Presupuesto!$B$65='Flujo de Pagos'!$E134,65,9999)</f>
        <v>65</v>
      </c>
      <c r="CH134" s="0" t="n">
        <f aca="false">IF(Presupuesto!$B$66='Flujo de Pagos'!$E134,66,9999)</f>
        <v>66</v>
      </c>
    </row>
    <row r="135" customFormat="false" ht="15" hidden="false" customHeight="true" outlineLevel="0" collapsed="false">
      <c r="B135" s="1" t="n">
        <f aca="false">IF(AND('Flujo de Pagos'!E140=Carátula!$B$2,'Flujo de Pagos'!F140=Carátula!$B$4,'Flujo de Pagos'!H140&lt;&gt;""),140,99999)</f>
        <v>99999</v>
      </c>
      <c r="H135" s="1" t="n">
        <f aca="false">IF(SMALL($AA135:$CH135,1)&gt;=9999,"",INDEX(Presupuesto!$C:$C,SMALL($AA135:$CH135,1)))</f>
        <v>0</v>
      </c>
      <c r="I135" s="1" t="n">
        <f aca="false">IF(SMALL($AA135:$CH135,2)&gt;=9999,"",INDEX(Presupuesto!$C:$C,SMALL($AA135:$CH135,2)))</f>
        <v>0</v>
      </c>
      <c r="J135" s="1" t="n">
        <f aca="false">IF(SMALL($AA135:$CH135,3)&gt;=9999,"",INDEX(Presupuesto!$C:$C,SMALL($AA135:$CH135,3)))</f>
        <v>0</v>
      </c>
      <c r="K135" s="1" t="n">
        <f aca="false">IF(SMALL($AA135:$CH135,4)&gt;=9999,"",INDEX(Presupuesto!$C:$C,SMALL($AA135:$CH135,4)))</f>
        <v>0</v>
      </c>
      <c r="L135" s="1" t="n">
        <f aca="false">IF(SMALL($AA135:$CH135,5)&gt;=9999,"",INDEX(Presupuesto!$C:$C,SMALL($AA135:$CH135,5)))</f>
        <v>0</v>
      </c>
      <c r="M135" s="1" t="n">
        <f aca="false">IF(SMALL($AA135:$CH135,6)&gt;=9999,"",INDEX(Presupuesto!$C:$C,SMALL($AA135:$CH135,6)))</f>
        <v>0</v>
      </c>
      <c r="N135" s="1" t="n">
        <f aca="false">IF(SMALL($AA135:$CH135,7)&gt;=9999,"",INDEX(Presupuesto!$C:$C,SMALL($AA135:$CH135,7)))</f>
        <v>0</v>
      </c>
      <c r="O135" s="1" t="n">
        <f aca="false">IF(SMALL($AA135:$CH135,8)&gt;=9999,"",INDEX(Presupuesto!$C:$C,SMALL($AA135:$CH135,8)))</f>
        <v>0</v>
      </c>
      <c r="P135" s="1" t="n">
        <f aca="false">IF(SMALL($AA135:$CH135,9)&gt;=9999,"",INDEX(Presupuesto!$C:$C,SMALL($AA135:$CH135,9)))</f>
        <v>0</v>
      </c>
      <c r="Q135" s="1" t="n">
        <f aca="false">IF(SMALL($AA135:$CH135,10)&gt;=9999,"",INDEX(Presupuesto!$C:$C,SMALL($AA135:$CH135,10)))</f>
        <v>0</v>
      </c>
      <c r="AA135" s="0" t="n">
        <f aca="false">IF(Presupuesto!$B$7='Flujo de Pagos'!$E135,7,9999)</f>
        <v>9999</v>
      </c>
      <c r="AB135" s="0" t="n">
        <f aca="false">IF(Presupuesto!$B$8='Flujo de Pagos'!$E135,8,9999)</f>
        <v>9999</v>
      </c>
      <c r="AC135" s="0" t="n">
        <f aca="false">IF(Presupuesto!$B$9='Flujo de Pagos'!$E135,9,9999)</f>
        <v>9999</v>
      </c>
      <c r="AD135" s="0" t="n">
        <f aca="false">IF(Presupuesto!$B$10='Flujo de Pagos'!$E135,10,9999)</f>
        <v>9999</v>
      </c>
      <c r="AE135" s="0" t="n">
        <f aca="false">IF(Presupuesto!$B$11='Flujo de Pagos'!$E135,11,9999)</f>
        <v>9999</v>
      </c>
      <c r="AF135" s="0" t="n">
        <f aca="false">IF(Presupuesto!$B$12='Flujo de Pagos'!$E135,12,9999)</f>
        <v>12</v>
      </c>
      <c r="AG135" s="0" t="n">
        <f aca="false">IF(Presupuesto!$B$13='Flujo de Pagos'!$E135,13,9999)</f>
        <v>13</v>
      </c>
      <c r="AH135" s="0" t="n">
        <f aca="false">IF(Presupuesto!$B$14='Flujo de Pagos'!$E135,14,9999)</f>
        <v>14</v>
      </c>
      <c r="AI135" s="0" t="n">
        <f aca="false">IF(Presupuesto!$B$15='Flujo de Pagos'!$E135,15,9999)</f>
        <v>15</v>
      </c>
      <c r="AJ135" s="0" t="n">
        <f aca="false">IF(Presupuesto!$B$16='Flujo de Pagos'!$E135,16,9999)</f>
        <v>16</v>
      </c>
      <c r="AK135" s="0" t="n">
        <f aca="false">IF(Presupuesto!$B$17='Flujo de Pagos'!$E135,17,9999)</f>
        <v>17</v>
      </c>
      <c r="AL135" s="0" t="n">
        <f aca="false">IF(Presupuesto!$B$18='Flujo de Pagos'!$E135,18,9999)</f>
        <v>18</v>
      </c>
      <c r="AM135" s="0" t="n">
        <f aca="false">IF(Presupuesto!$B$19='Flujo de Pagos'!$E135,19,9999)</f>
        <v>19</v>
      </c>
      <c r="AN135" s="0" t="n">
        <f aca="false">IF(Presupuesto!$B$20='Flujo de Pagos'!$E135,20,9999)</f>
        <v>20</v>
      </c>
      <c r="AO135" s="0" t="n">
        <f aca="false">IF(Presupuesto!$B$21='Flujo de Pagos'!$E135,21,9999)</f>
        <v>21</v>
      </c>
      <c r="AP135" s="0" t="n">
        <f aca="false">IF(Presupuesto!$B$22='Flujo de Pagos'!$E135,22,9999)</f>
        <v>22</v>
      </c>
      <c r="AQ135" s="0" t="n">
        <f aca="false">IF(Presupuesto!$B$23='Flujo de Pagos'!$E135,23,9999)</f>
        <v>23</v>
      </c>
      <c r="AR135" s="0" t="n">
        <f aca="false">IF(Presupuesto!$B$24='Flujo de Pagos'!$E135,24,9999)</f>
        <v>24</v>
      </c>
      <c r="AS135" s="0" t="n">
        <f aca="false">IF(Presupuesto!$B$25='Flujo de Pagos'!$E135,25,9999)</f>
        <v>25</v>
      </c>
      <c r="AT135" s="0" t="n">
        <f aca="false">IF(Presupuesto!$B$26='Flujo de Pagos'!$E135,26,9999)</f>
        <v>26</v>
      </c>
      <c r="AU135" s="0" t="n">
        <f aca="false">IF(Presupuesto!$B$27='Flujo de Pagos'!$E135,27,9999)</f>
        <v>27</v>
      </c>
      <c r="AV135" s="0" t="n">
        <f aca="false">IF(Presupuesto!$B$28='Flujo de Pagos'!$E135,28,9999)</f>
        <v>28</v>
      </c>
      <c r="AW135" s="0" t="n">
        <f aca="false">IF(Presupuesto!$B$29='Flujo de Pagos'!$E135,29,9999)</f>
        <v>29</v>
      </c>
      <c r="AX135" s="0" t="n">
        <f aca="false">IF(Presupuesto!$B$30='Flujo de Pagos'!$E135,30,9999)</f>
        <v>30</v>
      </c>
      <c r="AY135" s="0" t="n">
        <f aca="false">IF(Presupuesto!$B$31='Flujo de Pagos'!$E135,31,9999)</f>
        <v>31</v>
      </c>
      <c r="AZ135" s="0" t="n">
        <f aca="false">IF(Presupuesto!$B$32='Flujo de Pagos'!$E135,32,9999)</f>
        <v>32</v>
      </c>
      <c r="BA135" s="0" t="n">
        <f aca="false">IF(Presupuesto!$B$33='Flujo de Pagos'!$E135,33,9999)</f>
        <v>33</v>
      </c>
      <c r="BB135" s="0" t="n">
        <f aca="false">IF(Presupuesto!$B$34='Flujo de Pagos'!$E135,34,9999)</f>
        <v>34</v>
      </c>
      <c r="BC135" s="0" t="n">
        <f aca="false">IF(Presupuesto!$B$35='Flujo de Pagos'!$E135,35,9999)</f>
        <v>35</v>
      </c>
      <c r="BD135" s="0" t="n">
        <f aca="false">IF(Presupuesto!$B$36='Flujo de Pagos'!$E135,36,9999)</f>
        <v>36</v>
      </c>
      <c r="BE135" s="0" t="n">
        <f aca="false">IF(Presupuesto!$B$37='Flujo de Pagos'!$E135,37,9999)</f>
        <v>37</v>
      </c>
      <c r="BF135" s="0" t="n">
        <f aca="false">IF(Presupuesto!$B$38='Flujo de Pagos'!$E135,38,9999)</f>
        <v>38</v>
      </c>
      <c r="BG135" s="0" t="n">
        <f aca="false">IF(Presupuesto!$B$39='Flujo de Pagos'!$E135,39,9999)</f>
        <v>39</v>
      </c>
      <c r="BH135" s="0" t="n">
        <f aca="false">IF(Presupuesto!$B$40='Flujo de Pagos'!$E135,40,9999)</f>
        <v>40</v>
      </c>
      <c r="BI135" s="0" t="n">
        <f aca="false">IF(Presupuesto!$B$41='Flujo de Pagos'!$E135,41,9999)</f>
        <v>41</v>
      </c>
      <c r="BJ135" s="0" t="n">
        <f aca="false">IF(Presupuesto!$B$42='Flujo de Pagos'!$E135,42,9999)</f>
        <v>42</v>
      </c>
      <c r="BK135" s="0" t="n">
        <f aca="false">IF(Presupuesto!$B$43='Flujo de Pagos'!$E135,43,9999)</f>
        <v>43</v>
      </c>
      <c r="BL135" s="0" t="n">
        <f aca="false">IF(Presupuesto!$B$44='Flujo de Pagos'!$E135,44,9999)</f>
        <v>44</v>
      </c>
      <c r="BM135" s="0" t="n">
        <f aca="false">IF(Presupuesto!$B$45='Flujo de Pagos'!$E135,45,9999)</f>
        <v>45</v>
      </c>
      <c r="BN135" s="0" t="n">
        <f aca="false">IF(Presupuesto!$B$46='Flujo de Pagos'!$E135,46,9999)</f>
        <v>46</v>
      </c>
      <c r="BO135" s="0" t="n">
        <f aca="false">IF(Presupuesto!$B$47='Flujo de Pagos'!$E135,47,9999)</f>
        <v>47</v>
      </c>
      <c r="BP135" s="0" t="n">
        <f aca="false">IF(Presupuesto!$B$48='Flujo de Pagos'!$E135,48,9999)</f>
        <v>48</v>
      </c>
      <c r="BQ135" s="0" t="n">
        <f aca="false">IF(Presupuesto!$B$49='Flujo de Pagos'!$E135,49,9999)</f>
        <v>49</v>
      </c>
      <c r="BR135" s="0" t="n">
        <f aca="false">IF(Presupuesto!$B$50='Flujo de Pagos'!$E135,50,9999)</f>
        <v>50</v>
      </c>
      <c r="BS135" s="0" t="n">
        <f aca="false">IF(Presupuesto!$B$51='Flujo de Pagos'!$E135,51,9999)</f>
        <v>51</v>
      </c>
      <c r="BT135" s="0" t="n">
        <f aca="false">IF(Presupuesto!$B$52='Flujo de Pagos'!$E135,52,9999)</f>
        <v>52</v>
      </c>
      <c r="BU135" s="0" t="n">
        <f aca="false">IF(Presupuesto!$B$53='Flujo de Pagos'!$E135,53,9999)</f>
        <v>53</v>
      </c>
      <c r="BV135" s="0" t="n">
        <f aca="false">IF(Presupuesto!$B$54='Flujo de Pagos'!$E135,54,9999)</f>
        <v>54</v>
      </c>
      <c r="BW135" s="0" t="n">
        <f aca="false">IF(Presupuesto!$B$55='Flujo de Pagos'!$E135,55,9999)</f>
        <v>55</v>
      </c>
      <c r="BX135" s="0" t="n">
        <f aca="false">IF(Presupuesto!$B$56='Flujo de Pagos'!$E135,56,9999)</f>
        <v>56</v>
      </c>
      <c r="BY135" s="0" t="n">
        <f aca="false">IF(Presupuesto!$B$57='Flujo de Pagos'!$E135,57,9999)</f>
        <v>57</v>
      </c>
      <c r="BZ135" s="0" t="n">
        <f aca="false">IF(Presupuesto!$B$58='Flujo de Pagos'!$E135,58,9999)</f>
        <v>58</v>
      </c>
      <c r="CA135" s="0" t="n">
        <f aca="false">IF(Presupuesto!$B$59='Flujo de Pagos'!$E135,59,9999)</f>
        <v>59</v>
      </c>
      <c r="CB135" s="0" t="n">
        <f aca="false">IF(Presupuesto!$B$60='Flujo de Pagos'!$E135,60,9999)</f>
        <v>60</v>
      </c>
      <c r="CC135" s="0" t="n">
        <f aca="false">IF(Presupuesto!$B$61='Flujo de Pagos'!$E135,61,9999)</f>
        <v>61</v>
      </c>
      <c r="CD135" s="0" t="n">
        <f aca="false">IF(Presupuesto!$B$62='Flujo de Pagos'!$E135,62,9999)</f>
        <v>62</v>
      </c>
      <c r="CE135" s="0" t="n">
        <f aca="false">IF(Presupuesto!$B$63='Flujo de Pagos'!$E135,63,9999)</f>
        <v>63</v>
      </c>
      <c r="CF135" s="0" t="n">
        <f aca="false">IF(Presupuesto!$B$64='Flujo de Pagos'!$E135,64,9999)</f>
        <v>64</v>
      </c>
      <c r="CG135" s="0" t="n">
        <f aca="false">IF(Presupuesto!$B$65='Flujo de Pagos'!$E135,65,9999)</f>
        <v>65</v>
      </c>
      <c r="CH135" s="0" t="n">
        <f aca="false">IF(Presupuesto!$B$66='Flujo de Pagos'!$E135,66,9999)</f>
        <v>66</v>
      </c>
    </row>
    <row r="136" customFormat="false" ht="15" hidden="false" customHeight="true" outlineLevel="0" collapsed="false">
      <c r="B136" s="1" t="n">
        <f aca="false">IF(AND('Flujo de Pagos'!E141=Carátula!$B$2,'Flujo de Pagos'!F141=Carátula!$B$4,'Flujo de Pagos'!H141&lt;&gt;""),141,99999)</f>
        <v>99999</v>
      </c>
      <c r="H136" s="1" t="n">
        <f aca="false">IF(SMALL($AA136:$CH136,1)&gt;=9999,"",INDEX(Presupuesto!$C:$C,SMALL($AA136:$CH136,1)))</f>
        <v>0</v>
      </c>
      <c r="I136" s="1" t="n">
        <f aca="false">IF(SMALL($AA136:$CH136,2)&gt;=9999,"",INDEX(Presupuesto!$C:$C,SMALL($AA136:$CH136,2)))</f>
        <v>0</v>
      </c>
      <c r="J136" s="1" t="n">
        <f aca="false">IF(SMALL($AA136:$CH136,3)&gt;=9999,"",INDEX(Presupuesto!$C:$C,SMALL($AA136:$CH136,3)))</f>
        <v>0</v>
      </c>
      <c r="K136" s="1" t="n">
        <f aca="false">IF(SMALL($AA136:$CH136,4)&gt;=9999,"",INDEX(Presupuesto!$C:$C,SMALL($AA136:$CH136,4)))</f>
        <v>0</v>
      </c>
      <c r="L136" s="1" t="n">
        <f aca="false">IF(SMALL($AA136:$CH136,5)&gt;=9999,"",INDEX(Presupuesto!$C:$C,SMALL($AA136:$CH136,5)))</f>
        <v>0</v>
      </c>
      <c r="M136" s="1" t="n">
        <f aca="false">IF(SMALL($AA136:$CH136,6)&gt;=9999,"",INDEX(Presupuesto!$C:$C,SMALL($AA136:$CH136,6)))</f>
        <v>0</v>
      </c>
      <c r="N136" s="1" t="n">
        <f aca="false">IF(SMALL($AA136:$CH136,7)&gt;=9999,"",INDEX(Presupuesto!$C:$C,SMALL($AA136:$CH136,7)))</f>
        <v>0</v>
      </c>
      <c r="O136" s="1" t="n">
        <f aca="false">IF(SMALL($AA136:$CH136,8)&gt;=9999,"",INDEX(Presupuesto!$C:$C,SMALL($AA136:$CH136,8)))</f>
        <v>0</v>
      </c>
      <c r="P136" s="1" t="n">
        <f aca="false">IF(SMALL($AA136:$CH136,9)&gt;=9999,"",INDEX(Presupuesto!$C:$C,SMALL($AA136:$CH136,9)))</f>
        <v>0</v>
      </c>
      <c r="Q136" s="1" t="n">
        <f aca="false">IF(SMALL($AA136:$CH136,10)&gt;=9999,"",INDEX(Presupuesto!$C:$C,SMALL($AA136:$CH136,10)))</f>
        <v>0</v>
      </c>
      <c r="AA136" s="0" t="n">
        <f aca="false">IF(Presupuesto!$B$7='Flujo de Pagos'!$E136,7,9999)</f>
        <v>9999</v>
      </c>
      <c r="AB136" s="0" t="n">
        <f aca="false">IF(Presupuesto!$B$8='Flujo de Pagos'!$E136,8,9999)</f>
        <v>9999</v>
      </c>
      <c r="AC136" s="0" t="n">
        <f aca="false">IF(Presupuesto!$B$9='Flujo de Pagos'!$E136,9,9999)</f>
        <v>9999</v>
      </c>
      <c r="AD136" s="0" t="n">
        <f aca="false">IF(Presupuesto!$B$10='Flujo de Pagos'!$E136,10,9999)</f>
        <v>9999</v>
      </c>
      <c r="AE136" s="0" t="n">
        <f aca="false">IF(Presupuesto!$B$11='Flujo de Pagos'!$E136,11,9999)</f>
        <v>9999</v>
      </c>
      <c r="AF136" s="0" t="n">
        <f aca="false">IF(Presupuesto!$B$12='Flujo de Pagos'!$E136,12,9999)</f>
        <v>12</v>
      </c>
      <c r="AG136" s="0" t="n">
        <f aca="false">IF(Presupuesto!$B$13='Flujo de Pagos'!$E136,13,9999)</f>
        <v>13</v>
      </c>
      <c r="AH136" s="0" t="n">
        <f aca="false">IF(Presupuesto!$B$14='Flujo de Pagos'!$E136,14,9999)</f>
        <v>14</v>
      </c>
      <c r="AI136" s="0" t="n">
        <f aca="false">IF(Presupuesto!$B$15='Flujo de Pagos'!$E136,15,9999)</f>
        <v>15</v>
      </c>
      <c r="AJ136" s="0" t="n">
        <f aca="false">IF(Presupuesto!$B$16='Flujo de Pagos'!$E136,16,9999)</f>
        <v>16</v>
      </c>
      <c r="AK136" s="0" t="n">
        <f aca="false">IF(Presupuesto!$B$17='Flujo de Pagos'!$E136,17,9999)</f>
        <v>17</v>
      </c>
      <c r="AL136" s="0" t="n">
        <f aca="false">IF(Presupuesto!$B$18='Flujo de Pagos'!$E136,18,9999)</f>
        <v>18</v>
      </c>
      <c r="AM136" s="0" t="n">
        <f aca="false">IF(Presupuesto!$B$19='Flujo de Pagos'!$E136,19,9999)</f>
        <v>19</v>
      </c>
      <c r="AN136" s="0" t="n">
        <f aca="false">IF(Presupuesto!$B$20='Flujo de Pagos'!$E136,20,9999)</f>
        <v>20</v>
      </c>
      <c r="AO136" s="0" t="n">
        <f aca="false">IF(Presupuesto!$B$21='Flujo de Pagos'!$E136,21,9999)</f>
        <v>21</v>
      </c>
      <c r="AP136" s="0" t="n">
        <f aca="false">IF(Presupuesto!$B$22='Flujo de Pagos'!$E136,22,9999)</f>
        <v>22</v>
      </c>
      <c r="AQ136" s="0" t="n">
        <f aca="false">IF(Presupuesto!$B$23='Flujo de Pagos'!$E136,23,9999)</f>
        <v>23</v>
      </c>
      <c r="AR136" s="0" t="n">
        <f aca="false">IF(Presupuesto!$B$24='Flujo de Pagos'!$E136,24,9999)</f>
        <v>24</v>
      </c>
      <c r="AS136" s="0" t="n">
        <f aca="false">IF(Presupuesto!$B$25='Flujo de Pagos'!$E136,25,9999)</f>
        <v>25</v>
      </c>
      <c r="AT136" s="0" t="n">
        <f aca="false">IF(Presupuesto!$B$26='Flujo de Pagos'!$E136,26,9999)</f>
        <v>26</v>
      </c>
      <c r="AU136" s="0" t="n">
        <f aca="false">IF(Presupuesto!$B$27='Flujo de Pagos'!$E136,27,9999)</f>
        <v>27</v>
      </c>
      <c r="AV136" s="0" t="n">
        <f aca="false">IF(Presupuesto!$B$28='Flujo de Pagos'!$E136,28,9999)</f>
        <v>28</v>
      </c>
      <c r="AW136" s="0" t="n">
        <f aca="false">IF(Presupuesto!$B$29='Flujo de Pagos'!$E136,29,9999)</f>
        <v>29</v>
      </c>
      <c r="AX136" s="0" t="n">
        <f aca="false">IF(Presupuesto!$B$30='Flujo de Pagos'!$E136,30,9999)</f>
        <v>30</v>
      </c>
      <c r="AY136" s="0" t="n">
        <f aca="false">IF(Presupuesto!$B$31='Flujo de Pagos'!$E136,31,9999)</f>
        <v>31</v>
      </c>
      <c r="AZ136" s="0" t="n">
        <f aca="false">IF(Presupuesto!$B$32='Flujo de Pagos'!$E136,32,9999)</f>
        <v>32</v>
      </c>
      <c r="BA136" s="0" t="n">
        <f aca="false">IF(Presupuesto!$B$33='Flujo de Pagos'!$E136,33,9999)</f>
        <v>33</v>
      </c>
      <c r="BB136" s="0" t="n">
        <f aca="false">IF(Presupuesto!$B$34='Flujo de Pagos'!$E136,34,9999)</f>
        <v>34</v>
      </c>
      <c r="BC136" s="0" t="n">
        <f aca="false">IF(Presupuesto!$B$35='Flujo de Pagos'!$E136,35,9999)</f>
        <v>35</v>
      </c>
      <c r="BD136" s="0" t="n">
        <f aca="false">IF(Presupuesto!$B$36='Flujo de Pagos'!$E136,36,9999)</f>
        <v>36</v>
      </c>
      <c r="BE136" s="0" t="n">
        <f aca="false">IF(Presupuesto!$B$37='Flujo de Pagos'!$E136,37,9999)</f>
        <v>37</v>
      </c>
      <c r="BF136" s="0" t="n">
        <f aca="false">IF(Presupuesto!$B$38='Flujo de Pagos'!$E136,38,9999)</f>
        <v>38</v>
      </c>
      <c r="BG136" s="0" t="n">
        <f aca="false">IF(Presupuesto!$B$39='Flujo de Pagos'!$E136,39,9999)</f>
        <v>39</v>
      </c>
      <c r="BH136" s="0" t="n">
        <f aca="false">IF(Presupuesto!$B$40='Flujo de Pagos'!$E136,40,9999)</f>
        <v>40</v>
      </c>
      <c r="BI136" s="0" t="n">
        <f aca="false">IF(Presupuesto!$B$41='Flujo de Pagos'!$E136,41,9999)</f>
        <v>41</v>
      </c>
      <c r="BJ136" s="0" t="n">
        <f aca="false">IF(Presupuesto!$B$42='Flujo de Pagos'!$E136,42,9999)</f>
        <v>42</v>
      </c>
      <c r="BK136" s="0" t="n">
        <f aca="false">IF(Presupuesto!$B$43='Flujo de Pagos'!$E136,43,9999)</f>
        <v>43</v>
      </c>
      <c r="BL136" s="0" t="n">
        <f aca="false">IF(Presupuesto!$B$44='Flujo de Pagos'!$E136,44,9999)</f>
        <v>44</v>
      </c>
      <c r="BM136" s="0" t="n">
        <f aca="false">IF(Presupuesto!$B$45='Flujo de Pagos'!$E136,45,9999)</f>
        <v>45</v>
      </c>
      <c r="BN136" s="0" t="n">
        <f aca="false">IF(Presupuesto!$B$46='Flujo de Pagos'!$E136,46,9999)</f>
        <v>46</v>
      </c>
      <c r="BO136" s="0" t="n">
        <f aca="false">IF(Presupuesto!$B$47='Flujo de Pagos'!$E136,47,9999)</f>
        <v>47</v>
      </c>
      <c r="BP136" s="0" t="n">
        <f aca="false">IF(Presupuesto!$B$48='Flujo de Pagos'!$E136,48,9999)</f>
        <v>48</v>
      </c>
      <c r="BQ136" s="0" t="n">
        <f aca="false">IF(Presupuesto!$B$49='Flujo de Pagos'!$E136,49,9999)</f>
        <v>49</v>
      </c>
      <c r="BR136" s="0" t="n">
        <f aca="false">IF(Presupuesto!$B$50='Flujo de Pagos'!$E136,50,9999)</f>
        <v>50</v>
      </c>
      <c r="BS136" s="0" t="n">
        <f aca="false">IF(Presupuesto!$B$51='Flujo de Pagos'!$E136,51,9999)</f>
        <v>51</v>
      </c>
      <c r="BT136" s="0" t="n">
        <f aca="false">IF(Presupuesto!$B$52='Flujo de Pagos'!$E136,52,9999)</f>
        <v>52</v>
      </c>
      <c r="BU136" s="0" t="n">
        <f aca="false">IF(Presupuesto!$B$53='Flujo de Pagos'!$E136,53,9999)</f>
        <v>53</v>
      </c>
      <c r="BV136" s="0" t="n">
        <f aca="false">IF(Presupuesto!$B$54='Flujo de Pagos'!$E136,54,9999)</f>
        <v>54</v>
      </c>
      <c r="BW136" s="0" t="n">
        <f aca="false">IF(Presupuesto!$B$55='Flujo de Pagos'!$E136,55,9999)</f>
        <v>55</v>
      </c>
      <c r="BX136" s="0" t="n">
        <f aca="false">IF(Presupuesto!$B$56='Flujo de Pagos'!$E136,56,9999)</f>
        <v>56</v>
      </c>
      <c r="BY136" s="0" t="n">
        <f aca="false">IF(Presupuesto!$B$57='Flujo de Pagos'!$E136,57,9999)</f>
        <v>57</v>
      </c>
      <c r="BZ136" s="0" t="n">
        <f aca="false">IF(Presupuesto!$B$58='Flujo de Pagos'!$E136,58,9999)</f>
        <v>58</v>
      </c>
      <c r="CA136" s="0" t="n">
        <f aca="false">IF(Presupuesto!$B$59='Flujo de Pagos'!$E136,59,9999)</f>
        <v>59</v>
      </c>
      <c r="CB136" s="0" t="n">
        <f aca="false">IF(Presupuesto!$B$60='Flujo de Pagos'!$E136,60,9999)</f>
        <v>60</v>
      </c>
      <c r="CC136" s="0" t="n">
        <f aca="false">IF(Presupuesto!$B$61='Flujo de Pagos'!$E136,61,9999)</f>
        <v>61</v>
      </c>
      <c r="CD136" s="0" t="n">
        <f aca="false">IF(Presupuesto!$B$62='Flujo de Pagos'!$E136,62,9999)</f>
        <v>62</v>
      </c>
      <c r="CE136" s="0" t="n">
        <f aca="false">IF(Presupuesto!$B$63='Flujo de Pagos'!$E136,63,9999)</f>
        <v>63</v>
      </c>
      <c r="CF136" s="0" t="n">
        <f aca="false">IF(Presupuesto!$B$64='Flujo de Pagos'!$E136,64,9999)</f>
        <v>64</v>
      </c>
      <c r="CG136" s="0" t="n">
        <f aca="false">IF(Presupuesto!$B$65='Flujo de Pagos'!$E136,65,9999)</f>
        <v>65</v>
      </c>
      <c r="CH136" s="0" t="n">
        <f aca="false">IF(Presupuesto!$B$66='Flujo de Pagos'!$E136,66,9999)</f>
        <v>66</v>
      </c>
    </row>
    <row r="137" customFormat="false" ht="15" hidden="false" customHeight="true" outlineLevel="0" collapsed="false">
      <c r="B137" s="1" t="n">
        <f aca="false">IF(AND('Flujo de Pagos'!E142=Carátula!$B$2,'Flujo de Pagos'!F142=Carátula!$B$4,'Flujo de Pagos'!H142&lt;&gt;""),142,99999)</f>
        <v>99999</v>
      </c>
      <c r="H137" s="1" t="n">
        <f aca="false">IF(SMALL($AA137:$CH137,1)&gt;=9999,"",INDEX(Presupuesto!$C:$C,SMALL($AA137:$CH137,1)))</f>
        <v>0</v>
      </c>
      <c r="I137" s="1" t="n">
        <f aca="false">IF(SMALL($AA137:$CH137,2)&gt;=9999,"",INDEX(Presupuesto!$C:$C,SMALL($AA137:$CH137,2)))</f>
        <v>0</v>
      </c>
      <c r="J137" s="1" t="n">
        <f aca="false">IF(SMALL($AA137:$CH137,3)&gt;=9999,"",INDEX(Presupuesto!$C:$C,SMALL($AA137:$CH137,3)))</f>
        <v>0</v>
      </c>
      <c r="K137" s="1" t="n">
        <f aca="false">IF(SMALL($AA137:$CH137,4)&gt;=9999,"",INDEX(Presupuesto!$C:$C,SMALL($AA137:$CH137,4)))</f>
        <v>0</v>
      </c>
      <c r="L137" s="1" t="n">
        <f aca="false">IF(SMALL($AA137:$CH137,5)&gt;=9999,"",INDEX(Presupuesto!$C:$C,SMALL($AA137:$CH137,5)))</f>
        <v>0</v>
      </c>
      <c r="M137" s="1" t="n">
        <f aca="false">IF(SMALL($AA137:$CH137,6)&gt;=9999,"",INDEX(Presupuesto!$C:$C,SMALL($AA137:$CH137,6)))</f>
        <v>0</v>
      </c>
      <c r="N137" s="1" t="n">
        <f aca="false">IF(SMALL($AA137:$CH137,7)&gt;=9999,"",INDEX(Presupuesto!$C:$C,SMALL($AA137:$CH137,7)))</f>
        <v>0</v>
      </c>
      <c r="O137" s="1" t="n">
        <f aca="false">IF(SMALL($AA137:$CH137,8)&gt;=9999,"",INDEX(Presupuesto!$C:$C,SMALL($AA137:$CH137,8)))</f>
        <v>0</v>
      </c>
      <c r="P137" s="1" t="n">
        <f aca="false">IF(SMALL($AA137:$CH137,9)&gt;=9999,"",INDEX(Presupuesto!$C:$C,SMALL($AA137:$CH137,9)))</f>
        <v>0</v>
      </c>
      <c r="Q137" s="1" t="n">
        <f aca="false">IF(SMALL($AA137:$CH137,10)&gt;=9999,"",INDEX(Presupuesto!$C:$C,SMALL($AA137:$CH137,10)))</f>
        <v>0</v>
      </c>
      <c r="AA137" s="0" t="n">
        <f aca="false">IF(Presupuesto!$B$7='Flujo de Pagos'!$E137,7,9999)</f>
        <v>9999</v>
      </c>
      <c r="AB137" s="0" t="n">
        <f aca="false">IF(Presupuesto!$B$8='Flujo de Pagos'!$E137,8,9999)</f>
        <v>9999</v>
      </c>
      <c r="AC137" s="0" t="n">
        <f aca="false">IF(Presupuesto!$B$9='Flujo de Pagos'!$E137,9,9999)</f>
        <v>9999</v>
      </c>
      <c r="AD137" s="0" t="n">
        <f aca="false">IF(Presupuesto!$B$10='Flujo de Pagos'!$E137,10,9999)</f>
        <v>9999</v>
      </c>
      <c r="AE137" s="0" t="n">
        <f aca="false">IF(Presupuesto!$B$11='Flujo de Pagos'!$E137,11,9999)</f>
        <v>9999</v>
      </c>
      <c r="AF137" s="0" t="n">
        <f aca="false">IF(Presupuesto!$B$12='Flujo de Pagos'!$E137,12,9999)</f>
        <v>12</v>
      </c>
      <c r="AG137" s="0" t="n">
        <f aca="false">IF(Presupuesto!$B$13='Flujo de Pagos'!$E137,13,9999)</f>
        <v>13</v>
      </c>
      <c r="AH137" s="0" t="n">
        <f aca="false">IF(Presupuesto!$B$14='Flujo de Pagos'!$E137,14,9999)</f>
        <v>14</v>
      </c>
      <c r="AI137" s="0" t="n">
        <f aca="false">IF(Presupuesto!$B$15='Flujo de Pagos'!$E137,15,9999)</f>
        <v>15</v>
      </c>
      <c r="AJ137" s="0" t="n">
        <f aca="false">IF(Presupuesto!$B$16='Flujo de Pagos'!$E137,16,9999)</f>
        <v>16</v>
      </c>
      <c r="AK137" s="0" t="n">
        <f aca="false">IF(Presupuesto!$B$17='Flujo de Pagos'!$E137,17,9999)</f>
        <v>17</v>
      </c>
      <c r="AL137" s="0" t="n">
        <f aca="false">IF(Presupuesto!$B$18='Flujo de Pagos'!$E137,18,9999)</f>
        <v>18</v>
      </c>
      <c r="AM137" s="0" t="n">
        <f aca="false">IF(Presupuesto!$B$19='Flujo de Pagos'!$E137,19,9999)</f>
        <v>19</v>
      </c>
      <c r="AN137" s="0" t="n">
        <f aca="false">IF(Presupuesto!$B$20='Flujo de Pagos'!$E137,20,9999)</f>
        <v>20</v>
      </c>
      <c r="AO137" s="0" t="n">
        <f aca="false">IF(Presupuesto!$B$21='Flujo de Pagos'!$E137,21,9999)</f>
        <v>21</v>
      </c>
      <c r="AP137" s="0" t="n">
        <f aca="false">IF(Presupuesto!$B$22='Flujo de Pagos'!$E137,22,9999)</f>
        <v>22</v>
      </c>
      <c r="AQ137" s="0" t="n">
        <f aca="false">IF(Presupuesto!$B$23='Flujo de Pagos'!$E137,23,9999)</f>
        <v>23</v>
      </c>
      <c r="AR137" s="0" t="n">
        <f aca="false">IF(Presupuesto!$B$24='Flujo de Pagos'!$E137,24,9999)</f>
        <v>24</v>
      </c>
      <c r="AS137" s="0" t="n">
        <f aca="false">IF(Presupuesto!$B$25='Flujo de Pagos'!$E137,25,9999)</f>
        <v>25</v>
      </c>
      <c r="AT137" s="0" t="n">
        <f aca="false">IF(Presupuesto!$B$26='Flujo de Pagos'!$E137,26,9999)</f>
        <v>26</v>
      </c>
      <c r="AU137" s="0" t="n">
        <f aca="false">IF(Presupuesto!$B$27='Flujo de Pagos'!$E137,27,9999)</f>
        <v>27</v>
      </c>
      <c r="AV137" s="0" t="n">
        <f aca="false">IF(Presupuesto!$B$28='Flujo de Pagos'!$E137,28,9999)</f>
        <v>28</v>
      </c>
      <c r="AW137" s="0" t="n">
        <f aca="false">IF(Presupuesto!$B$29='Flujo de Pagos'!$E137,29,9999)</f>
        <v>29</v>
      </c>
      <c r="AX137" s="0" t="n">
        <f aca="false">IF(Presupuesto!$B$30='Flujo de Pagos'!$E137,30,9999)</f>
        <v>30</v>
      </c>
      <c r="AY137" s="0" t="n">
        <f aca="false">IF(Presupuesto!$B$31='Flujo de Pagos'!$E137,31,9999)</f>
        <v>31</v>
      </c>
      <c r="AZ137" s="0" t="n">
        <f aca="false">IF(Presupuesto!$B$32='Flujo de Pagos'!$E137,32,9999)</f>
        <v>32</v>
      </c>
      <c r="BA137" s="0" t="n">
        <f aca="false">IF(Presupuesto!$B$33='Flujo de Pagos'!$E137,33,9999)</f>
        <v>33</v>
      </c>
      <c r="BB137" s="0" t="n">
        <f aca="false">IF(Presupuesto!$B$34='Flujo de Pagos'!$E137,34,9999)</f>
        <v>34</v>
      </c>
      <c r="BC137" s="0" t="n">
        <f aca="false">IF(Presupuesto!$B$35='Flujo de Pagos'!$E137,35,9999)</f>
        <v>35</v>
      </c>
      <c r="BD137" s="0" t="n">
        <f aca="false">IF(Presupuesto!$B$36='Flujo de Pagos'!$E137,36,9999)</f>
        <v>36</v>
      </c>
      <c r="BE137" s="0" t="n">
        <f aca="false">IF(Presupuesto!$B$37='Flujo de Pagos'!$E137,37,9999)</f>
        <v>37</v>
      </c>
      <c r="BF137" s="0" t="n">
        <f aca="false">IF(Presupuesto!$B$38='Flujo de Pagos'!$E137,38,9999)</f>
        <v>38</v>
      </c>
      <c r="BG137" s="0" t="n">
        <f aca="false">IF(Presupuesto!$B$39='Flujo de Pagos'!$E137,39,9999)</f>
        <v>39</v>
      </c>
      <c r="BH137" s="0" t="n">
        <f aca="false">IF(Presupuesto!$B$40='Flujo de Pagos'!$E137,40,9999)</f>
        <v>40</v>
      </c>
      <c r="BI137" s="0" t="n">
        <f aca="false">IF(Presupuesto!$B$41='Flujo de Pagos'!$E137,41,9999)</f>
        <v>41</v>
      </c>
      <c r="BJ137" s="0" t="n">
        <f aca="false">IF(Presupuesto!$B$42='Flujo de Pagos'!$E137,42,9999)</f>
        <v>42</v>
      </c>
      <c r="BK137" s="0" t="n">
        <f aca="false">IF(Presupuesto!$B$43='Flujo de Pagos'!$E137,43,9999)</f>
        <v>43</v>
      </c>
      <c r="BL137" s="0" t="n">
        <f aca="false">IF(Presupuesto!$B$44='Flujo de Pagos'!$E137,44,9999)</f>
        <v>44</v>
      </c>
      <c r="BM137" s="0" t="n">
        <f aca="false">IF(Presupuesto!$B$45='Flujo de Pagos'!$E137,45,9999)</f>
        <v>45</v>
      </c>
      <c r="BN137" s="0" t="n">
        <f aca="false">IF(Presupuesto!$B$46='Flujo de Pagos'!$E137,46,9999)</f>
        <v>46</v>
      </c>
      <c r="BO137" s="0" t="n">
        <f aca="false">IF(Presupuesto!$B$47='Flujo de Pagos'!$E137,47,9999)</f>
        <v>47</v>
      </c>
      <c r="BP137" s="0" t="n">
        <f aca="false">IF(Presupuesto!$B$48='Flujo de Pagos'!$E137,48,9999)</f>
        <v>48</v>
      </c>
      <c r="BQ137" s="0" t="n">
        <f aca="false">IF(Presupuesto!$B$49='Flujo de Pagos'!$E137,49,9999)</f>
        <v>49</v>
      </c>
      <c r="BR137" s="0" t="n">
        <f aca="false">IF(Presupuesto!$B$50='Flujo de Pagos'!$E137,50,9999)</f>
        <v>50</v>
      </c>
      <c r="BS137" s="0" t="n">
        <f aca="false">IF(Presupuesto!$B$51='Flujo de Pagos'!$E137,51,9999)</f>
        <v>51</v>
      </c>
      <c r="BT137" s="0" t="n">
        <f aca="false">IF(Presupuesto!$B$52='Flujo de Pagos'!$E137,52,9999)</f>
        <v>52</v>
      </c>
      <c r="BU137" s="0" t="n">
        <f aca="false">IF(Presupuesto!$B$53='Flujo de Pagos'!$E137,53,9999)</f>
        <v>53</v>
      </c>
      <c r="BV137" s="0" t="n">
        <f aca="false">IF(Presupuesto!$B$54='Flujo de Pagos'!$E137,54,9999)</f>
        <v>54</v>
      </c>
      <c r="BW137" s="0" t="n">
        <f aca="false">IF(Presupuesto!$B$55='Flujo de Pagos'!$E137,55,9999)</f>
        <v>55</v>
      </c>
      <c r="BX137" s="0" t="n">
        <f aca="false">IF(Presupuesto!$B$56='Flujo de Pagos'!$E137,56,9999)</f>
        <v>56</v>
      </c>
      <c r="BY137" s="0" t="n">
        <f aca="false">IF(Presupuesto!$B$57='Flujo de Pagos'!$E137,57,9999)</f>
        <v>57</v>
      </c>
      <c r="BZ137" s="0" t="n">
        <f aca="false">IF(Presupuesto!$B$58='Flujo de Pagos'!$E137,58,9999)</f>
        <v>58</v>
      </c>
      <c r="CA137" s="0" t="n">
        <f aca="false">IF(Presupuesto!$B$59='Flujo de Pagos'!$E137,59,9999)</f>
        <v>59</v>
      </c>
      <c r="CB137" s="0" t="n">
        <f aca="false">IF(Presupuesto!$B$60='Flujo de Pagos'!$E137,60,9999)</f>
        <v>60</v>
      </c>
      <c r="CC137" s="0" t="n">
        <f aca="false">IF(Presupuesto!$B$61='Flujo de Pagos'!$E137,61,9999)</f>
        <v>61</v>
      </c>
      <c r="CD137" s="0" t="n">
        <f aca="false">IF(Presupuesto!$B$62='Flujo de Pagos'!$E137,62,9999)</f>
        <v>62</v>
      </c>
      <c r="CE137" s="0" t="n">
        <f aca="false">IF(Presupuesto!$B$63='Flujo de Pagos'!$E137,63,9999)</f>
        <v>63</v>
      </c>
      <c r="CF137" s="0" t="n">
        <f aca="false">IF(Presupuesto!$B$64='Flujo de Pagos'!$E137,64,9999)</f>
        <v>64</v>
      </c>
      <c r="CG137" s="0" t="n">
        <f aca="false">IF(Presupuesto!$B$65='Flujo de Pagos'!$E137,65,9999)</f>
        <v>65</v>
      </c>
      <c r="CH137" s="0" t="n">
        <f aca="false">IF(Presupuesto!$B$66='Flujo de Pagos'!$E137,66,9999)</f>
        <v>66</v>
      </c>
    </row>
    <row r="138" customFormat="false" ht="15" hidden="false" customHeight="true" outlineLevel="0" collapsed="false">
      <c r="B138" s="1" t="n">
        <f aca="false">IF(AND('Flujo de Pagos'!E143=Carátula!$B$2,'Flujo de Pagos'!F143=Carátula!$B$4,'Flujo de Pagos'!H143&lt;&gt;""),143,99999)</f>
        <v>99999</v>
      </c>
      <c r="H138" s="1" t="n">
        <f aca="false">IF(SMALL($AA138:$CH138,1)&gt;=9999,"",INDEX(Presupuesto!$C:$C,SMALL($AA138:$CH138,1)))</f>
        <v>0</v>
      </c>
      <c r="I138" s="1" t="n">
        <f aca="false">IF(SMALL($AA138:$CH138,2)&gt;=9999,"",INDEX(Presupuesto!$C:$C,SMALL($AA138:$CH138,2)))</f>
        <v>0</v>
      </c>
      <c r="J138" s="1" t="n">
        <f aca="false">IF(SMALL($AA138:$CH138,3)&gt;=9999,"",INDEX(Presupuesto!$C:$C,SMALL($AA138:$CH138,3)))</f>
        <v>0</v>
      </c>
      <c r="K138" s="1" t="n">
        <f aca="false">IF(SMALL($AA138:$CH138,4)&gt;=9999,"",INDEX(Presupuesto!$C:$C,SMALL($AA138:$CH138,4)))</f>
        <v>0</v>
      </c>
      <c r="L138" s="1" t="n">
        <f aca="false">IF(SMALL($AA138:$CH138,5)&gt;=9999,"",INDEX(Presupuesto!$C:$C,SMALL($AA138:$CH138,5)))</f>
        <v>0</v>
      </c>
      <c r="M138" s="1" t="n">
        <f aca="false">IF(SMALL($AA138:$CH138,6)&gt;=9999,"",INDEX(Presupuesto!$C:$C,SMALL($AA138:$CH138,6)))</f>
        <v>0</v>
      </c>
      <c r="N138" s="1" t="n">
        <f aca="false">IF(SMALL($AA138:$CH138,7)&gt;=9999,"",INDEX(Presupuesto!$C:$C,SMALL($AA138:$CH138,7)))</f>
        <v>0</v>
      </c>
      <c r="O138" s="1" t="n">
        <f aca="false">IF(SMALL($AA138:$CH138,8)&gt;=9999,"",INDEX(Presupuesto!$C:$C,SMALL($AA138:$CH138,8)))</f>
        <v>0</v>
      </c>
      <c r="P138" s="1" t="n">
        <f aca="false">IF(SMALL($AA138:$CH138,9)&gt;=9999,"",INDEX(Presupuesto!$C:$C,SMALL($AA138:$CH138,9)))</f>
        <v>0</v>
      </c>
      <c r="Q138" s="1" t="n">
        <f aca="false">IF(SMALL($AA138:$CH138,10)&gt;=9999,"",INDEX(Presupuesto!$C:$C,SMALL($AA138:$CH138,10)))</f>
        <v>0</v>
      </c>
      <c r="AA138" s="0" t="n">
        <f aca="false">IF(Presupuesto!$B$7='Flujo de Pagos'!$E138,7,9999)</f>
        <v>9999</v>
      </c>
      <c r="AB138" s="0" t="n">
        <f aca="false">IF(Presupuesto!$B$8='Flujo de Pagos'!$E138,8,9999)</f>
        <v>9999</v>
      </c>
      <c r="AC138" s="0" t="n">
        <f aca="false">IF(Presupuesto!$B$9='Flujo de Pagos'!$E138,9,9999)</f>
        <v>9999</v>
      </c>
      <c r="AD138" s="0" t="n">
        <f aca="false">IF(Presupuesto!$B$10='Flujo de Pagos'!$E138,10,9999)</f>
        <v>9999</v>
      </c>
      <c r="AE138" s="0" t="n">
        <f aca="false">IF(Presupuesto!$B$11='Flujo de Pagos'!$E138,11,9999)</f>
        <v>9999</v>
      </c>
      <c r="AF138" s="0" t="n">
        <f aca="false">IF(Presupuesto!$B$12='Flujo de Pagos'!$E138,12,9999)</f>
        <v>12</v>
      </c>
      <c r="AG138" s="0" t="n">
        <f aca="false">IF(Presupuesto!$B$13='Flujo de Pagos'!$E138,13,9999)</f>
        <v>13</v>
      </c>
      <c r="AH138" s="0" t="n">
        <f aca="false">IF(Presupuesto!$B$14='Flujo de Pagos'!$E138,14,9999)</f>
        <v>14</v>
      </c>
      <c r="AI138" s="0" t="n">
        <f aca="false">IF(Presupuesto!$B$15='Flujo de Pagos'!$E138,15,9999)</f>
        <v>15</v>
      </c>
      <c r="AJ138" s="0" t="n">
        <f aca="false">IF(Presupuesto!$B$16='Flujo de Pagos'!$E138,16,9999)</f>
        <v>16</v>
      </c>
      <c r="AK138" s="0" t="n">
        <f aca="false">IF(Presupuesto!$B$17='Flujo de Pagos'!$E138,17,9999)</f>
        <v>17</v>
      </c>
      <c r="AL138" s="0" t="n">
        <f aca="false">IF(Presupuesto!$B$18='Flujo de Pagos'!$E138,18,9999)</f>
        <v>18</v>
      </c>
      <c r="AM138" s="0" t="n">
        <f aca="false">IF(Presupuesto!$B$19='Flujo de Pagos'!$E138,19,9999)</f>
        <v>19</v>
      </c>
      <c r="AN138" s="0" t="n">
        <f aca="false">IF(Presupuesto!$B$20='Flujo de Pagos'!$E138,20,9999)</f>
        <v>20</v>
      </c>
      <c r="AO138" s="0" t="n">
        <f aca="false">IF(Presupuesto!$B$21='Flujo de Pagos'!$E138,21,9999)</f>
        <v>21</v>
      </c>
      <c r="AP138" s="0" t="n">
        <f aca="false">IF(Presupuesto!$B$22='Flujo de Pagos'!$E138,22,9999)</f>
        <v>22</v>
      </c>
      <c r="AQ138" s="0" t="n">
        <f aca="false">IF(Presupuesto!$B$23='Flujo de Pagos'!$E138,23,9999)</f>
        <v>23</v>
      </c>
      <c r="AR138" s="0" t="n">
        <f aca="false">IF(Presupuesto!$B$24='Flujo de Pagos'!$E138,24,9999)</f>
        <v>24</v>
      </c>
      <c r="AS138" s="0" t="n">
        <f aca="false">IF(Presupuesto!$B$25='Flujo de Pagos'!$E138,25,9999)</f>
        <v>25</v>
      </c>
      <c r="AT138" s="0" t="n">
        <f aca="false">IF(Presupuesto!$B$26='Flujo de Pagos'!$E138,26,9999)</f>
        <v>26</v>
      </c>
      <c r="AU138" s="0" t="n">
        <f aca="false">IF(Presupuesto!$B$27='Flujo de Pagos'!$E138,27,9999)</f>
        <v>27</v>
      </c>
      <c r="AV138" s="0" t="n">
        <f aca="false">IF(Presupuesto!$B$28='Flujo de Pagos'!$E138,28,9999)</f>
        <v>28</v>
      </c>
      <c r="AW138" s="0" t="n">
        <f aca="false">IF(Presupuesto!$B$29='Flujo de Pagos'!$E138,29,9999)</f>
        <v>29</v>
      </c>
      <c r="AX138" s="0" t="n">
        <f aca="false">IF(Presupuesto!$B$30='Flujo de Pagos'!$E138,30,9999)</f>
        <v>30</v>
      </c>
      <c r="AY138" s="0" t="n">
        <f aca="false">IF(Presupuesto!$B$31='Flujo de Pagos'!$E138,31,9999)</f>
        <v>31</v>
      </c>
      <c r="AZ138" s="0" t="n">
        <f aca="false">IF(Presupuesto!$B$32='Flujo de Pagos'!$E138,32,9999)</f>
        <v>32</v>
      </c>
      <c r="BA138" s="0" t="n">
        <f aca="false">IF(Presupuesto!$B$33='Flujo de Pagos'!$E138,33,9999)</f>
        <v>33</v>
      </c>
      <c r="BB138" s="0" t="n">
        <f aca="false">IF(Presupuesto!$B$34='Flujo de Pagos'!$E138,34,9999)</f>
        <v>34</v>
      </c>
      <c r="BC138" s="0" t="n">
        <f aca="false">IF(Presupuesto!$B$35='Flujo de Pagos'!$E138,35,9999)</f>
        <v>35</v>
      </c>
      <c r="BD138" s="0" t="n">
        <f aca="false">IF(Presupuesto!$B$36='Flujo de Pagos'!$E138,36,9999)</f>
        <v>36</v>
      </c>
      <c r="BE138" s="0" t="n">
        <f aca="false">IF(Presupuesto!$B$37='Flujo de Pagos'!$E138,37,9999)</f>
        <v>37</v>
      </c>
      <c r="BF138" s="0" t="n">
        <f aca="false">IF(Presupuesto!$B$38='Flujo de Pagos'!$E138,38,9999)</f>
        <v>38</v>
      </c>
      <c r="BG138" s="0" t="n">
        <f aca="false">IF(Presupuesto!$B$39='Flujo de Pagos'!$E138,39,9999)</f>
        <v>39</v>
      </c>
      <c r="BH138" s="0" t="n">
        <f aca="false">IF(Presupuesto!$B$40='Flujo de Pagos'!$E138,40,9999)</f>
        <v>40</v>
      </c>
      <c r="BI138" s="0" t="n">
        <f aca="false">IF(Presupuesto!$B$41='Flujo de Pagos'!$E138,41,9999)</f>
        <v>41</v>
      </c>
      <c r="BJ138" s="0" t="n">
        <f aca="false">IF(Presupuesto!$B$42='Flujo de Pagos'!$E138,42,9999)</f>
        <v>42</v>
      </c>
      <c r="BK138" s="0" t="n">
        <f aca="false">IF(Presupuesto!$B$43='Flujo de Pagos'!$E138,43,9999)</f>
        <v>43</v>
      </c>
      <c r="BL138" s="0" t="n">
        <f aca="false">IF(Presupuesto!$B$44='Flujo de Pagos'!$E138,44,9999)</f>
        <v>44</v>
      </c>
      <c r="BM138" s="0" t="n">
        <f aca="false">IF(Presupuesto!$B$45='Flujo de Pagos'!$E138,45,9999)</f>
        <v>45</v>
      </c>
      <c r="BN138" s="0" t="n">
        <f aca="false">IF(Presupuesto!$B$46='Flujo de Pagos'!$E138,46,9999)</f>
        <v>46</v>
      </c>
      <c r="BO138" s="0" t="n">
        <f aca="false">IF(Presupuesto!$B$47='Flujo de Pagos'!$E138,47,9999)</f>
        <v>47</v>
      </c>
      <c r="BP138" s="0" t="n">
        <f aca="false">IF(Presupuesto!$B$48='Flujo de Pagos'!$E138,48,9999)</f>
        <v>48</v>
      </c>
      <c r="BQ138" s="0" t="n">
        <f aca="false">IF(Presupuesto!$B$49='Flujo de Pagos'!$E138,49,9999)</f>
        <v>49</v>
      </c>
      <c r="BR138" s="0" t="n">
        <f aca="false">IF(Presupuesto!$B$50='Flujo de Pagos'!$E138,50,9999)</f>
        <v>50</v>
      </c>
      <c r="BS138" s="0" t="n">
        <f aca="false">IF(Presupuesto!$B$51='Flujo de Pagos'!$E138,51,9999)</f>
        <v>51</v>
      </c>
      <c r="BT138" s="0" t="n">
        <f aca="false">IF(Presupuesto!$B$52='Flujo de Pagos'!$E138,52,9999)</f>
        <v>52</v>
      </c>
      <c r="BU138" s="0" t="n">
        <f aca="false">IF(Presupuesto!$B$53='Flujo de Pagos'!$E138,53,9999)</f>
        <v>53</v>
      </c>
      <c r="BV138" s="0" t="n">
        <f aca="false">IF(Presupuesto!$B$54='Flujo de Pagos'!$E138,54,9999)</f>
        <v>54</v>
      </c>
      <c r="BW138" s="0" t="n">
        <f aca="false">IF(Presupuesto!$B$55='Flujo de Pagos'!$E138,55,9999)</f>
        <v>55</v>
      </c>
      <c r="BX138" s="0" t="n">
        <f aca="false">IF(Presupuesto!$B$56='Flujo de Pagos'!$E138,56,9999)</f>
        <v>56</v>
      </c>
      <c r="BY138" s="0" t="n">
        <f aca="false">IF(Presupuesto!$B$57='Flujo de Pagos'!$E138,57,9999)</f>
        <v>57</v>
      </c>
      <c r="BZ138" s="0" t="n">
        <f aca="false">IF(Presupuesto!$B$58='Flujo de Pagos'!$E138,58,9999)</f>
        <v>58</v>
      </c>
      <c r="CA138" s="0" t="n">
        <f aca="false">IF(Presupuesto!$B$59='Flujo de Pagos'!$E138,59,9999)</f>
        <v>59</v>
      </c>
      <c r="CB138" s="0" t="n">
        <f aca="false">IF(Presupuesto!$B$60='Flujo de Pagos'!$E138,60,9999)</f>
        <v>60</v>
      </c>
      <c r="CC138" s="0" t="n">
        <f aca="false">IF(Presupuesto!$B$61='Flujo de Pagos'!$E138,61,9999)</f>
        <v>61</v>
      </c>
      <c r="CD138" s="0" t="n">
        <f aca="false">IF(Presupuesto!$B$62='Flujo de Pagos'!$E138,62,9999)</f>
        <v>62</v>
      </c>
      <c r="CE138" s="0" t="n">
        <f aca="false">IF(Presupuesto!$B$63='Flujo de Pagos'!$E138,63,9999)</f>
        <v>63</v>
      </c>
      <c r="CF138" s="0" t="n">
        <f aca="false">IF(Presupuesto!$B$64='Flujo de Pagos'!$E138,64,9999)</f>
        <v>64</v>
      </c>
      <c r="CG138" s="0" t="n">
        <f aca="false">IF(Presupuesto!$B$65='Flujo de Pagos'!$E138,65,9999)</f>
        <v>65</v>
      </c>
      <c r="CH138" s="0" t="n">
        <f aca="false">IF(Presupuesto!$B$66='Flujo de Pagos'!$E138,66,9999)</f>
        <v>66</v>
      </c>
    </row>
    <row r="139" customFormat="false" ht="15" hidden="false" customHeight="true" outlineLevel="0" collapsed="false">
      <c r="B139" s="1" t="n">
        <f aca="false">IF(AND('Flujo de Pagos'!E144=Carátula!$B$2,'Flujo de Pagos'!F144=Carátula!$B$4,'Flujo de Pagos'!H144&lt;&gt;""),144,99999)</f>
        <v>99999</v>
      </c>
      <c r="H139" s="1" t="n">
        <f aca="false">IF(SMALL($AA139:$CH139,1)&gt;=9999,"",INDEX(Presupuesto!$C:$C,SMALL($AA139:$CH139,1)))</f>
        <v>0</v>
      </c>
      <c r="I139" s="1" t="n">
        <f aca="false">IF(SMALL($AA139:$CH139,2)&gt;=9999,"",INDEX(Presupuesto!$C:$C,SMALL($AA139:$CH139,2)))</f>
        <v>0</v>
      </c>
      <c r="J139" s="1" t="n">
        <f aca="false">IF(SMALL($AA139:$CH139,3)&gt;=9999,"",INDEX(Presupuesto!$C:$C,SMALL($AA139:$CH139,3)))</f>
        <v>0</v>
      </c>
      <c r="K139" s="1" t="n">
        <f aca="false">IF(SMALL($AA139:$CH139,4)&gt;=9999,"",INDEX(Presupuesto!$C:$C,SMALL($AA139:$CH139,4)))</f>
        <v>0</v>
      </c>
      <c r="L139" s="1" t="n">
        <f aca="false">IF(SMALL($AA139:$CH139,5)&gt;=9999,"",INDEX(Presupuesto!$C:$C,SMALL($AA139:$CH139,5)))</f>
        <v>0</v>
      </c>
      <c r="M139" s="1" t="n">
        <f aca="false">IF(SMALL($AA139:$CH139,6)&gt;=9999,"",INDEX(Presupuesto!$C:$C,SMALL($AA139:$CH139,6)))</f>
        <v>0</v>
      </c>
      <c r="N139" s="1" t="n">
        <f aca="false">IF(SMALL($AA139:$CH139,7)&gt;=9999,"",INDEX(Presupuesto!$C:$C,SMALL($AA139:$CH139,7)))</f>
        <v>0</v>
      </c>
      <c r="O139" s="1" t="n">
        <f aca="false">IF(SMALL($AA139:$CH139,8)&gt;=9999,"",INDEX(Presupuesto!$C:$C,SMALL($AA139:$CH139,8)))</f>
        <v>0</v>
      </c>
      <c r="P139" s="1" t="n">
        <f aca="false">IF(SMALL($AA139:$CH139,9)&gt;=9999,"",INDEX(Presupuesto!$C:$C,SMALL($AA139:$CH139,9)))</f>
        <v>0</v>
      </c>
      <c r="Q139" s="1" t="n">
        <f aca="false">IF(SMALL($AA139:$CH139,10)&gt;=9999,"",INDEX(Presupuesto!$C:$C,SMALL($AA139:$CH139,10)))</f>
        <v>0</v>
      </c>
      <c r="AA139" s="0" t="n">
        <f aca="false">IF(Presupuesto!$B$7='Flujo de Pagos'!$E139,7,9999)</f>
        <v>9999</v>
      </c>
      <c r="AB139" s="0" t="n">
        <f aca="false">IF(Presupuesto!$B$8='Flujo de Pagos'!$E139,8,9999)</f>
        <v>9999</v>
      </c>
      <c r="AC139" s="0" t="n">
        <f aca="false">IF(Presupuesto!$B$9='Flujo de Pagos'!$E139,9,9999)</f>
        <v>9999</v>
      </c>
      <c r="AD139" s="0" t="n">
        <f aca="false">IF(Presupuesto!$B$10='Flujo de Pagos'!$E139,10,9999)</f>
        <v>9999</v>
      </c>
      <c r="AE139" s="0" t="n">
        <f aca="false">IF(Presupuesto!$B$11='Flujo de Pagos'!$E139,11,9999)</f>
        <v>9999</v>
      </c>
      <c r="AF139" s="0" t="n">
        <f aca="false">IF(Presupuesto!$B$12='Flujo de Pagos'!$E139,12,9999)</f>
        <v>12</v>
      </c>
      <c r="AG139" s="0" t="n">
        <f aca="false">IF(Presupuesto!$B$13='Flujo de Pagos'!$E139,13,9999)</f>
        <v>13</v>
      </c>
      <c r="AH139" s="0" t="n">
        <f aca="false">IF(Presupuesto!$B$14='Flujo de Pagos'!$E139,14,9999)</f>
        <v>14</v>
      </c>
      <c r="AI139" s="0" t="n">
        <f aca="false">IF(Presupuesto!$B$15='Flujo de Pagos'!$E139,15,9999)</f>
        <v>15</v>
      </c>
      <c r="AJ139" s="0" t="n">
        <f aca="false">IF(Presupuesto!$B$16='Flujo de Pagos'!$E139,16,9999)</f>
        <v>16</v>
      </c>
      <c r="AK139" s="0" t="n">
        <f aca="false">IF(Presupuesto!$B$17='Flujo de Pagos'!$E139,17,9999)</f>
        <v>17</v>
      </c>
      <c r="AL139" s="0" t="n">
        <f aca="false">IF(Presupuesto!$B$18='Flujo de Pagos'!$E139,18,9999)</f>
        <v>18</v>
      </c>
      <c r="AM139" s="0" t="n">
        <f aca="false">IF(Presupuesto!$B$19='Flujo de Pagos'!$E139,19,9999)</f>
        <v>19</v>
      </c>
      <c r="AN139" s="0" t="n">
        <f aca="false">IF(Presupuesto!$B$20='Flujo de Pagos'!$E139,20,9999)</f>
        <v>20</v>
      </c>
      <c r="AO139" s="0" t="n">
        <f aca="false">IF(Presupuesto!$B$21='Flujo de Pagos'!$E139,21,9999)</f>
        <v>21</v>
      </c>
      <c r="AP139" s="0" t="n">
        <f aca="false">IF(Presupuesto!$B$22='Flujo de Pagos'!$E139,22,9999)</f>
        <v>22</v>
      </c>
      <c r="AQ139" s="0" t="n">
        <f aca="false">IF(Presupuesto!$B$23='Flujo de Pagos'!$E139,23,9999)</f>
        <v>23</v>
      </c>
      <c r="AR139" s="0" t="n">
        <f aca="false">IF(Presupuesto!$B$24='Flujo de Pagos'!$E139,24,9999)</f>
        <v>24</v>
      </c>
      <c r="AS139" s="0" t="n">
        <f aca="false">IF(Presupuesto!$B$25='Flujo de Pagos'!$E139,25,9999)</f>
        <v>25</v>
      </c>
      <c r="AT139" s="0" t="n">
        <f aca="false">IF(Presupuesto!$B$26='Flujo de Pagos'!$E139,26,9999)</f>
        <v>26</v>
      </c>
      <c r="AU139" s="0" t="n">
        <f aca="false">IF(Presupuesto!$B$27='Flujo de Pagos'!$E139,27,9999)</f>
        <v>27</v>
      </c>
      <c r="AV139" s="0" t="n">
        <f aca="false">IF(Presupuesto!$B$28='Flujo de Pagos'!$E139,28,9999)</f>
        <v>28</v>
      </c>
      <c r="AW139" s="0" t="n">
        <f aca="false">IF(Presupuesto!$B$29='Flujo de Pagos'!$E139,29,9999)</f>
        <v>29</v>
      </c>
      <c r="AX139" s="0" t="n">
        <f aca="false">IF(Presupuesto!$B$30='Flujo de Pagos'!$E139,30,9999)</f>
        <v>30</v>
      </c>
      <c r="AY139" s="0" t="n">
        <f aca="false">IF(Presupuesto!$B$31='Flujo de Pagos'!$E139,31,9999)</f>
        <v>31</v>
      </c>
      <c r="AZ139" s="0" t="n">
        <f aca="false">IF(Presupuesto!$B$32='Flujo de Pagos'!$E139,32,9999)</f>
        <v>32</v>
      </c>
      <c r="BA139" s="0" t="n">
        <f aca="false">IF(Presupuesto!$B$33='Flujo de Pagos'!$E139,33,9999)</f>
        <v>33</v>
      </c>
      <c r="BB139" s="0" t="n">
        <f aca="false">IF(Presupuesto!$B$34='Flujo de Pagos'!$E139,34,9999)</f>
        <v>34</v>
      </c>
      <c r="BC139" s="0" t="n">
        <f aca="false">IF(Presupuesto!$B$35='Flujo de Pagos'!$E139,35,9999)</f>
        <v>35</v>
      </c>
      <c r="BD139" s="0" t="n">
        <f aca="false">IF(Presupuesto!$B$36='Flujo de Pagos'!$E139,36,9999)</f>
        <v>36</v>
      </c>
      <c r="BE139" s="0" t="n">
        <f aca="false">IF(Presupuesto!$B$37='Flujo de Pagos'!$E139,37,9999)</f>
        <v>37</v>
      </c>
      <c r="BF139" s="0" t="n">
        <f aca="false">IF(Presupuesto!$B$38='Flujo de Pagos'!$E139,38,9999)</f>
        <v>38</v>
      </c>
      <c r="BG139" s="0" t="n">
        <f aca="false">IF(Presupuesto!$B$39='Flujo de Pagos'!$E139,39,9999)</f>
        <v>39</v>
      </c>
      <c r="BH139" s="0" t="n">
        <f aca="false">IF(Presupuesto!$B$40='Flujo de Pagos'!$E139,40,9999)</f>
        <v>40</v>
      </c>
      <c r="BI139" s="0" t="n">
        <f aca="false">IF(Presupuesto!$B$41='Flujo de Pagos'!$E139,41,9999)</f>
        <v>41</v>
      </c>
      <c r="BJ139" s="0" t="n">
        <f aca="false">IF(Presupuesto!$B$42='Flujo de Pagos'!$E139,42,9999)</f>
        <v>42</v>
      </c>
      <c r="BK139" s="0" t="n">
        <f aca="false">IF(Presupuesto!$B$43='Flujo de Pagos'!$E139,43,9999)</f>
        <v>43</v>
      </c>
      <c r="BL139" s="0" t="n">
        <f aca="false">IF(Presupuesto!$B$44='Flujo de Pagos'!$E139,44,9999)</f>
        <v>44</v>
      </c>
      <c r="BM139" s="0" t="n">
        <f aca="false">IF(Presupuesto!$B$45='Flujo de Pagos'!$E139,45,9999)</f>
        <v>45</v>
      </c>
      <c r="BN139" s="0" t="n">
        <f aca="false">IF(Presupuesto!$B$46='Flujo de Pagos'!$E139,46,9999)</f>
        <v>46</v>
      </c>
      <c r="BO139" s="0" t="n">
        <f aca="false">IF(Presupuesto!$B$47='Flujo de Pagos'!$E139,47,9999)</f>
        <v>47</v>
      </c>
      <c r="BP139" s="0" t="n">
        <f aca="false">IF(Presupuesto!$B$48='Flujo de Pagos'!$E139,48,9999)</f>
        <v>48</v>
      </c>
      <c r="BQ139" s="0" t="n">
        <f aca="false">IF(Presupuesto!$B$49='Flujo de Pagos'!$E139,49,9999)</f>
        <v>49</v>
      </c>
      <c r="BR139" s="0" t="n">
        <f aca="false">IF(Presupuesto!$B$50='Flujo de Pagos'!$E139,50,9999)</f>
        <v>50</v>
      </c>
      <c r="BS139" s="0" t="n">
        <f aca="false">IF(Presupuesto!$B$51='Flujo de Pagos'!$E139,51,9999)</f>
        <v>51</v>
      </c>
      <c r="BT139" s="0" t="n">
        <f aca="false">IF(Presupuesto!$B$52='Flujo de Pagos'!$E139,52,9999)</f>
        <v>52</v>
      </c>
      <c r="BU139" s="0" t="n">
        <f aca="false">IF(Presupuesto!$B$53='Flujo de Pagos'!$E139,53,9999)</f>
        <v>53</v>
      </c>
      <c r="BV139" s="0" t="n">
        <f aca="false">IF(Presupuesto!$B$54='Flujo de Pagos'!$E139,54,9999)</f>
        <v>54</v>
      </c>
      <c r="BW139" s="0" t="n">
        <f aca="false">IF(Presupuesto!$B$55='Flujo de Pagos'!$E139,55,9999)</f>
        <v>55</v>
      </c>
      <c r="BX139" s="0" t="n">
        <f aca="false">IF(Presupuesto!$B$56='Flujo de Pagos'!$E139,56,9999)</f>
        <v>56</v>
      </c>
      <c r="BY139" s="0" t="n">
        <f aca="false">IF(Presupuesto!$B$57='Flujo de Pagos'!$E139,57,9999)</f>
        <v>57</v>
      </c>
      <c r="BZ139" s="0" t="n">
        <f aca="false">IF(Presupuesto!$B$58='Flujo de Pagos'!$E139,58,9999)</f>
        <v>58</v>
      </c>
      <c r="CA139" s="0" t="n">
        <f aca="false">IF(Presupuesto!$B$59='Flujo de Pagos'!$E139,59,9999)</f>
        <v>59</v>
      </c>
      <c r="CB139" s="0" t="n">
        <f aca="false">IF(Presupuesto!$B$60='Flujo de Pagos'!$E139,60,9999)</f>
        <v>60</v>
      </c>
      <c r="CC139" s="0" t="n">
        <f aca="false">IF(Presupuesto!$B$61='Flujo de Pagos'!$E139,61,9999)</f>
        <v>61</v>
      </c>
      <c r="CD139" s="0" t="n">
        <f aca="false">IF(Presupuesto!$B$62='Flujo de Pagos'!$E139,62,9999)</f>
        <v>62</v>
      </c>
      <c r="CE139" s="0" t="n">
        <f aca="false">IF(Presupuesto!$B$63='Flujo de Pagos'!$E139,63,9999)</f>
        <v>63</v>
      </c>
      <c r="CF139" s="0" t="n">
        <f aca="false">IF(Presupuesto!$B$64='Flujo de Pagos'!$E139,64,9999)</f>
        <v>64</v>
      </c>
      <c r="CG139" s="0" t="n">
        <f aca="false">IF(Presupuesto!$B$65='Flujo de Pagos'!$E139,65,9999)</f>
        <v>65</v>
      </c>
      <c r="CH139" s="0" t="n">
        <f aca="false">IF(Presupuesto!$B$66='Flujo de Pagos'!$E139,66,9999)</f>
        <v>66</v>
      </c>
    </row>
    <row r="140" customFormat="false" ht="15" hidden="false" customHeight="true" outlineLevel="0" collapsed="false">
      <c r="B140" s="1" t="n">
        <f aca="false">IF(AND('Flujo de Pagos'!E145=Carátula!$B$2,'Flujo de Pagos'!F145=Carátula!$B$4,'Flujo de Pagos'!H145&lt;&gt;""),145,99999)</f>
        <v>99999</v>
      </c>
      <c r="H140" s="1" t="n">
        <f aca="false">IF(SMALL($AA140:$CH140,1)&gt;=9999,"",INDEX(Presupuesto!$C:$C,SMALL($AA140:$CH140,1)))</f>
        <v>0</v>
      </c>
      <c r="I140" s="1" t="n">
        <f aca="false">IF(SMALL($AA140:$CH140,2)&gt;=9999,"",INDEX(Presupuesto!$C:$C,SMALL($AA140:$CH140,2)))</f>
        <v>0</v>
      </c>
      <c r="J140" s="1" t="n">
        <f aca="false">IF(SMALL($AA140:$CH140,3)&gt;=9999,"",INDEX(Presupuesto!$C:$C,SMALL($AA140:$CH140,3)))</f>
        <v>0</v>
      </c>
      <c r="K140" s="1" t="n">
        <f aca="false">IF(SMALL($AA140:$CH140,4)&gt;=9999,"",INDEX(Presupuesto!$C:$C,SMALL($AA140:$CH140,4)))</f>
        <v>0</v>
      </c>
      <c r="L140" s="1" t="n">
        <f aca="false">IF(SMALL($AA140:$CH140,5)&gt;=9999,"",INDEX(Presupuesto!$C:$C,SMALL($AA140:$CH140,5)))</f>
        <v>0</v>
      </c>
      <c r="M140" s="1" t="n">
        <f aca="false">IF(SMALL($AA140:$CH140,6)&gt;=9999,"",INDEX(Presupuesto!$C:$C,SMALL($AA140:$CH140,6)))</f>
        <v>0</v>
      </c>
      <c r="N140" s="1" t="n">
        <f aca="false">IF(SMALL($AA140:$CH140,7)&gt;=9999,"",INDEX(Presupuesto!$C:$C,SMALL($AA140:$CH140,7)))</f>
        <v>0</v>
      </c>
      <c r="O140" s="1" t="n">
        <f aca="false">IF(SMALL($AA140:$CH140,8)&gt;=9999,"",INDEX(Presupuesto!$C:$C,SMALL($AA140:$CH140,8)))</f>
        <v>0</v>
      </c>
      <c r="P140" s="1" t="n">
        <f aca="false">IF(SMALL($AA140:$CH140,9)&gt;=9999,"",INDEX(Presupuesto!$C:$C,SMALL($AA140:$CH140,9)))</f>
        <v>0</v>
      </c>
      <c r="Q140" s="1" t="n">
        <f aca="false">IF(SMALL($AA140:$CH140,10)&gt;=9999,"",INDEX(Presupuesto!$C:$C,SMALL($AA140:$CH140,10)))</f>
        <v>0</v>
      </c>
      <c r="AA140" s="0" t="n">
        <f aca="false">IF(Presupuesto!$B$7='Flujo de Pagos'!$E140,7,9999)</f>
        <v>9999</v>
      </c>
      <c r="AB140" s="0" t="n">
        <f aca="false">IF(Presupuesto!$B$8='Flujo de Pagos'!$E140,8,9999)</f>
        <v>9999</v>
      </c>
      <c r="AC140" s="0" t="n">
        <f aca="false">IF(Presupuesto!$B$9='Flujo de Pagos'!$E140,9,9999)</f>
        <v>9999</v>
      </c>
      <c r="AD140" s="0" t="n">
        <f aca="false">IF(Presupuesto!$B$10='Flujo de Pagos'!$E140,10,9999)</f>
        <v>9999</v>
      </c>
      <c r="AE140" s="0" t="n">
        <f aca="false">IF(Presupuesto!$B$11='Flujo de Pagos'!$E140,11,9999)</f>
        <v>9999</v>
      </c>
      <c r="AF140" s="0" t="n">
        <f aca="false">IF(Presupuesto!$B$12='Flujo de Pagos'!$E140,12,9999)</f>
        <v>12</v>
      </c>
      <c r="AG140" s="0" t="n">
        <f aca="false">IF(Presupuesto!$B$13='Flujo de Pagos'!$E140,13,9999)</f>
        <v>13</v>
      </c>
      <c r="AH140" s="0" t="n">
        <f aca="false">IF(Presupuesto!$B$14='Flujo de Pagos'!$E140,14,9999)</f>
        <v>14</v>
      </c>
      <c r="AI140" s="0" t="n">
        <f aca="false">IF(Presupuesto!$B$15='Flujo de Pagos'!$E140,15,9999)</f>
        <v>15</v>
      </c>
      <c r="AJ140" s="0" t="n">
        <f aca="false">IF(Presupuesto!$B$16='Flujo de Pagos'!$E140,16,9999)</f>
        <v>16</v>
      </c>
      <c r="AK140" s="0" t="n">
        <f aca="false">IF(Presupuesto!$B$17='Flujo de Pagos'!$E140,17,9999)</f>
        <v>17</v>
      </c>
      <c r="AL140" s="0" t="n">
        <f aca="false">IF(Presupuesto!$B$18='Flujo de Pagos'!$E140,18,9999)</f>
        <v>18</v>
      </c>
      <c r="AM140" s="0" t="n">
        <f aca="false">IF(Presupuesto!$B$19='Flujo de Pagos'!$E140,19,9999)</f>
        <v>19</v>
      </c>
      <c r="AN140" s="0" t="n">
        <f aca="false">IF(Presupuesto!$B$20='Flujo de Pagos'!$E140,20,9999)</f>
        <v>20</v>
      </c>
      <c r="AO140" s="0" t="n">
        <f aca="false">IF(Presupuesto!$B$21='Flujo de Pagos'!$E140,21,9999)</f>
        <v>21</v>
      </c>
      <c r="AP140" s="0" t="n">
        <f aca="false">IF(Presupuesto!$B$22='Flujo de Pagos'!$E140,22,9999)</f>
        <v>22</v>
      </c>
      <c r="AQ140" s="0" t="n">
        <f aca="false">IF(Presupuesto!$B$23='Flujo de Pagos'!$E140,23,9999)</f>
        <v>23</v>
      </c>
      <c r="AR140" s="0" t="n">
        <f aca="false">IF(Presupuesto!$B$24='Flujo de Pagos'!$E140,24,9999)</f>
        <v>24</v>
      </c>
      <c r="AS140" s="0" t="n">
        <f aca="false">IF(Presupuesto!$B$25='Flujo de Pagos'!$E140,25,9999)</f>
        <v>25</v>
      </c>
      <c r="AT140" s="0" t="n">
        <f aca="false">IF(Presupuesto!$B$26='Flujo de Pagos'!$E140,26,9999)</f>
        <v>26</v>
      </c>
      <c r="AU140" s="0" t="n">
        <f aca="false">IF(Presupuesto!$B$27='Flujo de Pagos'!$E140,27,9999)</f>
        <v>27</v>
      </c>
      <c r="AV140" s="0" t="n">
        <f aca="false">IF(Presupuesto!$B$28='Flujo de Pagos'!$E140,28,9999)</f>
        <v>28</v>
      </c>
      <c r="AW140" s="0" t="n">
        <f aca="false">IF(Presupuesto!$B$29='Flujo de Pagos'!$E140,29,9999)</f>
        <v>29</v>
      </c>
      <c r="AX140" s="0" t="n">
        <f aca="false">IF(Presupuesto!$B$30='Flujo de Pagos'!$E140,30,9999)</f>
        <v>30</v>
      </c>
      <c r="AY140" s="0" t="n">
        <f aca="false">IF(Presupuesto!$B$31='Flujo de Pagos'!$E140,31,9999)</f>
        <v>31</v>
      </c>
      <c r="AZ140" s="0" t="n">
        <f aca="false">IF(Presupuesto!$B$32='Flujo de Pagos'!$E140,32,9999)</f>
        <v>32</v>
      </c>
      <c r="BA140" s="0" t="n">
        <f aca="false">IF(Presupuesto!$B$33='Flujo de Pagos'!$E140,33,9999)</f>
        <v>33</v>
      </c>
      <c r="BB140" s="0" t="n">
        <f aca="false">IF(Presupuesto!$B$34='Flujo de Pagos'!$E140,34,9999)</f>
        <v>34</v>
      </c>
      <c r="BC140" s="0" t="n">
        <f aca="false">IF(Presupuesto!$B$35='Flujo de Pagos'!$E140,35,9999)</f>
        <v>35</v>
      </c>
      <c r="BD140" s="0" t="n">
        <f aca="false">IF(Presupuesto!$B$36='Flujo de Pagos'!$E140,36,9999)</f>
        <v>36</v>
      </c>
      <c r="BE140" s="0" t="n">
        <f aca="false">IF(Presupuesto!$B$37='Flujo de Pagos'!$E140,37,9999)</f>
        <v>37</v>
      </c>
      <c r="BF140" s="0" t="n">
        <f aca="false">IF(Presupuesto!$B$38='Flujo de Pagos'!$E140,38,9999)</f>
        <v>38</v>
      </c>
      <c r="BG140" s="0" t="n">
        <f aca="false">IF(Presupuesto!$B$39='Flujo de Pagos'!$E140,39,9999)</f>
        <v>39</v>
      </c>
      <c r="BH140" s="0" t="n">
        <f aca="false">IF(Presupuesto!$B$40='Flujo de Pagos'!$E140,40,9999)</f>
        <v>40</v>
      </c>
      <c r="BI140" s="0" t="n">
        <f aca="false">IF(Presupuesto!$B$41='Flujo de Pagos'!$E140,41,9999)</f>
        <v>41</v>
      </c>
      <c r="BJ140" s="0" t="n">
        <f aca="false">IF(Presupuesto!$B$42='Flujo de Pagos'!$E140,42,9999)</f>
        <v>42</v>
      </c>
      <c r="BK140" s="0" t="n">
        <f aca="false">IF(Presupuesto!$B$43='Flujo de Pagos'!$E140,43,9999)</f>
        <v>43</v>
      </c>
      <c r="BL140" s="0" t="n">
        <f aca="false">IF(Presupuesto!$B$44='Flujo de Pagos'!$E140,44,9999)</f>
        <v>44</v>
      </c>
      <c r="BM140" s="0" t="n">
        <f aca="false">IF(Presupuesto!$B$45='Flujo de Pagos'!$E140,45,9999)</f>
        <v>45</v>
      </c>
      <c r="BN140" s="0" t="n">
        <f aca="false">IF(Presupuesto!$B$46='Flujo de Pagos'!$E140,46,9999)</f>
        <v>46</v>
      </c>
      <c r="BO140" s="0" t="n">
        <f aca="false">IF(Presupuesto!$B$47='Flujo de Pagos'!$E140,47,9999)</f>
        <v>47</v>
      </c>
      <c r="BP140" s="0" t="n">
        <f aca="false">IF(Presupuesto!$B$48='Flujo de Pagos'!$E140,48,9999)</f>
        <v>48</v>
      </c>
      <c r="BQ140" s="0" t="n">
        <f aca="false">IF(Presupuesto!$B$49='Flujo de Pagos'!$E140,49,9999)</f>
        <v>49</v>
      </c>
      <c r="BR140" s="0" t="n">
        <f aca="false">IF(Presupuesto!$B$50='Flujo de Pagos'!$E140,50,9999)</f>
        <v>50</v>
      </c>
      <c r="BS140" s="0" t="n">
        <f aca="false">IF(Presupuesto!$B$51='Flujo de Pagos'!$E140,51,9999)</f>
        <v>51</v>
      </c>
      <c r="BT140" s="0" t="n">
        <f aca="false">IF(Presupuesto!$B$52='Flujo de Pagos'!$E140,52,9999)</f>
        <v>52</v>
      </c>
      <c r="BU140" s="0" t="n">
        <f aca="false">IF(Presupuesto!$B$53='Flujo de Pagos'!$E140,53,9999)</f>
        <v>53</v>
      </c>
      <c r="BV140" s="0" t="n">
        <f aca="false">IF(Presupuesto!$B$54='Flujo de Pagos'!$E140,54,9999)</f>
        <v>54</v>
      </c>
      <c r="BW140" s="0" t="n">
        <f aca="false">IF(Presupuesto!$B$55='Flujo de Pagos'!$E140,55,9999)</f>
        <v>55</v>
      </c>
      <c r="BX140" s="0" t="n">
        <f aca="false">IF(Presupuesto!$B$56='Flujo de Pagos'!$E140,56,9999)</f>
        <v>56</v>
      </c>
      <c r="BY140" s="0" t="n">
        <f aca="false">IF(Presupuesto!$B$57='Flujo de Pagos'!$E140,57,9999)</f>
        <v>57</v>
      </c>
      <c r="BZ140" s="0" t="n">
        <f aca="false">IF(Presupuesto!$B$58='Flujo de Pagos'!$E140,58,9999)</f>
        <v>58</v>
      </c>
      <c r="CA140" s="0" t="n">
        <f aca="false">IF(Presupuesto!$B$59='Flujo de Pagos'!$E140,59,9999)</f>
        <v>59</v>
      </c>
      <c r="CB140" s="0" t="n">
        <f aca="false">IF(Presupuesto!$B$60='Flujo de Pagos'!$E140,60,9999)</f>
        <v>60</v>
      </c>
      <c r="CC140" s="0" t="n">
        <f aca="false">IF(Presupuesto!$B$61='Flujo de Pagos'!$E140,61,9999)</f>
        <v>61</v>
      </c>
      <c r="CD140" s="0" t="n">
        <f aca="false">IF(Presupuesto!$B$62='Flujo de Pagos'!$E140,62,9999)</f>
        <v>62</v>
      </c>
      <c r="CE140" s="0" t="n">
        <f aca="false">IF(Presupuesto!$B$63='Flujo de Pagos'!$E140,63,9999)</f>
        <v>63</v>
      </c>
      <c r="CF140" s="0" t="n">
        <f aca="false">IF(Presupuesto!$B$64='Flujo de Pagos'!$E140,64,9999)</f>
        <v>64</v>
      </c>
      <c r="CG140" s="0" t="n">
        <f aca="false">IF(Presupuesto!$B$65='Flujo de Pagos'!$E140,65,9999)</f>
        <v>65</v>
      </c>
      <c r="CH140" s="0" t="n">
        <f aca="false">IF(Presupuesto!$B$66='Flujo de Pagos'!$E140,66,9999)</f>
        <v>66</v>
      </c>
    </row>
    <row r="141" customFormat="false" ht="15" hidden="false" customHeight="true" outlineLevel="0" collapsed="false">
      <c r="B141" s="1" t="n">
        <f aca="false">IF(AND('Flujo de Pagos'!E146=Carátula!$B$2,'Flujo de Pagos'!F146=Carátula!$B$4,'Flujo de Pagos'!H146&lt;&gt;""),146,99999)</f>
        <v>99999</v>
      </c>
      <c r="H141" s="1" t="n">
        <f aca="false">IF(SMALL($AA141:$CH141,1)&gt;=9999,"",INDEX(Presupuesto!$C:$C,SMALL($AA141:$CH141,1)))</f>
        <v>0</v>
      </c>
      <c r="I141" s="1" t="n">
        <f aca="false">IF(SMALL($AA141:$CH141,2)&gt;=9999,"",INDEX(Presupuesto!$C:$C,SMALL($AA141:$CH141,2)))</f>
        <v>0</v>
      </c>
      <c r="J141" s="1" t="n">
        <f aca="false">IF(SMALL($AA141:$CH141,3)&gt;=9999,"",INDEX(Presupuesto!$C:$C,SMALL($AA141:$CH141,3)))</f>
        <v>0</v>
      </c>
      <c r="K141" s="1" t="n">
        <f aca="false">IF(SMALL($AA141:$CH141,4)&gt;=9999,"",INDEX(Presupuesto!$C:$C,SMALL($AA141:$CH141,4)))</f>
        <v>0</v>
      </c>
      <c r="L141" s="1" t="n">
        <f aca="false">IF(SMALL($AA141:$CH141,5)&gt;=9999,"",INDEX(Presupuesto!$C:$C,SMALL($AA141:$CH141,5)))</f>
        <v>0</v>
      </c>
      <c r="M141" s="1" t="n">
        <f aca="false">IF(SMALL($AA141:$CH141,6)&gt;=9999,"",INDEX(Presupuesto!$C:$C,SMALL($AA141:$CH141,6)))</f>
        <v>0</v>
      </c>
      <c r="N141" s="1" t="n">
        <f aca="false">IF(SMALL($AA141:$CH141,7)&gt;=9999,"",INDEX(Presupuesto!$C:$C,SMALL($AA141:$CH141,7)))</f>
        <v>0</v>
      </c>
      <c r="O141" s="1" t="n">
        <f aca="false">IF(SMALL($AA141:$CH141,8)&gt;=9999,"",INDEX(Presupuesto!$C:$C,SMALL($AA141:$CH141,8)))</f>
        <v>0</v>
      </c>
      <c r="P141" s="1" t="n">
        <f aca="false">IF(SMALL($AA141:$CH141,9)&gt;=9999,"",INDEX(Presupuesto!$C:$C,SMALL($AA141:$CH141,9)))</f>
        <v>0</v>
      </c>
      <c r="Q141" s="1" t="n">
        <f aca="false">IF(SMALL($AA141:$CH141,10)&gt;=9999,"",INDEX(Presupuesto!$C:$C,SMALL($AA141:$CH141,10)))</f>
        <v>0</v>
      </c>
      <c r="AA141" s="0" t="n">
        <f aca="false">IF(Presupuesto!$B$7='Flujo de Pagos'!$E141,7,9999)</f>
        <v>9999</v>
      </c>
      <c r="AB141" s="0" t="n">
        <f aca="false">IF(Presupuesto!$B$8='Flujo de Pagos'!$E141,8,9999)</f>
        <v>9999</v>
      </c>
      <c r="AC141" s="0" t="n">
        <f aca="false">IF(Presupuesto!$B$9='Flujo de Pagos'!$E141,9,9999)</f>
        <v>9999</v>
      </c>
      <c r="AD141" s="0" t="n">
        <f aca="false">IF(Presupuesto!$B$10='Flujo de Pagos'!$E141,10,9999)</f>
        <v>9999</v>
      </c>
      <c r="AE141" s="0" t="n">
        <f aca="false">IF(Presupuesto!$B$11='Flujo de Pagos'!$E141,11,9999)</f>
        <v>9999</v>
      </c>
      <c r="AF141" s="0" t="n">
        <f aca="false">IF(Presupuesto!$B$12='Flujo de Pagos'!$E141,12,9999)</f>
        <v>12</v>
      </c>
      <c r="AG141" s="0" t="n">
        <f aca="false">IF(Presupuesto!$B$13='Flujo de Pagos'!$E141,13,9999)</f>
        <v>13</v>
      </c>
      <c r="AH141" s="0" t="n">
        <f aca="false">IF(Presupuesto!$B$14='Flujo de Pagos'!$E141,14,9999)</f>
        <v>14</v>
      </c>
      <c r="AI141" s="0" t="n">
        <f aca="false">IF(Presupuesto!$B$15='Flujo de Pagos'!$E141,15,9999)</f>
        <v>15</v>
      </c>
      <c r="AJ141" s="0" t="n">
        <f aca="false">IF(Presupuesto!$B$16='Flujo de Pagos'!$E141,16,9999)</f>
        <v>16</v>
      </c>
      <c r="AK141" s="0" t="n">
        <f aca="false">IF(Presupuesto!$B$17='Flujo de Pagos'!$E141,17,9999)</f>
        <v>17</v>
      </c>
      <c r="AL141" s="0" t="n">
        <f aca="false">IF(Presupuesto!$B$18='Flujo de Pagos'!$E141,18,9999)</f>
        <v>18</v>
      </c>
      <c r="AM141" s="0" t="n">
        <f aca="false">IF(Presupuesto!$B$19='Flujo de Pagos'!$E141,19,9999)</f>
        <v>19</v>
      </c>
      <c r="AN141" s="0" t="n">
        <f aca="false">IF(Presupuesto!$B$20='Flujo de Pagos'!$E141,20,9999)</f>
        <v>20</v>
      </c>
      <c r="AO141" s="0" t="n">
        <f aca="false">IF(Presupuesto!$B$21='Flujo de Pagos'!$E141,21,9999)</f>
        <v>21</v>
      </c>
      <c r="AP141" s="0" t="n">
        <f aca="false">IF(Presupuesto!$B$22='Flujo de Pagos'!$E141,22,9999)</f>
        <v>22</v>
      </c>
      <c r="AQ141" s="0" t="n">
        <f aca="false">IF(Presupuesto!$B$23='Flujo de Pagos'!$E141,23,9999)</f>
        <v>23</v>
      </c>
      <c r="AR141" s="0" t="n">
        <f aca="false">IF(Presupuesto!$B$24='Flujo de Pagos'!$E141,24,9999)</f>
        <v>24</v>
      </c>
      <c r="AS141" s="0" t="n">
        <f aca="false">IF(Presupuesto!$B$25='Flujo de Pagos'!$E141,25,9999)</f>
        <v>25</v>
      </c>
      <c r="AT141" s="0" t="n">
        <f aca="false">IF(Presupuesto!$B$26='Flujo de Pagos'!$E141,26,9999)</f>
        <v>26</v>
      </c>
      <c r="AU141" s="0" t="n">
        <f aca="false">IF(Presupuesto!$B$27='Flujo de Pagos'!$E141,27,9999)</f>
        <v>27</v>
      </c>
      <c r="AV141" s="0" t="n">
        <f aca="false">IF(Presupuesto!$B$28='Flujo de Pagos'!$E141,28,9999)</f>
        <v>28</v>
      </c>
      <c r="AW141" s="0" t="n">
        <f aca="false">IF(Presupuesto!$B$29='Flujo de Pagos'!$E141,29,9999)</f>
        <v>29</v>
      </c>
      <c r="AX141" s="0" t="n">
        <f aca="false">IF(Presupuesto!$B$30='Flujo de Pagos'!$E141,30,9999)</f>
        <v>30</v>
      </c>
      <c r="AY141" s="0" t="n">
        <f aca="false">IF(Presupuesto!$B$31='Flujo de Pagos'!$E141,31,9999)</f>
        <v>31</v>
      </c>
      <c r="AZ141" s="0" t="n">
        <f aca="false">IF(Presupuesto!$B$32='Flujo de Pagos'!$E141,32,9999)</f>
        <v>32</v>
      </c>
      <c r="BA141" s="0" t="n">
        <f aca="false">IF(Presupuesto!$B$33='Flujo de Pagos'!$E141,33,9999)</f>
        <v>33</v>
      </c>
      <c r="BB141" s="0" t="n">
        <f aca="false">IF(Presupuesto!$B$34='Flujo de Pagos'!$E141,34,9999)</f>
        <v>34</v>
      </c>
      <c r="BC141" s="0" t="n">
        <f aca="false">IF(Presupuesto!$B$35='Flujo de Pagos'!$E141,35,9999)</f>
        <v>35</v>
      </c>
      <c r="BD141" s="0" t="n">
        <f aca="false">IF(Presupuesto!$B$36='Flujo de Pagos'!$E141,36,9999)</f>
        <v>36</v>
      </c>
      <c r="BE141" s="0" t="n">
        <f aca="false">IF(Presupuesto!$B$37='Flujo de Pagos'!$E141,37,9999)</f>
        <v>37</v>
      </c>
      <c r="BF141" s="0" t="n">
        <f aca="false">IF(Presupuesto!$B$38='Flujo de Pagos'!$E141,38,9999)</f>
        <v>38</v>
      </c>
      <c r="BG141" s="0" t="n">
        <f aca="false">IF(Presupuesto!$B$39='Flujo de Pagos'!$E141,39,9999)</f>
        <v>39</v>
      </c>
      <c r="BH141" s="0" t="n">
        <f aca="false">IF(Presupuesto!$B$40='Flujo de Pagos'!$E141,40,9999)</f>
        <v>40</v>
      </c>
      <c r="BI141" s="0" t="n">
        <f aca="false">IF(Presupuesto!$B$41='Flujo de Pagos'!$E141,41,9999)</f>
        <v>41</v>
      </c>
      <c r="BJ141" s="0" t="n">
        <f aca="false">IF(Presupuesto!$B$42='Flujo de Pagos'!$E141,42,9999)</f>
        <v>42</v>
      </c>
      <c r="BK141" s="0" t="n">
        <f aca="false">IF(Presupuesto!$B$43='Flujo de Pagos'!$E141,43,9999)</f>
        <v>43</v>
      </c>
      <c r="BL141" s="0" t="n">
        <f aca="false">IF(Presupuesto!$B$44='Flujo de Pagos'!$E141,44,9999)</f>
        <v>44</v>
      </c>
      <c r="BM141" s="0" t="n">
        <f aca="false">IF(Presupuesto!$B$45='Flujo de Pagos'!$E141,45,9999)</f>
        <v>45</v>
      </c>
      <c r="BN141" s="0" t="n">
        <f aca="false">IF(Presupuesto!$B$46='Flujo de Pagos'!$E141,46,9999)</f>
        <v>46</v>
      </c>
      <c r="BO141" s="0" t="n">
        <f aca="false">IF(Presupuesto!$B$47='Flujo de Pagos'!$E141,47,9999)</f>
        <v>47</v>
      </c>
      <c r="BP141" s="0" t="n">
        <f aca="false">IF(Presupuesto!$B$48='Flujo de Pagos'!$E141,48,9999)</f>
        <v>48</v>
      </c>
      <c r="BQ141" s="0" t="n">
        <f aca="false">IF(Presupuesto!$B$49='Flujo de Pagos'!$E141,49,9999)</f>
        <v>49</v>
      </c>
      <c r="BR141" s="0" t="n">
        <f aca="false">IF(Presupuesto!$B$50='Flujo de Pagos'!$E141,50,9999)</f>
        <v>50</v>
      </c>
      <c r="BS141" s="0" t="n">
        <f aca="false">IF(Presupuesto!$B$51='Flujo de Pagos'!$E141,51,9999)</f>
        <v>51</v>
      </c>
      <c r="BT141" s="0" t="n">
        <f aca="false">IF(Presupuesto!$B$52='Flujo de Pagos'!$E141,52,9999)</f>
        <v>52</v>
      </c>
      <c r="BU141" s="0" t="n">
        <f aca="false">IF(Presupuesto!$B$53='Flujo de Pagos'!$E141,53,9999)</f>
        <v>53</v>
      </c>
      <c r="BV141" s="0" t="n">
        <f aca="false">IF(Presupuesto!$B$54='Flujo de Pagos'!$E141,54,9999)</f>
        <v>54</v>
      </c>
      <c r="BW141" s="0" t="n">
        <f aca="false">IF(Presupuesto!$B$55='Flujo de Pagos'!$E141,55,9999)</f>
        <v>55</v>
      </c>
      <c r="BX141" s="0" t="n">
        <f aca="false">IF(Presupuesto!$B$56='Flujo de Pagos'!$E141,56,9999)</f>
        <v>56</v>
      </c>
      <c r="BY141" s="0" t="n">
        <f aca="false">IF(Presupuesto!$B$57='Flujo de Pagos'!$E141,57,9999)</f>
        <v>57</v>
      </c>
      <c r="BZ141" s="0" t="n">
        <f aca="false">IF(Presupuesto!$B$58='Flujo de Pagos'!$E141,58,9999)</f>
        <v>58</v>
      </c>
      <c r="CA141" s="0" t="n">
        <f aca="false">IF(Presupuesto!$B$59='Flujo de Pagos'!$E141,59,9999)</f>
        <v>59</v>
      </c>
      <c r="CB141" s="0" t="n">
        <f aca="false">IF(Presupuesto!$B$60='Flujo de Pagos'!$E141,60,9999)</f>
        <v>60</v>
      </c>
      <c r="CC141" s="0" t="n">
        <f aca="false">IF(Presupuesto!$B$61='Flujo de Pagos'!$E141,61,9999)</f>
        <v>61</v>
      </c>
      <c r="CD141" s="0" t="n">
        <f aca="false">IF(Presupuesto!$B$62='Flujo de Pagos'!$E141,62,9999)</f>
        <v>62</v>
      </c>
      <c r="CE141" s="0" t="n">
        <f aca="false">IF(Presupuesto!$B$63='Flujo de Pagos'!$E141,63,9999)</f>
        <v>63</v>
      </c>
      <c r="CF141" s="0" t="n">
        <f aca="false">IF(Presupuesto!$B$64='Flujo de Pagos'!$E141,64,9999)</f>
        <v>64</v>
      </c>
      <c r="CG141" s="0" t="n">
        <f aca="false">IF(Presupuesto!$B$65='Flujo de Pagos'!$E141,65,9999)</f>
        <v>65</v>
      </c>
      <c r="CH141" s="0" t="n">
        <f aca="false">IF(Presupuesto!$B$66='Flujo de Pagos'!$E141,66,9999)</f>
        <v>66</v>
      </c>
    </row>
    <row r="142" customFormat="false" ht="15" hidden="false" customHeight="true" outlineLevel="0" collapsed="false">
      <c r="B142" s="1" t="n">
        <f aca="false">IF(AND('Flujo de Pagos'!E147=Carátula!$B$2,'Flujo de Pagos'!F147=Carátula!$B$4,'Flujo de Pagos'!H147&lt;&gt;""),147,99999)</f>
        <v>99999</v>
      </c>
      <c r="H142" s="1" t="n">
        <f aca="false">IF(SMALL($AA142:$CH142,1)&gt;=9999,"",INDEX(Presupuesto!$C:$C,SMALL($AA142:$CH142,1)))</f>
        <v>0</v>
      </c>
      <c r="I142" s="1" t="n">
        <f aca="false">IF(SMALL($AA142:$CH142,2)&gt;=9999,"",INDEX(Presupuesto!$C:$C,SMALL($AA142:$CH142,2)))</f>
        <v>0</v>
      </c>
      <c r="J142" s="1" t="n">
        <f aca="false">IF(SMALL($AA142:$CH142,3)&gt;=9999,"",INDEX(Presupuesto!$C:$C,SMALL($AA142:$CH142,3)))</f>
        <v>0</v>
      </c>
      <c r="K142" s="1" t="n">
        <f aca="false">IF(SMALL($AA142:$CH142,4)&gt;=9999,"",INDEX(Presupuesto!$C:$C,SMALL($AA142:$CH142,4)))</f>
        <v>0</v>
      </c>
      <c r="L142" s="1" t="n">
        <f aca="false">IF(SMALL($AA142:$CH142,5)&gt;=9999,"",INDEX(Presupuesto!$C:$C,SMALL($AA142:$CH142,5)))</f>
        <v>0</v>
      </c>
      <c r="M142" s="1" t="n">
        <f aca="false">IF(SMALL($AA142:$CH142,6)&gt;=9999,"",INDEX(Presupuesto!$C:$C,SMALL($AA142:$CH142,6)))</f>
        <v>0</v>
      </c>
      <c r="N142" s="1" t="n">
        <f aca="false">IF(SMALL($AA142:$CH142,7)&gt;=9999,"",INDEX(Presupuesto!$C:$C,SMALL($AA142:$CH142,7)))</f>
        <v>0</v>
      </c>
      <c r="O142" s="1" t="n">
        <f aca="false">IF(SMALL($AA142:$CH142,8)&gt;=9999,"",INDEX(Presupuesto!$C:$C,SMALL($AA142:$CH142,8)))</f>
        <v>0</v>
      </c>
      <c r="P142" s="1" t="n">
        <f aca="false">IF(SMALL($AA142:$CH142,9)&gt;=9999,"",INDEX(Presupuesto!$C:$C,SMALL($AA142:$CH142,9)))</f>
        <v>0</v>
      </c>
      <c r="Q142" s="1" t="n">
        <f aca="false">IF(SMALL($AA142:$CH142,10)&gt;=9999,"",INDEX(Presupuesto!$C:$C,SMALL($AA142:$CH142,10)))</f>
        <v>0</v>
      </c>
      <c r="AA142" s="0" t="n">
        <f aca="false">IF(Presupuesto!$B$7='Flujo de Pagos'!$E142,7,9999)</f>
        <v>9999</v>
      </c>
      <c r="AB142" s="0" t="n">
        <f aca="false">IF(Presupuesto!$B$8='Flujo de Pagos'!$E142,8,9999)</f>
        <v>9999</v>
      </c>
      <c r="AC142" s="0" t="n">
        <f aca="false">IF(Presupuesto!$B$9='Flujo de Pagos'!$E142,9,9999)</f>
        <v>9999</v>
      </c>
      <c r="AD142" s="0" t="n">
        <f aca="false">IF(Presupuesto!$B$10='Flujo de Pagos'!$E142,10,9999)</f>
        <v>9999</v>
      </c>
      <c r="AE142" s="0" t="n">
        <f aca="false">IF(Presupuesto!$B$11='Flujo de Pagos'!$E142,11,9999)</f>
        <v>9999</v>
      </c>
      <c r="AF142" s="0" t="n">
        <f aca="false">IF(Presupuesto!$B$12='Flujo de Pagos'!$E142,12,9999)</f>
        <v>12</v>
      </c>
      <c r="AG142" s="0" t="n">
        <f aca="false">IF(Presupuesto!$B$13='Flujo de Pagos'!$E142,13,9999)</f>
        <v>13</v>
      </c>
      <c r="AH142" s="0" t="n">
        <f aca="false">IF(Presupuesto!$B$14='Flujo de Pagos'!$E142,14,9999)</f>
        <v>14</v>
      </c>
      <c r="AI142" s="0" t="n">
        <f aca="false">IF(Presupuesto!$B$15='Flujo de Pagos'!$E142,15,9999)</f>
        <v>15</v>
      </c>
      <c r="AJ142" s="0" t="n">
        <f aca="false">IF(Presupuesto!$B$16='Flujo de Pagos'!$E142,16,9999)</f>
        <v>16</v>
      </c>
      <c r="AK142" s="0" t="n">
        <f aca="false">IF(Presupuesto!$B$17='Flujo de Pagos'!$E142,17,9999)</f>
        <v>17</v>
      </c>
      <c r="AL142" s="0" t="n">
        <f aca="false">IF(Presupuesto!$B$18='Flujo de Pagos'!$E142,18,9999)</f>
        <v>18</v>
      </c>
      <c r="AM142" s="0" t="n">
        <f aca="false">IF(Presupuesto!$B$19='Flujo de Pagos'!$E142,19,9999)</f>
        <v>19</v>
      </c>
      <c r="AN142" s="0" t="n">
        <f aca="false">IF(Presupuesto!$B$20='Flujo de Pagos'!$E142,20,9999)</f>
        <v>20</v>
      </c>
      <c r="AO142" s="0" t="n">
        <f aca="false">IF(Presupuesto!$B$21='Flujo de Pagos'!$E142,21,9999)</f>
        <v>21</v>
      </c>
      <c r="AP142" s="0" t="n">
        <f aca="false">IF(Presupuesto!$B$22='Flujo de Pagos'!$E142,22,9999)</f>
        <v>22</v>
      </c>
      <c r="AQ142" s="0" t="n">
        <f aca="false">IF(Presupuesto!$B$23='Flujo de Pagos'!$E142,23,9999)</f>
        <v>23</v>
      </c>
      <c r="AR142" s="0" t="n">
        <f aca="false">IF(Presupuesto!$B$24='Flujo de Pagos'!$E142,24,9999)</f>
        <v>24</v>
      </c>
      <c r="AS142" s="0" t="n">
        <f aca="false">IF(Presupuesto!$B$25='Flujo de Pagos'!$E142,25,9999)</f>
        <v>25</v>
      </c>
      <c r="AT142" s="0" t="n">
        <f aca="false">IF(Presupuesto!$B$26='Flujo de Pagos'!$E142,26,9999)</f>
        <v>26</v>
      </c>
      <c r="AU142" s="0" t="n">
        <f aca="false">IF(Presupuesto!$B$27='Flujo de Pagos'!$E142,27,9999)</f>
        <v>27</v>
      </c>
      <c r="AV142" s="0" t="n">
        <f aca="false">IF(Presupuesto!$B$28='Flujo de Pagos'!$E142,28,9999)</f>
        <v>28</v>
      </c>
      <c r="AW142" s="0" t="n">
        <f aca="false">IF(Presupuesto!$B$29='Flujo de Pagos'!$E142,29,9999)</f>
        <v>29</v>
      </c>
      <c r="AX142" s="0" t="n">
        <f aca="false">IF(Presupuesto!$B$30='Flujo de Pagos'!$E142,30,9999)</f>
        <v>30</v>
      </c>
      <c r="AY142" s="0" t="n">
        <f aca="false">IF(Presupuesto!$B$31='Flujo de Pagos'!$E142,31,9999)</f>
        <v>31</v>
      </c>
      <c r="AZ142" s="0" t="n">
        <f aca="false">IF(Presupuesto!$B$32='Flujo de Pagos'!$E142,32,9999)</f>
        <v>32</v>
      </c>
      <c r="BA142" s="0" t="n">
        <f aca="false">IF(Presupuesto!$B$33='Flujo de Pagos'!$E142,33,9999)</f>
        <v>33</v>
      </c>
      <c r="BB142" s="0" t="n">
        <f aca="false">IF(Presupuesto!$B$34='Flujo de Pagos'!$E142,34,9999)</f>
        <v>34</v>
      </c>
      <c r="BC142" s="0" t="n">
        <f aca="false">IF(Presupuesto!$B$35='Flujo de Pagos'!$E142,35,9999)</f>
        <v>35</v>
      </c>
      <c r="BD142" s="0" t="n">
        <f aca="false">IF(Presupuesto!$B$36='Flujo de Pagos'!$E142,36,9999)</f>
        <v>36</v>
      </c>
      <c r="BE142" s="0" t="n">
        <f aca="false">IF(Presupuesto!$B$37='Flujo de Pagos'!$E142,37,9999)</f>
        <v>37</v>
      </c>
      <c r="BF142" s="0" t="n">
        <f aca="false">IF(Presupuesto!$B$38='Flujo de Pagos'!$E142,38,9999)</f>
        <v>38</v>
      </c>
      <c r="BG142" s="0" t="n">
        <f aca="false">IF(Presupuesto!$B$39='Flujo de Pagos'!$E142,39,9999)</f>
        <v>39</v>
      </c>
      <c r="BH142" s="0" t="n">
        <f aca="false">IF(Presupuesto!$B$40='Flujo de Pagos'!$E142,40,9999)</f>
        <v>40</v>
      </c>
      <c r="BI142" s="0" t="n">
        <f aca="false">IF(Presupuesto!$B$41='Flujo de Pagos'!$E142,41,9999)</f>
        <v>41</v>
      </c>
      <c r="BJ142" s="0" t="n">
        <f aca="false">IF(Presupuesto!$B$42='Flujo de Pagos'!$E142,42,9999)</f>
        <v>42</v>
      </c>
      <c r="BK142" s="0" t="n">
        <f aca="false">IF(Presupuesto!$B$43='Flujo de Pagos'!$E142,43,9999)</f>
        <v>43</v>
      </c>
      <c r="BL142" s="0" t="n">
        <f aca="false">IF(Presupuesto!$B$44='Flujo de Pagos'!$E142,44,9999)</f>
        <v>44</v>
      </c>
      <c r="BM142" s="0" t="n">
        <f aca="false">IF(Presupuesto!$B$45='Flujo de Pagos'!$E142,45,9999)</f>
        <v>45</v>
      </c>
      <c r="BN142" s="0" t="n">
        <f aca="false">IF(Presupuesto!$B$46='Flujo de Pagos'!$E142,46,9999)</f>
        <v>46</v>
      </c>
      <c r="BO142" s="0" t="n">
        <f aca="false">IF(Presupuesto!$B$47='Flujo de Pagos'!$E142,47,9999)</f>
        <v>47</v>
      </c>
      <c r="BP142" s="0" t="n">
        <f aca="false">IF(Presupuesto!$B$48='Flujo de Pagos'!$E142,48,9999)</f>
        <v>48</v>
      </c>
      <c r="BQ142" s="0" t="n">
        <f aca="false">IF(Presupuesto!$B$49='Flujo de Pagos'!$E142,49,9999)</f>
        <v>49</v>
      </c>
      <c r="BR142" s="0" t="n">
        <f aca="false">IF(Presupuesto!$B$50='Flujo de Pagos'!$E142,50,9999)</f>
        <v>50</v>
      </c>
      <c r="BS142" s="0" t="n">
        <f aca="false">IF(Presupuesto!$B$51='Flujo de Pagos'!$E142,51,9999)</f>
        <v>51</v>
      </c>
      <c r="BT142" s="0" t="n">
        <f aca="false">IF(Presupuesto!$B$52='Flujo de Pagos'!$E142,52,9999)</f>
        <v>52</v>
      </c>
      <c r="BU142" s="0" t="n">
        <f aca="false">IF(Presupuesto!$B$53='Flujo de Pagos'!$E142,53,9999)</f>
        <v>53</v>
      </c>
      <c r="BV142" s="0" t="n">
        <f aca="false">IF(Presupuesto!$B$54='Flujo de Pagos'!$E142,54,9999)</f>
        <v>54</v>
      </c>
      <c r="BW142" s="0" t="n">
        <f aca="false">IF(Presupuesto!$B$55='Flujo de Pagos'!$E142,55,9999)</f>
        <v>55</v>
      </c>
      <c r="BX142" s="0" t="n">
        <f aca="false">IF(Presupuesto!$B$56='Flujo de Pagos'!$E142,56,9999)</f>
        <v>56</v>
      </c>
      <c r="BY142" s="0" t="n">
        <f aca="false">IF(Presupuesto!$B$57='Flujo de Pagos'!$E142,57,9999)</f>
        <v>57</v>
      </c>
      <c r="BZ142" s="0" t="n">
        <f aca="false">IF(Presupuesto!$B$58='Flujo de Pagos'!$E142,58,9999)</f>
        <v>58</v>
      </c>
      <c r="CA142" s="0" t="n">
        <f aca="false">IF(Presupuesto!$B$59='Flujo de Pagos'!$E142,59,9999)</f>
        <v>59</v>
      </c>
      <c r="CB142" s="0" t="n">
        <f aca="false">IF(Presupuesto!$B$60='Flujo de Pagos'!$E142,60,9999)</f>
        <v>60</v>
      </c>
      <c r="CC142" s="0" t="n">
        <f aca="false">IF(Presupuesto!$B$61='Flujo de Pagos'!$E142,61,9999)</f>
        <v>61</v>
      </c>
      <c r="CD142" s="0" t="n">
        <f aca="false">IF(Presupuesto!$B$62='Flujo de Pagos'!$E142,62,9999)</f>
        <v>62</v>
      </c>
      <c r="CE142" s="0" t="n">
        <f aca="false">IF(Presupuesto!$B$63='Flujo de Pagos'!$E142,63,9999)</f>
        <v>63</v>
      </c>
      <c r="CF142" s="0" t="n">
        <f aca="false">IF(Presupuesto!$B$64='Flujo de Pagos'!$E142,64,9999)</f>
        <v>64</v>
      </c>
      <c r="CG142" s="0" t="n">
        <f aca="false">IF(Presupuesto!$B$65='Flujo de Pagos'!$E142,65,9999)</f>
        <v>65</v>
      </c>
      <c r="CH142" s="0" t="n">
        <f aca="false">IF(Presupuesto!$B$66='Flujo de Pagos'!$E142,66,9999)</f>
        <v>66</v>
      </c>
    </row>
    <row r="143" customFormat="false" ht="15" hidden="false" customHeight="true" outlineLevel="0" collapsed="false">
      <c r="B143" s="1" t="n">
        <f aca="false">IF(AND('Flujo de Pagos'!E148=Carátula!$B$2,'Flujo de Pagos'!F148=Carátula!$B$4,'Flujo de Pagos'!H148&lt;&gt;""),148,99999)</f>
        <v>99999</v>
      </c>
      <c r="H143" s="1" t="n">
        <f aca="false">IF(SMALL($AA143:$CH143,1)&gt;=9999,"",INDEX(Presupuesto!$C:$C,SMALL($AA143:$CH143,1)))</f>
        <v>0</v>
      </c>
      <c r="I143" s="1" t="n">
        <f aca="false">IF(SMALL($AA143:$CH143,2)&gt;=9999,"",INDEX(Presupuesto!$C:$C,SMALL($AA143:$CH143,2)))</f>
        <v>0</v>
      </c>
      <c r="J143" s="1" t="n">
        <f aca="false">IF(SMALL($AA143:$CH143,3)&gt;=9999,"",INDEX(Presupuesto!$C:$C,SMALL($AA143:$CH143,3)))</f>
        <v>0</v>
      </c>
      <c r="K143" s="1" t="n">
        <f aca="false">IF(SMALL($AA143:$CH143,4)&gt;=9999,"",INDEX(Presupuesto!$C:$C,SMALL($AA143:$CH143,4)))</f>
        <v>0</v>
      </c>
      <c r="L143" s="1" t="n">
        <f aca="false">IF(SMALL($AA143:$CH143,5)&gt;=9999,"",INDEX(Presupuesto!$C:$C,SMALL($AA143:$CH143,5)))</f>
        <v>0</v>
      </c>
      <c r="M143" s="1" t="n">
        <f aca="false">IF(SMALL($AA143:$CH143,6)&gt;=9999,"",INDEX(Presupuesto!$C:$C,SMALL($AA143:$CH143,6)))</f>
        <v>0</v>
      </c>
      <c r="N143" s="1" t="n">
        <f aca="false">IF(SMALL($AA143:$CH143,7)&gt;=9999,"",INDEX(Presupuesto!$C:$C,SMALL($AA143:$CH143,7)))</f>
        <v>0</v>
      </c>
      <c r="O143" s="1" t="n">
        <f aca="false">IF(SMALL($AA143:$CH143,8)&gt;=9999,"",INDEX(Presupuesto!$C:$C,SMALL($AA143:$CH143,8)))</f>
        <v>0</v>
      </c>
      <c r="P143" s="1" t="n">
        <f aca="false">IF(SMALL($AA143:$CH143,9)&gt;=9999,"",INDEX(Presupuesto!$C:$C,SMALL($AA143:$CH143,9)))</f>
        <v>0</v>
      </c>
      <c r="Q143" s="1" t="n">
        <f aca="false">IF(SMALL($AA143:$CH143,10)&gt;=9999,"",INDEX(Presupuesto!$C:$C,SMALL($AA143:$CH143,10)))</f>
        <v>0</v>
      </c>
      <c r="AA143" s="0" t="n">
        <f aca="false">IF(Presupuesto!$B$7='Flujo de Pagos'!$E143,7,9999)</f>
        <v>9999</v>
      </c>
      <c r="AB143" s="0" t="n">
        <f aca="false">IF(Presupuesto!$B$8='Flujo de Pagos'!$E143,8,9999)</f>
        <v>9999</v>
      </c>
      <c r="AC143" s="0" t="n">
        <f aca="false">IF(Presupuesto!$B$9='Flujo de Pagos'!$E143,9,9999)</f>
        <v>9999</v>
      </c>
      <c r="AD143" s="0" t="n">
        <f aca="false">IF(Presupuesto!$B$10='Flujo de Pagos'!$E143,10,9999)</f>
        <v>9999</v>
      </c>
      <c r="AE143" s="0" t="n">
        <f aca="false">IF(Presupuesto!$B$11='Flujo de Pagos'!$E143,11,9999)</f>
        <v>9999</v>
      </c>
      <c r="AF143" s="0" t="n">
        <f aca="false">IF(Presupuesto!$B$12='Flujo de Pagos'!$E143,12,9999)</f>
        <v>12</v>
      </c>
      <c r="AG143" s="0" t="n">
        <f aca="false">IF(Presupuesto!$B$13='Flujo de Pagos'!$E143,13,9999)</f>
        <v>13</v>
      </c>
      <c r="AH143" s="0" t="n">
        <f aca="false">IF(Presupuesto!$B$14='Flujo de Pagos'!$E143,14,9999)</f>
        <v>14</v>
      </c>
      <c r="AI143" s="0" t="n">
        <f aca="false">IF(Presupuesto!$B$15='Flujo de Pagos'!$E143,15,9999)</f>
        <v>15</v>
      </c>
      <c r="AJ143" s="0" t="n">
        <f aca="false">IF(Presupuesto!$B$16='Flujo de Pagos'!$E143,16,9999)</f>
        <v>16</v>
      </c>
      <c r="AK143" s="0" t="n">
        <f aca="false">IF(Presupuesto!$B$17='Flujo de Pagos'!$E143,17,9999)</f>
        <v>17</v>
      </c>
      <c r="AL143" s="0" t="n">
        <f aca="false">IF(Presupuesto!$B$18='Flujo de Pagos'!$E143,18,9999)</f>
        <v>18</v>
      </c>
      <c r="AM143" s="0" t="n">
        <f aca="false">IF(Presupuesto!$B$19='Flujo de Pagos'!$E143,19,9999)</f>
        <v>19</v>
      </c>
      <c r="AN143" s="0" t="n">
        <f aca="false">IF(Presupuesto!$B$20='Flujo de Pagos'!$E143,20,9999)</f>
        <v>20</v>
      </c>
      <c r="AO143" s="0" t="n">
        <f aca="false">IF(Presupuesto!$B$21='Flujo de Pagos'!$E143,21,9999)</f>
        <v>21</v>
      </c>
      <c r="AP143" s="0" t="n">
        <f aca="false">IF(Presupuesto!$B$22='Flujo de Pagos'!$E143,22,9999)</f>
        <v>22</v>
      </c>
      <c r="AQ143" s="0" t="n">
        <f aca="false">IF(Presupuesto!$B$23='Flujo de Pagos'!$E143,23,9999)</f>
        <v>23</v>
      </c>
      <c r="AR143" s="0" t="n">
        <f aca="false">IF(Presupuesto!$B$24='Flujo de Pagos'!$E143,24,9999)</f>
        <v>24</v>
      </c>
      <c r="AS143" s="0" t="n">
        <f aca="false">IF(Presupuesto!$B$25='Flujo de Pagos'!$E143,25,9999)</f>
        <v>25</v>
      </c>
      <c r="AT143" s="0" t="n">
        <f aca="false">IF(Presupuesto!$B$26='Flujo de Pagos'!$E143,26,9999)</f>
        <v>26</v>
      </c>
      <c r="AU143" s="0" t="n">
        <f aca="false">IF(Presupuesto!$B$27='Flujo de Pagos'!$E143,27,9999)</f>
        <v>27</v>
      </c>
      <c r="AV143" s="0" t="n">
        <f aca="false">IF(Presupuesto!$B$28='Flujo de Pagos'!$E143,28,9999)</f>
        <v>28</v>
      </c>
      <c r="AW143" s="0" t="n">
        <f aca="false">IF(Presupuesto!$B$29='Flujo de Pagos'!$E143,29,9999)</f>
        <v>29</v>
      </c>
      <c r="AX143" s="0" t="n">
        <f aca="false">IF(Presupuesto!$B$30='Flujo de Pagos'!$E143,30,9999)</f>
        <v>30</v>
      </c>
      <c r="AY143" s="0" t="n">
        <f aca="false">IF(Presupuesto!$B$31='Flujo de Pagos'!$E143,31,9999)</f>
        <v>31</v>
      </c>
      <c r="AZ143" s="0" t="n">
        <f aca="false">IF(Presupuesto!$B$32='Flujo de Pagos'!$E143,32,9999)</f>
        <v>32</v>
      </c>
      <c r="BA143" s="0" t="n">
        <f aca="false">IF(Presupuesto!$B$33='Flujo de Pagos'!$E143,33,9999)</f>
        <v>33</v>
      </c>
      <c r="BB143" s="0" t="n">
        <f aca="false">IF(Presupuesto!$B$34='Flujo de Pagos'!$E143,34,9999)</f>
        <v>34</v>
      </c>
      <c r="BC143" s="0" t="n">
        <f aca="false">IF(Presupuesto!$B$35='Flujo de Pagos'!$E143,35,9999)</f>
        <v>35</v>
      </c>
      <c r="BD143" s="0" t="n">
        <f aca="false">IF(Presupuesto!$B$36='Flujo de Pagos'!$E143,36,9999)</f>
        <v>36</v>
      </c>
      <c r="BE143" s="0" t="n">
        <f aca="false">IF(Presupuesto!$B$37='Flujo de Pagos'!$E143,37,9999)</f>
        <v>37</v>
      </c>
      <c r="BF143" s="0" t="n">
        <f aca="false">IF(Presupuesto!$B$38='Flujo de Pagos'!$E143,38,9999)</f>
        <v>38</v>
      </c>
      <c r="BG143" s="0" t="n">
        <f aca="false">IF(Presupuesto!$B$39='Flujo de Pagos'!$E143,39,9999)</f>
        <v>39</v>
      </c>
      <c r="BH143" s="0" t="n">
        <f aca="false">IF(Presupuesto!$B$40='Flujo de Pagos'!$E143,40,9999)</f>
        <v>40</v>
      </c>
      <c r="BI143" s="0" t="n">
        <f aca="false">IF(Presupuesto!$B$41='Flujo de Pagos'!$E143,41,9999)</f>
        <v>41</v>
      </c>
      <c r="BJ143" s="0" t="n">
        <f aca="false">IF(Presupuesto!$B$42='Flujo de Pagos'!$E143,42,9999)</f>
        <v>42</v>
      </c>
      <c r="BK143" s="0" t="n">
        <f aca="false">IF(Presupuesto!$B$43='Flujo de Pagos'!$E143,43,9999)</f>
        <v>43</v>
      </c>
      <c r="BL143" s="0" t="n">
        <f aca="false">IF(Presupuesto!$B$44='Flujo de Pagos'!$E143,44,9999)</f>
        <v>44</v>
      </c>
      <c r="BM143" s="0" t="n">
        <f aca="false">IF(Presupuesto!$B$45='Flujo de Pagos'!$E143,45,9999)</f>
        <v>45</v>
      </c>
      <c r="BN143" s="0" t="n">
        <f aca="false">IF(Presupuesto!$B$46='Flujo de Pagos'!$E143,46,9999)</f>
        <v>46</v>
      </c>
      <c r="BO143" s="0" t="n">
        <f aca="false">IF(Presupuesto!$B$47='Flujo de Pagos'!$E143,47,9999)</f>
        <v>47</v>
      </c>
      <c r="BP143" s="0" t="n">
        <f aca="false">IF(Presupuesto!$B$48='Flujo de Pagos'!$E143,48,9999)</f>
        <v>48</v>
      </c>
      <c r="BQ143" s="0" t="n">
        <f aca="false">IF(Presupuesto!$B$49='Flujo de Pagos'!$E143,49,9999)</f>
        <v>49</v>
      </c>
      <c r="BR143" s="0" t="n">
        <f aca="false">IF(Presupuesto!$B$50='Flujo de Pagos'!$E143,50,9999)</f>
        <v>50</v>
      </c>
      <c r="BS143" s="0" t="n">
        <f aca="false">IF(Presupuesto!$B$51='Flujo de Pagos'!$E143,51,9999)</f>
        <v>51</v>
      </c>
      <c r="BT143" s="0" t="n">
        <f aca="false">IF(Presupuesto!$B$52='Flujo de Pagos'!$E143,52,9999)</f>
        <v>52</v>
      </c>
      <c r="BU143" s="0" t="n">
        <f aca="false">IF(Presupuesto!$B$53='Flujo de Pagos'!$E143,53,9999)</f>
        <v>53</v>
      </c>
      <c r="BV143" s="0" t="n">
        <f aca="false">IF(Presupuesto!$B$54='Flujo de Pagos'!$E143,54,9999)</f>
        <v>54</v>
      </c>
      <c r="BW143" s="0" t="n">
        <f aca="false">IF(Presupuesto!$B$55='Flujo de Pagos'!$E143,55,9999)</f>
        <v>55</v>
      </c>
      <c r="BX143" s="0" t="n">
        <f aca="false">IF(Presupuesto!$B$56='Flujo de Pagos'!$E143,56,9999)</f>
        <v>56</v>
      </c>
      <c r="BY143" s="0" t="n">
        <f aca="false">IF(Presupuesto!$B$57='Flujo de Pagos'!$E143,57,9999)</f>
        <v>57</v>
      </c>
      <c r="BZ143" s="0" t="n">
        <f aca="false">IF(Presupuesto!$B$58='Flujo de Pagos'!$E143,58,9999)</f>
        <v>58</v>
      </c>
      <c r="CA143" s="0" t="n">
        <f aca="false">IF(Presupuesto!$B$59='Flujo de Pagos'!$E143,59,9999)</f>
        <v>59</v>
      </c>
      <c r="CB143" s="0" t="n">
        <f aca="false">IF(Presupuesto!$B$60='Flujo de Pagos'!$E143,60,9999)</f>
        <v>60</v>
      </c>
      <c r="CC143" s="0" t="n">
        <f aca="false">IF(Presupuesto!$B$61='Flujo de Pagos'!$E143,61,9999)</f>
        <v>61</v>
      </c>
      <c r="CD143" s="0" t="n">
        <f aca="false">IF(Presupuesto!$B$62='Flujo de Pagos'!$E143,62,9999)</f>
        <v>62</v>
      </c>
      <c r="CE143" s="0" t="n">
        <f aca="false">IF(Presupuesto!$B$63='Flujo de Pagos'!$E143,63,9999)</f>
        <v>63</v>
      </c>
      <c r="CF143" s="0" t="n">
        <f aca="false">IF(Presupuesto!$B$64='Flujo de Pagos'!$E143,64,9999)</f>
        <v>64</v>
      </c>
      <c r="CG143" s="0" t="n">
        <f aca="false">IF(Presupuesto!$B$65='Flujo de Pagos'!$E143,65,9999)</f>
        <v>65</v>
      </c>
      <c r="CH143" s="0" t="n">
        <f aca="false">IF(Presupuesto!$B$66='Flujo de Pagos'!$E143,66,9999)</f>
        <v>66</v>
      </c>
    </row>
    <row r="144" customFormat="false" ht="15" hidden="false" customHeight="true" outlineLevel="0" collapsed="false">
      <c r="B144" s="1" t="n">
        <f aca="false">IF(AND('Flujo de Pagos'!E149=Carátula!$B$2,'Flujo de Pagos'!F149=Carátula!$B$4,'Flujo de Pagos'!H149&lt;&gt;""),149,99999)</f>
        <v>99999</v>
      </c>
      <c r="H144" s="1" t="n">
        <f aca="false">IF(SMALL($AA144:$CH144,1)&gt;=9999,"",INDEX(Presupuesto!$C:$C,SMALL($AA144:$CH144,1)))</f>
        <v>0</v>
      </c>
      <c r="I144" s="1" t="n">
        <f aca="false">IF(SMALL($AA144:$CH144,2)&gt;=9999,"",INDEX(Presupuesto!$C:$C,SMALL($AA144:$CH144,2)))</f>
        <v>0</v>
      </c>
      <c r="J144" s="1" t="n">
        <f aca="false">IF(SMALL($AA144:$CH144,3)&gt;=9999,"",INDEX(Presupuesto!$C:$C,SMALL($AA144:$CH144,3)))</f>
        <v>0</v>
      </c>
      <c r="K144" s="1" t="n">
        <f aca="false">IF(SMALL($AA144:$CH144,4)&gt;=9999,"",INDEX(Presupuesto!$C:$C,SMALL($AA144:$CH144,4)))</f>
        <v>0</v>
      </c>
      <c r="L144" s="1" t="n">
        <f aca="false">IF(SMALL($AA144:$CH144,5)&gt;=9999,"",INDEX(Presupuesto!$C:$C,SMALL($AA144:$CH144,5)))</f>
        <v>0</v>
      </c>
      <c r="M144" s="1" t="n">
        <f aca="false">IF(SMALL($AA144:$CH144,6)&gt;=9999,"",INDEX(Presupuesto!$C:$C,SMALL($AA144:$CH144,6)))</f>
        <v>0</v>
      </c>
      <c r="N144" s="1" t="n">
        <f aca="false">IF(SMALL($AA144:$CH144,7)&gt;=9999,"",INDEX(Presupuesto!$C:$C,SMALL($AA144:$CH144,7)))</f>
        <v>0</v>
      </c>
      <c r="O144" s="1" t="n">
        <f aca="false">IF(SMALL($AA144:$CH144,8)&gt;=9999,"",INDEX(Presupuesto!$C:$C,SMALL($AA144:$CH144,8)))</f>
        <v>0</v>
      </c>
      <c r="P144" s="1" t="n">
        <f aca="false">IF(SMALL($AA144:$CH144,9)&gt;=9999,"",INDEX(Presupuesto!$C:$C,SMALL($AA144:$CH144,9)))</f>
        <v>0</v>
      </c>
      <c r="Q144" s="1" t="n">
        <f aca="false">IF(SMALL($AA144:$CH144,10)&gt;=9999,"",INDEX(Presupuesto!$C:$C,SMALL($AA144:$CH144,10)))</f>
        <v>0</v>
      </c>
      <c r="AA144" s="0" t="n">
        <f aca="false">IF(Presupuesto!$B$7='Flujo de Pagos'!$E144,7,9999)</f>
        <v>9999</v>
      </c>
      <c r="AB144" s="0" t="n">
        <f aca="false">IF(Presupuesto!$B$8='Flujo de Pagos'!$E144,8,9999)</f>
        <v>9999</v>
      </c>
      <c r="AC144" s="0" t="n">
        <f aca="false">IF(Presupuesto!$B$9='Flujo de Pagos'!$E144,9,9999)</f>
        <v>9999</v>
      </c>
      <c r="AD144" s="0" t="n">
        <f aca="false">IF(Presupuesto!$B$10='Flujo de Pagos'!$E144,10,9999)</f>
        <v>9999</v>
      </c>
      <c r="AE144" s="0" t="n">
        <f aca="false">IF(Presupuesto!$B$11='Flujo de Pagos'!$E144,11,9999)</f>
        <v>9999</v>
      </c>
      <c r="AF144" s="0" t="n">
        <f aca="false">IF(Presupuesto!$B$12='Flujo de Pagos'!$E144,12,9999)</f>
        <v>12</v>
      </c>
      <c r="AG144" s="0" t="n">
        <f aca="false">IF(Presupuesto!$B$13='Flujo de Pagos'!$E144,13,9999)</f>
        <v>13</v>
      </c>
      <c r="AH144" s="0" t="n">
        <f aca="false">IF(Presupuesto!$B$14='Flujo de Pagos'!$E144,14,9999)</f>
        <v>14</v>
      </c>
      <c r="AI144" s="0" t="n">
        <f aca="false">IF(Presupuesto!$B$15='Flujo de Pagos'!$E144,15,9999)</f>
        <v>15</v>
      </c>
      <c r="AJ144" s="0" t="n">
        <f aca="false">IF(Presupuesto!$B$16='Flujo de Pagos'!$E144,16,9999)</f>
        <v>16</v>
      </c>
      <c r="AK144" s="0" t="n">
        <f aca="false">IF(Presupuesto!$B$17='Flujo de Pagos'!$E144,17,9999)</f>
        <v>17</v>
      </c>
      <c r="AL144" s="0" t="n">
        <f aca="false">IF(Presupuesto!$B$18='Flujo de Pagos'!$E144,18,9999)</f>
        <v>18</v>
      </c>
      <c r="AM144" s="0" t="n">
        <f aca="false">IF(Presupuesto!$B$19='Flujo de Pagos'!$E144,19,9999)</f>
        <v>19</v>
      </c>
      <c r="AN144" s="0" t="n">
        <f aca="false">IF(Presupuesto!$B$20='Flujo de Pagos'!$E144,20,9999)</f>
        <v>20</v>
      </c>
      <c r="AO144" s="0" t="n">
        <f aca="false">IF(Presupuesto!$B$21='Flujo de Pagos'!$E144,21,9999)</f>
        <v>21</v>
      </c>
      <c r="AP144" s="0" t="n">
        <f aca="false">IF(Presupuesto!$B$22='Flujo de Pagos'!$E144,22,9999)</f>
        <v>22</v>
      </c>
      <c r="AQ144" s="0" t="n">
        <f aca="false">IF(Presupuesto!$B$23='Flujo de Pagos'!$E144,23,9999)</f>
        <v>23</v>
      </c>
      <c r="AR144" s="0" t="n">
        <f aca="false">IF(Presupuesto!$B$24='Flujo de Pagos'!$E144,24,9999)</f>
        <v>24</v>
      </c>
      <c r="AS144" s="0" t="n">
        <f aca="false">IF(Presupuesto!$B$25='Flujo de Pagos'!$E144,25,9999)</f>
        <v>25</v>
      </c>
      <c r="AT144" s="0" t="n">
        <f aca="false">IF(Presupuesto!$B$26='Flujo de Pagos'!$E144,26,9999)</f>
        <v>26</v>
      </c>
      <c r="AU144" s="0" t="n">
        <f aca="false">IF(Presupuesto!$B$27='Flujo de Pagos'!$E144,27,9999)</f>
        <v>27</v>
      </c>
      <c r="AV144" s="0" t="n">
        <f aca="false">IF(Presupuesto!$B$28='Flujo de Pagos'!$E144,28,9999)</f>
        <v>28</v>
      </c>
      <c r="AW144" s="0" t="n">
        <f aca="false">IF(Presupuesto!$B$29='Flujo de Pagos'!$E144,29,9999)</f>
        <v>29</v>
      </c>
      <c r="AX144" s="0" t="n">
        <f aca="false">IF(Presupuesto!$B$30='Flujo de Pagos'!$E144,30,9999)</f>
        <v>30</v>
      </c>
      <c r="AY144" s="0" t="n">
        <f aca="false">IF(Presupuesto!$B$31='Flujo de Pagos'!$E144,31,9999)</f>
        <v>31</v>
      </c>
      <c r="AZ144" s="0" t="n">
        <f aca="false">IF(Presupuesto!$B$32='Flujo de Pagos'!$E144,32,9999)</f>
        <v>32</v>
      </c>
      <c r="BA144" s="0" t="n">
        <f aca="false">IF(Presupuesto!$B$33='Flujo de Pagos'!$E144,33,9999)</f>
        <v>33</v>
      </c>
      <c r="BB144" s="0" t="n">
        <f aca="false">IF(Presupuesto!$B$34='Flujo de Pagos'!$E144,34,9999)</f>
        <v>34</v>
      </c>
      <c r="BC144" s="0" t="n">
        <f aca="false">IF(Presupuesto!$B$35='Flujo de Pagos'!$E144,35,9999)</f>
        <v>35</v>
      </c>
      <c r="BD144" s="0" t="n">
        <f aca="false">IF(Presupuesto!$B$36='Flujo de Pagos'!$E144,36,9999)</f>
        <v>36</v>
      </c>
      <c r="BE144" s="0" t="n">
        <f aca="false">IF(Presupuesto!$B$37='Flujo de Pagos'!$E144,37,9999)</f>
        <v>37</v>
      </c>
      <c r="BF144" s="0" t="n">
        <f aca="false">IF(Presupuesto!$B$38='Flujo de Pagos'!$E144,38,9999)</f>
        <v>38</v>
      </c>
      <c r="BG144" s="0" t="n">
        <f aca="false">IF(Presupuesto!$B$39='Flujo de Pagos'!$E144,39,9999)</f>
        <v>39</v>
      </c>
      <c r="BH144" s="0" t="n">
        <f aca="false">IF(Presupuesto!$B$40='Flujo de Pagos'!$E144,40,9999)</f>
        <v>40</v>
      </c>
      <c r="BI144" s="0" t="n">
        <f aca="false">IF(Presupuesto!$B$41='Flujo de Pagos'!$E144,41,9999)</f>
        <v>41</v>
      </c>
      <c r="BJ144" s="0" t="n">
        <f aca="false">IF(Presupuesto!$B$42='Flujo de Pagos'!$E144,42,9999)</f>
        <v>42</v>
      </c>
      <c r="BK144" s="0" t="n">
        <f aca="false">IF(Presupuesto!$B$43='Flujo de Pagos'!$E144,43,9999)</f>
        <v>43</v>
      </c>
      <c r="BL144" s="0" t="n">
        <f aca="false">IF(Presupuesto!$B$44='Flujo de Pagos'!$E144,44,9999)</f>
        <v>44</v>
      </c>
      <c r="BM144" s="0" t="n">
        <f aca="false">IF(Presupuesto!$B$45='Flujo de Pagos'!$E144,45,9999)</f>
        <v>45</v>
      </c>
      <c r="BN144" s="0" t="n">
        <f aca="false">IF(Presupuesto!$B$46='Flujo de Pagos'!$E144,46,9999)</f>
        <v>46</v>
      </c>
      <c r="BO144" s="0" t="n">
        <f aca="false">IF(Presupuesto!$B$47='Flujo de Pagos'!$E144,47,9999)</f>
        <v>47</v>
      </c>
      <c r="BP144" s="0" t="n">
        <f aca="false">IF(Presupuesto!$B$48='Flujo de Pagos'!$E144,48,9999)</f>
        <v>48</v>
      </c>
      <c r="BQ144" s="0" t="n">
        <f aca="false">IF(Presupuesto!$B$49='Flujo de Pagos'!$E144,49,9999)</f>
        <v>49</v>
      </c>
      <c r="BR144" s="0" t="n">
        <f aca="false">IF(Presupuesto!$B$50='Flujo de Pagos'!$E144,50,9999)</f>
        <v>50</v>
      </c>
      <c r="BS144" s="0" t="n">
        <f aca="false">IF(Presupuesto!$B$51='Flujo de Pagos'!$E144,51,9999)</f>
        <v>51</v>
      </c>
      <c r="BT144" s="0" t="n">
        <f aca="false">IF(Presupuesto!$B$52='Flujo de Pagos'!$E144,52,9999)</f>
        <v>52</v>
      </c>
      <c r="BU144" s="0" t="n">
        <f aca="false">IF(Presupuesto!$B$53='Flujo de Pagos'!$E144,53,9999)</f>
        <v>53</v>
      </c>
      <c r="BV144" s="0" t="n">
        <f aca="false">IF(Presupuesto!$B$54='Flujo de Pagos'!$E144,54,9999)</f>
        <v>54</v>
      </c>
      <c r="BW144" s="0" t="n">
        <f aca="false">IF(Presupuesto!$B$55='Flujo de Pagos'!$E144,55,9999)</f>
        <v>55</v>
      </c>
      <c r="BX144" s="0" t="n">
        <f aca="false">IF(Presupuesto!$B$56='Flujo de Pagos'!$E144,56,9999)</f>
        <v>56</v>
      </c>
      <c r="BY144" s="0" t="n">
        <f aca="false">IF(Presupuesto!$B$57='Flujo de Pagos'!$E144,57,9999)</f>
        <v>57</v>
      </c>
      <c r="BZ144" s="0" t="n">
        <f aca="false">IF(Presupuesto!$B$58='Flujo de Pagos'!$E144,58,9999)</f>
        <v>58</v>
      </c>
      <c r="CA144" s="0" t="n">
        <f aca="false">IF(Presupuesto!$B$59='Flujo de Pagos'!$E144,59,9999)</f>
        <v>59</v>
      </c>
      <c r="CB144" s="0" t="n">
        <f aca="false">IF(Presupuesto!$B$60='Flujo de Pagos'!$E144,60,9999)</f>
        <v>60</v>
      </c>
      <c r="CC144" s="0" t="n">
        <f aca="false">IF(Presupuesto!$B$61='Flujo de Pagos'!$E144,61,9999)</f>
        <v>61</v>
      </c>
      <c r="CD144" s="0" t="n">
        <f aca="false">IF(Presupuesto!$B$62='Flujo de Pagos'!$E144,62,9999)</f>
        <v>62</v>
      </c>
      <c r="CE144" s="0" t="n">
        <f aca="false">IF(Presupuesto!$B$63='Flujo de Pagos'!$E144,63,9999)</f>
        <v>63</v>
      </c>
      <c r="CF144" s="0" t="n">
        <f aca="false">IF(Presupuesto!$B$64='Flujo de Pagos'!$E144,64,9999)</f>
        <v>64</v>
      </c>
      <c r="CG144" s="0" t="n">
        <f aca="false">IF(Presupuesto!$B$65='Flujo de Pagos'!$E144,65,9999)</f>
        <v>65</v>
      </c>
      <c r="CH144" s="0" t="n">
        <f aca="false">IF(Presupuesto!$B$66='Flujo de Pagos'!$E144,66,9999)</f>
        <v>66</v>
      </c>
    </row>
    <row r="145" customFormat="false" ht="15" hidden="false" customHeight="true" outlineLevel="0" collapsed="false">
      <c r="B145" s="1" t="n">
        <f aca="false">IF(AND('Flujo de Pagos'!E150=Carátula!$B$2,'Flujo de Pagos'!F150=Carátula!$B$4,'Flujo de Pagos'!H150&lt;&gt;""),150,99999)</f>
        <v>99999</v>
      </c>
      <c r="H145" s="1" t="n">
        <f aca="false">IF(SMALL($AA145:$CH145,1)&gt;=9999,"",INDEX(Presupuesto!$C:$C,SMALL($AA145:$CH145,1)))</f>
        <v>0</v>
      </c>
      <c r="I145" s="1" t="n">
        <f aca="false">IF(SMALL($AA145:$CH145,2)&gt;=9999,"",INDEX(Presupuesto!$C:$C,SMALL($AA145:$CH145,2)))</f>
        <v>0</v>
      </c>
      <c r="J145" s="1" t="n">
        <f aca="false">IF(SMALL($AA145:$CH145,3)&gt;=9999,"",INDEX(Presupuesto!$C:$C,SMALL($AA145:$CH145,3)))</f>
        <v>0</v>
      </c>
      <c r="K145" s="1" t="n">
        <f aca="false">IF(SMALL($AA145:$CH145,4)&gt;=9999,"",INDEX(Presupuesto!$C:$C,SMALL($AA145:$CH145,4)))</f>
        <v>0</v>
      </c>
      <c r="L145" s="1" t="n">
        <f aca="false">IF(SMALL($AA145:$CH145,5)&gt;=9999,"",INDEX(Presupuesto!$C:$C,SMALL($AA145:$CH145,5)))</f>
        <v>0</v>
      </c>
      <c r="M145" s="1" t="n">
        <f aca="false">IF(SMALL($AA145:$CH145,6)&gt;=9999,"",INDEX(Presupuesto!$C:$C,SMALL($AA145:$CH145,6)))</f>
        <v>0</v>
      </c>
      <c r="N145" s="1" t="n">
        <f aca="false">IF(SMALL($AA145:$CH145,7)&gt;=9999,"",INDEX(Presupuesto!$C:$C,SMALL($AA145:$CH145,7)))</f>
        <v>0</v>
      </c>
      <c r="O145" s="1" t="n">
        <f aca="false">IF(SMALL($AA145:$CH145,8)&gt;=9999,"",INDEX(Presupuesto!$C:$C,SMALL($AA145:$CH145,8)))</f>
        <v>0</v>
      </c>
      <c r="P145" s="1" t="n">
        <f aca="false">IF(SMALL($AA145:$CH145,9)&gt;=9999,"",INDEX(Presupuesto!$C:$C,SMALL($AA145:$CH145,9)))</f>
        <v>0</v>
      </c>
      <c r="Q145" s="1" t="n">
        <f aca="false">IF(SMALL($AA145:$CH145,10)&gt;=9999,"",INDEX(Presupuesto!$C:$C,SMALL($AA145:$CH145,10)))</f>
        <v>0</v>
      </c>
      <c r="AA145" s="0" t="n">
        <f aca="false">IF(Presupuesto!$B$7='Flujo de Pagos'!$E145,7,9999)</f>
        <v>9999</v>
      </c>
      <c r="AB145" s="0" t="n">
        <f aca="false">IF(Presupuesto!$B$8='Flujo de Pagos'!$E145,8,9999)</f>
        <v>9999</v>
      </c>
      <c r="AC145" s="0" t="n">
        <f aca="false">IF(Presupuesto!$B$9='Flujo de Pagos'!$E145,9,9999)</f>
        <v>9999</v>
      </c>
      <c r="AD145" s="0" t="n">
        <f aca="false">IF(Presupuesto!$B$10='Flujo de Pagos'!$E145,10,9999)</f>
        <v>9999</v>
      </c>
      <c r="AE145" s="0" t="n">
        <f aca="false">IF(Presupuesto!$B$11='Flujo de Pagos'!$E145,11,9999)</f>
        <v>9999</v>
      </c>
      <c r="AF145" s="0" t="n">
        <f aca="false">IF(Presupuesto!$B$12='Flujo de Pagos'!$E145,12,9999)</f>
        <v>12</v>
      </c>
      <c r="AG145" s="0" t="n">
        <f aca="false">IF(Presupuesto!$B$13='Flujo de Pagos'!$E145,13,9999)</f>
        <v>13</v>
      </c>
      <c r="AH145" s="0" t="n">
        <f aca="false">IF(Presupuesto!$B$14='Flujo de Pagos'!$E145,14,9999)</f>
        <v>14</v>
      </c>
      <c r="AI145" s="0" t="n">
        <f aca="false">IF(Presupuesto!$B$15='Flujo de Pagos'!$E145,15,9999)</f>
        <v>15</v>
      </c>
      <c r="AJ145" s="0" t="n">
        <f aca="false">IF(Presupuesto!$B$16='Flujo de Pagos'!$E145,16,9999)</f>
        <v>16</v>
      </c>
      <c r="AK145" s="0" t="n">
        <f aca="false">IF(Presupuesto!$B$17='Flujo de Pagos'!$E145,17,9999)</f>
        <v>17</v>
      </c>
      <c r="AL145" s="0" t="n">
        <f aca="false">IF(Presupuesto!$B$18='Flujo de Pagos'!$E145,18,9999)</f>
        <v>18</v>
      </c>
      <c r="AM145" s="0" t="n">
        <f aca="false">IF(Presupuesto!$B$19='Flujo de Pagos'!$E145,19,9999)</f>
        <v>19</v>
      </c>
      <c r="AN145" s="0" t="n">
        <f aca="false">IF(Presupuesto!$B$20='Flujo de Pagos'!$E145,20,9999)</f>
        <v>20</v>
      </c>
      <c r="AO145" s="0" t="n">
        <f aca="false">IF(Presupuesto!$B$21='Flujo de Pagos'!$E145,21,9999)</f>
        <v>21</v>
      </c>
      <c r="AP145" s="0" t="n">
        <f aca="false">IF(Presupuesto!$B$22='Flujo de Pagos'!$E145,22,9999)</f>
        <v>22</v>
      </c>
      <c r="AQ145" s="0" t="n">
        <f aca="false">IF(Presupuesto!$B$23='Flujo de Pagos'!$E145,23,9999)</f>
        <v>23</v>
      </c>
      <c r="AR145" s="0" t="n">
        <f aca="false">IF(Presupuesto!$B$24='Flujo de Pagos'!$E145,24,9999)</f>
        <v>24</v>
      </c>
      <c r="AS145" s="0" t="n">
        <f aca="false">IF(Presupuesto!$B$25='Flujo de Pagos'!$E145,25,9999)</f>
        <v>25</v>
      </c>
      <c r="AT145" s="0" t="n">
        <f aca="false">IF(Presupuesto!$B$26='Flujo de Pagos'!$E145,26,9999)</f>
        <v>26</v>
      </c>
      <c r="AU145" s="0" t="n">
        <f aca="false">IF(Presupuesto!$B$27='Flujo de Pagos'!$E145,27,9999)</f>
        <v>27</v>
      </c>
      <c r="AV145" s="0" t="n">
        <f aca="false">IF(Presupuesto!$B$28='Flujo de Pagos'!$E145,28,9999)</f>
        <v>28</v>
      </c>
      <c r="AW145" s="0" t="n">
        <f aca="false">IF(Presupuesto!$B$29='Flujo de Pagos'!$E145,29,9999)</f>
        <v>29</v>
      </c>
      <c r="AX145" s="0" t="n">
        <f aca="false">IF(Presupuesto!$B$30='Flujo de Pagos'!$E145,30,9999)</f>
        <v>30</v>
      </c>
      <c r="AY145" s="0" t="n">
        <f aca="false">IF(Presupuesto!$B$31='Flujo de Pagos'!$E145,31,9999)</f>
        <v>31</v>
      </c>
      <c r="AZ145" s="0" t="n">
        <f aca="false">IF(Presupuesto!$B$32='Flujo de Pagos'!$E145,32,9999)</f>
        <v>32</v>
      </c>
      <c r="BA145" s="0" t="n">
        <f aca="false">IF(Presupuesto!$B$33='Flujo de Pagos'!$E145,33,9999)</f>
        <v>33</v>
      </c>
      <c r="BB145" s="0" t="n">
        <f aca="false">IF(Presupuesto!$B$34='Flujo de Pagos'!$E145,34,9999)</f>
        <v>34</v>
      </c>
      <c r="BC145" s="0" t="n">
        <f aca="false">IF(Presupuesto!$B$35='Flujo de Pagos'!$E145,35,9999)</f>
        <v>35</v>
      </c>
      <c r="BD145" s="0" t="n">
        <f aca="false">IF(Presupuesto!$B$36='Flujo de Pagos'!$E145,36,9999)</f>
        <v>36</v>
      </c>
      <c r="BE145" s="0" t="n">
        <f aca="false">IF(Presupuesto!$B$37='Flujo de Pagos'!$E145,37,9999)</f>
        <v>37</v>
      </c>
      <c r="BF145" s="0" t="n">
        <f aca="false">IF(Presupuesto!$B$38='Flujo de Pagos'!$E145,38,9999)</f>
        <v>38</v>
      </c>
      <c r="BG145" s="0" t="n">
        <f aca="false">IF(Presupuesto!$B$39='Flujo de Pagos'!$E145,39,9999)</f>
        <v>39</v>
      </c>
      <c r="BH145" s="0" t="n">
        <f aca="false">IF(Presupuesto!$B$40='Flujo de Pagos'!$E145,40,9999)</f>
        <v>40</v>
      </c>
      <c r="BI145" s="0" t="n">
        <f aca="false">IF(Presupuesto!$B$41='Flujo de Pagos'!$E145,41,9999)</f>
        <v>41</v>
      </c>
      <c r="BJ145" s="0" t="n">
        <f aca="false">IF(Presupuesto!$B$42='Flujo de Pagos'!$E145,42,9999)</f>
        <v>42</v>
      </c>
      <c r="BK145" s="0" t="n">
        <f aca="false">IF(Presupuesto!$B$43='Flujo de Pagos'!$E145,43,9999)</f>
        <v>43</v>
      </c>
      <c r="BL145" s="0" t="n">
        <f aca="false">IF(Presupuesto!$B$44='Flujo de Pagos'!$E145,44,9999)</f>
        <v>44</v>
      </c>
      <c r="BM145" s="0" t="n">
        <f aca="false">IF(Presupuesto!$B$45='Flujo de Pagos'!$E145,45,9999)</f>
        <v>45</v>
      </c>
      <c r="BN145" s="0" t="n">
        <f aca="false">IF(Presupuesto!$B$46='Flujo de Pagos'!$E145,46,9999)</f>
        <v>46</v>
      </c>
      <c r="BO145" s="0" t="n">
        <f aca="false">IF(Presupuesto!$B$47='Flujo de Pagos'!$E145,47,9999)</f>
        <v>47</v>
      </c>
      <c r="BP145" s="0" t="n">
        <f aca="false">IF(Presupuesto!$B$48='Flujo de Pagos'!$E145,48,9999)</f>
        <v>48</v>
      </c>
      <c r="BQ145" s="0" t="n">
        <f aca="false">IF(Presupuesto!$B$49='Flujo de Pagos'!$E145,49,9999)</f>
        <v>49</v>
      </c>
      <c r="BR145" s="0" t="n">
        <f aca="false">IF(Presupuesto!$B$50='Flujo de Pagos'!$E145,50,9999)</f>
        <v>50</v>
      </c>
      <c r="BS145" s="0" t="n">
        <f aca="false">IF(Presupuesto!$B$51='Flujo de Pagos'!$E145,51,9999)</f>
        <v>51</v>
      </c>
      <c r="BT145" s="0" t="n">
        <f aca="false">IF(Presupuesto!$B$52='Flujo de Pagos'!$E145,52,9999)</f>
        <v>52</v>
      </c>
      <c r="BU145" s="0" t="n">
        <f aca="false">IF(Presupuesto!$B$53='Flujo de Pagos'!$E145,53,9999)</f>
        <v>53</v>
      </c>
      <c r="BV145" s="0" t="n">
        <f aca="false">IF(Presupuesto!$B$54='Flujo de Pagos'!$E145,54,9999)</f>
        <v>54</v>
      </c>
      <c r="BW145" s="0" t="n">
        <f aca="false">IF(Presupuesto!$B$55='Flujo de Pagos'!$E145,55,9999)</f>
        <v>55</v>
      </c>
      <c r="BX145" s="0" t="n">
        <f aca="false">IF(Presupuesto!$B$56='Flujo de Pagos'!$E145,56,9999)</f>
        <v>56</v>
      </c>
      <c r="BY145" s="0" t="n">
        <f aca="false">IF(Presupuesto!$B$57='Flujo de Pagos'!$E145,57,9999)</f>
        <v>57</v>
      </c>
      <c r="BZ145" s="0" t="n">
        <f aca="false">IF(Presupuesto!$B$58='Flujo de Pagos'!$E145,58,9999)</f>
        <v>58</v>
      </c>
      <c r="CA145" s="0" t="n">
        <f aca="false">IF(Presupuesto!$B$59='Flujo de Pagos'!$E145,59,9999)</f>
        <v>59</v>
      </c>
      <c r="CB145" s="0" t="n">
        <f aca="false">IF(Presupuesto!$B$60='Flujo de Pagos'!$E145,60,9999)</f>
        <v>60</v>
      </c>
      <c r="CC145" s="0" t="n">
        <f aca="false">IF(Presupuesto!$B$61='Flujo de Pagos'!$E145,61,9999)</f>
        <v>61</v>
      </c>
      <c r="CD145" s="0" t="n">
        <f aca="false">IF(Presupuesto!$B$62='Flujo de Pagos'!$E145,62,9999)</f>
        <v>62</v>
      </c>
      <c r="CE145" s="0" t="n">
        <f aca="false">IF(Presupuesto!$B$63='Flujo de Pagos'!$E145,63,9999)</f>
        <v>63</v>
      </c>
      <c r="CF145" s="0" t="n">
        <f aca="false">IF(Presupuesto!$B$64='Flujo de Pagos'!$E145,64,9999)</f>
        <v>64</v>
      </c>
      <c r="CG145" s="0" t="n">
        <f aca="false">IF(Presupuesto!$B$65='Flujo de Pagos'!$E145,65,9999)</f>
        <v>65</v>
      </c>
      <c r="CH145" s="0" t="n">
        <f aca="false">IF(Presupuesto!$B$66='Flujo de Pagos'!$E145,66,9999)</f>
        <v>66</v>
      </c>
    </row>
    <row r="146" customFormat="false" ht="15" hidden="false" customHeight="true" outlineLevel="0" collapsed="false">
      <c r="B146" s="1" t="n">
        <f aca="false">IF(AND('Flujo de Pagos'!E151=Carátula!$B$2,'Flujo de Pagos'!F151=Carátula!$B$4,'Flujo de Pagos'!H151&lt;&gt;""),151,99999)</f>
        <v>99999</v>
      </c>
      <c r="H146" s="1" t="n">
        <f aca="false">IF(SMALL($AA146:$CH146,1)&gt;=9999,"",INDEX(Presupuesto!$C:$C,SMALL($AA146:$CH146,1)))</f>
        <v>0</v>
      </c>
      <c r="I146" s="1" t="n">
        <f aca="false">IF(SMALL($AA146:$CH146,2)&gt;=9999,"",INDEX(Presupuesto!$C:$C,SMALL($AA146:$CH146,2)))</f>
        <v>0</v>
      </c>
      <c r="J146" s="1" t="n">
        <f aca="false">IF(SMALL($AA146:$CH146,3)&gt;=9999,"",INDEX(Presupuesto!$C:$C,SMALL($AA146:$CH146,3)))</f>
        <v>0</v>
      </c>
      <c r="K146" s="1" t="n">
        <f aca="false">IF(SMALL($AA146:$CH146,4)&gt;=9999,"",INDEX(Presupuesto!$C:$C,SMALL($AA146:$CH146,4)))</f>
        <v>0</v>
      </c>
      <c r="L146" s="1" t="n">
        <f aca="false">IF(SMALL($AA146:$CH146,5)&gt;=9999,"",INDEX(Presupuesto!$C:$C,SMALL($AA146:$CH146,5)))</f>
        <v>0</v>
      </c>
      <c r="M146" s="1" t="n">
        <f aca="false">IF(SMALL($AA146:$CH146,6)&gt;=9999,"",INDEX(Presupuesto!$C:$C,SMALL($AA146:$CH146,6)))</f>
        <v>0</v>
      </c>
      <c r="N146" s="1" t="n">
        <f aca="false">IF(SMALL($AA146:$CH146,7)&gt;=9999,"",INDEX(Presupuesto!$C:$C,SMALL($AA146:$CH146,7)))</f>
        <v>0</v>
      </c>
      <c r="O146" s="1" t="n">
        <f aca="false">IF(SMALL($AA146:$CH146,8)&gt;=9999,"",INDEX(Presupuesto!$C:$C,SMALL($AA146:$CH146,8)))</f>
        <v>0</v>
      </c>
      <c r="P146" s="1" t="n">
        <f aca="false">IF(SMALL($AA146:$CH146,9)&gt;=9999,"",INDEX(Presupuesto!$C:$C,SMALL($AA146:$CH146,9)))</f>
        <v>0</v>
      </c>
      <c r="Q146" s="1" t="n">
        <f aca="false">IF(SMALL($AA146:$CH146,10)&gt;=9999,"",INDEX(Presupuesto!$C:$C,SMALL($AA146:$CH146,10)))</f>
        <v>0</v>
      </c>
      <c r="AA146" s="0" t="n">
        <f aca="false">IF(Presupuesto!$B$7='Flujo de Pagos'!$E146,7,9999)</f>
        <v>9999</v>
      </c>
      <c r="AB146" s="0" t="n">
        <f aca="false">IF(Presupuesto!$B$8='Flujo de Pagos'!$E146,8,9999)</f>
        <v>9999</v>
      </c>
      <c r="AC146" s="0" t="n">
        <f aca="false">IF(Presupuesto!$B$9='Flujo de Pagos'!$E146,9,9999)</f>
        <v>9999</v>
      </c>
      <c r="AD146" s="0" t="n">
        <f aca="false">IF(Presupuesto!$B$10='Flujo de Pagos'!$E146,10,9999)</f>
        <v>9999</v>
      </c>
      <c r="AE146" s="0" t="n">
        <f aca="false">IF(Presupuesto!$B$11='Flujo de Pagos'!$E146,11,9999)</f>
        <v>9999</v>
      </c>
      <c r="AF146" s="0" t="n">
        <f aca="false">IF(Presupuesto!$B$12='Flujo de Pagos'!$E146,12,9999)</f>
        <v>12</v>
      </c>
      <c r="AG146" s="0" t="n">
        <f aca="false">IF(Presupuesto!$B$13='Flujo de Pagos'!$E146,13,9999)</f>
        <v>13</v>
      </c>
      <c r="AH146" s="0" t="n">
        <f aca="false">IF(Presupuesto!$B$14='Flujo de Pagos'!$E146,14,9999)</f>
        <v>14</v>
      </c>
      <c r="AI146" s="0" t="n">
        <f aca="false">IF(Presupuesto!$B$15='Flujo de Pagos'!$E146,15,9999)</f>
        <v>15</v>
      </c>
      <c r="AJ146" s="0" t="n">
        <f aca="false">IF(Presupuesto!$B$16='Flujo de Pagos'!$E146,16,9999)</f>
        <v>16</v>
      </c>
      <c r="AK146" s="0" t="n">
        <f aca="false">IF(Presupuesto!$B$17='Flujo de Pagos'!$E146,17,9999)</f>
        <v>17</v>
      </c>
      <c r="AL146" s="0" t="n">
        <f aca="false">IF(Presupuesto!$B$18='Flujo de Pagos'!$E146,18,9999)</f>
        <v>18</v>
      </c>
      <c r="AM146" s="0" t="n">
        <f aca="false">IF(Presupuesto!$B$19='Flujo de Pagos'!$E146,19,9999)</f>
        <v>19</v>
      </c>
      <c r="AN146" s="0" t="n">
        <f aca="false">IF(Presupuesto!$B$20='Flujo de Pagos'!$E146,20,9999)</f>
        <v>20</v>
      </c>
      <c r="AO146" s="0" t="n">
        <f aca="false">IF(Presupuesto!$B$21='Flujo de Pagos'!$E146,21,9999)</f>
        <v>21</v>
      </c>
      <c r="AP146" s="0" t="n">
        <f aca="false">IF(Presupuesto!$B$22='Flujo de Pagos'!$E146,22,9999)</f>
        <v>22</v>
      </c>
      <c r="AQ146" s="0" t="n">
        <f aca="false">IF(Presupuesto!$B$23='Flujo de Pagos'!$E146,23,9999)</f>
        <v>23</v>
      </c>
      <c r="AR146" s="0" t="n">
        <f aca="false">IF(Presupuesto!$B$24='Flujo de Pagos'!$E146,24,9999)</f>
        <v>24</v>
      </c>
      <c r="AS146" s="0" t="n">
        <f aca="false">IF(Presupuesto!$B$25='Flujo de Pagos'!$E146,25,9999)</f>
        <v>25</v>
      </c>
      <c r="AT146" s="0" t="n">
        <f aca="false">IF(Presupuesto!$B$26='Flujo de Pagos'!$E146,26,9999)</f>
        <v>26</v>
      </c>
      <c r="AU146" s="0" t="n">
        <f aca="false">IF(Presupuesto!$B$27='Flujo de Pagos'!$E146,27,9999)</f>
        <v>27</v>
      </c>
      <c r="AV146" s="0" t="n">
        <f aca="false">IF(Presupuesto!$B$28='Flujo de Pagos'!$E146,28,9999)</f>
        <v>28</v>
      </c>
      <c r="AW146" s="0" t="n">
        <f aca="false">IF(Presupuesto!$B$29='Flujo de Pagos'!$E146,29,9999)</f>
        <v>29</v>
      </c>
      <c r="AX146" s="0" t="n">
        <f aca="false">IF(Presupuesto!$B$30='Flujo de Pagos'!$E146,30,9999)</f>
        <v>30</v>
      </c>
      <c r="AY146" s="0" t="n">
        <f aca="false">IF(Presupuesto!$B$31='Flujo de Pagos'!$E146,31,9999)</f>
        <v>31</v>
      </c>
      <c r="AZ146" s="0" t="n">
        <f aca="false">IF(Presupuesto!$B$32='Flujo de Pagos'!$E146,32,9999)</f>
        <v>32</v>
      </c>
      <c r="BA146" s="0" t="n">
        <f aca="false">IF(Presupuesto!$B$33='Flujo de Pagos'!$E146,33,9999)</f>
        <v>33</v>
      </c>
      <c r="BB146" s="0" t="n">
        <f aca="false">IF(Presupuesto!$B$34='Flujo de Pagos'!$E146,34,9999)</f>
        <v>34</v>
      </c>
      <c r="BC146" s="0" t="n">
        <f aca="false">IF(Presupuesto!$B$35='Flujo de Pagos'!$E146,35,9999)</f>
        <v>35</v>
      </c>
      <c r="BD146" s="0" t="n">
        <f aca="false">IF(Presupuesto!$B$36='Flujo de Pagos'!$E146,36,9999)</f>
        <v>36</v>
      </c>
      <c r="BE146" s="0" t="n">
        <f aca="false">IF(Presupuesto!$B$37='Flujo de Pagos'!$E146,37,9999)</f>
        <v>37</v>
      </c>
      <c r="BF146" s="0" t="n">
        <f aca="false">IF(Presupuesto!$B$38='Flujo de Pagos'!$E146,38,9999)</f>
        <v>38</v>
      </c>
      <c r="BG146" s="0" t="n">
        <f aca="false">IF(Presupuesto!$B$39='Flujo de Pagos'!$E146,39,9999)</f>
        <v>39</v>
      </c>
      <c r="BH146" s="0" t="n">
        <f aca="false">IF(Presupuesto!$B$40='Flujo de Pagos'!$E146,40,9999)</f>
        <v>40</v>
      </c>
      <c r="BI146" s="0" t="n">
        <f aca="false">IF(Presupuesto!$B$41='Flujo de Pagos'!$E146,41,9999)</f>
        <v>41</v>
      </c>
      <c r="BJ146" s="0" t="n">
        <f aca="false">IF(Presupuesto!$B$42='Flujo de Pagos'!$E146,42,9999)</f>
        <v>42</v>
      </c>
      <c r="BK146" s="0" t="n">
        <f aca="false">IF(Presupuesto!$B$43='Flujo de Pagos'!$E146,43,9999)</f>
        <v>43</v>
      </c>
      <c r="BL146" s="0" t="n">
        <f aca="false">IF(Presupuesto!$B$44='Flujo de Pagos'!$E146,44,9999)</f>
        <v>44</v>
      </c>
      <c r="BM146" s="0" t="n">
        <f aca="false">IF(Presupuesto!$B$45='Flujo de Pagos'!$E146,45,9999)</f>
        <v>45</v>
      </c>
      <c r="BN146" s="0" t="n">
        <f aca="false">IF(Presupuesto!$B$46='Flujo de Pagos'!$E146,46,9999)</f>
        <v>46</v>
      </c>
      <c r="BO146" s="0" t="n">
        <f aca="false">IF(Presupuesto!$B$47='Flujo de Pagos'!$E146,47,9999)</f>
        <v>47</v>
      </c>
      <c r="BP146" s="0" t="n">
        <f aca="false">IF(Presupuesto!$B$48='Flujo de Pagos'!$E146,48,9999)</f>
        <v>48</v>
      </c>
      <c r="BQ146" s="0" t="n">
        <f aca="false">IF(Presupuesto!$B$49='Flujo de Pagos'!$E146,49,9999)</f>
        <v>49</v>
      </c>
      <c r="BR146" s="0" t="n">
        <f aca="false">IF(Presupuesto!$B$50='Flujo de Pagos'!$E146,50,9999)</f>
        <v>50</v>
      </c>
      <c r="BS146" s="0" t="n">
        <f aca="false">IF(Presupuesto!$B$51='Flujo de Pagos'!$E146,51,9999)</f>
        <v>51</v>
      </c>
      <c r="BT146" s="0" t="n">
        <f aca="false">IF(Presupuesto!$B$52='Flujo de Pagos'!$E146,52,9999)</f>
        <v>52</v>
      </c>
      <c r="BU146" s="0" t="n">
        <f aca="false">IF(Presupuesto!$B$53='Flujo de Pagos'!$E146,53,9999)</f>
        <v>53</v>
      </c>
      <c r="BV146" s="0" t="n">
        <f aca="false">IF(Presupuesto!$B$54='Flujo de Pagos'!$E146,54,9999)</f>
        <v>54</v>
      </c>
      <c r="BW146" s="0" t="n">
        <f aca="false">IF(Presupuesto!$B$55='Flujo de Pagos'!$E146,55,9999)</f>
        <v>55</v>
      </c>
      <c r="BX146" s="0" t="n">
        <f aca="false">IF(Presupuesto!$B$56='Flujo de Pagos'!$E146,56,9999)</f>
        <v>56</v>
      </c>
      <c r="BY146" s="0" t="n">
        <f aca="false">IF(Presupuesto!$B$57='Flujo de Pagos'!$E146,57,9999)</f>
        <v>57</v>
      </c>
      <c r="BZ146" s="0" t="n">
        <f aca="false">IF(Presupuesto!$B$58='Flujo de Pagos'!$E146,58,9999)</f>
        <v>58</v>
      </c>
      <c r="CA146" s="0" t="n">
        <f aca="false">IF(Presupuesto!$B$59='Flujo de Pagos'!$E146,59,9999)</f>
        <v>59</v>
      </c>
      <c r="CB146" s="0" t="n">
        <f aca="false">IF(Presupuesto!$B$60='Flujo de Pagos'!$E146,60,9999)</f>
        <v>60</v>
      </c>
      <c r="CC146" s="0" t="n">
        <f aca="false">IF(Presupuesto!$B$61='Flujo de Pagos'!$E146,61,9999)</f>
        <v>61</v>
      </c>
      <c r="CD146" s="0" t="n">
        <f aca="false">IF(Presupuesto!$B$62='Flujo de Pagos'!$E146,62,9999)</f>
        <v>62</v>
      </c>
      <c r="CE146" s="0" t="n">
        <f aca="false">IF(Presupuesto!$B$63='Flujo de Pagos'!$E146,63,9999)</f>
        <v>63</v>
      </c>
      <c r="CF146" s="0" t="n">
        <f aca="false">IF(Presupuesto!$B$64='Flujo de Pagos'!$E146,64,9999)</f>
        <v>64</v>
      </c>
      <c r="CG146" s="0" t="n">
        <f aca="false">IF(Presupuesto!$B$65='Flujo de Pagos'!$E146,65,9999)</f>
        <v>65</v>
      </c>
      <c r="CH146" s="0" t="n">
        <f aca="false">IF(Presupuesto!$B$66='Flujo de Pagos'!$E146,66,9999)</f>
        <v>66</v>
      </c>
    </row>
    <row r="147" customFormat="false" ht="15" hidden="false" customHeight="true" outlineLevel="0" collapsed="false">
      <c r="B147" s="1" t="n">
        <f aca="false">IF(AND('Flujo de Pagos'!E152=Carátula!$B$2,'Flujo de Pagos'!F152=Carátula!$B$4,'Flujo de Pagos'!H152&lt;&gt;""),152,99999)</f>
        <v>99999</v>
      </c>
      <c r="H147" s="1" t="n">
        <f aca="false">IF(SMALL($AA147:$CH147,1)&gt;=9999,"",INDEX(Presupuesto!$C:$C,SMALL($AA147:$CH147,1)))</f>
        <v>0</v>
      </c>
      <c r="I147" s="1" t="n">
        <f aca="false">IF(SMALL($AA147:$CH147,2)&gt;=9999,"",INDEX(Presupuesto!$C:$C,SMALL($AA147:$CH147,2)))</f>
        <v>0</v>
      </c>
      <c r="J147" s="1" t="n">
        <f aca="false">IF(SMALL($AA147:$CH147,3)&gt;=9999,"",INDEX(Presupuesto!$C:$C,SMALL($AA147:$CH147,3)))</f>
        <v>0</v>
      </c>
      <c r="K147" s="1" t="n">
        <f aca="false">IF(SMALL($AA147:$CH147,4)&gt;=9999,"",INDEX(Presupuesto!$C:$C,SMALL($AA147:$CH147,4)))</f>
        <v>0</v>
      </c>
      <c r="L147" s="1" t="n">
        <f aca="false">IF(SMALL($AA147:$CH147,5)&gt;=9999,"",INDEX(Presupuesto!$C:$C,SMALL($AA147:$CH147,5)))</f>
        <v>0</v>
      </c>
      <c r="M147" s="1" t="n">
        <f aca="false">IF(SMALL($AA147:$CH147,6)&gt;=9999,"",INDEX(Presupuesto!$C:$C,SMALL($AA147:$CH147,6)))</f>
        <v>0</v>
      </c>
      <c r="N147" s="1" t="n">
        <f aca="false">IF(SMALL($AA147:$CH147,7)&gt;=9999,"",INDEX(Presupuesto!$C:$C,SMALL($AA147:$CH147,7)))</f>
        <v>0</v>
      </c>
      <c r="O147" s="1" t="n">
        <f aca="false">IF(SMALL($AA147:$CH147,8)&gt;=9999,"",INDEX(Presupuesto!$C:$C,SMALL($AA147:$CH147,8)))</f>
        <v>0</v>
      </c>
      <c r="P147" s="1" t="n">
        <f aca="false">IF(SMALL($AA147:$CH147,9)&gt;=9999,"",INDEX(Presupuesto!$C:$C,SMALL($AA147:$CH147,9)))</f>
        <v>0</v>
      </c>
      <c r="Q147" s="1" t="n">
        <f aca="false">IF(SMALL($AA147:$CH147,10)&gt;=9999,"",INDEX(Presupuesto!$C:$C,SMALL($AA147:$CH147,10)))</f>
        <v>0</v>
      </c>
      <c r="AA147" s="0" t="n">
        <f aca="false">IF(Presupuesto!$B$7='Flujo de Pagos'!$E147,7,9999)</f>
        <v>9999</v>
      </c>
      <c r="AB147" s="0" t="n">
        <f aca="false">IF(Presupuesto!$B$8='Flujo de Pagos'!$E147,8,9999)</f>
        <v>9999</v>
      </c>
      <c r="AC147" s="0" t="n">
        <f aca="false">IF(Presupuesto!$B$9='Flujo de Pagos'!$E147,9,9999)</f>
        <v>9999</v>
      </c>
      <c r="AD147" s="0" t="n">
        <f aca="false">IF(Presupuesto!$B$10='Flujo de Pagos'!$E147,10,9999)</f>
        <v>9999</v>
      </c>
      <c r="AE147" s="0" t="n">
        <f aca="false">IF(Presupuesto!$B$11='Flujo de Pagos'!$E147,11,9999)</f>
        <v>9999</v>
      </c>
      <c r="AF147" s="0" t="n">
        <f aca="false">IF(Presupuesto!$B$12='Flujo de Pagos'!$E147,12,9999)</f>
        <v>12</v>
      </c>
      <c r="AG147" s="0" t="n">
        <f aca="false">IF(Presupuesto!$B$13='Flujo de Pagos'!$E147,13,9999)</f>
        <v>13</v>
      </c>
      <c r="AH147" s="0" t="n">
        <f aca="false">IF(Presupuesto!$B$14='Flujo de Pagos'!$E147,14,9999)</f>
        <v>14</v>
      </c>
      <c r="AI147" s="0" t="n">
        <f aca="false">IF(Presupuesto!$B$15='Flujo de Pagos'!$E147,15,9999)</f>
        <v>15</v>
      </c>
      <c r="AJ147" s="0" t="n">
        <f aca="false">IF(Presupuesto!$B$16='Flujo de Pagos'!$E147,16,9999)</f>
        <v>16</v>
      </c>
      <c r="AK147" s="0" t="n">
        <f aca="false">IF(Presupuesto!$B$17='Flujo de Pagos'!$E147,17,9999)</f>
        <v>17</v>
      </c>
      <c r="AL147" s="0" t="n">
        <f aca="false">IF(Presupuesto!$B$18='Flujo de Pagos'!$E147,18,9999)</f>
        <v>18</v>
      </c>
      <c r="AM147" s="0" t="n">
        <f aca="false">IF(Presupuesto!$B$19='Flujo de Pagos'!$E147,19,9999)</f>
        <v>19</v>
      </c>
      <c r="AN147" s="0" t="n">
        <f aca="false">IF(Presupuesto!$B$20='Flujo de Pagos'!$E147,20,9999)</f>
        <v>20</v>
      </c>
      <c r="AO147" s="0" t="n">
        <f aca="false">IF(Presupuesto!$B$21='Flujo de Pagos'!$E147,21,9999)</f>
        <v>21</v>
      </c>
      <c r="AP147" s="0" t="n">
        <f aca="false">IF(Presupuesto!$B$22='Flujo de Pagos'!$E147,22,9999)</f>
        <v>22</v>
      </c>
      <c r="AQ147" s="0" t="n">
        <f aca="false">IF(Presupuesto!$B$23='Flujo de Pagos'!$E147,23,9999)</f>
        <v>23</v>
      </c>
      <c r="AR147" s="0" t="n">
        <f aca="false">IF(Presupuesto!$B$24='Flujo de Pagos'!$E147,24,9999)</f>
        <v>24</v>
      </c>
      <c r="AS147" s="0" t="n">
        <f aca="false">IF(Presupuesto!$B$25='Flujo de Pagos'!$E147,25,9999)</f>
        <v>25</v>
      </c>
      <c r="AT147" s="0" t="n">
        <f aca="false">IF(Presupuesto!$B$26='Flujo de Pagos'!$E147,26,9999)</f>
        <v>26</v>
      </c>
      <c r="AU147" s="0" t="n">
        <f aca="false">IF(Presupuesto!$B$27='Flujo de Pagos'!$E147,27,9999)</f>
        <v>27</v>
      </c>
      <c r="AV147" s="0" t="n">
        <f aca="false">IF(Presupuesto!$B$28='Flujo de Pagos'!$E147,28,9999)</f>
        <v>28</v>
      </c>
      <c r="AW147" s="0" t="n">
        <f aca="false">IF(Presupuesto!$B$29='Flujo de Pagos'!$E147,29,9999)</f>
        <v>29</v>
      </c>
      <c r="AX147" s="0" t="n">
        <f aca="false">IF(Presupuesto!$B$30='Flujo de Pagos'!$E147,30,9999)</f>
        <v>30</v>
      </c>
      <c r="AY147" s="0" t="n">
        <f aca="false">IF(Presupuesto!$B$31='Flujo de Pagos'!$E147,31,9999)</f>
        <v>31</v>
      </c>
      <c r="AZ147" s="0" t="n">
        <f aca="false">IF(Presupuesto!$B$32='Flujo de Pagos'!$E147,32,9999)</f>
        <v>32</v>
      </c>
      <c r="BA147" s="0" t="n">
        <f aca="false">IF(Presupuesto!$B$33='Flujo de Pagos'!$E147,33,9999)</f>
        <v>33</v>
      </c>
      <c r="BB147" s="0" t="n">
        <f aca="false">IF(Presupuesto!$B$34='Flujo de Pagos'!$E147,34,9999)</f>
        <v>34</v>
      </c>
      <c r="BC147" s="0" t="n">
        <f aca="false">IF(Presupuesto!$B$35='Flujo de Pagos'!$E147,35,9999)</f>
        <v>35</v>
      </c>
      <c r="BD147" s="0" t="n">
        <f aca="false">IF(Presupuesto!$B$36='Flujo de Pagos'!$E147,36,9999)</f>
        <v>36</v>
      </c>
      <c r="BE147" s="0" t="n">
        <f aca="false">IF(Presupuesto!$B$37='Flujo de Pagos'!$E147,37,9999)</f>
        <v>37</v>
      </c>
      <c r="BF147" s="0" t="n">
        <f aca="false">IF(Presupuesto!$B$38='Flujo de Pagos'!$E147,38,9999)</f>
        <v>38</v>
      </c>
      <c r="BG147" s="0" t="n">
        <f aca="false">IF(Presupuesto!$B$39='Flujo de Pagos'!$E147,39,9999)</f>
        <v>39</v>
      </c>
      <c r="BH147" s="0" t="n">
        <f aca="false">IF(Presupuesto!$B$40='Flujo de Pagos'!$E147,40,9999)</f>
        <v>40</v>
      </c>
      <c r="BI147" s="0" t="n">
        <f aca="false">IF(Presupuesto!$B$41='Flujo de Pagos'!$E147,41,9999)</f>
        <v>41</v>
      </c>
      <c r="BJ147" s="0" t="n">
        <f aca="false">IF(Presupuesto!$B$42='Flujo de Pagos'!$E147,42,9999)</f>
        <v>42</v>
      </c>
      <c r="BK147" s="0" t="n">
        <f aca="false">IF(Presupuesto!$B$43='Flujo de Pagos'!$E147,43,9999)</f>
        <v>43</v>
      </c>
      <c r="BL147" s="0" t="n">
        <f aca="false">IF(Presupuesto!$B$44='Flujo de Pagos'!$E147,44,9999)</f>
        <v>44</v>
      </c>
      <c r="BM147" s="0" t="n">
        <f aca="false">IF(Presupuesto!$B$45='Flujo de Pagos'!$E147,45,9999)</f>
        <v>45</v>
      </c>
      <c r="BN147" s="0" t="n">
        <f aca="false">IF(Presupuesto!$B$46='Flujo de Pagos'!$E147,46,9999)</f>
        <v>46</v>
      </c>
      <c r="BO147" s="0" t="n">
        <f aca="false">IF(Presupuesto!$B$47='Flujo de Pagos'!$E147,47,9999)</f>
        <v>47</v>
      </c>
      <c r="BP147" s="0" t="n">
        <f aca="false">IF(Presupuesto!$B$48='Flujo de Pagos'!$E147,48,9999)</f>
        <v>48</v>
      </c>
      <c r="BQ147" s="0" t="n">
        <f aca="false">IF(Presupuesto!$B$49='Flujo de Pagos'!$E147,49,9999)</f>
        <v>49</v>
      </c>
      <c r="BR147" s="0" t="n">
        <f aca="false">IF(Presupuesto!$B$50='Flujo de Pagos'!$E147,50,9999)</f>
        <v>50</v>
      </c>
      <c r="BS147" s="0" t="n">
        <f aca="false">IF(Presupuesto!$B$51='Flujo de Pagos'!$E147,51,9999)</f>
        <v>51</v>
      </c>
      <c r="BT147" s="0" t="n">
        <f aca="false">IF(Presupuesto!$B$52='Flujo de Pagos'!$E147,52,9999)</f>
        <v>52</v>
      </c>
      <c r="BU147" s="0" t="n">
        <f aca="false">IF(Presupuesto!$B$53='Flujo de Pagos'!$E147,53,9999)</f>
        <v>53</v>
      </c>
      <c r="BV147" s="0" t="n">
        <f aca="false">IF(Presupuesto!$B$54='Flujo de Pagos'!$E147,54,9999)</f>
        <v>54</v>
      </c>
      <c r="BW147" s="0" t="n">
        <f aca="false">IF(Presupuesto!$B$55='Flujo de Pagos'!$E147,55,9999)</f>
        <v>55</v>
      </c>
      <c r="BX147" s="0" t="n">
        <f aca="false">IF(Presupuesto!$B$56='Flujo de Pagos'!$E147,56,9999)</f>
        <v>56</v>
      </c>
      <c r="BY147" s="0" t="n">
        <f aca="false">IF(Presupuesto!$B$57='Flujo de Pagos'!$E147,57,9999)</f>
        <v>57</v>
      </c>
      <c r="BZ147" s="0" t="n">
        <f aca="false">IF(Presupuesto!$B$58='Flujo de Pagos'!$E147,58,9999)</f>
        <v>58</v>
      </c>
      <c r="CA147" s="0" t="n">
        <f aca="false">IF(Presupuesto!$B$59='Flujo de Pagos'!$E147,59,9999)</f>
        <v>59</v>
      </c>
      <c r="CB147" s="0" t="n">
        <f aca="false">IF(Presupuesto!$B$60='Flujo de Pagos'!$E147,60,9999)</f>
        <v>60</v>
      </c>
      <c r="CC147" s="0" t="n">
        <f aca="false">IF(Presupuesto!$B$61='Flujo de Pagos'!$E147,61,9999)</f>
        <v>61</v>
      </c>
      <c r="CD147" s="0" t="n">
        <f aca="false">IF(Presupuesto!$B$62='Flujo de Pagos'!$E147,62,9999)</f>
        <v>62</v>
      </c>
      <c r="CE147" s="0" t="n">
        <f aca="false">IF(Presupuesto!$B$63='Flujo de Pagos'!$E147,63,9999)</f>
        <v>63</v>
      </c>
      <c r="CF147" s="0" t="n">
        <f aca="false">IF(Presupuesto!$B$64='Flujo de Pagos'!$E147,64,9999)</f>
        <v>64</v>
      </c>
      <c r="CG147" s="0" t="n">
        <f aca="false">IF(Presupuesto!$B$65='Flujo de Pagos'!$E147,65,9999)</f>
        <v>65</v>
      </c>
      <c r="CH147" s="0" t="n">
        <f aca="false">IF(Presupuesto!$B$66='Flujo de Pagos'!$E147,66,9999)</f>
        <v>66</v>
      </c>
    </row>
    <row r="148" customFormat="false" ht="15" hidden="false" customHeight="true" outlineLevel="0" collapsed="false">
      <c r="B148" s="1" t="n">
        <f aca="false">IF(AND('Flujo de Pagos'!E153=Carátula!$B$2,'Flujo de Pagos'!F153=Carátula!$B$4,'Flujo de Pagos'!H153&lt;&gt;""),153,99999)</f>
        <v>99999</v>
      </c>
      <c r="H148" s="1" t="n">
        <f aca="false">IF(SMALL($AA148:$CH148,1)&gt;=9999,"",INDEX(Presupuesto!$C:$C,SMALL($AA148:$CH148,1)))</f>
        <v>0</v>
      </c>
      <c r="I148" s="1" t="n">
        <f aca="false">IF(SMALL($AA148:$CH148,2)&gt;=9999,"",INDEX(Presupuesto!$C:$C,SMALL($AA148:$CH148,2)))</f>
        <v>0</v>
      </c>
      <c r="J148" s="1" t="n">
        <f aca="false">IF(SMALL($AA148:$CH148,3)&gt;=9999,"",INDEX(Presupuesto!$C:$C,SMALL($AA148:$CH148,3)))</f>
        <v>0</v>
      </c>
      <c r="K148" s="1" t="n">
        <f aca="false">IF(SMALL($AA148:$CH148,4)&gt;=9999,"",INDEX(Presupuesto!$C:$C,SMALL($AA148:$CH148,4)))</f>
        <v>0</v>
      </c>
      <c r="L148" s="1" t="n">
        <f aca="false">IF(SMALL($AA148:$CH148,5)&gt;=9999,"",INDEX(Presupuesto!$C:$C,SMALL($AA148:$CH148,5)))</f>
        <v>0</v>
      </c>
      <c r="M148" s="1" t="n">
        <f aca="false">IF(SMALL($AA148:$CH148,6)&gt;=9999,"",INDEX(Presupuesto!$C:$C,SMALL($AA148:$CH148,6)))</f>
        <v>0</v>
      </c>
      <c r="N148" s="1" t="n">
        <f aca="false">IF(SMALL($AA148:$CH148,7)&gt;=9999,"",INDEX(Presupuesto!$C:$C,SMALL($AA148:$CH148,7)))</f>
        <v>0</v>
      </c>
      <c r="O148" s="1" t="n">
        <f aca="false">IF(SMALL($AA148:$CH148,8)&gt;=9999,"",INDEX(Presupuesto!$C:$C,SMALL($AA148:$CH148,8)))</f>
        <v>0</v>
      </c>
      <c r="P148" s="1" t="n">
        <f aca="false">IF(SMALL($AA148:$CH148,9)&gt;=9999,"",INDEX(Presupuesto!$C:$C,SMALL($AA148:$CH148,9)))</f>
        <v>0</v>
      </c>
      <c r="Q148" s="1" t="n">
        <f aca="false">IF(SMALL($AA148:$CH148,10)&gt;=9999,"",INDEX(Presupuesto!$C:$C,SMALL($AA148:$CH148,10)))</f>
        <v>0</v>
      </c>
      <c r="AA148" s="0" t="n">
        <f aca="false">IF(Presupuesto!$B$7='Flujo de Pagos'!$E148,7,9999)</f>
        <v>9999</v>
      </c>
      <c r="AB148" s="0" t="n">
        <f aca="false">IF(Presupuesto!$B$8='Flujo de Pagos'!$E148,8,9999)</f>
        <v>9999</v>
      </c>
      <c r="AC148" s="0" t="n">
        <f aca="false">IF(Presupuesto!$B$9='Flujo de Pagos'!$E148,9,9999)</f>
        <v>9999</v>
      </c>
      <c r="AD148" s="0" t="n">
        <f aca="false">IF(Presupuesto!$B$10='Flujo de Pagos'!$E148,10,9999)</f>
        <v>9999</v>
      </c>
      <c r="AE148" s="0" t="n">
        <f aca="false">IF(Presupuesto!$B$11='Flujo de Pagos'!$E148,11,9999)</f>
        <v>9999</v>
      </c>
      <c r="AF148" s="0" t="n">
        <f aca="false">IF(Presupuesto!$B$12='Flujo de Pagos'!$E148,12,9999)</f>
        <v>12</v>
      </c>
      <c r="AG148" s="0" t="n">
        <f aca="false">IF(Presupuesto!$B$13='Flujo de Pagos'!$E148,13,9999)</f>
        <v>13</v>
      </c>
      <c r="AH148" s="0" t="n">
        <f aca="false">IF(Presupuesto!$B$14='Flujo de Pagos'!$E148,14,9999)</f>
        <v>14</v>
      </c>
      <c r="AI148" s="0" t="n">
        <f aca="false">IF(Presupuesto!$B$15='Flujo de Pagos'!$E148,15,9999)</f>
        <v>15</v>
      </c>
      <c r="AJ148" s="0" t="n">
        <f aca="false">IF(Presupuesto!$B$16='Flujo de Pagos'!$E148,16,9999)</f>
        <v>16</v>
      </c>
      <c r="AK148" s="0" t="n">
        <f aca="false">IF(Presupuesto!$B$17='Flujo de Pagos'!$E148,17,9999)</f>
        <v>17</v>
      </c>
      <c r="AL148" s="0" t="n">
        <f aca="false">IF(Presupuesto!$B$18='Flujo de Pagos'!$E148,18,9999)</f>
        <v>18</v>
      </c>
      <c r="AM148" s="0" t="n">
        <f aca="false">IF(Presupuesto!$B$19='Flujo de Pagos'!$E148,19,9999)</f>
        <v>19</v>
      </c>
      <c r="AN148" s="0" t="n">
        <f aca="false">IF(Presupuesto!$B$20='Flujo de Pagos'!$E148,20,9999)</f>
        <v>20</v>
      </c>
      <c r="AO148" s="0" t="n">
        <f aca="false">IF(Presupuesto!$B$21='Flujo de Pagos'!$E148,21,9999)</f>
        <v>21</v>
      </c>
      <c r="AP148" s="0" t="n">
        <f aca="false">IF(Presupuesto!$B$22='Flujo de Pagos'!$E148,22,9999)</f>
        <v>22</v>
      </c>
      <c r="AQ148" s="0" t="n">
        <f aca="false">IF(Presupuesto!$B$23='Flujo de Pagos'!$E148,23,9999)</f>
        <v>23</v>
      </c>
      <c r="AR148" s="0" t="n">
        <f aca="false">IF(Presupuesto!$B$24='Flujo de Pagos'!$E148,24,9999)</f>
        <v>24</v>
      </c>
      <c r="AS148" s="0" t="n">
        <f aca="false">IF(Presupuesto!$B$25='Flujo de Pagos'!$E148,25,9999)</f>
        <v>25</v>
      </c>
      <c r="AT148" s="0" t="n">
        <f aca="false">IF(Presupuesto!$B$26='Flujo de Pagos'!$E148,26,9999)</f>
        <v>26</v>
      </c>
      <c r="AU148" s="0" t="n">
        <f aca="false">IF(Presupuesto!$B$27='Flujo de Pagos'!$E148,27,9999)</f>
        <v>27</v>
      </c>
      <c r="AV148" s="0" t="n">
        <f aca="false">IF(Presupuesto!$B$28='Flujo de Pagos'!$E148,28,9999)</f>
        <v>28</v>
      </c>
      <c r="AW148" s="0" t="n">
        <f aca="false">IF(Presupuesto!$B$29='Flujo de Pagos'!$E148,29,9999)</f>
        <v>29</v>
      </c>
      <c r="AX148" s="0" t="n">
        <f aca="false">IF(Presupuesto!$B$30='Flujo de Pagos'!$E148,30,9999)</f>
        <v>30</v>
      </c>
      <c r="AY148" s="0" t="n">
        <f aca="false">IF(Presupuesto!$B$31='Flujo de Pagos'!$E148,31,9999)</f>
        <v>31</v>
      </c>
      <c r="AZ148" s="0" t="n">
        <f aca="false">IF(Presupuesto!$B$32='Flujo de Pagos'!$E148,32,9999)</f>
        <v>32</v>
      </c>
      <c r="BA148" s="0" t="n">
        <f aca="false">IF(Presupuesto!$B$33='Flujo de Pagos'!$E148,33,9999)</f>
        <v>33</v>
      </c>
      <c r="BB148" s="0" t="n">
        <f aca="false">IF(Presupuesto!$B$34='Flujo de Pagos'!$E148,34,9999)</f>
        <v>34</v>
      </c>
      <c r="BC148" s="0" t="n">
        <f aca="false">IF(Presupuesto!$B$35='Flujo de Pagos'!$E148,35,9999)</f>
        <v>35</v>
      </c>
      <c r="BD148" s="0" t="n">
        <f aca="false">IF(Presupuesto!$B$36='Flujo de Pagos'!$E148,36,9999)</f>
        <v>36</v>
      </c>
      <c r="BE148" s="0" t="n">
        <f aca="false">IF(Presupuesto!$B$37='Flujo de Pagos'!$E148,37,9999)</f>
        <v>37</v>
      </c>
      <c r="BF148" s="0" t="n">
        <f aca="false">IF(Presupuesto!$B$38='Flujo de Pagos'!$E148,38,9999)</f>
        <v>38</v>
      </c>
      <c r="BG148" s="0" t="n">
        <f aca="false">IF(Presupuesto!$B$39='Flujo de Pagos'!$E148,39,9999)</f>
        <v>39</v>
      </c>
      <c r="BH148" s="0" t="n">
        <f aca="false">IF(Presupuesto!$B$40='Flujo de Pagos'!$E148,40,9999)</f>
        <v>40</v>
      </c>
      <c r="BI148" s="0" t="n">
        <f aca="false">IF(Presupuesto!$B$41='Flujo de Pagos'!$E148,41,9999)</f>
        <v>41</v>
      </c>
      <c r="BJ148" s="0" t="n">
        <f aca="false">IF(Presupuesto!$B$42='Flujo de Pagos'!$E148,42,9999)</f>
        <v>42</v>
      </c>
      <c r="BK148" s="0" t="n">
        <f aca="false">IF(Presupuesto!$B$43='Flujo de Pagos'!$E148,43,9999)</f>
        <v>43</v>
      </c>
      <c r="BL148" s="0" t="n">
        <f aca="false">IF(Presupuesto!$B$44='Flujo de Pagos'!$E148,44,9999)</f>
        <v>44</v>
      </c>
      <c r="BM148" s="0" t="n">
        <f aca="false">IF(Presupuesto!$B$45='Flujo de Pagos'!$E148,45,9999)</f>
        <v>45</v>
      </c>
      <c r="BN148" s="0" t="n">
        <f aca="false">IF(Presupuesto!$B$46='Flujo de Pagos'!$E148,46,9999)</f>
        <v>46</v>
      </c>
      <c r="BO148" s="0" t="n">
        <f aca="false">IF(Presupuesto!$B$47='Flujo de Pagos'!$E148,47,9999)</f>
        <v>47</v>
      </c>
      <c r="BP148" s="0" t="n">
        <f aca="false">IF(Presupuesto!$B$48='Flujo de Pagos'!$E148,48,9999)</f>
        <v>48</v>
      </c>
      <c r="BQ148" s="0" t="n">
        <f aca="false">IF(Presupuesto!$B$49='Flujo de Pagos'!$E148,49,9999)</f>
        <v>49</v>
      </c>
      <c r="BR148" s="0" t="n">
        <f aca="false">IF(Presupuesto!$B$50='Flujo de Pagos'!$E148,50,9999)</f>
        <v>50</v>
      </c>
      <c r="BS148" s="0" t="n">
        <f aca="false">IF(Presupuesto!$B$51='Flujo de Pagos'!$E148,51,9999)</f>
        <v>51</v>
      </c>
      <c r="BT148" s="0" t="n">
        <f aca="false">IF(Presupuesto!$B$52='Flujo de Pagos'!$E148,52,9999)</f>
        <v>52</v>
      </c>
      <c r="BU148" s="0" t="n">
        <f aca="false">IF(Presupuesto!$B$53='Flujo de Pagos'!$E148,53,9999)</f>
        <v>53</v>
      </c>
      <c r="BV148" s="0" t="n">
        <f aca="false">IF(Presupuesto!$B$54='Flujo de Pagos'!$E148,54,9999)</f>
        <v>54</v>
      </c>
      <c r="BW148" s="0" t="n">
        <f aca="false">IF(Presupuesto!$B$55='Flujo de Pagos'!$E148,55,9999)</f>
        <v>55</v>
      </c>
      <c r="BX148" s="0" t="n">
        <f aca="false">IF(Presupuesto!$B$56='Flujo de Pagos'!$E148,56,9999)</f>
        <v>56</v>
      </c>
      <c r="BY148" s="0" t="n">
        <f aca="false">IF(Presupuesto!$B$57='Flujo de Pagos'!$E148,57,9999)</f>
        <v>57</v>
      </c>
      <c r="BZ148" s="0" t="n">
        <f aca="false">IF(Presupuesto!$B$58='Flujo de Pagos'!$E148,58,9999)</f>
        <v>58</v>
      </c>
      <c r="CA148" s="0" t="n">
        <f aca="false">IF(Presupuesto!$B$59='Flujo de Pagos'!$E148,59,9999)</f>
        <v>59</v>
      </c>
      <c r="CB148" s="0" t="n">
        <f aca="false">IF(Presupuesto!$B$60='Flujo de Pagos'!$E148,60,9999)</f>
        <v>60</v>
      </c>
      <c r="CC148" s="0" t="n">
        <f aca="false">IF(Presupuesto!$B$61='Flujo de Pagos'!$E148,61,9999)</f>
        <v>61</v>
      </c>
      <c r="CD148" s="0" t="n">
        <f aca="false">IF(Presupuesto!$B$62='Flujo de Pagos'!$E148,62,9999)</f>
        <v>62</v>
      </c>
      <c r="CE148" s="0" t="n">
        <f aca="false">IF(Presupuesto!$B$63='Flujo de Pagos'!$E148,63,9999)</f>
        <v>63</v>
      </c>
      <c r="CF148" s="0" t="n">
        <f aca="false">IF(Presupuesto!$B$64='Flujo de Pagos'!$E148,64,9999)</f>
        <v>64</v>
      </c>
      <c r="CG148" s="0" t="n">
        <f aca="false">IF(Presupuesto!$B$65='Flujo de Pagos'!$E148,65,9999)</f>
        <v>65</v>
      </c>
      <c r="CH148" s="0" t="n">
        <f aca="false">IF(Presupuesto!$B$66='Flujo de Pagos'!$E148,66,9999)</f>
        <v>66</v>
      </c>
    </row>
    <row r="149" customFormat="false" ht="15" hidden="false" customHeight="true" outlineLevel="0" collapsed="false">
      <c r="B149" s="1" t="n">
        <f aca="false">IF(AND('Flujo de Pagos'!E154=Carátula!$B$2,'Flujo de Pagos'!F154=Carátula!$B$4,'Flujo de Pagos'!H154&lt;&gt;""),154,99999)</f>
        <v>99999</v>
      </c>
      <c r="H149" s="1" t="n">
        <f aca="false">IF(SMALL($AA149:$CH149,1)&gt;=9999,"",INDEX(Presupuesto!$C:$C,SMALL($AA149:$CH149,1)))</f>
        <v>0</v>
      </c>
      <c r="I149" s="1" t="n">
        <f aca="false">IF(SMALL($AA149:$CH149,2)&gt;=9999,"",INDEX(Presupuesto!$C:$C,SMALL($AA149:$CH149,2)))</f>
        <v>0</v>
      </c>
      <c r="J149" s="1" t="n">
        <f aca="false">IF(SMALL($AA149:$CH149,3)&gt;=9999,"",INDEX(Presupuesto!$C:$C,SMALL($AA149:$CH149,3)))</f>
        <v>0</v>
      </c>
      <c r="K149" s="1" t="n">
        <f aca="false">IF(SMALL($AA149:$CH149,4)&gt;=9999,"",INDEX(Presupuesto!$C:$C,SMALL($AA149:$CH149,4)))</f>
        <v>0</v>
      </c>
      <c r="L149" s="1" t="n">
        <f aca="false">IF(SMALL($AA149:$CH149,5)&gt;=9999,"",INDEX(Presupuesto!$C:$C,SMALL($AA149:$CH149,5)))</f>
        <v>0</v>
      </c>
      <c r="M149" s="1" t="n">
        <f aca="false">IF(SMALL($AA149:$CH149,6)&gt;=9999,"",INDEX(Presupuesto!$C:$C,SMALL($AA149:$CH149,6)))</f>
        <v>0</v>
      </c>
      <c r="N149" s="1" t="n">
        <f aca="false">IF(SMALL($AA149:$CH149,7)&gt;=9999,"",INDEX(Presupuesto!$C:$C,SMALL($AA149:$CH149,7)))</f>
        <v>0</v>
      </c>
      <c r="O149" s="1" t="n">
        <f aca="false">IF(SMALL($AA149:$CH149,8)&gt;=9999,"",INDEX(Presupuesto!$C:$C,SMALL($AA149:$CH149,8)))</f>
        <v>0</v>
      </c>
      <c r="P149" s="1" t="n">
        <f aca="false">IF(SMALL($AA149:$CH149,9)&gt;=9999,"",INDEX(Presupuesto!$C:$C,SMALL($AA149:$CH149,9)))</f>
        <v>0</v>
      </c>
      <c r="Q149" s="1" t="n">
        <f aca="false">IF(SMALL($AA149:$CH149,10)&gt;=9999,"",INDEX(Presupuesto!$C:$C,SMALL($AA149:$CH149,10)))</f>
        <v>0</v>
      </c>
      <c r="AA149" s="0" t="n">
        <f aca="false">IF(Presupuesto!$B$7='Flujo de Pagos'!$E149,7,9999)</f>
        <v>9999</v>
      </c>
      <c r="AB149" s="0" t="n">
        <f aca="false">IF(Presupuesto!$B$8='Flujo de Pagos'!$E149,8,9999)</f>
        <v>9999</v>
      </c>
      <c r="AC149" s="0" t="n">
        <f aca="false">IF(Presupuesto!$B$9='Flujo de Pagos'!$E149,9,9999)</f>
        <v>9999</v>
      </c>
      <c r="AD149" s="0" t="n">
        <f aca="false">IF(Presupuesto!$B$10='Flujo de Pagos'!$E149,10,9999)</f>
        <v>9999</v>
      </c>
      <c r="AE149" s="0" t="n">
        <f aca="false">IF(Presupuesto!$B$11='Flujo de Pagos'!$E149,11,9999)</f>
        <v>9999</v>
      </c>
      <c r="AF149" s="0" t="n">
        <f aca="false">IF(Presupuesto!$B$12='Flujo de Pagos'!$E149,12,9999)</f>
        <v>12</v>
      </c>
      <c r="AG149" s="0" t="n">
        <f aca="false">IF(Presupuesto!$B$13='Flujo de Pagos'!$E149,13,9999)</f>
        <v>13</v>
      </c>
      <c r="AH149" s="0" t="n">
        <f aca="false">IF(Presupuesto!$B$14='Flujo de Pagos'!$E149,14,9999)</f>
        <v>14</v>
      </c>
      <c r="AI149" s="0" t="n">
        <f aca="false">IF(Presupuesto!$B$15='Flujo de Pagos'!$E149,15,9999)</f>
        <v>15</v>
      </c>
      <c r="AJ149" s="0" t="n">
        <f aca="false">IF(Presupuesto!$B$16='Flujo de Pagos'!$E149,16,9999)</f>
        <v>16</v>
      </c>
      <c r="AK149" s="0" t="n">
        <f aca="false">IF(Presupuesto!$B$17='Flujo de Pagos'!$E149,17,9999)</f>
        <v>17</v>
      </c>
      <c r="AL149" s="0" t="n">
        <f aca="false">IF(Presupuesto!$B$18='Flujo de Pagos'!$E149,18,9999)</f>
        <v>18</v>
      </c>
      <c r="AM149" s="0" t="n">
        <f aca="false">IF(Presupuesto!$B$19='Flujo de Pagos'!$E149,19,9999)</f>
        <v>19</v>
      </c>
      <c r="AN149" s="0" t="n">
        <f aca="false">IF(Presupuesto!$B$20='Flujo de Pagos'!$E149,20,9999)</f>
        <v>20</v>
      </c>
      <c r="AO149" s="0" t="n">
        <f aca="false">IF(Presupuesto!$B$21='Flujo de Pagos'!$E149,21,9999)</f>
        <v>21</v>
      </c>
      <c r="AP149" s="0" t="n">
        <f aca="false">IF(Presupuesto!$B$22='Flujo de Pagos'!$E149,22,9999)</f>
        <v>22</v>
      </c>
      <c r="AQ149" s="0" t="n">
        <f aca="false">IF(Presupuesto!$B$23='Flujo de Pagos'!$E149,23,9999)</f>
        <v>23</v>
      </c>
      <c r="AR149" s="0" t="n">
        <f aca="false">IF(Presupuesto!$B$24='Flujo de Pagos'!$E149,24,9999)</f>
        <v>24</v>
      </c>
      <c r="AS149" s="0" t="n">
        <f aca="false">IF(Presupuesto!$B$25='Flujo de Pagos'!$E149,25,9999)</f>
        <v>25</v>
      </c>
      <c r="AT149" s="0" t="n">
        <f aca="false">IF(Presupuesto!$B$26='Flujo de Pagos'!$E149,26,9999)</f>
        <v>26</v>
      </c>
      <c r="AU149" s="0" t="n">
        <f aca="false">IF(Presupuesto!$B$27='Flujo de Pagos'!$E149,27,9999)</f>
        <v>27</v>
      </c>
      <c r="AV149" s="0" t="n">
        <f aca="false">IF(Presupuesto!$B$28='Flujo de Pagos'!$E149,28,9999)</f>
        <v>28</v>
      </c>
      <c r="AW149" s="0" t="n">
        <f aca="false">IF(Presupuesto!$B$29='Flujo de Pagos'!$E149,29,9999)</f>
        <v>29</v>
      </c>
      <c r="AX149" s="0" t="n">
        <f aca="false">IF(Presupuesto!$B$30='Flujo de Pagos'!$E149,30,9999)</f>
        <v>30</v>
      </c>
      <c r="AY149" s="0" t="n">
        <f aca="false">IF(Presupuesto!$B$31='Flujo de Pagos'!$E149,31,9999)</f>
        <v>31</v>
      </c>
      <c r="AZ149" s="0" t="n">
        <f aca="false">IF(Presupuesto!$B$32='Flujo de Pagos'!$E149,32,9999)</f>
        <v>32</v>
      </c>
      <c r="BA149" s="0" t="n">
        <f aca="false">IF(Presupuesto!$B$33='Flujo de Pagos'!$E149,33,9999)</f>
        <v>33</v>
      </c>
      <c r="BB149" s="0" t="n">
        <f aca="false">IF(Presupuesto!$B$34='Flujo de Pagos'!$E149,34,9999)</f>
        <v>34</v>
      </c>
      <c r="BC149" s="0" t="n">
        <f aca="false">IF(Presupuesto!$B$35='Flujo de Pagos'!$E149,35,9999)</f>
        <v>35</v>
      </c>
      <c r="BD149" s="0" t="n">
        <f aca="false">IF(Presupuesto!$B$36='Flujo de Pagos'!$E149,36,9999)</f>
        <v>36</v>
      </c>
      <c r="BE149" s="0" t="n">
        <f aca="false">IF(Presupuesto!$B$37='Flujo de Pagos'!$E149,37,9999)</f>
        <v>37</v>
      </c>
      <c r="BF149" s="0" t="n">
        <f aca="false">IF(Presupuesto!$B$38='Flujo de Pagos'!$E149,38,9999)</f>
        <v>38</v>
      </c>
      <c r="BG149" s="0" t="n">
        <f aca="false">IF(Presupuesto!$B$39='Flujo de Pagos'!$E149,39,9999)</f>
        <v>39</v>
      </c>
      <c r="BH149" s="0" t="n">
        <f aca="false">IF(Presupuesto!$B$40='Flujo de Pagos'!$E149,40,9999)</f>
        <v>40</v>
      </c>
      <c r="BI149" s="0" t="n">
        <f aca="false">IF(Presupuesto!$B$41='Flujo de Pagos'!$E149,41,9999)</f>
        <v>41</v>
      </c>
      <c r="BJ149" s="0" t="n">
        <f aca="false">IF(Presupuesto!$B$42='Flujo de Pagos'!$E149,42,9999)</f>
        <v>42</v>
      </c>
      <c r="BK149" s="0" t="n">
        <f aca="false">IF(Presupuesto!$B$43='Flujo de Pagos'!$E149,43,9999)</f>
        <v>43</v>
      </c>
      <c r="BL149" s="0" t="n">
        <f aca="false">IF(Presupuesto!$B$44='Flujo de Pagos'!$E149,44,9999)</f>
        <v>44</v>
      </c>
      <c r="BM149" s="0" t="n">
        <f aca="false">IF(Presupuesto!$B$45='Flujo de Pagos'!$E149,45,9999)</f>
        <v>45</v>
      </c>
      <c r="BN149" s="0" t="n">
        <f aca="false">IF(Presupuesto!$B$46='Flujo de Pagos'!$E149,46,9999)</f>
        <v>46</v>
      </c>
      <c r="BO149" s="0" t="n">
        <f aca="false">IF(Presupuesto!$B$47='Flujo de Pagos'!$E149,47,9999)</f>
        <v>47</v>
      </c>
      <c r="BP149" s="0" t="n">
        <f aca="false">IF(Presupuesto!$B$48='Flujo de Pagos'!$E149,48,9999)</f>
        <v>48</v>
      </c>
      <c r="BQ149" s="0" t="n">
        <f aca="false">IF(Presupuesto!$B$49='Flujo de Pagos'!$E149,49,9999)</f>
        <v>49</v>
      </c>
      <c r="BR149" s="0" t="n">
        <f aca="false">IF(Presupuesto!$B$50='Flujo de Pagos'!$E149,50,9999)</f>
        <v>50</v>
      </c>
      <c r="BS149" s="0" t="n">
        <f aca="false">IF(Presupuesto!$B$51='Flujo de Pagos'!$E149,51,9999)</f>
        <v>51</v>
      </c>
      <c r="BT149" s="0" t="n">
        <f aca="false">IF(Presupuesto!$B$52='Flujo de Pagos'!$E149,52,9999)</f>
        <v>52</v>
      </c>
      <c r="BU149" s="0" t="n">
        <f aca="false">IF(Presupuesto!$B$53='Flujo de Pagos'!$E149,53,9999)</f>
        <v>53</v>
      </c>
      <c r="BV149" s="0" t="n">
        <f aca="false">IF(Presupuesto!$B$54='Flujo de Pagos'!$E149,54,9999)</f>
        <v>54</v>
      </c>
      <c r="BW149" s="0" t="n">
        <f aca="false">IF(Presupuesto!$B$55='Flujo de Pagos'!$E149,55,9999)</f>
        <v>55</v>
      </c>
      <c r="BX149" s="0" t="n">
        <f aca="false">IF(Presupuesto!$B$56='Flujo de Pagos'!$E149,56,9999)</f>
        <v>56</v>
      </c>
      <c r="BY149" s="0" t="n">
        <f aca="false">IF(Presupuesto!$B$57='Flujo de Pagos'!$E149,57,9999)</f>
        <v>57</v>
      </c>
      <c r="BZ149" s="0" t="n">
        <f aca="false">IF(Presupuesto!$B$58='Flujo de Pagos'!$E149,58,9999)</f>
        <v>58</v>
      </c>
      <c r="CA149" s="0" t="n">
        <f aca="false">IF(Presupuesto!$B$59='Flujo de Pagos'!$E149,59,9999)</f>
        <v>59</v>
      </c>
      <c r="CB149" s="0" t="n">
        <f aca="false">IF(Presupuesto!$B$60='Flujo de Pagos'!$E149,60,9999)</f>
        <v>60</v>
      </c>
      <c r="CC149" s="0" t="n">
        <f aca="false">IF(Presupuesto!$B$61='Flujo de Pagos'!$E149,61,9999)</f>
        <v>61</v>
      </c>
      <c r="CD149" s="0" t="n">
        <f aca="false">IF(Presupuesto!$B$62='Flujo de Pagos'!$E149,62,9999)</f>
        <v>62</v>
      </c>
      <c r="CE149" s="0" t="n">
        <f aca="false">IF(Presupuesto!$B$63='Flujo de Pagos'!$E149,63,9999)</f>
        <v>63</v>
      </c>
      <c r="CF149" s="0" t="n">
        <f aca="false">IF(Presupuesto!$B$64='Flujo de Pagos'!$E149,64,9999)</f>
        <v>64</v>
      </c>
      <c r="CG149" s="0" t="n">
        <f aca="false">IF(Presupuesto!$B$65='Flujo de Pagos'!$E149,65,9999)</f>
        <v>65</v>
      </c>
      <c r="CH149" s="0" t="n">
        <f aca="false">IF(Presupuesto!$B$66='Flujo de Pagos'!$E149,66,9999)</f>
        <v>66</v>
      </c>
    </row>
    <row r="150" customFormat="false" ht="15" hidden="false" customHeight="true" outlineLevel="0" collapsed="false">
      <c r="B150" s="1" t="n">
        <f aca="false">IF(AND('Flujo de Pagos'!E155=Carátula!$B$2,'Flujo de Pagos'!F155=Carátula!$B$4,'Flujo de Pagos'!H155&lt;&gt;""),155,99999)</f>
        <v>99999</v>
      </c>
      <c r="H150" s="1" t="n">
        <f aca="false">IF(SMALL($AA150:$CH150,1)&gt;=9999,"",INDEX(Presupuesto!$C:$C,SMALL($AA150:$CH150,1)))</f>
        <v>0</v>
      </c>
      <c r="I150" s="1" t="n">
        <f aca="false">IF(SMALL($AA150:$CH150,2)&gt;=9999,"",INDEX(Presupuesto!$C:$C,SMALL($AA150:$CH150,2)))</f>
        <v>0</v>
      </c>
      <c r="J150" s="1" t="n">
        <f aca="false">IF(SMALL($AA150:$CH150,3)&gt;=9999,"",INDEX(Presupuesto!$C:$C,SMALL($AA150:$CH150,3)))</f>
        <v>0</v>
      </c>
      <c r="K150" s="1" t="n">
        <f aca="false">IF(SMALL($AA150:$CH150,4)&gt;=9999,"",INDEX(Presupuesto!$C:$C,SMALL($AA150:$CH150,4)))</f>
        <v>0</v>
      </c>
      <c r="L150" s="1" t="n">
        <f aca="false">IF(SMALL($AA150:$CH150,5)&gt;=9999,"",INDEX(Presupuesto!$C:$C,SMALL($AA150:$CH150,5)))</f>
        <v>0</v>
      </c>
      <c r="M150" s="1" t="n">
        <f aca="false">IF(SMALL($AA150:$CH150,6)&gt;=9999,"",INDEX(Presupuesto!$C:$C,SMALL($AA150:$CH150,6)))</f>
        <v>0</v>
      </c>
      <c r="N150" s="1" t="n">
        <f aca="false">IF(SMALL($AA150:$CH150,7)&gt;=9999,"",INDEX(Presupuesto!$C:$C,SMALL($AA150:$CH150,7)))</f>
        <v>0</v>
      </c>
      <c r="O150" s="1" t="n">
        <f aca="false">IF(SMALL($AA150:$CH150,8)&gt;=9999,"",INDEX(Presupuesto!$C:$C,SMALL($AA150:$CH150,8)))</f>
        <v>0</v>
      </c>
      <c r="P150" s="1" t="n">
        <f aca="false">IF(SMALL($AA150:$CH150,9)&gt;=9999,"",INDEX(Presupuesto!$C:$C,SMALL($AA150:$CH150,9)))</f>
        <v>0</v>
      </c>
      <c r="Q150" s="1" t="n">
        <f aca="false">IF(SMALL($AA150:$CH150,10)&gt;=9999,"",INDEX(Presupuesto!$C:$C,SMALL($AA150:$CH150,10)))</f>
        <v>0</v>
      </c>
      <c r="AA150" s="0" t="n">
        <f aca="false">IF(Presupuesto!$B$7='Flujo de Pagos'!$E150,7,9999)</f>
        <v>9999</v>
      </c>
      <c r="AB150" s="0" t="n">
        <f aca="false">IF(Presupuesto!$B$8='Flujo de Pagos'!$E150,8,9999)</f>
        <v>9999</v>
      </c>
      <c r="AC150" s="0" t="n">
        <f aca="false">IF(Presupuesto!$B$9='Flujo de Pagos'!$E150,9,9999)</f>
        <v>9999</v>
      </c>
      <c r="AD150" s="0" t="n">
        <f aca="false">IF(Presupuesto!$B$10='Flujo de Pagos'!$E150,10,9999)</f>
        <v>9999</v>
      </c>
      <c r="AE150" s="0" t="n">
        <f aca="false">IF(Presupuesto!$B$11='Flujo de Pagos'!$E150,11,9999)</f>
        <v>9999</v>
      </c>
      <c r="AF150" s="0" t="n">
        <f aca="false">IF(Presupuesto!$B$12='Flujo de Pagos'!$E150,12,9999)</f>
        <v>12</v>
      </c>
      <c r="AG150" s="0" t="n">
        <f aca="false">IF(Presupuesto!$B$13='Flujo de Pagos'!$E150,13,9999)</f>
        <v>13</v>
      </c>
      <c r="AH150" s="0" t="n">
        <f aca="false">IF(Presupuesto!$B$14='Flujo de Pagos'!$E150,14,9999)</f>
        <v>14</v>
      </c>
      <c r="AI150" s="0" t="n">
        <f aca="false">IF(Presupuesto!$B$15='Flujo de Pagos'!$E150,15,9999)</f>
        <v>15</v>
      </c>
      <c r="AJ150" s="0" t="n">
        <f aca="false">IF(Presupuesto!$B$16='Flujo de Pagos'!$E150,16,9999)</f>
        <v>16</v>
      </c>
      <c r="AK150" s="0" t="n">
        <f aca="false">IF(Presupuesto!$B$17='Flujo de Pagos'!$E150,17,9999)</f>
        <v>17</v>
      </c>
      <c r="AL150" s="0" t="n">
        <f aca="false">IF(Presupuesto!$B$18='Flujo de Pagos'!$E150,18,9999)</f>
        <v>18</v>
      </c>
      <c r="AM150" s="0" t="n">
        <f aca="false">IF(Presupuesto!$B$19='Flujo de Pagos'!$E150,19,9999)</f>
        <v>19</v>
      </c>
      <c r="AN150" s="0" t="n">
        <f aca="false">IF(Presupuesto!$B$20='Flujo de Pagos'!$E150,20,9999)</f>
        <v>20</v>
      </c>
      <c r="AO150" s="0" t="n">
        <f aca="false">IF(Presupuesto!$B$21='Flujo de Pagos'!$E150,21,9999)</f>
        <v>21</v>
      </c>
      <c r="AP150" s="0" t="n">
        <f aca="false">IF(Presupuesto!$B$22='Flujo de Pagos'!$E150,22,9999)</f>
        <v>22</v>
      </c>
      <c r="AQ150" s="0" t="n">
        <f aca="false">IF(Presupuesto!$B$23='Flujo de Pagos'!$E150,23,9999)</f>
        <v>23</v>
      </c>
      <c r="AR150" s="0" t="n">
        <f aca="false">IF(Presupuesto!$B$24='Flujo de Pagos'!$E150,24,9999)</f>
        <v>24</v>
      </c>
      <c r="AS150" s="0" t="n">
        <f aca="false">IF(Presupuesto!$B$25='Flujo de Pagos'!$E150,25,9999)</f>
        <v>25</v>
      </c>
      <c r="AT150" s="0" t="n">
        <f aca="false">IF(Presupuesto!$B$26='Flujo de Pagos'!$E150,26,9999)</f>
        <v>26</v>
      </c>
      <c r="AU150" s="0" t="n">
        <f aca="false">IF(Presupuesto!$B$27='Flujo de Pagos'!$E150,27,9999)</f>
        <v>27</v>
      </c>
      <c r="AV150" s="0" t="n">
        <f aca="false">IF(Presupuesto!$B$28='Flujo de Pagos'!$E150,28,9999)</f>
        <v>28</v>
      </c>
      <c r="AW150" s="0" t="n">
        <f aca="false">IF(Presupuesto!$B$29='Flujo de Pagos'!$E150,29,9999)</f>
        <v>29</v>
      </c>
      <c r="AX150" s="0" t="n">
        <f aca="false">IF(Presupuesto!$B$30='Flujo de Pagos'!$E150,30,9999)</f>
        <v>30</v>
      </c>
      <c r="AY150" s="0" t="n">
        <f aca="false">IF(Presupuesto!$B$31='Flujo de Pagos'!$E150,31,9999)</f>
        <v>31</v>
      </c>
      <c r="AZ150" s="0" t="n">
        <f aca="false">IF(Presupuesto!$B$32='Flujo de Pagos'!$E150,32,9999)</f>
        <v>32</v>
      </c>
      <c r="BA150" s="0" t="n">
        <f aca="false">IF(Presupuesto!$B$33='Flujo de Pagos'!$E150,33,9999)</f>
        <v>33</v>
      </c>
      <c r="BB150" s="0" t="n">
        <f aca="false">IF(Presupuesto!$B$34='Flujo de Pagos'!$E150,34,9999)</f>
        <v>34</v>
      </c>
      <c r="BC150" s="0" t="n">
        <f aca="false">IF(Presupuesto!$B$35='Flujo de Pagos'!$E150,35,9999)</f>
        <v>35</v>
      </c>
      <c r="BD150" s="0" t="n">
        <f aca="false">IF(Presupuesto!$B$36='Flujo de Pagos'!$E150,36,9999)</f>
        <v>36</v>
      </c>
      <c r="BE150" s="0" t="n">
        <f aca="false">IF(Presupuesto!$B$37='Flujo de Pagos'!$E150,37,9999)</f>
        <v>37</v>
      </c>
      <c r="BF150" s="0" t="n">
        <f aca="false">IF(Presupuesto!$B$38='Flujo de Pagos'!$E150,38,9999)</f>
        <v>38</v>
      </c>
      <c r="BG150" s="0" t="n">
        <f aca="false">IF(Presupuesto!$B$39='Flujo de Pagos'!$E150,39,9999)</f>
        <v>39</v>
      </c>
      <c r="BH150" s="0" t="n">
        <f aca="false">IF(Presupuesto!$B$40='Flujo de Pagos'!$E150,40,9999)</f>
        <v>40</v>
      </c>
      <c r="BI150" s="0" t="n">
        <f aca="false">IF(Presupuesto!$B$41='Flujo de Pagos'!$E150,41,9999)</f>
        <v>41</v>
      </c>
      <c r="BJ150" s="0" t="n">
        <f aca="false">IF(Presupuesto!$B$42='Flujo de Pagos'!$E150,42,9999)</f>
        <v>42</v>
      </c>
      <c r="BK150" s="0" t="n">
        <f aca="false">IF(Presupuesto!$B$43='Flujo de Pagos'!$E150,43,9999)</f>
        <v>43</v>
      </c>
      <c r="BL150" s="0" t="n">
        <f aca="false">IF(Presupuesto!$B$44='Flujo de Pagos'!$E150,44,9999)</f>
        <v>44</v>
      </c>
      <c r="BM150" s="0" t="n">
        <f aca="false">IF(Presupuesto!$B$45='Flujo de Pagos'!$E150,45,9999)</f>
        <v>45</v>
      </c>
      <c r="BN150" s="0" t="n">
        <f aca="false">IF(Presupuesto!$B$46='Flujo de Pagos'!$E150,46,9999)</f>
        <v>46</v>
      </c>
      <c r="BO150" s="0" t="n">
        <f aca="false">IF(Presupuesto!$B$47='Flujo de Pagos'!$E150,47,9999)</f>
        <v>47</v>
      </c>
      <c r="BP150" s="0" t="n">
        <f aca="false">IF(Presupuesto!$B$48='Flujo de Pagos'!$E150,48,9999)</f>
        <v>48</v>
      </c>
      <c r="BQ150" s="0" t="n">
        <f aca="false">IF(Presupuesto!$B$49='Flujo de Pagos'!$E150,49,9999)</f>
        <v>49</v>
      </c>
      <c r="BR150" s="0" t="n">
        <f aca="false">IF(Presupuesto!$B$50='Flujo de Pagos'!$E150,50,9999)</f>
        <v>50</v>
      </c>
      <c r="BS150" s="0" t="n">
        <f aca="false">IF(Presupuesto!$B$51='Flujo de Pagos'!$E150,51,9999)</f>
        <v>51</v>
      </c>
      <c r="BT150" s="0" t="n">
        <f aca="false">IF(Presupuesto!$B$52='Flujo de Pagos'!$E150,52,9999)</f>
        <v>52</v>
      </c>
      <c r="BU150" s="0" t="n">
        <f aca="false">IF(Presupuesto!$B$53='Flujo de Pagos'!$E150,53,9999)</f>
        <v>53</v>
      </c>
      <c r="BV150" s="0" t="n">
        <f aca="false">IF(Presupuesto!$B$54='Flujo de Pagos'!$E150,54,9999)</f>
        <v>54</v>
      </c>
      <c r="BW150" s="0" t="n">
        <f aca="false">IF(Presupuesto!$B$55='Flujo de Pagos'!$E150,55,9999)</f>
        <v>55</v>
      </c>
      <c r="BX150" s="0" t="n">
        <f aca="false">IF(Presupuesto!$B$56='Flujo de Pagos'!$E150,56,9999)</f>
        <v>56</v>
      </c>
      <c r="BY150" s="0" t="n">
        <f aca="false">IF(Presupuesto!$B$57='Flujo de Pagos'!$E150,57,9999)</f>
        <v>57</v>
      </c>
      <c r="BZ150" s="0" t="n">
        <f aca="false">IF(Presupuesto!$B$58='Flujo de Pagos'!$E150,58,9999)</f>
        <v>58</v>
      </c>
      <c r="CA150" s="0" t="n">
        <f aca="false">IF(Presupuesto!$B$59='Flujo de Pagos'!$E150,59,9999)</f>
        <v>59</v>
      </c>
      <c r="CB150" s="0" t="n">
        <f aca="false">IF(Presupuesto!$B$60='Flujo de Pagos'!$E150,60,9999)</f>
        <v>60</v>
      </c>
      <c r="CC150" s="0" t="n">
        <f aca="false">IF(Presupuesto!$B$61='Flujo de Pagos'!$E150,61,9999)</f>
        <v>61</v>
      </c>
      <c r="CD150" s="0" t="n">
        <f aca="false">IF(Presupuesto!$B$62='Flujo de Pagos'!$E150,62,9999)</f>
        <v>62</v>
      </c>
      <c r="CE150" s="0" t="n">
        <f aca="false">IF(Presupuesto!$B$63='Flujo de Pagos'!$E150,63,9999)</f>
        <v>63</v>
      </c>
      <c r="CF150" s="0" t="n">
        <f aca="false">IF(Presupuesto!$B$64='Flujo de Pagos'!$E150,64,9999)</f>
        <v>64</v>
      </c>
      <c r="CG150" s="0" t="n">
        <f aca="false">IF(Presupuesto!$B$65='Flujo de Pagos'!$E150,65,9999)</f>
        <v>65</v>
      </c>
      <c r="CH150" s="0" t="n">
        <f aca="false">IF(Presupuesto!$B$66='Flujo de Pagos'!$E150,66,9999)</f>
        <v>66</v>
      </c>
    </row>
    <row r="151" customFormat="false" ht="15" hidden="false" customHeight="true" outlineLevel="0" collapsed="false">
      <c r="B151" s="1" t="n">
        <f aca="false">IF(AND('Flujo de Pagos'!E156=Carátula!$B$2,'Flujo de Pagos'!F156=Carátula!$B$4,'Flujo de Pagos'!H156&lt;&gt;""),156,99999)</f>
        <v>99999</v>
      </c>
      <c r="H151" s="1" t="n">
        <f aca="false">IF(SMALL($AA151:$CH151,1)&gt;=9999,"",INDEX(Presupuesto!$C:$C,SMALL($AA151:$CH151,1)))</f>
        <v>0</v>
      </c>
      <c r="I151" s="1" t="n">
        <f aca="false">IF(SMALL($AA151:$CH151,2)&gt;=9999,"",INDEX(Presupuesto!$C:$C,SMALL($AA151:$CH151,2)))</f>
        <v>0</v>
      </c>
      <c r="J151" s="1" t="n">
        <f aca="false">IF(SMALL($AA151:$CH151,3)&gt;=9999,"",INDEX(Presupuesto!$C:$C,SMALL($AA151:$CH151,3)))</f>
        <v>0</v>
      </c>
      <c r="K151" s="1" t="n">
        <f aca="false">IF(SMALL($AA151:$CH151,4)&gt;=9999,"",INDEX(Presupuesto!$C:$C,SMALL($AA151:$CH151,4)))</f>
        <v>0</v>
      </c>
      <c r="L151" s="1" t="n">
        <f aca="false">IF(SMALL($AA151:$CH151,5)&gt;=9999,"",INDEX(Presupuesto!$C:$C,SMALL($AA151:$CH151,5)))</f>
        <v>0</v>
      </c>
      <c r="M151" s="1" t="n">
        <f aca="false">IF(SMALL($AA151:$CH151,6)&gt;=9999,"",INDEX(Presupuesto!$C:$C,SMALL($AA151:$CH151,6)))</f>
        <v>0</v>
      </c>
      <c r="N151" s="1" t="n">
        <f aca="false">IF(SMALL($AA151:$CH151,7)&gt;=9999,"",INDEX(Presupuesto!$C:$C,SMALL($AA151:$CH151,7)))</f>
        <v>0</v>
      </c>
      <c r="O151" s="1" t="n">
        <f aca="false">IF(SMALL($AA151:$CH151,8)&gt;=9999,"",INDEX(Presupuesto!$C:$C,SMALL($AA151:$CH151,8)))</f>
        <v>0</v>
      </c>
      <c r="P151" s="1" t="n">
        <f aca="false">IF(SMALL($AA151:$CH151,9)&gt;=9999,"",INDEX(Presupuesto!$C:$C,SMALL($AA151:$CH151,9)))</f>
        <v>0</v>
      </c>
      <c r="Q151" s="1" t="n">
        <f aca="false">IF(SMALL($AA151:$CH151,10)&gt;=9999,"",INDEX(Presupuesto!$C:$C,SMALL($AA151:$CH151,10)))</f>
        <v>0</v>
      </c>
      <c r="AA151" s="0" t="n">
        <f aca="false">IF(Presupuesto!$B$7='Flujo de Pagos'!$E151,7,9999)</f>
        <v>9999</v>
      </c>
      <c r="AB151" s="0" t="n">
        <f aca="false">IF(Presupuesto!$B$8='Flujo de Pagos'!$E151,8,9999)</f>
        <v>9999</v>
      </c>
      <c r="AC151" s="0" t="n">
        <f aca="false">IF(Presupuesto!$B$9='Flujo de Pagos'!$E151,9,9999)</f>
        <v>9999</v>
      </c>
      <c r="AD151" s="0" t="n">
        <f aca="false">IF(Presupuesto!$B$10='Flujo de Pagos'!$E151,10,9999)</f>
        <v>9999</v>
      </c>
      <c r="AE151" s="0" t="n">
        <f aca="false">IF(Presupuesto!$B$11='Flujo de Pagos'!$E151,11,9999)</f>
        <v>9999</v>
      </c>
      <c r="AF151" s="0" t="n">
        <f aca="false">IF(Presupuesto!$B$12='Flujo de Pagos'!$E151,12,9999)</f>
        <v>12</v>
      </c>
      <c r="AG151" s="0" t="n">
        <f aca="false">IF(Presupuesto!$B$13='Flujo de Pagos'!$E151,13,9999)</f>
        <v>13</v>
      </c>
      <c r="AH151" s="0" t="n">
        <f aca="false">IF(Presupuesto!$B$14='Flujo de Pagos'!$E151,14,9999)</f>
        <v>14</v>
      </c>
      <c r="AI151" s="0" t="n">
        <f aca="false">IF(Presupuesto!$B$15='Flujo de Pagos'!$E151,15,9999)</f>
        <v>15</v>
      </c>
      <c r="AJ151" s="0" t="n">
        <f aca="false">IF(Presupuesto!$B$16='Flujo de Pagos'!$E151,16,9999)</f>
        <v>16</v>
      </c>
      <c r="AK151" s="0" t="n">
        <f aca="false">IF(Presupuesto!$B$17='Flujo de Pagos'!$E151,17,9999)</f>
        <v>17</v>
      </c>
      <c r="AL151" s="0" t="n">
        <f aca="false">IF(Presupuesto!$B$18='Flujo de Pagos'!$E151,18,9999)</f>
        <v>18</v>
      </c>
      <c r="AM151" s="0" t="n">
        <f aca="false">IF(Presupuesto!$B$19='Flujo de Pagos'!$E151,19,9999)</f>
        <v>19</v>
      </c>
      <c r="AN151" s="0" t="n">
        <f aca="false">IF(Presupuesto!$B$20='Flujo de Pagos'!$E151,20,9999)</f>
        <v>20</v>
      </c>
      <c r="AO151" s="0" t="n">
        <f aca="false">IF(Presupuesto!$B$21='Flujo de Pagos'!$E151,21,9999)</f>
        <v>21</v>
      </c>
      <c r="AP151" s="0" t="n">
        <f aca="false">IF(Presupuesto!$B$22='Flujo de Pagos'!$E151,22,9999)</f>
        <v>22</v>
      </c>
      <c r="AQ151" s="0" t="n">
        <f aca="false">IF(Presupuesto!$B$23='Flujo de Pagos'!$E151,23,9999)</f>
        <v>23</v>
      </c>
      <c r="AR151" s="0" t="n">
        <f aca="false">IF(Presupuesto!$B$24='Flujo de Pagos'!$E151,24,9999)</f>
        <v>24</v>
      </c>
      <c r="AS151" s="0" t="n">
        <f aca="false">IF(Presupuesto!$B$25='Flujo de Pagos'!$E151,25,9999)</f>
        <v>25</v>
      </c>
      <c r="AT151" s="0" t="n">
        <f aca="false">IF(Presupuesto!$B$26='Flujo de Pagos'!$E151,26,9999)</f>
        <v>26</v>
      </c>
      <c r="AU151" s="0" t="n">
        <f aca="false">IF(Presupuesto!$B$27='Flujo de Pagos'!$E151,27,9999)</f>
        <v>27</v>
      </c>
      <c r="AV151" s="0" t="n">
        <f aca="false">IF(Presupuesto!$B$28='Flujo de Pagos'!$E151,28,9999)</f>
        <v>28</v>
      </c>
      <c r="AW151" s="0" t="n">
        <f aca="false">IF(Presupuesto!$B$29='Flujo de Pagos'!$E151,29,9999)</f>
        <v>29</v>
      </c>
      <c r="AX151" s="0" t="n">
        <f aca="false">IF(Presupuesto!$B$30='Flujo de Pagos'!$E151,30,9999)</f>
        <v>30</v>
      </c>
      <c r="AY151" s="0" t="n">
        <f aca="false">IF(Presupuesto!$B$31='Flujo de Pagos'!$E151,31,9999)</f>
        <v>31</v>
      </c>
      <c r="AZ151" s="0" t="n">
        <f aca="false">IF(Presupuesto!$B$32='Flujo de Pagos'!$E151,32,9999)</f>
        <v>32</v>
      </c>
      <c r="BA151" s="0" t="n">
        <f aca="false">IF(Presupuesto!$B$33='Flujo de Pagos'!$E151,33,9999)</f>
        <v>33</v>
      </c>
      <c r="BB151" s="0" t="n">
        <f aca="false">IF(Presupuesto!$B$34='Flujo de Pagos'!$E151,34,9999)</f>
        <v>34</v>
      </c>
      <c r="BC151" s="0" t="n">
        <f aca="false">IF(Presupuesto!$B$35='Flujo de Pagos'!$E151,35,9999)</f>
        <v>35</v>
      </c>
      <c r="BD151" s="0" t="n">
        <f aca="false">IF(Presupuesto!$B$36='Flujo de Pagos'!$E151,36,9999)</f>
        <v>36</v>
      </c>
      <c r="BE151" s="0" t="n">
        <f aca="false">IF(Presupuesto!$B$37='Flujo de Pagos'!$E151,37,9999)</f>
        <v>37</v>
      </c>
      <c r="BF151" s="0" t="n">
        <f aca="false">IF(Presupuesto!$B$38='Flujo de Pagos'!$E151,38,9999)</f>
        <v>38</v>
      </c>
      <c r="BG151" s="0" t="n">
        <f aca="false">IF(Presupuesto!$B$39='Flujo de Pagos'!$E151,39,9999)</f>
        <v>39</v>
      </c>
      <c r="BH151" s="0" t="n">
        <f aca="false">IF(Presupuesto!$B$40='Flujo de Pagos'!$E151,40,9999)</f>
        <v>40</v>
      </c>
      <c r="BI151" s="0" t="n">
        <f aca="false">IF(Presupuesto!$B$41='Flujo de Pagos'!$E151,41,9999)</f>
        <v>41</v>
      </c>
      <c r="BJ151" s="0" t="n">
        <f aca="false">IF(Presupuesto!$B$42='Flujo de Pagos'!$E151,42,9999)</f>
        <v>42</v>
      </c>
      <c r="BK151" s="0" t="n">
        <f aca="false">IF(Presupuesto!$B$43='Flujo de Pagos'!$E151,43,9999)</f>
        <v>43</v>
      </c>
      <c r="BL151" s="0" t="n">
        <f aca="false">IF(Presupuesto!$B$44='Flujo de Pagos'!$E151,44,9999)</f>
        <v>44</v>
      </c>
      <c r="BM151" s="0" t="n">
        <f aca="false">IF(Presupuesto!$B$45='Flujo de Pagos'!$E151,45,9999)</f>
        <v>45</v>
      </c>
      <c r="BN151" s="0" t="n">
        <f aca="false">IF(Presupuesto!$B$46='Flujo de Pagos'!$E151,46,9999)</f>
        <v>46</v>
      </c>
      <c r="BO151" s="0" t="n">
        <f aca="false">IF(Presupuesto!$B$47='Flujo de Pagos'!$E151,47,9999)</f>
        <v>47</v>
      </c>
      <c r="BP151" s="0" t="n">
        <f aca="false">IF(Presupuesto!$B$48='Flujo de Pagos'!$E151,48,9999)</f>
        <v>48</v>
      </c>
      <c r="BQ151" s="0" t="n">
        <f aca="false">IF(Presupuesto!$B$49='Flujo de Pagos'!$E151,49,9999)</f>
        <v>49</v>
      </c>
      <c r="BR151" s="0" t="n">
        <f aca="false">IF(Presupuesto!$B$50='Flujo de Pagos'!$E151,50,9999)</f>
        <v>50</v>
      </c>
      <c r="BS151" s="0" t="n">
        <f aca="false">IF(Presupuesto!$B$51='Flujo de Pagos'!$E151,51,9999)</f>
        <v>51</v>
      </c>
      <c r="BT151" s="0" t="n">
        <f aca="false">IF(Presupuesto!$B$52='Flujo de Pagos'!$E151,52,9999)</f>
        <v>52</v>
      </c>
      <c r="BU151" s="0" t="n">
        <f aca="false">IF(Presupuesto!$B$53='Flujo de Pagos'!$E151,53,9999)</f>
        <v>53</v>
      </c>
      <c r="BV151" s="0" t="n">
        <f aca="false">IF(Presupuesto!$B$54='Flujo de Pagos'!$E151,54,9999)</f>
        <v>54</v>
      </c>
      <c r="BW151" s="0" t="n">
        <f aca="false">IF(Presupuesto!$B$55='Flujo de Pagos'!$E151,55,9999)</f>
        <v>55</v>
      </c>
      <c r="BX151" s="0" t="n">
        <f aca="false">IF(Presupuesto!$B$56='Flujo de Pagos'!$E151,56,9999)</f>
        <v>56</v>
      </c>
      <c r="BY151" s="0" t="n">
        <f aca="false">IF(Presupuesto!$B$57='Flujo de Pagos'!$E151,57,9999)</f>
        <v>57</v>
      </c>
      <c r="BZ151" s="0" t="n">
        <f aca="false">IF(Presupuesto!$B$58='Flujo de Pagos'!$E151,58,9999)</f>
        <v>58</v>
      </c>
      <c r="CA151" s="0" t="n">
        <f aca="false">IF(Presupuesto!$B$59='Flujo de Pagos'!$E151,59,9999)</f>
        <v>59</v>
      </c>
      <c r="CB151" s="0" t="n">
        <f aca="false">IF(Presupuesto!$B$60='Flujo de Pagos'!$E151,60,9999)</f>
        <v>60</v>
      </c>
      <c r="CC151" s="0" t="n">
        <f aca="false">IF(Presupuesto!$B$61='Flujo de Pagos'!$E151,61,9999)</f>
        <v>61</v>
      </c>
      <c r="CD151" s="0" t="n">
        <f aca="false">IF(Presupuesto!$B$62='Flujo de Pagos'!$E151,62,9999)</f>
        <v>62</v>
      </c>
      <c r="CE151" s="0" t="n">
        <f aca="false">IF(Presupuesto!$B$63='Flujo de Pagos'!$E151,63,9999)</f>
        <v>63</v>
      </c>
      <c r="CF151" s="0" t="n">
        <f aca="false">IF(Presupuesto!$B$64='Flujo de Pagos'!$E151,64,9999)</f>
        <v>64</v>
      </c>
      <c r="CG151" s="0" t="n">
        <f aca="false">IF(Presupuesto!$B$65='Flujo de Pagos'!$E151,65,9999)</f>
        <v>65</v>
      </c>
      <c r="CH151" s="0" t="n">
        <f aca="false">IF(Presupuesto!$B$66='Flujo de Pagos'!$E151,66,9999)</f>
        <v>66</v>
      </c>
    </row>
    <row r="152" customFormat="false" ht="15" hidden="false" customHeight="true" outlineLevel="0" collapsed="false">
      <c r="B152" s="1" t="n">
        <f aca="false">IF(AND('Flujo de Pagos'!E157=Carátula!$B$2,'Flujo de Pagos'!F157=Carátula!$B$4,'Flujo de Pagos'!H157&lt;&gt;""),157,99999)</f>
        <v>99999</v>
      </c>
      <c r="H152" s="1" t="n">
        <f aca="false">IF(SMALL($AA152:$CH152,1)&gt;=9999,"",INDEX(Presupuesto!$C:$C,SMALL($AA152:$CH152,1)))</f>
        <v>0</v>
      </c>
      <c r="I152" s="1" t="n">
        <f aca="false">IF(SMALL($AA152:$CH152,2)&gt;=9999,"",INDEX(Presupuesto!$C:$C,SMALL($AA152:$CH152,2)))</f>
        <v>0</v>
      </c>
      <c r="J152" s="1" t="n">
        <f aca="false">IF(SMALL($AA152:$CH152,3)&gt;=9999,"",INDEX(Presupuesto!$C:$C,SMALL($AA152:$CH152,3)))</f>
        <v>0</v>
      </c>
      <c r="K152" s="1" t="n">
        <f aca="false">IF(SMALL($AA152:$CH152,4)&gt;=9999,"",INDEX(Presupuesto!$C:$C,SMALL($AA152:$CH152,4)))</f>
        <v>0</v>
      </c>
      <c r="L152" s="1" t="n">
        <f aca="false">IF(SMALL($AA152:$CH152,5)&gt;=9999,"",INDEX(Presupuesto!$C:$C,SMALL($AA152:$CH152,5)))</f>
        <v>0</v>
      </c>
      <c r="M152" s="1" t="n">
        <f aca="false">IF(SMALL($AA152:$CH152,6)&gt;=9999,"",INDEX(Presupuesto!$C:$C,SMALL($AA152:$CH152,6)))</f>
        <v>0</v>
      </c>
      <c r="N152" s="1" t="n">
        <f aca="false">IF(SMALL($AA152:$CH152,7)&gt;=9999,"",INDEX(Presupuesto!$C:$C,SMALL($AA152:$CH152,7)))</f>
        <v>0</v>
      </c>
      <c r="O152" s="1" t="n">
        <f aca="false">IF(SMALL($AA152:$CH152,8)&gt;=9999,"",INDEX(Presupuesto!$C:$C,SMALL($AA152:$CH152,8)))</f>
        <v>0</v>
      </c>
      <c r="P152" s="1" t="n">
        <f aca="false">IF(SMALL($AA152:$CH152,9)&gt;=9999,"",INDEX(Presupuesto!$C:$C,SMALL($AA152:$CH152,9)))</f>
        <v>0</v>
      </c>
      <c r="Q152" s="1" t="n">
        <f aca="false">IF(SMALL($AA152:$CH152,10)&gt;=9999,"",INDEX(Presupuesto!$C:$C,SMALL($AA152:$CH152,10)))</f>
        <v>0</v>
      </c>
      <c r="AA152" s="0" t="n">
        <f aca="false">IF(Presupuesto!$B$7='Flujo de Pagos'!$E152,7,9999)</f>
        <v>9999</v>
      </c>
      <c r="AB152" s="0" t="n">
        <f aca="false">IF(Presupuesto!$B$8='Flujo de Pagos'!$E152,8,9999)</f>
        <v>9999</v>
      </c>
      <c r="AC152" s="0" t="n">
        <f aca="false">IF(Presupuesto!$B$9='Flujo de Pagos'!$E152,9,9999)</f>
        <v>9999</v>
      </c>
      <c r="AD152" s="0" t="n">
        <f aca="false">IF(Presupuesto!$B$10='Flujo de Pagos'!$E152,10,9999)</f>
        <v>9999</v>
      </c>
      <c r="AE152" s="0" t="n">
        <f aca="false">IF(Presupuesto!$B$11='Flujo de Pagos'!$E152,11,9999)</f>
        <v>9999</v>
      </c>
      <c r="AF152" s="0" t="n">
        <f aca="false">IF(Presupuesto!$B$12='Flujo de Pagos'!$E152,12,9999)</f>
        <v>12</v>
      </c>
      <c r="AG152" s="0" t="n">
        <f aca="false">IF(Presupuesto!$B$13='Flujo de Pagos'!$E152,13,9999)</f>
        <v>13</v>
      </c>
      <c r="AH152" s="0" t="n">
        <f aca="false">IF(Presupuesto!$B$14='Flujo de Pagos'!$E152,14,9999)</f>
        <v>14</v>
      </c>
      <c r="AI152" s="0" t="n">
        <f aca="false">IF(Presupuesto!$B$15='Flujo de Pagos'!$E152,15,9999)</f>
        <v>15</v>
      </c>
      <c r="AJ152" s="0" t="n">
        <f aca="false">IF(Presupuesto!$B$16='Flujo de Pagos'!$E152,16,9999)</f>
        <v>16</v>
      </c>
      <c r="AK152" s="0" t="n">
        <f aca="false">IF(Presupuesto!$B$17='Flujo de Pagos'!$E152,17,9999)</f>
        <v>17</v>
      </c>
      <c r="AL152" s="0" t="n">
        <f aca="false">IF(Presupuesto!$B$18='Flujo de Pagos'!$E152,18,9999)</f>
        <v>18</v>
      </c>
      <c r="AM152" s="0" t="n">
        <f aca="false">IF(Presupuesto!$B$19='Flujo de Pagos'!$E152,19,9999)</f>
        <v>19</v>
      </c>
      <c r="AN152" s="0" t="n">
        <f aca="false">IF(Presupuesto!$B$20='Flujo de Pagos'!$E152,20,9999)</f>
        <v>20</v>
      </c>
      <c r="AO152" s="0" t="n">
        <f aca="false">IF(Presupuesto!$B$21='Flujo de Pagos'!$E152,21,9999)</f>
        <v>21</v>
      </c>
      <c r="AP152" s="0" t="n">
        <f aca="false">IF(Presupuesto!$B$22='Flujo de Pagos'!$E152,22,9999)</f>
        <v>22</v>
      </c>
      <c r="AQ152" s="0" t="n">
        <f aca="false">IF(Presupuesto!$B$23='Flujo de Pagos'!$E152,23,9999)</f>
        <v>23</v>
      </c>
      <c r="AR152" s="0" t="n">
        <f aca="false">IF(Presupuesto!$B$24='Flujo de Pagos'!$E152,24,9999)</f>
        <v>24</v>
      </c>
      <c r="AS152" s="0" t="n">
        <f aca="false">IF(Presupuesto!$B$25='Flujo de Pagos'!$E152,25,9999)</f>
        <v>25</v>
      </c>
      <c r="AT152" s="0" t="n">
        <f aca="false">IF(Presupuesto!$B$26='Flujo de Pagos'!$E152,26,9999)</f>
        <v>26</v>
      </c>
      <c r="AU152" s="0" t="n">
        <f aca="false">IF(Presupuesto!$B$27='Flujo de Pagos'!$E152,27,9999)</f>
        <v>27</v>
      </c>
      <c r="AV152" s="0" t="n">
        <f aca="false">IF(Presupuesto!$B$28='Flujo de Pagos'!$E152,28,9999)</f>
        <v>28</v>
      </c>
      <c r="AW152" s="0" t="n">
        <f aca="false">IF(Presupuesto!$B$29='Flujo de Pagos'!$E152,29,9999)</f>
        <v>29</v>
      </c>
      <c r="AX152" s="0" t="n">
        <f aca="false">IF(Presupuesto!$B$30='Flujo de Pagos'!$E152,30,9999)</f>
        <v>30</v>
      </c>
      <c r="AY152" s="0" t="n">
        <f aca="false">IF(Presupuesto!$B$31='Flujo de Pagos'!$E152,31,9999)</f>
        <v>31</v>
      </c>
      <c r="AZ152" s="0" t="n">
        <f aca="false">IF(Presupuesto!$B$32='Flujo de Pagos'!$E152,32,9999)</f>
        <v>32</v>
      </c>
      <c r="BA152" s="0" t="n">
        <f aca="false">IF(Presupuesto!$B$33='Flujo de Pagos'!$E152,33,9999)</f>
        <v>33</v>
      </c>
      <c r="BB152" s="0" t="n">
        <f aca="false">IF(Presupuesto!$B$34='Flujo de Pagos'!$E152,34,9999)</f>
        <v>34</v>
      </c>
      <c r="BC152" s="0" t="n">
        <f aca="false">IF(Presupuesto!$B$35='Flujo de Pagos'!$E152,35,9999)</f>
        <v>35</v>
      </c>
      <c r="BD152" s="0" t="n">
        <f aca="false">IF(Presupuesto!$B$36='Flujo de Pagos'!$E152,36,9999)</f>
        <v>36</v>
      </c>
      <c r="BE152" s="0" t="n">
        <f aca="false">IF(Presupuesto!$B$37='Flujo de Pagos'!$E152,37,9999)</f>
        <v>37</v>
      </c>
      <c r="BF152" s="0" t="n">
        <f aca="false">IF(Presupuesto!$B$38='Flujo de Pagos'!$E152,38,9999)</f>
        <v>38</v>
      </c>
      <c r="BG152" s="0" t="n">
        <f aca="false">IF(Presupuesto!$B$39='Flujo de Pagos'!$E152,39,9999)</f>
        <v>39</v>
      </c>
      <c r="BH152" s="0" t="n">
        <f aca="false">IF(Presupuesto!$B$40='Flujo de Pagos'!$E152,40,9999)</f>
        <v>40</v>
      </c>
      <c r="BI152" s="0" t="n">
        <f aca="false">IF(Presupuesto!$B$41='Flujo de Pagos'!$E152,41,9999)</f>
        <v>41</v>
      </c>
      <c r="BJ152" s="0" t="n">
        <f aca="false">IF(Presupuesto!$B$42='Flujo de Pagos'!$E152,42,9999)</f>
        <v>42</v>
      </c>
      <c r="BK152" s="0" t="n">
        <f aca="false">IF(Presupuesto!$B$43='Flujo de Pagos'!$E152,43,9999)</f>
        <v>43</v>
      </c>
      <c r="BL152" s="0" t="n">
        <f aca="false">IF(Presupuesto!$B$44='Flujo de Pagos'!$E152,44,9999)</f>
        <v>44</v>
      </c>
      <c r="BM152" s="0" t="n">
        <f aca="false">IF(Presupuesto!$B$45='Flujo de Pagos'!$E152,45,9999)</f>
        <v>45</v>
      </c>
      <c r="BN152" s="0" t="n">
        <f aca="false">IF(Presupuesto!$B$46='Flujo de Pagos'!$E152,46,9999)</f>
        <v>46</v>
      </c>
      <c r="BO152" s="0" t="n">
        <f aca="false">IF(Presupuesto!$B$47='Flujo de Pagos'!$E152,47,9999)</f>
        <v>47</v>
      </c>
      <c r="BP152" s="0" t="n">
        <f aca="false">IF(Presupuesto!$B$48='Flujo de Pagos'!$E152,48,9999)</f>
        <v>48</v>
      </c>
      <c r="BQ152" s="0" t="n">
        <f aca="false">IF(Presupuesto!$B$49='Flujo de Pagos'!$E152,49,9999)</f>
        <v>49</v>
      </c>
      <c r="BR152" s="0" t="n">
        <f aca="false">IF(Presupuesto!$B$50='Flujo de Pagos'!$E152,50,9999)</f>
        <v>50</v>
      </c>
      <c r="BS152" s="0" t="n">
        <f aca="false">IF(Presupuesto!$B$51='Flujo de Pagos'!$E152,51,9999)</f>
        <v>51</v>
      </c>
      <c r="BT152" s="0" t="n">
        <f aca="false">IF(Presupuesto!$B$52='Flujo de Pagos'!$E152,52,9999)</f>
        <v>52</v>
      </c>
      <c r="BU152" s="0" t="n">
        <f aca="false">IF(Presupuesto!$B$53='Flujo de Pagos'!$E152,53,9999)</f>
        <v>53</v>
      </c>
      <c r="BV152" s="0" t="n">
        <f aca="false">IF(Presupuesto!$B$54='Flujo de Pagos'!$E152,54,9999)</f>
        <v>54</v>
      </c>
      <c r="BW152" s="0" t="n">
        <f aca="false">IF(Presupuesto!$B$55='Flujo de Pagos'!$E152,55,9999)</f>
        <v>55</v>
      </c>
      <c r="BX152" s="0" t="n">
        <f aca="false">IF(Presupuesto!$B$56='Flujo de Pagos'!$E152,56,9999)</f>
        <v>56</v>
      </c>
      <c r="BY152" s="0" t="n">
        <f aca="false">IF(Presupuesto!$B$57='Flujo de Pagos'!$E152,57,9999)</f>
        <v>57</v>
      </c>
      <c r="BZ152" s="0" t="n">
        <f aca="false">IF(Presupuesto!$B$58='Flujo de Pagos'!$E152,58,9999)</f>
        <v>58</v>
      </c>
      <c r="CA152" s="0" t="n">
        <f aca="false">IF(Presupuesto!$B$59='Flujo de Pagos'!$E152,59,9999)</f>
        <v>59</v>
      </c>
      <c r="CB152" s="0" t="n">
        <f aca="false">IF(Presupuesto!$B$60='Flujo de Pagos'!$E152,60,9999)</f>
        <v>60</v>
      </c>
      <c r="CC152" s="0" t="n">
        <f aca="false">IF(Presupuesto!$B$61='Flujo de Pagos'!$E152,61,9999)</f>
        <v>61</v>
      </c>
      <c r="CD152" s="0" t="n">
        <f aca="false">IF(Presupuesto!$B$62='Flujo de Pagos'!$E152,62,9999)</f>
        <v>62</v>
      </c>
      <c r="CE152" s="0" t="n">
        <f aca="false">IF(Presupuesto!$B$63='Flujo de Pagos'!$E152,63,9999)</f>
        <v>63</v>
      </c>
      <c r="CF152" s="0" t="n">
        <f aca="false">IF(Presupuesto!$B$64='Flujo de Pagos'!$E152,64,9999)</f>
        <v>64</v>
      </c>
      <c r="CG152" s="0" t="n">
        <f aca="false">IF(Presupuesto!$B$65='Flujo de Pagos'!$E152,65,9999)</f>
        <v>65</v>
      </c>
      <c r="CH152" s="0" t="n">
        <f aca="false">IF(Presupuesto!$B$66='Flujo de Pagos'!$E152,66,9999)</f>
        <v>66</v>
      </c>
    </row>
    <row r="153" customFormat="false" ht="15" hidden="false" customHeight="true" outlineLevel="0" collapsed="false">
      <c r="B153" s="1" t="n">
        <f aca="false">IF(AND('Flujo de Pagos'!E158=Carátula!$B$2,'Flujo de Pagos'!F158=Carátula!$B$4,'Flujo de Pagos'!H158&lt;&gt;""),158,99999)</f>
        <v>99999</v>
      </c>
      <c r="H153" s="1" t="n">
        <f aca="false">IF(SMALL($AA153:$CH153,1)&gt;=9999,"",INDEX(Presupuesto!$C:$C,SMALL($AA153:$CH153,1)))</f>
        <v>0</v>
      </c>
      <c r="I153" s="1" t="n">
        <f aca="false">IF(SMALL($AA153:$CH153,2)&gt;=9999,"",INDEX(Presupuesto!$C:$C,SMALL($AA153:$CH153,2)))</f>
        <v>0</v>
      </c>
      <c r="J153" s="1" t="n">
        <f aca="false">IF(SMALL($AA153:$CH153,3)&gt;=9999,"",INDEX(Presupuesto!$C:$C,SMALL($AA153:$CH153,3)))</f>
        <v>0</v>
      </c>
      <c r="K153" s="1" t="n">
        <f aca="false">IF(SMALL($AA153:$CH153,4)&gt;=9999,"",INDEX(Presupuesto!$C:$C,SMALL($AA153:$CH153,4)))</f>
        <v>0</v>
      </c>
      <c r="L153" s="1" t="n">
        <f aca="false">IF(SMALL($AA153:$CH153,5)&gt;=9999,"",INDEX(Presupuesto!$C:$C,SMALL($AA153:$CH153,5)))</f>
        <v>0</v>
      </c>
      <c r="M153" s="1" t="n">
        <f aca="false">IF(SMALL($AA153:$CH153,6)&gt;=9999,"",INDEX(Presupuesto!$C:$C,SMALL($AA153:$CH153,6)))</f>
        <v>0</v>
      </c>
      <c r="N153" s="1" t="n">
        <f aca="false">IF(SMALL($AA153:$CH153,7)&gt;=9999,"",INDEX(Presupuesto!$C:$C,SMALL($AA153:$CH153,7)))</f>
        <v>0</v>
      </c>
      <c r="O153" s="1" t="n">
        <f aca="false">IF(SMALL($AA153:$CH153,8)&gt;=9999,"",INDEX(Presupuesto!$C:$C,SMALL($AA153:$CH153,8)))</f>
        <v>0</v>
      </c>
      <c r="P153" s="1" t="n">
        <f aca="false">IF(SMALL($AA153:$CH153,9)&gt;=9999,"",INDEX(Presupuesto!$C:$C,SMALL($AA153:$CH153,9)))</f>
        <v>0</v>
      </c>
      <c r="Q153" s="1" t="n">
        <f aca="false">IF(SMALL($AA153:$CH153,10)&gt;=9999,"",INDEX(Presupuesto!$C:$C,SMALL($AA153:$CH153,10)))</f>
        <v>0</v>
      </c>
      <c r="AA153" s="0" t="n">
        <f aca="false">IF(Presupuesto!$B$7='Flujo de Pagos'!$E153,7,9999)</f>
        <v>9999</v>
      </c>
      <c r="AB153" s="0" t="n">
        <f aca="false">IF(Presupuesto!$B$8='Flujo de Pagos'!$E153,8,9999)</f>
        <v>9999</v>
      </c>
      <c r="AC153" s="0" t="n">
        <f aca="false">IF(Presupuesto!$B$9='Flujo de Pagos'!$E153,9,9999)</f>
        <v>9999</v>
      </c>
      <c r="AD153" s="0" t="n">
        <f aca="false">IF(Presupuesto!$B$10='Flujo de Pagos'!$E153,10,9999)</f>
        <v>9999</v>
      </c>
      <c r="AE153" s="0" t="n">
        <f aca="false">IF(Presupuesto!$B$11='Flujo de Pagos'!$E153,11,9999)</f>
        <v>9999</v>
      </c>
      <c r="AF153" s="0" t="n">
        <f aca="false">IF(Presupuesto!$B$12='Flujo de Pagos'!$E153,12,9999)</f>
        <v>12</v>
      </c>
      <c r="AG153" s="0" t="n">
        <f aca="false">IF(Presupuesto!$B$13='Flujo de Pagos'!$E153,13,9999)</f>
        <v>13</v>
      </c>
      <c r="AH153" s="0" t="n">
        <f aca="false">IF(Presupuesto!$B$14='Flujo de Pagos'!$E153,14,9999)</f>
        <v>14</v>
      </c>
      <c r="AI153" s="0" t="n">
        <f aca="false">IF(Presupuesto!$B$15='Flujo de Pagos'!$E153,15,9999)</f>
        <v>15</v>
      </c>
      <c r="AJ153" s="0" t="n">
        <f aca="false">IF(Presupuesto!$B$16='Flujo de Pagos'!$E153,16,9999)</f>
        <v>16</v>
      </c>
      <c r="AK153" s="0" t="n">
        <f aca="false">IF(Presupuesto!$B$17='Flujo de Pagos'!$E153,17,9999)</f>
        <v>17</v>
      </c>
      <c r="AL153" s="0" t="n">
        <f aca="false">IF(Presupuesto!$B$18='Flujo de Pagos'!$E153,18,9999)</f>
        <v>18</v>
      </c>
      <c r="AM153" s="0" t="n">
        <f aca="false">IF(Presupuesto!$B$19='Flujo de Pagos'!$E153,19,9999)</f>
        <v>19</v>
      </c>
      <c r="AN153" s="0" t="n">
        <f aca="false">IF(Presupuesto!$B$20='Flujo de Pagos'!$E153,20,9999)</f>
        <v>20</v>
      </c>
      <c r="AO153" s="0" t="n">
        <f aca="false">IF(Presupuesto!$B$21='Flujo de Pagos'!$E153,21,9999)</f>
        <v>21</v>
      </c>
      <c r="AP153" s="0" t="n">
        <f aca="false">IF(Presupuesto!$B$22='Flujo de Pagos'!$E153,22,9999)</f>
        <v>22</v>
      </c>
      <c r="AQ153" s="0" t="n">
        <f aca="false">IF(Presupuesto!$B$23='Flujo de Pagos'!$E153,23,9999)</f>
        <v>23</v>
      </c>
      <c r="AR153" s="0" t="n">
        <f aca="false">IF(Presupuesto!$B$24='Flujo de Pagos'!$E153,24,9999)</f>
        <v>24</v>
      </c>
      <c r="AS153" s="0" t="n">
        <f aca="false">IF(Presupuesto!$B$25='Flujo de Pagos'!$E153,25,9999)</f>
        <v>25</v>
      </c>
      <c r="AT153" s="0" t="n">
        <f aca="false">IF(Presupuesto!$B$26='Flujo de Pagos'!$E153,26,9999)</f>
        <v>26</v>
      </c>
      <c r="AU153" s="0" t="n">
        <f aca="false">IF(Presupuesto!$B$27='Flujo de Pagos'!$E153,27,9999)</f>
        <v>27</v>
      </c>
      <c r="AV153" s="0" t="n">
        <f aca="false">IF(Presupuesto!$B$28='Flujo de Pagos'!$E153,28,9999)</f>
        <v>28</v>
      </c>
      <c r="AW153" s="0" t="n">
        <f aca="false">IF(Presupuesto!$B$29='Flujo de Pagos'!$E153,29,9999)</f>
        <v>29</v>
      </c>
      <c r="AX153" s="0" t="n">
        <f aca="false">IF(Presupuesto!$B$30='Flujo de Pagos'!$E153,30,9999)</f>
        <v>30</v>
      </c>
      <c r="AY153" s="0" t="n">
        <f aca="false">IF(Presupuesto!$B$31='Flujo de Pagos'!$E153,31,9999)</f>
        <v>31</v>
      </c>
      <c r="AZ153" s="0" t="n">
        <f aca="false">IF(Presupuesto!$B$32='Flujo de Pagos'!$E153,32,9999)</f>
        <v>32</v>
      </c>
      <c r="BA153" s="0" t="n">
        <f aca="false">IF(Presupuesto!$B$33='Flujo de Pagos'!$E153,33,9999)</f>
        <v>33</v>
      </c>
      <c r="BB153" s="0" t="n">
        <f aca="false">IF(Presupuesto!$B$34='Flujo de Pagos'!$E153,34,9999)</f>
        <v>34</v>
      </c>
      <c r="BC153" s="0" t="n">
        <f aca="false">IF(Presupuesto!$B$35='Flujo de Pagos'!$E153,35,9999)</f>
        <v>35</v>
      </c>
      <c r="BD153" s="0" t="n">
        <f aca="false">IF(Presupuesto!$B$36='Flujo de Pagos'!$E153,36,9999)</f>
        <v>36</v>
      </c>
      <c r="BE153" s="0" t="n">
        <f aca="false">IF(Presupuesto!$B$37='Flujo de Pagos'!$E153,37,9999)</f>
        <v>37</v>
      </c>
      <c r="BF153" s="0" t="n">
        <f aca="false">IF(Presupuesto!$B$38='Flujo de Pagos'!$E153,38,9999)</f>
        <v>38</v>
      </c>
      <c r="BG153" s="0" t="n">
        <f aca="false">IF(Presupuesto!$B$39='Flujo de Pagos'!$E153,39,9999)</f>
        <v>39</v>
      </c>
      <c r="BH153" s="0" t="n">
        <f aca="false">IF(Presupuesto!$B$40='Flujo de Pagos'!$E153,40,9999)</f>
        <v>40</v>
      </c>
      <c r="BI153" s="0" t="n">
        <f aca="false">IF(Presupuesto!$B$41='Flujo de Pagos'!$E153,41,9999)</f>
        <v>41</v>
      </c>
      <c r="BJ153" s="0" t="n">
        <f aca="false">IF(Presupuesto!$B$42='Flujo de Pagos'!$E153,42,9999)</f>
        <v>42</v>
      </c>
      <c r="BK153" s="0" t="n">
        <f aca="false">IF(Presupuesto!$B$43='Flujo de Pagos'!$E153,43,9999)</f>
        <v>43</v>
      </c>
      <c r="BL153" s="0" t="n">
        <f aca="false">IF(Presupuesto!$B$44='Flujo de Pagos'!$E153,44,9999)</f>
        <v>44</v>
      </c>
      <c r="BM153" s="0" t="n">
        <f aca="false">IF(Presupuesto!$B$45='Flujo de Pagos'!$E153,45,9999)</f>
        <v>45</v>
      </c>
      <c r="BN153" s="0" t="n">
        <f aca="false">IF(Presupuesto!$B$46='Flujo de Pagos'!$E153,46,9999)</f>
        <v>46</v>
      </c>
      <c r="BO153" s="0" t="n">
        <f aca="false">IF(Presupuesto!$B$47='Flujo de Pagos'!$E153,47,9999)</f>
        <v>47</v>
      </c>
      <c r="BP153" s="0" t="n">
        <f aca="false">IF(Presupuesto!$B$48='Flujo de Pagos'!$E153,48,9999)</f>
        <v>48</v>
      </c>
      <c r="BQ153" s="0" t="n">
        <f aca="false">IF(Presupuesto!$B$49='Flujo de Pagos'!$E153,49,9999)</f>
        <v>49</v>
      </c>
      <c r="BR153" s="0" t="n">
        <f aca="false">IF(Presupuesto!$B$50='Flujo de Pagos'!$E153,50,9999)</f>
        <v>50</v>
      </c>
      <c r="BS153" s="0" t="n">
        <f aca="false">IF(Presupuesto!$B$51='Flujo de Pagos'!$E153,51,9999)</f>
        <v>51</v>
      </c>
      <c r="BT153" s="0" t="n">
        <f aca="false">IF(Presupuesto!$B$52='Flujo de Pagos'!$E153,52,9999)</f>
        <v>52</v>
      </c>
      <c r="BU153" s="0" t="n">
        <f aca="false">IF(Presupuesto!$B$53='Flujo de Pagos'!$E153,53,9999)</f>
        <v>53</v>
      </c>
      <c r="BV153" s="0" t="n">
        <f aca="false">IF(Presupuesto!$B$54='Flujo de Pagos'!$E153,54,9999)</f>
        <v>54</v>
      </c>
      <c r="BW153" s="0" t="n">
        <f aca="false">IF(Presupuesto!$B$55='Flujo de Pagos'!$E153,55,9999)</f>
        <v>55</v>
      </c>
      <c r="BX153" s="0" t="n">
        <f aca="false">IF(Presupuesto!$B$56='Flujo de Pagos'!$E153,56,9999)</f>
        <v>56</v>
      </c>
      <c r="BY153" s="0" t="n">
        <f aca="false">IF(Presupuesto!$B$57='Flujo de Pagos'!$E153,57,9999)</f>
        <v>57</v>
      </c>
      <c r="BZ153" s="0" t="n">
        <f aca="false">IF(Presupuesto!$B$58='Flujo de Pagos'!$E153,58,9999)</f>
        <v>58</v>
      </c>
      <c r="CA153" s="0" t="n">
        <f aca="false">IF(Presupuesto!$B$59='Flujo de Pagos'!$E153,59,9999)</f>
        <v>59</v>
      </c>
      <c r="CB153" s="0" t="n">
        <f aca="false">IF(Presupuesto!$B$60='Flujo de Pagos'!$E153,60,9999)</f>
        <v>60</v>
      </c>
      <c r="CC153" s="0" t="n">
        <f aca="false">IF(Presupuesto!$B$61='Flujo de Pagos'!$E153,61,9999)</f>
        <v>61</v>
      </c>
      <c r="CD153" s="0" t="n">
        <f aca="false">IF(Presupuesto!$B$62='Flujo de Pagos'!$E153,62,9999)</f>
        <v>62</v>
      </c>
      <c r="CE153" s="0" t="n">
        <f aca="false">IF(Presupuesto!$B$63='Flujo de Pagos'!$E153,63,9999)</f>
        <v>63</v>
      </c>
      <c r="CF153" s="0" t="n">
        <f aca="false">IF(Presupuesto!$B$64='Flujo de Pagos'!$E153,64,9999)</f>
        <v>64</v>
      </c>
      <c r="CG153" s="0" t="n">
        <f aca="false">IF(Presupuesto!$B$65='Flujo de Pagos'!$E153,65,9999)</f>
        <v>65</v>
      </c>
      <c r="CH153" s="0" t="n">
        <f aca="false">IF(Presupuesto!$B$66='Flujo de Pagos'!$E153,66,9999)</f>
        <v>66</v>
      </c>
    </row>
    <row r="154" customFormat="false" ht="15" hidden="false" customHeight="true" outlineLevel="0" collapsed="false">
      <c r="B154" s="1" t="n">
        <f aca="false">IF(AND('Flujo de Pagos'!E159=Carátula!$B$2,'Flujo de Pagos'!F159=Carátula!$B$4,'Flujo de Pagos'!H159&lt;&gt;""),159,99999)</f>
        <v>99999</v>
      </c>
      <c r="H154" s="1" t="n">
        <f aca="false">IF(SMALL($AA154:$CH154,1)&gt;=9999,"",INDEX(Presupuesto!$C:$C,SMALL($AA154:$CH154,1)))</f>
        <v>0</v>
      </c>
      <c r="I154" s="1" t="n">
        <f aca="false">IF(SMALL($AA154:$CH154,2)&gt;=9999,"",INDEX(Presupuesto!$C:$C,SMALL($AA154:$CH154,2)))</f>
        <v>0</v>
      </c>
      <c r="J154" s="1" t="n">
        <f aca="false">IF(SMALL($AA154:$CH154,3)&gt;=9999,"",INDEX(Presupuesto!$C:$C,SMALL($AA154:$CH154,3)))</f>
        <v>0</v>
      </c>
      <c r="K154" s="1" t="n">
        <f aca="false">IF(SMALL($AA154:$CH154,4)&gt;=9999,"",INDEX(Presupuesto!$C:$C,SMALL($AA154:$CH154,4)))</f>
        <v>0</v>
      </c>
      <c r="L154" s="1" t="n">
        <f aca="false">IF(SMALL($AA154:$CH154,5)&gt;=9999,"",INDEX(Presupuesto!$C:$C,SMALL($AA154:$CH154,5)))</f>
        <v>0</v>
      </c>
      <c r="M154" s="1" t="n">
        <f aca="false">IF(SMALL($AA154:$CH154,6)&gt;=9999,"",INDEX(Presupuesto!$C:$C,SMALL($AA154:$CH154,6)))</f>
        <v>0</v>
      </c>
      <c r="N154" s="1" t="n">
        <f aca="false">IF(SMALL($AA154:$CH154,7)&gt;=9999,"",INDEX(Presupuesto!$C:$C,SMALL($AA154:$CH154,7)))</f>
        <v>0</v>
      </c>
      <c r="O154" s="1" t="n">
        <f aca="false">IF(SMALL($AA154:$CH154,8)&gt;=9999,"",INDEX(Presupuesto!$C:$C,SMALL($AA154:$CH154,8)))</f>
        <v>0</v>
      </c>
      <c r="P154" s="1" t="n">
        <f aca="false">IF(SMALL($AA154:$CH154,9)&gt;=9999,"",INDEX(Presupuesto!$C:$C,SMALL($AA154:$CH154,9)))</f>
        <v>0</v>
      </c>
      <c r="Q154" s="1" t="n">
        <f aca="false">IF(SMALL($AA154:$CH154,10)&gt;=9999,"",INDEX(Presupuesto!$C:$C,SMALL($AA154:$CH154,10)))</f>
        <v>0</v>
      </c>
      <c r="AA154" s="0" t="n">
        <f aca="false">IF(Presupuesto!$B$7='Flujo de Pagos'!$E154,7,9999)</f>
        <v>9999</v>
      </c>
      <c r="AB154" s="0" t="n">
        <f aca="false">IF(Presupuesto!$B$8='Flujo de Pagos'!$E154,8,9999)</f>
        <v>9999</v>
      </c>
      <c r="AC154" s="0" t="n">
        <f aca="false">IF(Presupuesto!$B$9='Flujo de Pagos'!$E154,9,9999)</f>
        <v>9999</v>
      </c>
      <c r="AD154" s="0" t="n">
        <f aca="false">IF(Presupuesto!$B$10='Flujo de Pagos'!$E154,10,9999)</f>
        <v>9999</v>
      </c>
      <c r="AE154" s="0" t="n">
        <f aca="false">IF(Presupuesto!$B$11='Flujo de Pagos'!$E154,11,9999)</f>
        <v>9999</v>
      </c>
      <c r="AF154" s="0" t="n">
        <f aca="false">IF(Presupuesto!$B$12='Flujo de Pagos'!$E154,12,9999)</f>
        <v>12</v>
      </c>
      <c r="AG154" s="0" t="n">
        <f aca="false">IF(Presupuesto!$B$13='Flujo de Pagos'!$E154,13,9999)</f>
        <v>13</v>
      </c>
      <c r="AH154" s="0" t="n">
        <f aca="false">IF(Presupuesto!$B$14='Flujo de Pagos'!$E154,14,9999)</f>
        <v>14</v>
      </c>
      <c r="AI154" s="0" t="n">
        <f aca="false">IF(Presupuesto!$B$15='Flujo de Pagos'!$E154,15,9999)</f>
        <v>15</v>
      </c>
      <c r="AJ154" s="0" t="n">
        <f aca="false">IF(Presupuesto!$B$16='Flujo de Pagos'!$E154,16,9999)</f>
        <v>16</v>
      </c>
      <c r="AK154" s="0" t="n">
        <f aca="false">IF(Presupuesto!$B$17='Flujo de Pagos'!$E154,17,9999)</f>
        <v>17</v>
      </c>
      <c r="AL154" s="0" t="n">
        <f aca="false">IF(Presupuesto!$B$18='Flujo de Pagos'!$E154,18,9999)</f>
        <v>18</v>
      </c>
      <c r="AM154" s="0" t="n">
        <f aca="false">IF(Presupuesto!$B$19='Flujo de Pagos'!$E154,19,9999)</f>
        <v>19</v>
      </c>
      <c r="AN154" s="0" t="n">
        <f aca="false">IF(Presupuesto!$B$20='Flujo de Pagos'!$E154,20,9999)</f>
        <v>20</v>
      </c>
      <c r="AO154" s="0" t="n">
        <f aca="false">IF(Presupuesto!$B$21='Flujo de Pagos'!$E154,21,9999)</f>
        <v>21</v>
      </c>
      <c r="AP154" s="0" t="n">
        <f aca="false">IF(Presupuesto!$B$22='Flujo de Pagos'!$E154,22,9999)</f>
        <v>22</v>
      </c>
      <c r="AQ154" s="0" t="n">
        <f aca="false">IF(Presupuesto!$B$23='Flujo de Pagos'!$E154,23,9999)</f>
        <v>23</v>
      </c>
      <c r="AR154" s="0" t="n">
        <f aca="false">IF(Presupuesto!$B$24='Flujo de Pagos'!$E154,24,9999)</f>
        <v>24</v>
      </c>
      <c r="AS154" s="0" t="n">
        <f aca="false">IF(Presupuesto!$B$25='Flujo de Pagos'!$E154,25,9999)</f>
        <v>25</v>
      </c>
      <c r="AT154" s="0" t="n">
        <f aca="false">IF(Presupuesto!$B$26='Flujo de Pagos'!$E154,26,9999)</f>
        <v>26</v>
      </c>
      <c r="AU154" s="0" t="n">
        <f aca="false">IF(Presupuesto!$B$27='Flujo de Pagos'!$E154,27,9999)</f>
        <v>27</v>
      </c>
      <c r="AV154" s="0" t="n">
        <f aca="false">IF(Presupuesto!$B$28='Flujo de Pagos'!$E154,28,9999)</f>
        <v>28</v>
      </c>
      <c r="AW154" s="0" t="n">
        <f aca="false">IF(Presupuesto!$B$29='Flujo de Pagos'!$E154,29,9999)</f>
        <v>29</v>
      </c>
      <c r="AX154" s="0" t="n">
        <f aca="false">IF(Presupuesto!$B$30='Flujo de Pagos'!$E154,30,9999)</f>
        <v>30</v>
      </c>
      <c r="AY154" s="0" t="n">
        <f aca="false">IF(Presupuesto!$B$31='Flujo de Pagos'!$E154,31,9999)</f>
        <v>31</v>
      </c>
      <c r="AZ154" s="0" t="n">
        <f aca="false">IF(Presupuesto!$B$32='Flujo de Pagos'!$E154,32,9999)</f>
        <v>32</v>
      </c>
      <c r="BA154" s="0" t="n">
        <f aca="false">IF(Presupuesto!$B$33='Flujo de Pagos'!$E154,33,9999)</f>
        <v>33</v>
      </c>
      <c r="BB154" s="0" t="n">
        <f aca="false">IF(Presupuesto!$B$34='Flujo de Pagos'!$E154,34,9999)</f>
        <v>34</v>
      </c>
      <c r="BC154" s="0" t="n">
        <f aca="false">IF(Presupuesto!$B$35='Flujo de Pagos'!$E154,35,9999)</f>
        <v>35</v>
      </c>
      <c r="BD154" s="0" t="n">
        <f aca="false">IF(Presupuesto!$B$36='Flujo de Pagos'!$E154,36,9999)</f>
        <v>36</v>
      </c>
      <c r="BE154" s="0" t="n">
        <f aca="false">IF(Presupuesto!$B$37='Flujo de Pagos'!$E154,37,9999)</f>
        <v>37</v>
      </c>
      <c r="BF154" s="0" t="n">
        <f aca="false">IF(Presupuesto!$B$38='Flujo de Pagos'!$E154,38,9999)</f>
        <v>38</v>
      </c>
      <c r="BG154" s="0" t="n">
        <f aca="false">IF(Presupuesto!$B$39='Flujo de Pagos'!$E154,39,9999)</f>
        <v>39</v>
      </c>
      <c r="BH154" s="0" t="n">
        <f aca="false">IF(Presupuesto!$B$40='Flujo de Pagos'!$E154,40,9999)</f>
        <v>40</v>
      </c>
      <c r="BI154" s="0" t="n">
        <f aca="false">IF(Presupuesto!$B$41='Flujo de Pagos'!$E154,41,9999)</f>
        <v>41</v>
      </c>
      <c r="BJ154" s="0" t="n">
        <f aca="false">IF(Presupuesto!$B$42='Flujo de Pagos'!$E154,42,9999)</f>
        <v>42</v>
      </c>
      <c r="BK154" s="0" t="n">
        <f aca="false">IF(Presupuesto!$B$43='Flujo de Pagos'!$E154,43,9999)</f>
        <v>43</v>
      </c>
      <c r="BL154" s="0" t="n">
        <f aca="false">IF(Presupuesto!$B$44='Flujo de Pagos'!$E154,44,9999)</f>
        <v>44</v>
      </c>
      <c r="BM154" s="0" t="n">
        <f aca="false">IF(Presupuesto!$B$45='Flujo de Pagos'!$E154,45,9999)</f>
        <v>45</v>
      </c>
      <c r="BN154" s="0" t="n">
        <f aca="false">IF(Presupuesto!$B$46='Flujo de Pagos'!$E154,46,9999)</f>
        <v>46</v>
      </c>
      <c r="BO154" s="0" t="n">
        <f aca="false">IF(Presupuesto!$B$47='Flujo de Pagos'!$E154,47,9999)</f>
        <v>47</v>
      </c>
      <c r="BP154" s="0" t="n">
        <f aca="false">IF(Presupuesto!$B$48='Flujo de Pagos'!$E154,48,9999)</f>
        <v>48</v>
      </c>
      <c r="BQ154" s="0" t="n">
        <f aca="false">IF(Presupuesto!$B$49='Flujo de Pagos'!$E154,49,9999)</f>
        <v>49</v>
      </c>
      <c r="BR154" s="0" t="n">
        <f aca="false">IF(Presupuesto!$B$50='Flujo de Pagos'!$E154,50,9999)</f>
        <v>50</v>
      </c>
      <c r="BS154" s="0" t="n">
        <f aca="false">IF(Presupuesto!$B$51='Flujo de Pagos'!$E154,51,9999)</f>
        <v>51</v>
      </c>
      <c r="BT154" s="0" t="n">
        <f aca="false">IF(Presupuesto!$B$52='Flujo de Pagos'!$E154,52,9999)</f>
        <v>52</v>
      </c>
      <c r="BU154" s="0" t="n">
        <f aca="false">IF(Presupuesto!$B$53='Flujo de Pagos'!$E154,53,9999)</f>
        <v>53</v>
      </c>
      <c r="BV154" s="0" t="n">
        <f aca="false">IF(Presupuesto!$B$54='Flujo de Pagos'!$E154,54,9999)</f>
        <v>54</v>
      </c>
      <c r="BW154" s="0" t="n">
        <f aca="false">IF(Presupuesto!$B$55='Flujo de Pagos'!$E154,55,9999)</f>
        <v>55</v>
      </c>
      <c r="BX154" s="0" t="n">
        <f aca="false">IF(Presupuesto!$B$56='Flujo de Pagos'!$E154,56,9999)</f>
        <v>56</v>
      </c>
      <c r="BY154" s="0" t="n">
        <f aca="false">IF(Presupuesto!$B$57='Flujo de Pagos'!$E154,57,9999)</f>
        <v>57</v>
      </c>
      <c r="BZ154" s="0" t="n">
        <f aca="false">IF(Presupuesto!$B$58='Flujo de Pagos'!$E154,58,9999)</f>
        <v>58</v>
      </c>
      <c r="CA154" s="0" t="n">
        <f aca="false">IF(Presupuesto!$B$59='Flujo de Pagos'!$E154,59,9999)</f>
        <v>59</v>
      </c>
      <c r="CB154" s="0" t="n">
        <f aca="false">IF(Presupuesto!$B$60='Flujo de Pagos'!$E154,60,9999)</f>
        <v>60</v>
      </c>
      <c r="CC154" s="0" t="n">
        <f aca="false">IF(Presupuesto!$B$61='Flujo de Pagos'!$E154,61,9999)</f>
        <v>61</v>
      </c>
      <c r="CD154" s="0" t="n">
        <f aca="false">IF(Presupuesto!$B$62='Flujo de Pagos'!$E154,62,9999)</f>
        <v>62</v>
      </c>
      <c r="CE154" s="0" t="n">
        <f aca="false">IF(Presupuesto!$B$63='Flujo de Pagos'!$E154,63,9999)</f>
        <v>63</v>
      </c>
      <c r="CF154" s="0" t="n">
        <f aca="false">IF(Presupuesto!$B$64='Flujo de Pagos'!$E154,64,9999)</f>
        <v>64</v>
      </c>
      <c r="CG154" s="0" t="n">
        <f aca="false">IF(Presupuesto!$B$65='Flujo de Pagos'!$E154,65,9999)</f>
        <v>65</v>
      </c>
      <c r="CH154" s="0" t="n">
        <f aca="false">IF(Presupuesto!$B$66='Flujo de Pagos'!$E154,66,9999)</f>
        <v>66</v>
      </c>
    </row>
    <row r="155" customFormat="false" ht="15" hidden="false" customHeight="true" outlineLevel="0" collapsed="false">
      <c r="B155" s="1" t="n">
        <f aca="false">IF(AND('Flujo de Pagos'!E160=Carátula!$B$2,'Flujo de Pagos'!F160=Carátula!$B$4,'Flujo de Pagos'!H160&lt;&gt;""),160,99999)</f>
        <v>99999</v>
      </c>
      <c r="H155" s="1" t="n">
        <f aca="false">IF(SMALL($AA155:$CH155,1)&gt;=9999,"",INDEX(Presupuesto!$C:$C,SMALL($AA155:$CH155,1)))</f>
        <v>0</v>
      </c>
      <c r="I155" s="1" t="n">
        <f aca="false">IF(SMALL($AA155:$CH155,2)&gt;=9999,"",INDEX(Presupuesto!$C:$C,SMALL($AA155:$CH155,2)))</f>
        <v>0</v>
      </c>
      <c r="J155" s="1" t="n">
        <f aca="false">IF(SMALL($AA155:$CH155,3)&gt;=9999,"",INDEX(Presupuesto!$C:$C,SMALL($AA155:$CH155,3)))</f>
        <v>0</v>
      </c>
      <c r="K155" s="1" t="n">
        <f aca="false">IF(SMALL($AA155:$CH155,4)&gt;=9999,"",INDEX(Presupuesto!$C:$C,SMALL($AA155:$CH155,4)))</f>
        <v>0</v>
      </c>
      <c r="L155" s="1" t="n">
        <f aca="false">IF(SMALL($AA155:$CH155,5)&gt;=9999,"",INDEX(Presupuesto!$C:$C,SMALL($AA155:$CH155,5)))</f>
        <v>0</v>
      </c>
      <c r="M155" s="1" t="n">
        <f aca="false">IF(SMALL($AA155:$CH155,6)&gt;=9999,"",INDEX(Presupuesto!$C:$C,SMALL($AA155:$CH155,6)))</f>
        <v>0</v>
      </c>
      <c r="N155" s="1" t="n">
        <f aca="false">IF(SMALL($AA155:$CH155,7)&gt;=9999,"",INDEX(Presupuesto!$C:$C,SMALL($AA155:$CH155,7)))</f>
        <v>0</v>
      </c>
      <c r="O155" s="1" t="n">
        <f aca="false">IF(SMALL($AA155:$CH155,8)&gt;=9999,"",INDEX(Presupuesto!$C:$C,SMALL($AA155:$CH155,8)))</f>
        <v>0</v>
      </c>
      <c r="P155" s="1" t="n">
        <f aca="false">IF(SMALL($AA155:$CH155,9)&gt;=9999,"",INDEX(Presupuesto!$C:$C,SMALL($AA155:$CH155,9)))</f>
        <v>0</v>
      </c>
      <c r="Q155" s="1" t="n">
        <f aca="false">IF(SMALL($AA155:$CH155,10)&gt;=9999,"",INDEX(Presupuesto!$C:$C,SMALL($AA155:$CH155,10)))</f>
        <v>0</v>
      </c>
      <c r="AA155" s="0" t="n">
        <f aca="false">IF(Presupuesto!$B$7='Flujo de Pagos'!$E155,7,9999)</f>
        <v>9999</v>
      </c>
      <c r="AB155" s="0" t="n">
        <f aca="false">IF(Presupuesto!$B$8='Flujo de Pagos'!$E155,8,9999)</f>
        <v>9999</v>
      </c>
      <c r="AC155" s="0" t="n">
        <f aca="false">IF(Presupuesto!$B$9='Flujo de Pagos'!$E155,9,9999)</f>
        <v>9999</v>
      </c>
      <c r="AD155" s="0" t="n">
        <f aca="false">IF(Presupuesto!$B$10='Flujo de Pagos'!$E155,10,9999)</f>
        <v>9999</v>
      </c>
      <c r="AE155" s="0" t="n">
        <f aca="false">IF(Presupuesto!$B$11='Flujo de Pagos'!$E155,11,9999)</f>
        <v>9999</v>
      </c>
      <c r="AF155" s="0" t="n">
        <f aca="false">IF(Presupuesto!$B$12='Flujo de Pagos'!$E155,12,9999)</f>
        <v>12</v>
      </c>
      <c r="AG155" s="0" t="n">
        <f aca="false">IF(Presupuesto!$B$13='Flujo de Pagos'!$E155,13,9999)</f>
        <v>13</v>
      </c>
      <c r="AH155" s="0" t="n">
        <f aca="false">IF(Presupuesto!$B$14='Flujo de Pagos'!$E155,14,9999)</f>
        <v>14</v>
      </c>
      <c r="AI155" s="0" t="n">
        <f aca="false">IF(Presupuesto!$B$15='Flujo de Pagos'!$E155,15,9999)</f>
        <v>15</v>
      </c>
      <c r="AJ155" s="0" t="n">
        <f aca="false">IF(Presupuesto!$B$16='Flujo de Pagos'!$E155,16,9999)</f>
        <v>16</v>
      </c>
      <c r="AK155" s="0" t="n">
        <f aca="false">IF(Presupuesto!$B$17='Flujo de Pagos'!$E155,17,9999)</f>
        <v>17</v>
      </c>
      <c r="AL155" s="0" t="n">
        <f aca="false">IF(Presupuesto!$B$18='Flujo de Pagos'!$E155,18,9999)</f>
        <v>18</v>
      </c>
      <c r="AM155" s="0" t="n">
        <f aca="false">IF(Presupuesto!$B$19='Flujo de Pagos'!$E155,19,9999)</f>
        <v>19</v>
      </c>
      <c r="AN155" s="0" t="n">
        <f aca="false">IF(Presupuesto!$B$20='Flujo de Pagos'!$E155,20,9999)</f>
        <v>20</v>
      </c>
      <c r="AO155" s="0" t="n">
        <f aca="false">IF(Presupuesto!$B$21='Flujo de Pagos'!$E155,21,9999)</f>
        <v>21</v>
      </c>
      <c r="AP155" s="0" t="n">
        <f aca="false">IF(Presupuesto!$B$22='Flujo de Pagos'!$E155,22,9999)</f>
        <v>22</v>
      </c>
      <c r="AQ155" s="0" t="n">
        <f aca="false">IF(Presupuesto!$B$23='Flujo de Pagos'!$E155,23,9999)</f>
        <v>23</v>
      </c>
      <c r="AR155" s="0" t="n">
        <f aca="false">IF(Presupuesto!$B$24='Flujo de Pagos'!$E155,24,9999)</f>
        <v>24</v>
      </c>
      <c r="AS155" s="0" t="n">
        <f aca="false">IF(Presupuesto!$B$25='Flujo de Pagos'!$E155,25,9999)</f>
        <v>25</v>
      </c>
      <c r="AT155" s="0" t="n">
        <f aca="false">IF(Presupuesto!$B$26='Flujo de Pagos'!$E155,26,9999)</f>
        <v>26</v>
      </c>
      <c r="AU155" s="0" t="n">
        <f aca="false">IF(Presupuesto!$B$27='Flujo de Pagos'!$E155,27,9999)</f>
        <v>27</v>
      </c>
      <c r="AV155" s="0" t="n">
        <f aca="false">IF(Presupuesto!$B$28='Flujo de Pagos'!$E155,28,9999)</f>
        <v>28</v>
      </c>
      <c r="AW155" s="0" t="n">
        <f aca="false">IF(Presupuesto!$B$29='Flujo de Pagos'!$E155,29,9999)</f>
        <v>29</v>
      </c>
      <c r="AX155" s="0" t="n">
        <f aca="false">IF(Presupuesto!$B$30='Flujo de Pagos'!$E155,30,9999)</f>
        <v>30</v>
      </c>
      <c r="AY155" s="0" t="n">
        <f aca="false">IF(Presupuesto!$B$31='Flujo de Pagos'!$E155,31,9999)</f>
        <v>31</v>
      </c>
      <c r="AZ155" s="0" t="n">
        <f aca="false">IF(Presupuesto!$B$32='Flujo de Pagos'!$E155,32,9999)</f>
        <v>32</v>
      </c>
      <c r="BA155" s="0" t="n">
        <f aca="false">IF(Presupuesto!$B$33='Flujo de Pagos'!$E155,33,9999)</f>
        <v>33</v>
      </c>
      <c r="BB155" s="0" t="n">
        <f aca="false">IF(Presupuesto!$B$34='Flujo de Pagos'!$E155,34,9999)</f>
        <v>34</v>
      </c>
      <c r="BC155" s="0" t="n">
        <f aca="false">IF(Presupuesto!$B$35='Flujo de Pagos'!$E155,35,9999)</f>
        <v>35</v>
      </c>
      <c r="BD155" s="0" t="n">
        <f aca="false">IF(Presupuesto!$B$36='Flujo de Pagos'!$E155,36,9999)</f>
        <v>36</v>
      </c>
      <c r="BE155" s="0" t="n">
        <f aca="false">IF(Presupuesto!$B$37='Flujo de Pagos'!$E155,37,9999)</f>
        <v>37</v>
      </c>
      <c r="BF155" s="0" t="n">
        <f aca="false">IF(Presupuesto!$B$38='Flujo de Pagos'!$E155,38,9999)</f>
        <v>38</v>
      </c>
      <c r="BG155" s="0" t="n">
        <f aca="false">IF(Presupuesto!$B$39='Flujo de Pagos'!$E155,39,9999)</f>
        <v>39</v>
      </c>
      <c r="BH155" s="0" t="n">
        <f aca="false">IF(Presupuesto!$B$40='Flujo de Pagos'!$E155,40,9999)</f>
        <v>40</v>
      </c>
      <c r="BI155" s="0" t="n">
        <f aca="false">IF(Presupuesto!$B$41='Flujo de Pagos'!$E155,41,9999)</f>
        <v>41</v>
      </c>
      <c r="BJ155" s="0" t="n">
        <f aca="false">IF(Presupuesto!$B$42='Flujo de Pagos'!$E155,42,9999)</f>
        <v>42</v>
      </c>
      <c r="BK155" s="0" t="n">
        <f aca="false">IF(Presupuesto!$B$43='Flujo de Pagos'!$E155,43,9999)</f>
        <v>43</v>
      </c>
      <c r="BL155" s="0" t="n">
        <f aca="false">IF(Presupuesto!$B$44='Flujo de Pagos'!$E155,44,9999)</f>
        <v>44</v>
      </c>
      <c r="BM155" s="0" t="n">
        <f aca="false">IF(Presupuesto!$B$45='Flujo de Pagos'!$E155,45,9999)</f>
        <v>45</v>
      </c>
      <c r="BN155" s="0" t="n">
        <f aca="false">IF(Presupuesto!$B$46='Flujo de Pagos'!$E155,46,9999)</f>
        <v>46</v>
      </c>
      <c r="BO155" s="0" t="n">
        <f aca="false">IF(Presupuesto!$B$47='Flujo de Pagos'!$E155,47,9999)</f>
        <v>47</v>
      </c>
      <c r="BP155" s="0" t="n">
        <f aca="false">IF(Presupuesto!$B$48='Flujo de Pagos'!$E155,48,9999)</f>
        <v>48</v>
      </c>
      <c r="BQ155" s="0" t="n">
        <f aca="false">IF(Presupuesto!$B$49='Flujo de Pagos'!$E155,49,9999)</f>
        <v>49</v>
      </c>
      <c r="BR155" s="0" t="n">
        <f aca="false">IF(Presupuesto!$B$50='Flujo de Pagos'!$E155,50,9999)</f>
        <v>50</v>
      </c>
      <c r="BS155" s="0" t="n">
        <f aca="false">IF(Presupuesto!$B$51='Flujo de Pagos'!$E155,51,9999)</f>
        <v>51</v>
      </c>
      <c r="BT155" s="0" t="n">
        <f aca="false">IF(Presupuesto!$B$52='Flujo de Pagos'!$E155,52,9999)</f>
        <v>52</v>
      </c>
      <c r="BU155" s="0" t="n">
        <f aca="false">IF(Presupuesto!$B$53='Flujo de Pagos'!$E155,53,9999)</f>
        <v>53</v>
      </c>
      <c r="BV155" s="0" t="n">
        <f aca="false">IF(Presupuesto!$B$54='Flujo de Pagos'!$E155,54,9999)</f>
        <v>54</v>
      </c>
      <c r="BW155" s="0" t="n">
        <f aca="false">IF(Presupuesto!$B$55='Flujo de Pagos'!$E155,55,9999)</f>
        <v>55</v>
      </c>
      <c r="BX155" s="0" t="n">
        <f aca="false">IF(Presupuesto!$B$56='Flujo de Pagos'!$E155,56,9999)</f>
        <v>56</v>
      </c>
      <c r="BY155" s="0" t="n">
        <f aca="false">IF(Presupuesto!$B$57='Flujo de Pagos'!$E155,57,9999)</f>
        <v>57</v>
      </c>
      <c r="BZ155" s="0" t="n">
        <f aca="false">IF(Presupuesto!$B$58='Flujo de Pagos'!$E155,58,9999)</f>
        <v>58</v>
      </c>
      <c r="CA155" s="0" t="n">
        <f aca="false">IF(Presupuesto!$B$59='Flujo de Pagos'!$E155,59,9999)</f>
        <v>59</v>
      </c>
      <c r="CB155" s="0" t="n">
        <f aca="false">IF(Presupuesto!$B$60='Flujo de Pagos'!$E155,60,9999)</f>
        <v>60</v>
      </c>
      <c r="CC155" s="0" t="n">
        <f aca="false">IF(Presupuesto!$B$61='Flujo de Pagos'!$E155,61,9999)</f>
        <v>61</v>
      </c>
      <c r="CD155" s="0" t="n">
        <f aca="false">IF(Presupuesto!$B$62='Flujo de Pagos'!$E155,62,9999)</f>
        <v>62</v>
      </c>
      <c r="CE155" s="0" t="n">
        <f aca="false">IF(Presupuesto!$B$63='Flujo de Pagos'!$E155,63,9999)</f>
        <v>63</v>
      </c>
      <c r="CF155" s="0" t="n">
        <f aca="false">IF(Presupuesto!$B$64='Flujo de Pagos'!$E155,64,9999)</f>
        <v>64</v>
      </c>
      <c r="CG155" s="0" t="n">
        <f aca="false">IF(Presupuesto!$B$65='Flujo de Pagos'!$E155,65,9999)</f>
        <v>65</v>
      </c>
      <c r="CH155" s="0" t="n">
        <f aca="false">IF(Presupuesto!$B$66='Flujo de Pagos'!$E155,66,9999)</f>
        <v>66</v>
      </c>
    </row>
    <row r="156" customFormat="false" ht="15" hidden="false" customHeight="true" outlineLevel="0" collapsed="false">
      <c r="B156" s="1" t="n">
        <f aca="false">IF(AND('Flujo de Pagos'!E161=Carátula!$B$2,'Flujo de Pagos'!F161=Carátula!$B$4,'Flujo de Pagos'!H161&lt;&gt;""),161,99999)</f>
        <v>99999</v>
      </c>
      <c r="H156" s="1" t="n">
        <f aca="false">IF(SMALL($AA156:$CH156,1)&gt;=9999,"",INDEX(Presupuesto!$C:$C,SMALL($AA156:$CH156,1)))</f>
        <v>0</v>
      </c>
      <c r="I156" s="1" t="n">
        <f aca="false">IF(SMALL($AA156:$CH156,2)&gt;=9999,"",INDEX(Presupuesto!$C:$C,SMALL($AA156:$CH156,2)))</f>
        <v>0</v>
      </c>
      <c r="J156" s="1" t="n">
        <f aca="false">IF(SMALL($AA156:$CH156,3)&gt;=9999,"",INDEX(Presupuesto!$C:$C,SMALL($AA156:$CH156,3)))</f>
        <v>0</v>
      </c>
      <c r="K156" s="1" t="n">
        <f aca="false">IF(SMALL($AA156:$CH156,4)&gt;=9999,"",INDEX(Presupuesto!$C:$C,SMALL($AA156:$CH156,4)))</f>
        <v>0</v>
      </c>
      <c r="L156" s="1" t="n">
        <f aca="false">IF(SMALL($AA156:$CH156,5)&gt;=9999,"",INDEX(Presupuesto!$C:$C,SMALL($AA156:$CH156,5)))</f>
        <v>0</v>
      </c>
      <c r="M156" s="1" t="n">
        <f aca="false">IF(SMALL($AA156:$CH156,6)&gt;=9999,"",INDEX(Presupuesto!$C:$C,SMALL($AA156:$CH156,6)))</f>
        <v>0</v>
      </c>
      <c r="N156" s="1" t="n">
        <f aca="false">IF(SMALL($AA156:$CH156,7)&gt;=9999,"",INDEX(Presupuesto!$C:$C,SMALL($AA156:$CH156,7)))</f>
        <v>0</v>
      </c>
      <c r="O156" s="1" t="n">
        <f aca="false">IF(SMALL($AA156:$CH156,8)&gt;=9999,"",INDEX(Presupuesto!$C:$C,SMALL($AA156:$CH156,8)))</f>
        <v>0</v>
      </c>
      <c r="P156" s="1" t="n">
        <f aca="false">IF(SMALL($AA156:$CH156,9)&gt;=9999,"",INDEX(Presupuesto!$C:$C,SMALL($AA156:$CH156,9)))</f>
        <v>0</v>
      </c>
      <c r="Q156" s="1" t="n">
        <f aca="false">IF(SMALL($AA156:$CH156,10)&gt;=9999,"",INDEX(Presupuesto!$C:$C,SMALL($AA156:$CH156,10)))</f>
        <v>0</v>
      </c>
      <c r="AA156" s="0" t="n">
        <f aca="false">IF(Presupuesto!$B$7='Flujo de Pagos'!$E156,7,9999)</f>
        <v>9999</v>
      </c>
      <c r="AB156" s="0" t="n">
        <f aca="false">IF(Presupuesto!$B$8='Flujo de Pagos'!$E156,8,9999)</f>
        <v>9999</v>
      </c>
      <c r="AC156" s="0" t="n">
        <f aca="false">IF(Presupuesto!$B$9='Flujo de Pagos'!$E156,9,9999)</f>
        <v>9999</v>
      </c>
      <c r="AD156" s="0" t="n">
        <f aca="false">IF(Presupuesto!$B$10='Flujo de Pagos'!$E156,10,9999)</f>
        <v>9999</v>
      </c>
      <c r="AE156" s="0" t="n">
        <f aca="false">IF(Presupuesto!$B$11='Flujo de Pagos'!$E156,11,9999)</f>
        <v>9999</v>
      </c>
      <c r="AF156" s="0" t="n">
        <f aca="false">IF(Presupuesto!$B$12='Flujo de Pagos'!$E156,12,9999)</f>
        <v>12</v>
      </c>
      <c r="AG156" s="0" t="n">
        <f aca="false">IF(Presupuesto!$B$13='Flujo de Pagos'!$E156,13,9999)</f>
        <v>13</v>
      </c>
      <c r="AH156" s="0" t="n">
        <f aca="false">IF(Presupuesto!$B$14='Flujo de Pagos'!$E156,14,9999)</f>
        <v>14</v>
      </c>
      <c r="AI156" s="0" t="n">
        <f aca="false">IF(Presupuesto!$B$15='Flujo de Pagos'!$E156,15,9999)</f>
        <v>15</v>
      </c>
      <c r="AJ156" s="0" t="n">
        <f aca="false">IF(Presupuesto!$B$16='Flujo de Pagos'!$E156,16,9999)</f>
        <v>16</v>
      </c>
      <c r="AK156" s="0" t="n">
        <f aca="false">IF(Presupuesto!$B$17='Flujo de Pagos'!$E156,17,9999)</f>
        <v>17</v>
      </c>
      <c r="AL156" s="0" t="n">
        <f aca="false">IF(Presupuesto!$B$18='Flujo de Pagos'!$E156,18,9999)</f>
        <v>18</v>
      </c>
      <c r="AM156" s="0" t="n">
        <f aca="false">IF(Presupuesto!$B$19='Flujo de Pagos'!$E156,19,9999)</f>
        <v>19</v>
      </c>
      <c r="AN156" s="0" t="n">
        <f aca="false">IF(Presupuesto!$B$20='Flujo de Pagos'!$E156,20,9999)</f>
        <v>20</v>
      </c>
      <c r="AO156" s="0" t="n">
        <f aca="false">IF(Presupuesto!$B$21='Flujo de Pagos'!$E156,21,9999)</f>
        <v>21</v>
      </c>
      <c r="AP156" s="0" t="n">
        <f aca="false">IF(Presupuesto!$B$22='Flujo de Pagos'!$E156,22,9999)</f>
        <v>22</v>
      </c>
      <c r="AQ156" s="0" t="n">
        <f aca="false">IF(Presupuesto!$B$23='Flujo de Pagos'!$E156,23,9999)</f>
        <v>23</v>
      </c>
      <c r="AR156" s="0" t="n">
        <f aca="false">IF(Presupuesto!$B$24='Flujo de Pagos'!$E156,24,9999)</f>
        <v>24</v>
      </c>
      <c r="AS156" s="0" t="n">
        <f aca="false">IF(Presupuesto!$B$25='Flujo de Pagos'!$E156,25,9999)</f>
        <v>25</v>
      </c>
      <c r="AT156" s="0" t="n">
        <f aca="false">IF(Presupuesto!$B$26='Flujo de Pagos'!$E156,26,9999)</f>
        <v>26</v>
      </c>
      <c r="AU156" s="0" t="n">
        <f aca="false">IF(Presupuesto!$B$27='Flujo de Pagos'!$E156,27,9999)</f>
        <v>27</v>
      </c>
      <c r="AV156" s="0" t="n">
        <f aca="false">IF(Presupuesto!$B$28='Flujo de Pagos'!$E156,28,9999)</f>
        <v>28</v>
      </c>
      <c r="AW156" s="0" t="n">
        <f aca="false">IF(Presupuesto!$B$29='Flujo de Pagos'!$E156,29,9999)</f>
        <v>29</v>
      </c>
      <c r="AX156" s="0" t="n">
        <f aca="false">IF(Presupuesto!$B$30='Flujo de Pagos'!$E156,30,9999)</f>
        <v>30</v>
      </c>
      <c r="AY156" s="0" t="n">
        <f aca="false">IF(Presupuesto!$B$31='Flujo de Pagos'!$E156,31,9999)</f>
        <v>31</v>
      </c>
      <c r="AZ156" s="0" t="n">
        <f aca="false">IF(Presupuesto!$B$32='Flujo de Pagos'!$E156,32,9999)</f>
        <v>32</v>
      </c>
      <c r="BA156" s="0" t="n">
        <f aca="false">IF(Presupuesto!$B$33='Flujo de Pagos'!$E156,33,9999)</f>
        <v>33</v>
      </c>
      <c r="BB156" s="0" t="n">
        <f aca="false">IF(Presupuesto!$B$34='Flujo de Pagos'!$E156,34,9999)</f>
        <v>34</v>
      </c>
      <c r="BC156" s="0" t="n">
        <f aca="false">IF(Presupuesto!$B$35='Flujo de Pagos'!$E156,35,9999)</f>
        <v>35</v>
      </c>
      <c r="BD156" s="0" t="n">
        <f aca="false">IF(Presupuesto!$B$36='Flujo de Pagos'!$E156,36,9999)</f>
        <v>36</v>
      </c>
      <c r="BE156" s="0" t="n">
        <f aca="false">IF(Presupuesto!$B$37='Flujo de Pagos'!$E156,37,9999)</f>
        <v>37</v>
      </c>
      <c r="BF156" s="0" t="n">
        <f aca="false">IF(Presupuesto!$B$38='Flujo de Pagos'!$E156,38,9999)</f>
        <v>38</v>
      </c>
      <c r="BG156" s="0" t="n">
        <f aca="false">IF(Presupuesto!$B$39='Flujo de Pagos'!$E156,39,9999)</f>
        <v>39</v>
      </c>
      <c r="BH156" s="0" t="n">
        <f aca="false">IF(Presupuesto!$B$40='Flujo de Pagos'!$E156,40,9999)</f>
        <v>40</v>
      </c>
      <c r="BI156" s="0" t="n">
        <f aca="false">IF(Presupuesto!$B$41='Flujo de Pagos'!$E156,41,9999)</f>
        <v>41</v>
      </c>
      <c r="BJ156" s="0" t="n">
        <f aca="false">IF(Presupuesto!$B$42='Flujo de Pagos'!$E156,42,9999)</f>
        <v>42</v>
      </c>
      <c r="BK156" s="0" t="n">
        <f aca="false">IF(Presupuesto!$B$43='Flujo de Pagos'!$E156,43,9999)</f>
        <v>43</v>
      </c>
      <c r="BL156" s="0" t="n">
        <f aca="false">IF(Presupuesto!$B$44='Flujo de Pagos'!$E156,44,9999)</f>
        <v>44</v>
      </c>
      <c r="BM156" s="0" t="n">
        <f aca="false">IF(Presupuesto!$B$45='Flujo de Pagos'!$E156,45,9999)</f>
        <v>45</v>
      </c>
      <c r="BN156" s="0" t="n">
        <f aca="false">IF(Presupuesto!$B$46='Flujo de Pagos'!$E156,46,9999)</f>
        <v>46</v>
      </c>
      <c r="BO156" s="0" t="n">
        <f aca="false">IF(Presupuesto!$B$47='Flujo de Pagos'!$E156,47,9999)</f>
        <v>47</v>
      </c>
      <c r="BP156" s="0" t="n">
        <f aca="false">IF(Presupuesto!$B$48='Flujo de Pagos'!$E156,48,9999)</f>
        <v>48</v>
      </c>
      <c r="BQ156" s="0" t="n">
        <f aca="false">IF(Presupuesto!$B$49='Flujo de Pagos'!$E156,49,9999)</f>
        <v>49</v>
      </c>
      <c r="BR156" s="0" t="n">
        <f aca="false">IF(Presupuesto!$B$50='Flujo de Pagos'!$E156,50,9999)</f>
        <v>50</v>
      </c>
      <c r="BS156" s="0" t="n">
        <f aca="false">IF(Presupuesto!$B$51='Flujo de Pagos'!$E156,51,9999)</f>
        <v>51</v>
      </c>
      <c r="BT156" s="0" t="n">
        <f aca="false">IF(Presupuesto!$B$52='Flujo de Pagos'!$E156,52,9999)</f>
        <v>52</v>
      </c>
      <c r="BU156" s="0" t="n">
        <f aca="false">IF(Presupuesto!$B$53='Flujo de Pagos'!$E156,53,9999)</f>
        <v>53</v>
      </c>
      <c r="BV156" s="0" t="n">
        <f aca="false">IF(Presupuesto!$B$54='Flujo de Pagos'!$E156,54,9999)</f>
        <v>54</v>
      </c>
      <c r="BW156" s="0" t="n">
        <f aca="false">IF(Presupuesto!$B$55='Flujo de Pagos'!$E156,55,9999)</f>
        <v>55</v>
      </c>
      <c r="BX156" s="0" t="n">
        <f aca="false">IF(Presupuesto!$B$56='Flujo de Pagos'!$E156,56,9999)</f>
        <v>56</v>
      </c>
      <c r="BY156" s="0" t="n">
        <f aca="false">IF(Presupuesto!$B$57='Flujo de Pagos'!$E156,57,9999)</f>
        <v>57</v>
      </c>
      <c r="BZ156" s="0" t="n">
        <f aca="false">IF(Presupuesto!$B$58='Flujo de Pagos'!$E156,58,9999)</f>
        <v>58</v>
      </c>
      <c r="CA156" s="0" t="n">
        <f aca="false">IF(Presupuesto!$B$59='Flujo de Pagos'!$E156,59,9999)</f>
        <v>59</v>
      </c>
      <c r="CB156" s="0" t="n">
        <f aca="false">IF(Presupuesto!$B$60='Flujo de Pagos'!$E156,60,9999)</f>
        <v>60</v>
      </c>
      <c r="CC156" s="0" t="n">
        <f aca="false">IF(Presupuesto!$B$61='Flujo de Pagos'!$E156,61,9999)</f>
        <v>61</v>
      </c>
      <c r="CD156" s="0" t="n">
        <f aca="false">IF(Presupuesto!$B$62='Flujo de Pagos'!$E156,62,9999)</f>
        <v>62</v>
      </c>
      <c r="CE156" s="0" t="n">
        <f aca="false">IF(Presupuesto!$B$63='Flujo de Pagos'!$E156,63,9999)</f>
        <v>63</v>
      </c>
      <c r="CF156" s="0" t="n">
        <f aca="false">IF(Presupuesto!$B$64='Flujo de Pagos'!$E156,64,9999)</f>
        <v>64</v>
      </c>
      <c r="CG156" s="0" t="n">
        <f aca="false">IF(Presupuesto!$B$65='Flujo de Pagos'!$E156,65,9999)</f>
        <v>65</v>
      </c>
      <c r="CH156" s="0" t="n">
        <f aca="false">IF(Presupuesto!$B$66='Flujo de Pagos'!$E156,66,9999)</f>
        <v>66</v>
      </c>
    </row>
    <row r="157" customFormat="false" ht="15" hidden="false" customHeight="true" outlineLevel="0" collapsed="false">
      <c r="B157" s="1" t="n">
        <f aca="false">IF(AND('Flujo de Pagos'!E162=Carátula!$B$2,'Flujo de Pagos'!F162=Carátula!$B$4,'Flujo de Pagos'!H162&lt;&gt;""),162,99999)</f>
        <v>99999</v>
      </c>
      <c r="H157" s="1" t="n">
        <f aca="false">IF(SMALL($AA157:$CH157,1)&gt;=9999,"",INDEX(Presupuesto!$C:$C,SMALL($AA157:$CH157,1)))</f>
        <v>0</v>
      </c>
      <c r="I157" s="1" t="n">
        <f aca="false">IF(SMALL($AA157:$CH157,2)&gt;=9999,"",INDEX(Presupuesto!$C:$C,SMALL($AA157:$CH157,2)))</f>
        <v>0</v>
      </c>
      <c r="J157" s="1" t="n">
        <f aca="false">IF(SMALL($AA157:$CH157,3)&gt;=9999,"",INDEX(Presupuesto!$C:$C,SMALL($AA157:$CH157,3)))</f>
        <v>0</v>
      </c>
      <c r="K157" s="1" t="n">
        <f aca="false">IF(SMALL($AA157:$CH157,4)&gt;=9999,"",INDEX(Presupuesto!$C:$C,SMALL($AA157:$CH157,4)))</f>
        <v>0</v>
      </c>
      <c r="L157" s="1" t="n">
        <f aca="false">IF(SMALL($AA157:$CH157,5)&gt;=9999,"",INDEX(Presupuesto!$C:$C,SMALL($AA157:$CH157,5)))</f>
        <v>0</v>
      </c>
      <c r="M157" s="1" t="n">
        <f aca="false">IF(SMALL($AA157:$CH157,6)&gt;=9999,"",INDEX(Presupuesto!$C:$C,SMALL($AA157:$CH157,6)))</f>
        <v>0</v>
      </c>
      <c r="N157" s="1" t="n">
        <f aca="false">IF(SMALL($AA157:$CH157,7)&gt;=9999,"",INDEX(Presupuesto!$C:$C,SMALL($AA157:$CH157,7)))</f>
        <v>0</v>
      </c>
      <c r="O157" s="1" t="n">
        <f aca="false">IF(SMALL($AA157:$CH157,8)&gt;=9999,"",INDEX(Presupuesto!$C:$C,SMALL($AA157:$CH157,8)))</f>
        <v>0</v>
      </c>
      <c r="P157" s="1" t="n">
        <f aca="false">IF(SMALL($AA157:$CH157,9)&gt;=9999,"",INDEX(Presupuesto!$C:$C,SMALL($AA157:$CH157,9)))</f>
        <v>0</v>
      </c>
      <c r="Q157" s="1" t="n">
        <f aca="false">IF(SMALL($AA157:$CH157,10)&gt;=9999,"",INDEX(Presupuesto!$C:$C,SMALL($AA157:$CH157,10)))</f>
        <v>0</v>
      </c>
      <c r="AA157" s="0" t="n">
        <f aca="false">IF(Presupuesto!$B$7='Flujo de Pagos'!$E157,7,9999)</f>
        <v>9999</v>
      </c>
      <c r="AB157" s="0" t="n">
        <f aca="false">IF(Presupuesto!$B$8='Flujo de Pagos'!$E157,8,9999)</f>
        <v>9999</v>
      </c>
      <c r="AC157" s="0" t="n">
        <f aca="false">IF(Presupuesto!$B$9='Flujo de Pagos'!$E157,9,9999)</f>
        <v>9999</v>
      </c>
      <c r="AD157" s="0" t="n">
        <f aca="false">IF(Presupuesto!$B$10='Flujo de Pagos'!$E157,10,9999)</f>
        <v>9999</v>
      </c>
      <c r="AE157" s="0" t="n">
        <f aca="false">IF(Presupuesto!$B$11='Flujo de Pagos'!$E157,11,9999)</f>
        <v>9999</v>
      </c>
      <c r="AF157" s="0" t="n">
        <f aca="false">IF(Presupuesto!$B$12='Flujo de Pagos'!$E157,12,9999)</f>
        <v>12</v>
      </c>
      <c r="AG157" s="0" t="n">
        <f aca="false">IF(Presupuesto!$B$13='Flujo de Pagos'!$E157,13,9999)</f>
        <v>13</v>
      </c>
      <c r="AH157" s="0" t="n">
        <f aca="false">IF(Presupuesto!$B$14='Flujo de Pagos'!$E157,14,9999)</f>
        <v>14</v>
      </c>
      <c r="AI157" s="0" t="n">
        <f aca="false">IF(Presupuesto!$B$15='Flujo de Pagos'!$E157,15,9999)</f>
        <v>15</v>
      </c>
      <c r="AJ157" s="0" t="n">
        <f aca="false">IF(Presupuesto!$B$16='Flujo de Pagos'!$E157,16,9999)</f>
        <v>16</v>
      </c>
      <c r="AK157" s="0" t="n">
        <f aca="false">IF(Presupuesto!$B$17='Flujo de Pagos'!$E157,17,9999)</f>
        <v>17</v>
      </c>
      <c r="AL157" s="0" t="n">
        <f aca="false">IF(Presupuesto!$B$18='Flujo de Pagos'!$E157,18,9999)</f>
        <v>18</v>
      </c>
      <c r="AM157" s="0" t="n">
        <f aca="false">IF(Presupuesto!$B$19='Flujo de Pagos'!$E157,19,9999)</f>
        <v>19</v>
      </c>
      <c r="AN157" s="0" t="n">
        <f aca="false">IF(Presupuesto!$B$20='Flujo de Pagos'!$E157,20,9999)</f>
        <v>20</v>
      </c>
      <c r="AO157" s="0" t="n">
        <f aca="false">IF(Presupuesto!$B$21='Flujo de Pagos'!$E157,21,9999)</f>
        <v>21</v>
      </c>
      <c r="AP157" s="0" t="n">
        <f aca="false">IF(Presupuesto!$B$22='Flujo de Pagos'!$E157,22,9999)</f>
        <v>22</v>
      </c>
      <c r="AQ157" s="0" t="n">
        <f aca="false">IF(Presupuesto!$B$23='Flujo de Pagos'!$E157,23,9999)</f>
        <v>23</v>
      </c>
      <c r="AR157" s="0" t="n">
        <f aca="false">IF(Presupuesto!$B$24='Flujo de Pagos'!$E157,24,9999)</f>
        <v>24</v>
      </c>
      <c r="AS157" s="0" t="n">
        <f aca="false">IF(Presupuesto!$B$25='Flujo de Pagos'!$E157,25,9999)</f>
        <v>25</v>
      </c>
      <c r="AT157" s="0" t="n">
        <f aca="false">IF(Presupuesto!$B$26='Flujo de Pagos'!$E157,26,9999)</f>
        <v>26</v>
      </c>
      <c r="AU157" s="0" t="n">
        <f aca="false">IF(Presupuesto!$B$27='Flujo de Pagos'!$E157,27,9999)</f>
        <v>27</v>
      </c>
      <c r="AV157" s="0" t="n">
        <f aca="false">IF(Presupuesto!$B$28='Flujo de Pagos'!$E157,28,9999)</f>
        <v>28</v>
      </c>
      <c r="AW157" s="0" t="n">
        <f aca="false">IF(Presupuesto!$B$29='Flujo de Pagos'!$E157,29,9999)</f>
        <v>29</v>
      </c>
      <c r="AX157" s="0" t="n">
        <f aca="false">IF(Presupuesto!$B$30='Flujo de Pagos'!$E157,30,9999)</f>
        <v>30</v>
      </c>
      <c r="AY157" s="0" t="n">
        <f aca="false">IF(Presupuesto!$B$31='Flujo de Pagos'!$E157,31,9999)</f>
        <v>31</v>
      </c>
      <c r="AZ157" s="0" t="n">
        <f aca="false">IF(Presupuesto!$B$32='Flujo de Pagos'!$E157,32,9999)</f>
        <v>32</v>
      </c>
      <c r="BA157" s="0" t="n">
        <f aca="false">IF(Presupuesto!$B$33='Flujo de Pagos'!$E157,33,9999)</f>
        <v>33</v>
      </c>
      <c r="BB157" s="0" t="n">
        <f aca="false">IF(Presupuesto!$B$34='Flujo de Pagos'!$E157,34,9999)</f>
        <v>34</v>
      </c>
      <c r="BC157" s="0" t="n">
        <f aca="false">IF(Presupuesto!$B$35='Flujo de Pagos'!$E157,35,9999)</f>
        <v>35</v>
      </c>
      <c r="BD157" s="0" t="n">
        <f aca="false">IF(Presupuesto!$B$36='Flujo de Pagos'!$E157,36,9999)</f>
        <v>36</v>
      </c>
      <c r="BE157" s="0" t="n">
        <f aca="false">IF(Presupuesto!$B$37='Flujo de Pagos'!$E157,37,9999)</f>
        <v>37</v>
      </c>
      <c r="BF157" s="0" t="n">
        <f aca="false">IF(Presupuesto!$B$38='Flujo de Pagos'!$E157,38,9999)</f>
        <v>38</v>
      </c>
      <c r="BG157" s="0" t="n">
        <f aca="false">IF(Presupuesto!$B$39='Flujo de Pagos'!$E157,39,9999)</f>
        <v>39</v>
      </c>
      <c r="BH157" s="0" t="n">
        <f aca="false">IF(Presupuesto!$B$40='Flujo de Pagos'!$E157,40,9999)</f>
        <v>40</v>
      </c>
      <c r="BI157" s="0" t="n">
        <f aca="false">IF(Presupuesto!$B$41='Flujo de Pagos'!$E157,41,9999)</f>
        <v>41</v>
      </c>
      <c r="BJ157" s="0" t="n">
        <f aca="false">IF(Presupuesto!$B$42='Flujo de Pagos'!$E157,42,9999)</f>
        <v>42</v>
      </c>
      <c r="BK157" s="0" t="n">
        <f aca="false">IF(Presupuesto!$B$43='Flujo de Pagos'!$E157,43,9999)</f>
        <v>43</v>
      </c>
      <c r="BL157" s="0" t="n">
        <f aca="false">IF(Presupuesto!$B$44='Flujo de Pagos'!$E157,44,9999)</f>
        <v>44</v>
      </c>
      <c r="BM157" s="0" t="n">
        <f aca="false">IF(Presupuesto!$B$45='Flujo de Pagos'!$E157,45,9999)</f>
        <v>45</v>
      </c>
      <c r="BN157" s="0" t="n">
        <f aca="false">IF(Presupuesto!$B$46='Flujo de Pagos'!$E157,46,9999)</f>
        <v>46</v>
      </c>
      <c r="BO157" s="0" t="n">
        <f aca="false">IF(Presupuesto!$B$47='Flujo de Pagos'!$E157,47,9999)</f>
        <v>47</v>
      </c>
      <c r="BP157" s="0" t="n">
        <f aca="false">IF(Presupuesto!$B$48='Flujo de Pagos'!$E157,48,9999)</f>
        <v>48</v>
      </c>
      <c r="BQ157" s="0" t="n">
        <f aca="false">IF(Presupuesto!$B$49='Flujo de Pagos'!$E157,49,9999)</f>
        <v>49</v>
      </c>
      <c r="BR157" s="0" t="n">
        <f aca="false">IF(Presupuesto!$B$50='Flujo de Pagos'!$E157,50,9999)</f>
        <v>50</v>
      </c>
      <c r="BS157" s="0" t="n">
        <f aca="false">IF(Presupuesto!$B$51='Flujo de Pagos'!$E157,51,9999)</f>
        <v>51</v>
      </c>
      <c r="BT157" s="0" t="n">
        <f aca="false">IF(Presupuesto!$B$52='Flujo de Pagos'!$E157,52,9999)</f>
        <v>52</v>
      </c>
      <c r="BU157" s="0" t="n">
        <f aca="false">IF(Presupuesto!$B$53='Flujo de Pagos'!$E157,53,9999)</f>
        <v>53</v>
      </c>
      <c r="BV157" s="0" t="n">
        <f aca="false">IF(Presupuesto!$B$54='Flujo de Pagos'!$E157,54,9999)</f>
        <v>54</v>
      </c>
      <c r="BW157" s="0" t="n">
        <f aca="false">IF(Presupuesto!$B$55='Flujo de Pagos'!$E157,55,9999)</f>
        <v>55</v>
      </c>
      <c r="BX157" s="0" t="n">
        <f aca="false">IF(Presupuesto!$B$56='Flujo de Pagos'!$E157,56,9999)</f>
        <v>56</v>
      </c>
      <c r="BY157" s="0" t="n">
        <f aca="false">IF(Presupuesto!$B$57='Flujo de Pagos'!$E157,57,9999)</f>
        <v>57</v>
      </c>
      <c r="BZ157" s="0" t="n">
        <f aca="false">IF(Presupuesto!$B$58='Flujo de Pagos'!$E157,58,9999)</f>
        <v>58</v>
      </c>
      <c r="CA157" s="0" t="n">
        <f aca="false">IF(Presupuesto!$B$59='Flujo de Pagos'!$E157,59,9999)</f>
        <v>59</v>
      </c>
      <c r="CB157" s="0" t="n">
        <f aca="false">IF(Presupuesto!$B$60='Flujo de Pagos'!$E157,60,9999)</f>
        <v>60</v>
      </c>
      <c r="CC157" s="0" t="n">
        <f aca="false">IF(Presupuesto!$B$61='Flujo de Pagos'!$E157,61,9999)</f>
        <v>61</v>
      </c>
      <c r="CD157" s="0" t="n">
        <f aca="false">IF(Presupuesto!$B$62='Flujo de Pagos'!$E157,62,9999)</f>
        <v>62</v>
      </c>
      <c r="CE157" s="0" t="n">
        <f aca="false">IF(Presupuesto!$B$63='Flujo de Pagos'!$E157,63,9999)</f>
        <v>63</v>
      </c>
      <c r="CF157" s="0" t="n">
        <f aca="false">IF(Presupuesto!$B$64='Flujo de Pagos'!$E157,64,9999)</f>
        <v>64</v>
      </c>
      <c r="CG157" s="0" t="n">
        <f aca="false">IF(Presupuesto!$B$65='Flujo de Pagos'!$E157,65,9999)</f>
        <v>65</v>
      </c>
      <c r="CH157" s="0" t="n">
        <f aca="false">IF(Presupuesto!$B$66='Flujo de Pagos'!$E157,66,9999)</f>
        <v>66</v>
      </c>
    </row>
    <row r="158" customFormat="false" ht="15" hidden="false" customHeight="true" outlineLevel="0" collapsed="false">
      <c r="B158" s="1" t="n">
        <f aca="false">IF(AND('Flujo de Pagos'!E163=Carátula!$B$2,'Flujo de Pagos'!F163=Carátula!$B$4,'Flujo de Pagos'!H163&lt;&gt;""),163,99999)</f>
        <v>99999</v>
      </c>
      <c r="H158" s="1" t="n">
        <f aca="false">IF(SMALL($AA158:$CH158,1)&gt;=9999,"",INDEX(Presupuesto!$C:$C,SMALL($AA158:$CH158,1)))</f>
        <v>0</v>
      </c>
      <c r="I158" s="1" t="n">
        <f aca="false">IF(SMALL($AA158:$CH158,2)&gt;=9999,"",INDEX(Presupuesto!$C:$C,SMALL($AA158:$CH158,2)))</f>
        <v>0</v>
      </c>
      <c r="J158" s="1" t="n">
        <f aca="false">IF(SMALL($AA158:$CH158,3)&gt;=9999,"",INDEX(Presupuesto!$C:$C,SMALL($AA158:$CH158,3)))</f>
        <v>0</v>
      </c>
      <c r="K158" s="1" t="n">
        <f aca="false">IF(SMALL($AA158:$CH158,4)&gt;=9999,"",INDEX(Presupuesto!$C:$C,SMALL($AA158:$CH158,4)))</f>
        <v>0</v>
      </c>
      <c r="L158" s="1" t="n">
        <f aca="false">IF(SMALL($AA158:$CH158,5)&gt;=9999,"",INDEX(Presupuesto!$C:$C,SMALL($AA158:$CH158,5)))</f>
        <v>0</v>
      </c>
      <c r="M158" s="1" t="n">
        <f aca="false">IF(SMALL($AA158:$CH158,6)&gt;=9999,"",INDEX(Presupuesto!$C:$C,SMALL($AA158:$CH158,6)))</f>
        <v>0</v>
      </c>
      <c r="N158" s="1" t="n">
        <f aca="false">IF(SMALL($AA158:$CH158,7)&gt;=9999,"",INDEX(Presupuesto!$C:$C,SMALL($AA158:$CH158,7)))</f>
        <v>0</v>
      </c>
      <c r="O158" s="1" t="n">
        <f aca="false">IF(SMALL($AA158:$CH158,8)&gt;=9999,"",INDEX(Presupuesto!$C:$C,SMALL($AA158:$CH158,8)))</f>
        <v>0</v>
      </c>
      <c r="P158" s="1" t="n">
        <f aca="false">IF(SMALL($AA158:$CH158,9)&gt;=9999,"",INDEX(Presupuesto!$C:$C,SMALL($AA158:$CH158,9)))</f>
        <v>0</v>
      </c>
      <c r="Q158" s="1" t="n">
        <f aca="false">IF(SMALL($AA158:$CH158,10)&gt;=9999,"",INDEX(Presupuesto!$C:$C,SMALL($AA158:$CH158,10)))</f>
        <v>0</v>
      </c>
      <c r="AA158" s="0" t="n">
        <f aca="false">IF(Presupuesto!$B$7='Flujo de Pagos'!$E158,7,9999)</f>
        <v>9999</v>
      </c>
      <c r="AB158" s="0" t="n">
        <f aca="false">IF(Presupuesto!$B$8='Flujo de Pagos'!$E158,8,9999)</f>
        <v>9999</v>
      </c>
      <c r="AC158" s="0" t="n">
        <f aca="false">IF(Presupuesto!$B$9='Flujo de Pagos'!$E158,9,9999)</f>
        <v>9999</v>
      </c>
      <c r="AD158" s="0" t="n">
        <f aca="false">IF(Presupuesto!$B$10='Flujo de Pagos'!$E158,10,9999)</f>
        <v>9999</v>
      </c>
      <c r="AE158" s="0" t="n">
        <f aca="false">IF(Presupuesto!$B$11='Flujo de Pagos'!$E158,11,9999)</f>
        <v>9999</v>
      </c>
      <c r="AF158" s="0" t="n">
        <f aca="false">IF(Presupuesto!$B$12='Flujo de Pagos'!$E158,12,9999)</f>
        <v>12</v>
      </c>
      <c r="AG158" s="0" t="n">
        <f aca="false">IF(Presupuesto!$B$13='Flujo de Pagos'!$E158,13,9999)</f>
        <v>13</v>
      </c>
      <c r="AH158" s="0" t="n">
        <f aca="false">IF(Presupuesto!$B$14='Flujo de Pagos'!$E158,14,9999)</f>
        <v>14</v>
      </c>
      <c r="AI158" s="0" t="n">
        <f aca="false">IF(Presupuesto!$B$15='Flujo de Pagos'!$E158,15,9999)</f>
        <v>15</v>
      </c>
      <c r="AJ158" s="0" t="n">
        <f aca="false">IF(Presupuesto!$B$16='Flujo de Pagos'!$E158,16,9999)</f>
        <v>16</v>
      </c>
      <c r="AK158" s="0" t="n">
        <f aca="false">IF(Presupuesto!$B$17='Flujo de Pagos'!$E158,17,9999)</f>
        <v>17</v>
      </c>
      <c r="AL158" s="0" t="n">
        <f aca="false">IF(Presupuesto!$B$18='Flujo de Pagos'!$E158,18,9999)</f>
        <v>18</v>
      </c>
      <c r="AM158" s="0" t="n">
        <f aca="false">IF(Presupuesto!$B$19='Flujo de Pagos'!$E158,19,9999)</f>
        <v>19</v>
      </c>
      <c r="AN158" s="0" t="n">
        <f aca="false">IF(Presupuesto!$B$20='Flujo de Pagos'!$E158,20,9999)</f>
        <v>20</v>
      </c>
      <c r="AO158" s="0" t="n">
        <f aca="false">IF(Presupuesto!$B$21='Flujo de Pagos'!$E158,21,9999)</f>
        <v>21</v>
      </c>
      <c r="AP158" s="0" t="n">
        <f aca="false">IF(Presupuesto!$B$22='Flujo de Pagos'!$E158,22,9999)</f>
        <v>22</v>
      </c>
      <c r="AQ158" s="0" t="n">
        <f aca="false">IF(Presupuesto!$B$23='Flujo de Pagos'!$E158,23,9999)</f>
        <v>23</v>
      </c>
      <c r="AR158" s="0" t="n">
        <f aca="false">IF(Presupuesto!$B$24='Flujo de Pagos'!$E158,24,9999)</f>
        <v>24</v>
      </c>
      <c r="AS158" s="0" t="n">
        <f aca="false">IF(Presupuesto!$B$25='Flujo de Pagos'!$E158,25,9999)</f>
        <v>25</v>
      </c>
      <c r="AT158" s="0" t="n">
        <f aca="false">IF(Presupuesto!$B$26='Flujo de Pagos'!$E158,26,9999)</f>
        <v>26</v>
      </c>
      <c r="AU158" s="0" t="n">
        <f aca="false">IF(Presupuesto!$B$27='Flujo de Pagos'!$E158,27,9999)</f>
        <v>27</v>
      </c>
      <c r="AV158" s="0" t="n">
        <f aca="false">IF(Presupuesto!$B$28='Flujo de Pagos'!$E158,28,9999)</f>
        <v>28</v>
      </c>
      <c r="AW158" s="0" t="n">
        <f aca="false">IF(Presupuesto!$B$29='Flujo de Pagos'!$E158,29,9999)</f>
        <v>29</v>
      </c>
      <c r="AX158" s="0" t="n">
        <f aca="false">IF(Presupuesto!$B$30='Flujo de Pagos'!$E158,30,9999)</f>
        <v>30</v>
      </c>
      <c r="AY158" s="0" t="n">
        <f aca="false">IF(Presupuesto!$B$31='Flujo de Pagos'!$E158,31,9999)</f>
        <v>31</v>
      </c>
      <c r="AZ158" s="0" t="n">
        <f aca="false">IF(Presupuesto!$B$32='Flujo de Pagos'!$E158,32,9999)</f>
        <v>32</v>
      </c>
      <c r="BA158" s="0" t="n">
        <f aca="false">IF(Presupuesto!$B$33='Flujo de Pagos'!$E158,33,9999)</f>
        <v>33</v>
      </c>
      <c r="BB158" s="0" t="n">
        <f aca="false">IF(Presupuesto!$B$34='Flujo de Pagos'!$E158,34,9999)</f>
        <v>34</v>
      </c>
      <c r="BC158" s="0" t="n">
        <f aca="false">IF(Presupuesto!$B$35='Flujo de Pagos'!$E158,35,9999)</f>
        <v>35</v>
      </c>
      <c r="BD158" s="0" t="n">
        <f aca="false">IF(Presupuesto!$B$36='Flujo de Pagos'!$E158,36,9999)</f>
        <v>36</v>
      </c>
      <c r="BE158" s="0" t="n">
        <f aca="false">IF(Presupuesto!$B$37='Flujo de Pagos'!$E158,37,9999)</f>
        <v>37</v>
      </c>
      <c r="BF158" s="0" t="n">
        <f aca="false">IF(Presupuesto!$B$38='Flujo de Pagos'!$E158,38,9999)</f>
        <v>38</v>
      </c>
      <c r="BG158" s="0" t="n">
        <f aca="false">IF(Presupuesto!$B$39='Flujo de Pagos'!$E158,39,9999)</f>
        <v>39</v>
      </c>
      <c r="BH158" s="0" t="n">
        <f aca="false">IF(Presupuesto!$B$40='Flujo de Pagos'!$E158,40,9999)</f>
        <v>40</v>
      </c>
      <c r="BI158" s="0" t="n">
        <f aca="false">IF(Presupuesto!$B$41='Flujo de Pagos'!$E158,41,9999)</f>
        <v>41</v>
      </c>
      <c r="BJ158" s="0" t="n">
        <f aca="false">IF(Presupuesto!$B$42='Flujo de Pagos'!$E158,42,9999)</f>
        <v>42</v>
      </c>
      <c r="BK158" s="0" t="n">
        <f aca="false">IF(Presupuesto!$B$43='Flujo de Pagos'!$E158,43,9999)</f>
        <v>43</v>
      </c>
      <c r="BL158" s="0" t="n">
        <f aca="false">IF(Presupuesto!$B$44='Flujo de Pagos'!$E158,44,9999)</f>
        <v>44</v>
      </c>
      <c r="BM158" s="0" t="n">
        <f aca="false">IF(Presupuesto!$B$45='Flujo de Pagos'!$E158,45,9999)</f>
        <v>45</v>
      </c>
      <c r="BN158" s="0" t="n">
        <f aca="false">IF(Presupuesto!$B$46='Flujo de Pagos'!$E158,46,9999)</f>
        <v>46</v>
      </c>
      <c r="BO158" s="0" t="n">
        <f aca="false">IF(Presupuesto!$B$47='Flujo de Pagos'!$E158,47,9999)</f>
        <v>47</v>
      </c>
      <c r="BP158" s="0" t="n">
        <f aca="false">IF(Presupuesto!$B$48='Flujo de Pagos'!$E158,48,9999)</f>
        <v>48</v>
      </c>
      <c r="BQ158" s="0" t="n">
        <f aca="false">IF(Presupuesto!$B$49='Flujo de Pagos'!$E158,49,9999)</f>
        <v>49</v>
      </c>
      <c r="BR158" s="0" t="n">
        <f aca="false">IF(Presupuesto!$B$50='Flujo de Pagos'!$E158,50,9999)</f>
        <v>50</v>
      </c>
      <c r="BS158" s="0" t="n">
        <f aca="false">IF(Presupuesto!$B$51='Flujo de Pagos'!$E158,51,9999)</f>
        <v>51</v>
      </c>
      <c r="BT158" s="0" t="n">
        <f aca="false">IF(Presupuesto!$B$52='Flujo de Pagos'!$E158,52,9999)</f>
        <v>52</v>
      </c>
      <c r="BU158" s="0" t="n">
        <f aca="false">IF(Presupuesto!$B$53='Flujo de Pagos'!$E158,53,9999)</f>
        <v>53</v>
      </c>
      <c r="BV158" s="0" t="n">
        <f aca="false">IF(Presupuesto!$B$54='Flujo de Pagos'!$E158,54,9999)</f>
        <v>54</v>
      </c>
      <c r="BW158" s="0" t="n">
        <f aca="false">IF(Presupuesto!$B$55='Flujo de Pagos'!$E158,55,9999)</f>
        <v>55</v>
      </c>
      <c r="BX158" s="0" t="n">
        <f aca="false">IF(Presupuesto!$B$56='Flujo de Pagos'!$E158,56,9999)</f>
        <v>56</v>
      </c>
      <c r="BY158" s="0" t="n">
        <f aca="false">IF(Presupuesto!$B$57='Flujo de Pagos'!$E158,57,9999)</f>
        <v>57</v>
      </c>
      <c r="BZ158" s="0" t="n">
        <f aca="false">IF(Presupuesto!$B$58='Flujo de Pagos'!$E158,58,9999)</f>
        <v>58</v>
      </c>
      <c r="CA158" s="0" t="n">
        <f aca="false">IF(Presupuesto!$B$59='Flujo de Pagos'!$E158,59,9999)</f>
        <v>59</v>
      </c>
      <c r="CB158" s="0" t="n">
        <f aca="false">IF(Presupuesto!$B$60='Flujo de Pagos'!$E158,60,9999)</f>
        <v>60</v>
      </c>
      <c r="CC158" s="0" t="n">
        <f aca="false">IF(Presupuesto!$B$61='Flujo de Pagos'!$E158,61,9999)</f>
        <v>61</v>
      </c>
      <c r="CD158" s="0" t="n">
        <f aca="false">IF(Presupuesto!$B$62='Flujo de Pagos'!$E158,62,9999)</f>
        <v>62</v>
      </c>
      <c r="CE158" s="0" t="n">
        <f aca="false">IF(Presupuesto!$B$63='Flujo de Pagos'!$E158,63,9999)</f>
        <v>63</v>
      </c>
      <c r="CF158" s="0" t="n">
        <f aca="false">IF(Presupuesto!$B$64='Flujo de Pagos'!$E158,64,9999)</f>
        <v>64</v>
      </c>
      <c r="CG158" s="0" t="n">
        <f aca="false">IF(Presupuesto!$B$65='Flujo de Pagos'!$E158,65,9999)</f>
        <v>65</v>
      </c>
      <c r="CH158" s="0" t="n">
        <f aca="false">IF(Presupuesto!$B$66='Flujo de Pagos'!$E158,66,9999)</f>
        <v>66</v>
      </c>
    </row>
    <row r="159" customFormat="false" ht="15" hidden="false" customHeight="true" outlineLevel="0" collapsed="false">
      <c r="B159" s="1" t="n">
        <f aca="false">IF(AND('Flujo de Pagos'!E164=Carátula!$B$2,'Flujo de Pagos'!F164=Carátula!$B$4,'Flujo de Pagos'!H164&lt;&gt;""),164,99999)</f>
        <v>99999</v>
      </c>
      <c r="H159" s="1" t="n">
        <f aca="false">IF(SMALL($AA159:$CH159,1)&gt;=9999,"",INDEX(Presupuesto!$C:$C,SMALL($AA159:$CH159,1)))</f>
        <v>0</v>
      </c>
      <c r="I159" s="1" t="n">
        <f aca="false">IF(SMALL($AA159:$CH159,2)&gt;=9999,"",INDEX(Presupuesto!$C:$C,SMALL($AA159:$CH159,2)))</f>
        <v>0</v>
      </c>
      <c r="J159" s="1" t="n">
        <f aca="false">IF(SMALL($AA159:$CH159,3)&gt;=9999,"",INDEX(Presupuesto!$C:$C,SMALL($AA159:$CH159,3)))</f>
        <v>0</v>
      </c>
      <c r="K159" s="1" t="n">
        <f aca="false">IF(SMALL($AA159:$CH159,4)&gt;=9999,"",INDEX(Presupuesto!$C:$C,SMALL($AA159:$CH159,4)))</f>
        <v>0</v>
      </c>
      <c r="L159" s="1" t="n">
        <f aca="false">IF(SMALL($AA159:$CH159,5)&gt;=9999,"",INDEX(Presupuesto!$C:$C,SMALL($AA159:$CH159,5)))</f>
        <v>0</v>
      </c>
      <c r="M159" s="1" t="n">
        <f aca="false">IF(SMALL($AA159:$CH159,6)&gt;=9999,"",INDEX(Presupuesto!$C:$C,SMALL($AA159:$CH159,6)))</f>
        <v>0</v>
      </c>
      <c r="N159" s="1" t="n">
        <f aca="false">IF(SMALL($AA159:$CH159,7)&gt;=9999,"",INDEX(Presupuesto!$C:$C,SMALL($AA159:$CH159,7)))</f>
        <v>0</v>
      </c>
      <c r="O159" s="1" t="n">
        <f aca="false">IF(SMALL($AA159:$CH159,8)&gt;=9999,"",INDEX(Presupuesto!$C:$C,SMALL($AA159:$CH159,8)))</f>
        <v>0</v>
      </c>
      <c r="P159" s="1" t="n">
        <f aca="false">IF(SMALL($AA159:$CH159,9)&gt;=9999,"",INDEX(Presupuesto!$C:$C,SMALL($AA159:$CH159,9)))</f>
        <v>0</v>
      </c>
      <c r="Q159" s="1" t="n">
        <f aca="false">IF(SMALL($AA159:$CH159,10)&gt;=9999,"",INDEX(Presupuesto!$C:$C,SMALL($AA159:$CH159,10)))</f>
        <v>0</v>
      </c>
      <c r="AA159" s="0" t="n">
        <f aca="false">IF(Presupuesto!$B$7='Flujo de Pagos'!$E159,7,9999)</f>
        <v>9999</v>
      </c>
      <c r="AB159" s="0" t="n">
        <f aca="false">IF(Presupuesto!$B$8='Flujo de Pagos'!$E159,8,9999)</f>
        <v>9999</v>
      </c>
      <c r="AC159" s="0" t="n">
        <f aca="false">IF(Presupuesto!$B$9='Flujo de Pagos'!$E159,9,9999)</f>
        <v>9999</v>
      </c>
      <c r="AD159" s="0" t="n">
        <f aca="false">IF(Presupuesto!$B$10='Flujo de Pagos'!$E159,10,9999)</f>
        <v>9999</v>
      </c>
      <c r="AE159" s="0" t="n">
        <f aca="false">IF(Presupuesto!$B$11='Flujo de Pagos'!$E159,11,9999)</f>
        <v>9999</v>
      </c>
      <c r="AF159" s="0" t="n">
        <f aca="false">IF(Presupuesto!$B$12='Flujo de Pagos'!$E159,12,9999)</f>
        <v>12</v>
      </c>
      <c r="AG159" s="0" t="n">
        <f aca="false">IF(Presupuesto!$B$13='Flujo de Pagos'!$E159,13,9999)</f>
        <v>13</v>
      </c>
      <c r="AH159" s="0" t="n">
        <f aca="false">IF(Presupuesto!$B$14='Flujo de Pagos'!$E159,14,9999)</f>
        <v>14</v>
      </c>
      <c r="AI159" s="0" t="n">
        <f aca="false">IF(Presupuesto!$B$15='Flujo de Pagos'!$E159,15,9999)</f>
        <v>15</v>
      </c>
      <c r="AJ159" s="0" t="n">
        <f aca="false">IF(Presupuesto!$B$16='Flujo de Pagos'!$E159,16,9999)</f>
        <v>16</v>
      </c>
      <c r="AK159" s="0" t="n">
        <f aca="false">IF(Presupuesto!$B$17='Flujo de Pagos'!$E159,17,9999)</f>
        <v>17</v>
      </c>
      <c r="AL159" s="0" t="n">
        <f aca="false">IF(Presupuesto!$B$18='Flujo de Pagos'!$E159,18,9999)</f>
        <v>18</v>
      </c>
      <c r="AM159" s="0" t="n">
        <f aca="false">IF(Presupuesto!$B$19='Flujo de Pagos'!$E159,19,9999)</f>
        <v>19</v>
      </c>
      <c r="AN159" s="0" t="n">
        <f aca="false">IF(Presupuesto!$B$20='Flujo de Pagos'!$E159,20,9999)</f>
        <v>20</v>
      </c>
      <c r="AO159" s="0" t="n">
        <f aca="false">IF(Presupuesto!$B$21='Flujo de Pagos'!$E159,21,9999)</f>
        <v>21</v>
      </c>
      <c r="AP159" s="0" t="n">
        <f aca="false">IF(Presupuesto!$B$22='Flujo de Pagos'!$E159,22,9999)</f>
        <v>22</v>
      </c>
      <c r="AQ159" s="0" t="n">
        <f aca="false">IF(Presupuesto!$B$23='Flujo de Pagos'!$E159,23,9999)</f>
        <v>23</v>
      </c>
      <c r="AR159" s="0" t="n">
        <f aca="false">IF(Presupuesto!$B$24='Flujo de Pagos'!$E159,24,9999)</f>
        <v>24</v>
      </c>
      <c r="AS159" s="0" t="n">
        <f aca="false">IF(Presupuesto!$B$25='Flujo de Pagos'!$E159,25,9999)</f>
        <v>25</v>
      </c>
      <c r="AT159" s="0" t="n">
        <f aca="false">IF(Presupuesto!$B$26='Flujo de Pagos'!$E159,26,9999)</f>
        <v>26</v>
      </c>
      <c r="AU159" s="0" t="n">
        <f aca="false">IF(Presupuesto!$B$27='Flujo de Pagos'!$E159,27,9999)</f>
        <v>27</v>
      </c>
      <c r="AV159" s="0" t="n">
        <f aca="false">IF(Presupuesto!$B$28='Flujo de Pagos'!$E159,28,9999)</f>
        <v>28</v>
      </c>
      <c r="AW159" s="0" t="n">
        <f aca="false">IF(Presupuesto!$B$29='Flujo de Pagos'!$E159,29,9999)</f>
        <v>29</v>
      </c>
      <c r="AX159" s="0" t="n">
        <f aca="false">IF(Presupuesto!$B$30='Flujo de Pagos'!$E159,30,9999)</f>
        <v>30</v>
      </c>
      <c r="AY159" s="0" t="n">
        <f aca="false">IF(Presupuesto!$B$31='Flujo de Pagos'!$E159,31,9999)</f>
        <v>31</v>
      </c>
      <c r="AZ159" s="0" t="n">
        <f aca="false">IF(Presupuesto!$B$32='Flujo de Pagos'!$E159,32,9999)</f>
        <v>32</v>
      </c>
      <c r="BA159" s="0" t="n">
        <f aca="false">IF(Presupuesto!$B$33='Flujo de Pagos'!$E159,33,9999)</f>
        <v>33</v>
      </c>
      <c r="BB159" s="0" t="n">
        <f aca="false">IF(Presupuesto!$B$34='Flujo de Pagos'!$E159,34,9999)</f>
        <v>34</v>
      </c>
      <c r="BC159" s="0" t="n">
        <f aca="false">IF(Presupuesto!$B$35='Flujo de Pagos'!$E159,35,9999)</f>
        <v>35</v>
      </c>
      <c r="BD159" s="0" t="n">
        <f aca="false">IF(Presupuesto!$B$36='Flujo de Pagos'!$E159,36,9999)</f>
        <v>36</v>
      </c>
      <c r="BE159" s="0" t="n">
        <f aca="false">IF(Presupuesto!$B$37='Flujo de Pagos'!$E159,37,9999)</f>
        <v>37</v>
      </c>
      <c r="BF159" s="0" t="n">
        <f aca="false">IF(Presupuesto!$B$38='Flujo de Pagos'!$E159,38,9999)</f>
        <v>38</v>
      </c>
      <c r="BG159" s="0" t="n">
        <f aca="false">IF(Presupuesto!$B$39='Flujo de Pagos'!$E159,39,9999)</f>
        <v>39</v>
      </c>
      <c r="BH159" s="0" t="n">
        <f aca="false">IF(Presupuesto!$B$40='Flujo de Pagos'!$E159,40,9999)</f>
        <v>40</v>
      </c>
      <c r="BI159" s="0" t="n">
        <f aca="false">IF(Presupuesto!$B$41='Flujo de Pagos'!$E159,41,9999)</f>
        <v>41</v>
      </c>
      <c r="BJ159" s="0" t="n">
        <f aca="false">IF(Presupuesto!$B$42='Flujo de Pagos'!$E159,42,9999)</f>
        <v>42</v>
      </c>
      <c r="BK159" s="0" t="n">
        <f aca="false">IF(Presupuesto!$B$43='Flujo de Pagos'!$E159,43,9999)</f>
        <v>43</v>
      </c>
      <c r="BL159" s="0" t="n">
        <f aca="false">IF(Presupuesto!$B$44='Flujo de Pagos'!$E159,44,9999)</f>
        <v>44</v>
      </c>
      <c r="BM159" s="0" t="n">
        <f aca="false">IF(Presupuesto!$B$45='Flujo de Pagos'!$E159,45,9999)</f>
        <v>45</v>
      </c>
      <c r="BN159" s="0" t="n">
        <f aca="false">IF(Presupuesto!$B$46='Flujo de Pagos'!$E159,46,9999)</f>
        <v>46</v>
      </c>
      <c r="BO159" s="0" t="n">
        <f aca="false">IF(Presupuesto!$B$47='Flujo de Pagos'!$E159,47,9999)</f>
        <v>47</v>
      </c>
      <c r="BP159" s="0" t="n">
        <f aca="false">IF(Presupuesto!$B$48='Flujo de Pagos'!$E159,48,9999)</f>
        <v>48</v>
      </c>
      <c r="BQ159" s="0" t="n">
        <f aca="false">IF(Presupuesto!$B$49='Flujo de Pagos'!$E159,49,9999)</f>
        <v>49</v>
      </c>
      <c r="BR159" s="0" t="n">
        <f aca="false">IF(Presupuesto!$B$50='Flujo de Pagos'!$E159,50,9999)</f>
        <v>50</v>
      </c>
      <c r="BS159" s="0" t="n">
        <f aca="false">IF(Presupuesto!$B$51='Flujo de Pagos'!$E159,51,9999)</f>
        <v>51</v>
      </c>
      <c r="BT159" s="0" t="n">
        <f aca="false">IF(Presupuesto!$B$52='Flujo de Pagos'!$E159,52,9999)</f>
        <v>52</v>
      </c>
      <c r="BU159" s="0" t="n">
        <f aca="false">IF(Presupuesto!$B$53='Flujo de Pagos'!$E159,53,9999)</f>
        <v>53</v>
      </c>
      <c r="BV159" s="0" t="n">
        <f aca="false">IF(Presupuesto!$B$54='Flujo de Pagos'!$E159,54,9999)</f>
        <v>54</v>
      </c>
      <c r="BW159" s="0" t="n">
        <f aca="false">IF(Presupuesto!$B$55='Flujo de Pagos'!$E159,55,9999)</f>
        <v>55</v>
      </c>
      <c r="BX159" s="0" t="n">
        <f aca="false">IF(Presupuesto!$B$56='Flujo de Pagos'!$E159,56,9999)</f>
        <v>56</v>
      </c>
      <c r="BY159" s="0" t="n">
        <f aca="false">IF(Presupuesto!$B$57='Flujo de Pagos'!$E159,57,9999)</f>
        <v>57</v>
      </c>
      <c r="BZ159" s="0" t="n">
        <f aca="false">IF(Presupuesto!$B$58='Flujo de Pagos'!$E159,58,9999)</f>
        <v>58</v>
      </c>
      <c r="CA159" s="0" t="n">
        <f aca="false">IF(Presupuesto!$B$59='Flujo de Pagos'!$E159,59,9999)</f>
        <v>59</v>
      </c>
      <c r="CB159" s="0" t="n">
        <f aca="false">IF(Presupuesto!$B$60='Flujo de Pagos'!$E159,60,9999)</f>
        <v>60</v>
      </c>
      <c r="CC159" s="0" t="n">
        <f aca="false">IF(Presupuesto!$B$61='Flujo de Pagos'!$E159,61,9999)</f>
        <v>61</v>
      </c>
      <c r="CD159" s="0" t="n">
        <f aca="false">IF(Presupuesto!$B$62='Flujo de Pagos'!$E159,62,9999)</f>
        <v>62</v>
      </c>
      <c r="CE159" s="0" t="n">
        <f aca="false">IF(Presupuesto!$B$63='Flujo de Pagos'!$E159,63,9999)</f>
        <v>63</v>
      </c>
      <c r="CF159" s="0" t="n">
        <f aca="false">IF(Presupuesto!$B$64='Flujo de Pagos'!$E159,64,9999)</f>
        <v>64</v>
      </c>
      <c r="CG159" s="0" t="n">
        <f aca="false">IF(Presupuesto!$B$65='Flujo de Pagos'!$E159,65,9999)</f>
        <v>65</v>
      </c>
      <c r="CH159" s="0" t="n">
        <f aca="false">IF(Presupuesto!$B$66='Flujo de Pagos'!$E159,66,9999)</f>
        <v>66</v>
      </c>
    </row>
    <row r="160" customFormat="false" ht="15" hidden="false" customHeight="true" outlineLevel="0" collapsed="false">
      <c r="B160" s="1" t="n">
        <f aca="false">IF(AND('Flujo de Pagos'!E165=Carátula!$B$2,'Flujo de Pagos'!F165=Carátula!$B$4,'Flujo de Pagos'!H165&lt;&gt;""),165,99999)</f>
        <v>99999</v>
      </c>
      <c r="H160" s="1" t="n">
        <f aca="false">IF(SMALL($AA160:$CH160,1)&gt;=9999,"",INDEX(Presupuesto!$C:$C,SMALL($AA160:$CH160,1)))</f>
        <v>0</v>
      </c>
      <c r="I160" s="1" t="n">
        <f aca="false">IF(SMALL($AA160:$CH160,2)&gt;=9999,"",INDEX(Presupuesto!$C:$C,SMALL($AA160:$CH160,2)))</f>
        <v>0</v>
      </c>
      <c r="J160" s="1" t="n">
        <f aca="false">IF(SMALL($AA160:$CH160,3)&gt;=9999,"",INDEX(Presupuesto!$C:$C,SMALL($AA160:$CH160,3)))</f>
        <v>0</v>
      </c>
      <c r="K160" s="1" t="n">
        <f aca="false">IF(SMALL($AA160:$CH160,4)&gt;=9999,"",INDEX(Presupuesto!$C:$C,SMALL($AA160:$CH160,4)))</f>
        <v>0</v>
      </c>
      <c r="L160" s="1" t="n">
        <f aca="false">IF(SMALL($AA160:$CH160,5)&gt;=9999,"",INDEX(Presupuesto!$C:$C,SMALL($AA160:$CH160,5)))</f>
        <v>0</v>
      </c>
      <c r="M160" s="1" t="n">
        <f aca="false">IF(SMALL($AA160:$CH160,6)&gt;=9999,"",INDEX(Presupuesto!$C:$C,SMALL($AA160:$CH160,6)))</f>
        <v>0</v>
      </c>
      <c r="N160" s="1" t="n">
        <f aca="false">IF(SMALL($AA160:$CH160,7)&gt;=9999,"",INDEX(Presupuesto!$C:$C,SMALL($AA160:$CH160,7)))</f>
        <v>0</v>
      </c>
      <c r="O160" s="1" t="n">
        <f aca="false">IF(SMALL($AA160:$CH160,8)&gt;=9999,"",INDEX(Presupuesto!$C:$C,SMALL($AA160:$CH160,8)))</f>
        <v>0</v>
      </c>
      <c r="P160" s="1" t="n">
        <f aca="false">IF(SMALL($AA160:$CH160,9)&gt;=9999,"",INDEX(Presupuesto!$C:$C,SMALL($AA160:$CH160,9)))</f>
        <v>0</v>
      </c>
      <c r="Q160" s="1" t="n">
        <f aca="false">IF(SMALL($AA160:$CH160,10)&gt;=9999,"",INDEX(Presupuesto!$C:$C,SMALL($AA160:$CH160,10)))</f>
        <v>0</v>
      </c>
      <c r="AA160" s="0" t="n">
        <f aca="false">IF(Presupuesto!$B$7='Flujo de Pagos'!$E160,7,9999)</f>
        <v>9999</v>
      </c>
      <c r="AB160" s="0" t="n">
        <f aca="false">IF(Presupuesto!$B$8='Flujo de Pagos'!$E160,8,9999)</f>
        <v>9999</v>
      </c>
      <c r="AC160" s="0" t="n">
        <f aca="false">IF(Presupuesto!$B$9='Flujo de Pagos'!$E160,9,9999)</f>
        <v>9999</v>
      </c>
      <c r="AD160" s="0" t="n">
        <f aca="false">IF(Presupuesto!$B$10='Flujo de Pagos'!$E160,10,9999)</f>
        <v>9999</v>
      </c>
      <c r="AE160" s="0" t="n">
        <f aca="false">IF(Presupuesto!$B$11='Flujo de Pagos'!$E160,11,9999)</f>
        <v>9999</v>
      </c>
      <c r="AF160" s="0" t="n">
        <f aca="false">IF(Presupuesto!$B$12='Flujo de Pagos'!$E160,12,9999)</f>
        <v>12</v>
      </c>
      <c r="AG160" s="0" t="n">
        <f aca="false">IF(Presupuesto!$B$13='Flujo de Pagos'!$E160,13,9999)</f>
        <v>13</v>
      </c>
      <c r="AH160" s="0" t="n">
        <f aca="false">IF(Presupuesto!$B$14='Flujo de Pagos'!$E160,14,9999)</f>
        <v>14</v>
      </c>
      <c r="AI160" s="0" t="n">
        <f aca="false">IF(Presupuesto!$B$15='Flujo de Pagos'!$E160,15,9999)</f>
        <v>15</v>
      </c>
      <c r="AJ160" s="0" t="n">
        <f aca="false">IF(Presupuesto!$B$16='Flujo de Pagos'!$E160,16,9999)</f>
        <v>16</v>
      </c>
      <c r="AK160" s="0" t="n">
        <f aca="false">IF(Presupuesto!$B$17='Flujo de Pagos'!$E160,17,9999)</f>
        <v>17</v>
      </c>
      <c r="AL160" s="0" t="n">
        <f aca="false">IF(Presupuesto!$B$18='Flujo de Pagos'!$E160,18,9999)</f>
        <v>18</v>
      </c>
      <c r="AM160" s="0" t="n">
        <f aca="false">IF(Presupuesto!$B$19='Flujo de Pagos'!$E160,19,9999)</f>
        <v>19</v>
      </c>
      <c r="AN160" s="0" t="n">
        <f aca="false">IF(Presupuesto!$B$20='Flujo de Pagos'!$E160,20,9999)</f>
        <v>20</v>
      </c>
      <c r="AO160" s="0" t="n">
        <f aca="false">IF(Presupuesto!$B$21='Flujo de Pagos'!$E160,21,9999)</f>
        <v>21</v>
      </c>
      <c r="AP160" s="0" t="n">
        <f aca="false">IF(Presupuesto!$B$22='Flujo de Pagos'!$E160,22,9999)</f>
        <v>22</v>
      </c>
      <c r="AQ160" s="0" t="n">
        <f aca="false">IF(Presupuesto!$B$23='Flujo de Pagos'!$E160,23,9999)</f>
        <v>23</v>
      </c>
      <c r="AR160" s="0" t="n">
        <f aca="false">IF(Presupuesto!$B$24='Flujo de Pagos'!$E160,24,9999)</f>
        <v>24</v>
      </c>
      <c r="AS160" s="0" t="n">
        <f aca="false">IF(Presupuesto!$B$25='Flujo de Pagos'!$E160,25,9999)</f>
        <v>25</v>
      </c>
      <c r="AT160" s="0" t="n">
        <f aca="false">IF(Presupuesto!$B$26='Flujo de Pagos'!$E160,26,9999)</f>
        <v>26</v>
      </c>
      <c r="AU160" s="0" t="n">
        <f aca="false">IF(Presupuesto!$B$27='Flujo de Pagos'!$E160,27,9999)</f>
        <v>27</v>
      </c>
      <c r="AV160" s="0" t="n">
        <f aca="false">IF(Presupuesto!$B$28='Flujo de Pagos'!$E160,28,9999)</f>
        <v>28</v>
      </c>
      <c r="AW160" s="0" t="n">
        <f aca="false">IF(Presupuesto!$B$29='Flujo de Pagos'!$E160,29,9999)</f>
        <v>29</v>
      </c>
      <c r="AX160" s="0" t="n">
        <f aca="false">IF(Presupuesto!$B$30='Flujo de Pagos'!$E160,30,9999)</f>
        <v>30</v>
      </c>
      <c r="AY160" s="0" t="n">
        <f aca="false">IF(Presupuesto!$B$31='Flujo de Pagos'!$E160,31,9999)</f>
        <v>31</v>
      </c>
      <c r="AZ160" s="0" t="n">
        <f aca="false">IF(Presupuesto!$B$32='Flujo de Pagos'!$E160,32,9999)</f>
        <v>32</v>
      </c>
      <c r="BA160" s="0" t="n">
        <f aca="false">IF(Presupuesto!$B$33='Flujo de Pagos'!$E160,33,9999)</f>
        <v>33</v>
      </c>
      <c r="BB160" s="0" t="n">
        <f aca="false">IF(Presupuesto!$B$34='Flujo de Pagos'!$E160,34,9999)</f>
        <v>34</v>
      </c>
      <c r="BC160" s="0" t="n">
        <f aca="false">IF(Presupuesto!$B$35='Flujo de Pagos'!$E160,35,9999)</f>
        <v>35</v>
      </c>
      <c r="BD160" s="0" t="n">
        <f aca="false">IF(Presupuesto!$B$36='Flujo de Pagos'!$E160,36,9999)</f>
        <v>36</v>
      </c>
      <c r="BE160" s="0" t="n">
        <f aca="false">IF(Presupuesto!$B$37='Flujo de Pagos'!$E160,37,9999)</f>
        <v>37</v>
      </c>
      <c r="BF160" s="0" t="n">
        <f aca="false">IF(Presupuesto!$B$38='Flujo de Pagos'!$E160,38,9999)</f>
        <v>38</v>
      </c>
      <c r="BG160" s="0" t="n">
        <f aca="false">IF(Presupuesto!$B$39='Flujo de Pagos'!$E160,39,9999)</f>
        <v>39</v>
      </c>
      <c r="BH160" s="0" t="n">
        <f aca="false">IF(Presupuesto!$B$40='Flujo de Pagos'!$E160,40,9999)</f>
        <v>40</v>
      </c>
      <c r="BI160" s="0" t="n">
        <f aca="false">IF(Presupuesto!$B$41='Flujo de Pagos'!$E160,41,9999)</f>
        <v>41</v>
      </c>
      <c r="BJ160" s="0" t="n">
        <f aca="false">IF(Presupuesto!$B$42='Flujo de Pagos'!$E160,42,9999)</f>
        <v>42</v>
      </c>
      <c r="BK160" s="0" t="n">
        <f aca="false">IF(Presupuesto!$B$43='Flujo de Pagos'!$E160,43,9999)</f>
        <v>43</v>
      </c>
      <c r="BL160" s="0" t="n">
        <f aca="false">IF(Presupuesto!$B$44='Flujo de Pagos'!$E160,44,9999)</f>
        <v>44</v>
      </c>
      <c r="BM160" s="0" t="n">
        <f aca="false">IF(Presupuesto!$B$45='Flujo de Pagos'!$E160,45,9999)</f>
        <v>45</v>
      </c>
      <c r="BN160" s="0" t="n">
        <f aca="false">IF(Presupuesto!$B$46='Flujo de Pagos'!$E160,46,9999)</f>
        <v>46</v>
      </c>
      <c r="BO160" s="0" t="n">
        <f aca="false">IF(Presupuesto!$B$47='Flujo de Pagos'!$E160,47,9999)</f>
        <v>47</v>
      </c>
      <c r="BP160" s="0" t="n">
        <f aca="false">IF(Presupuesto!$B$48='Flujo de Pagos'!$E160,48,9999)</f>
        <v>48</v>
      </c>
      <c r="BQ160" s="0" t="n">
        <f aca="false">IF(Presupuesto!$B$49='Flujo de Pagos'!$E160,49,9999)</f>
        <v>49</v>
      </c>
      <c r="BR160" s="0" t="n">
        <f aca="false">IF(Presupuesto!$B$50='Flujo de Pagos'!$E160,50,9999)</f>
        <v>50</v>
      </c>
      <c r="BS160" s="0" t="n">
        <f aca="false">IF(Presupuesto!$B$51='Flujo de Pagos'!$E160,51,9999)</f>
        <v>51</v>
      </c>
      <c r="BT160" s="0" t="n">
        <f aca="false">IF(Presupuesto!$B$52='Flujo de Pagos'!$E160,52,9999)</f>
        <v>52</v>
      </c>
      <c r="BU160" s="0" t="n">
        <f aca="false">IF(Presupuesto!$B$53='Flujo de Pagos'!$E160,53,9999)</f>
        <v>53</v>
      </c>
      <c r="BV160" s="0" t="n">
        <f aca="false">IF(Presupuesto!$B$54='Flujo de Pagos'!$E160,54,9999)</f>
        <v>54</v>
      </c>
      <c r="BW160" s="0" t="n">
        <f aca="false">IF(Presupuesto!$B$55='Flujo de Pagos'!$E160,55,9999)</f>
        <v>55</v>
      </c>
      <c r="BX160" s="0" t="n">
        <f aca="false">IF(Presupuesto!$B$56='Flujo de Pagos'!$E160,56,9999)</f>
        <v>56</v>
      </c>
      <c r="BY160" s="0" t="n">
        <f aca="false">IF(Presupuesto!$B$57='Flujo de Pagos'!$E160,57,9999)</f>
        <v>57</v>
      </c>
      <c r="BZ160" s="0" t="n">
        <f aca="false">IF(Presupuesto!$B$58='Flujo de Pagos'!$E160,58,9999)</f>
        <v>58</v>
      </c>
      <c r="CA160" s="0" t="n">
        <f aca="false">IF(Presupuesto!$B$59='Flujo de Pagos'!$E160,59,9999)</f>
        <v>59</v>
      </c>
      <c r="CB160" s="0" t="n">
        <f aca="false">IF(Presupuesto!$B$60='Flujo de Pagos'!$E160,60,9999)</f>
        <v>60</v>
      </c>
      <c r="CC160" s="0" t="n">
        <f aca="false">IF(Presupuesto!$B$61='Flujo de Pagos'!$E160,61,9999)</f>
        <v>61</v>
      </c>
      <c r="CD160" s="0" t="n">
        <f aca="false">IF(Presupuesto!$B$62='Flujo de Pagos'!$E160,62,9999)</f>
        <v>62</v>
      </c>
      <c r="CE160" s="0" t="n">
        <f aca="false">IF(Presupuesto!$B$63='Flujo de Pagos'!$E160,63,9999)</f>
        <v>63</v>
      </c>
      <c r="CF160" s="0" t="n">
        <f aca="false">IF(Presupuesto!$B$64='Flujo de Pagos'!$E160,64,9999)</f>
        <v>64</v>
      </c>
      <c r="CG160" s="0" t="n">
        <f aca="false">IF(Presupuesto!$B$65='Flujo de Pagos'!$E160,65,9999)</f>
        <v>65</v>
      </c>
      <c r="CH160" s="0" t="n">
        <f aca="false">IF(Presupuesto!$B$66='Flujo de Pagos'!$E160,66,9999)</f>
        <v>66</v>
      </c>
    </row>
    <row r="161" customFormat="false" ht="15" hidden="false" customHeight="true" outlineLevel="0" collapsed="false">
      <c r="B161" s="1" t="n">
        <f aca="false">IF(AND('Flujo de Pagos'!E166=Carátula!$B$2,'Flujo de Pagos'!F166=Carátula!$B$4,'Flujo de Pagos'!H166&lt;&gt;""),166,99999)</f>
        <v>99999</v>
      </c>
      <c r="H161" s="1" t="n">
        <f aca="false">IF(SMALL($AA161:$CH161,1)&gt;=9999,"",INDEX(Presupuesto!$C:$C,SMALL($AA161:$CH161,1)))</f>
        <v>0</v>
      </c>
      <c r="I161" s="1" t="n">
        <f aca="false">IF(SMALL($AA161:$CH161,2)&gt;=9999,"",INDEX(Presupuesto!$C:$C,SMALL($AA161:$CH161,2)))</f>
        <v>0</v>
      </c>
      <c r="J161" s="1" t="n">
        <f aca="false">IF(SMALL($AA161:$CH161,3)&gt;=9999,"",INDEX(Presupuesto!$C:$C,SMALL($AA161:$CH161,3)))</f>
        <v>0</v>
      </c>
      <c r="K161" s="1" t="n">
        <f aca="false">IF(SMALL($AA161:$CH161,4)&gt;=9999,"",INDEX(Presupuesto!$C:$C,SMALL($AA161:$CH161,4)))</f>
        <v>0</v>
      </c>
      <c r="L161" s="1" t="n">
        <f aca="false">IF(SMALL($AA161:$CH161,5)&gt;=9999,"",INDEX(Presupuesto!$C:$C,SMALL($AA161:$CH161,5)))</f>
        <v>0</v>
      </c>
      <c r="M161" s="1" t="n">
        <f aca="false">IF(SMALL($AA161:$CH161,6)&gt;=9999,"",INDEX(Presupuesto!$C:$C,SMALL($AA161:$CH161,6)))</f>
        <v>0</v>
      </c>
      <c r="N161" s="1" t="n">
        <f aca="false">IF(SMALL($AA161:$CH161,7)&gt;=9999,"",INDEX(Presupuesto!$C:$C,SMALL($AA161:$CH161,7)))</f>
        <v>0</v>
      </c>
      <c r="O161" s="1" t="n">
        <f aca="false">IF(SMALL($AA161:$CH161,8)&gt;=9999,"",INDEX(Presupuesto!$C:$C,SMALL($AA161:$CH161,8)))</f>
        <v>0</v>
      </c>
      <c r="P161" s="1" t="n">
        <f aca="false">IF(SMALL($AA161:$CH161,9)&gt;=9999,"",INDEX(Presupuesto!$C:$C,SMALL($AA161:$CH161,9)))</f>
        <v>0</v>
      </c>
      <c r="Q161" s="1" t="n">
        <f aca="false">IF(SMALL($AA161:$CH161,10)&gt;=9999,"",INDEX(Presupuesto!$C:$C,SMALL($AA161:$CH161,10)))</f>
        <v>0</v>
      </c>
      <c r="AA161" s="0" t="n">
        <f aca="false">IF(Presupuesto!$B$7='Flujo de Pagos'!$E161,7,9999)</f>
        <v>9999</v>
      </c>
      <c r="AB161" s="0" t="n">
        <f aca="false">IF(Presupuesto!$B$8='Flujo de Pagos'!$E161,8,9999)</f>
        <v>9999</v>
      </c>
      <c r="AC161" s="0" t="n">
        <f aca="false">IF(Presupuesto!$B$9='Flujo de Pagos'!$E161,9,9999)</f>
        <v>9999</v>
      </c>
      <c r="AD161" s="0" t="n">
        <f aca="false">IF(Presupuesto!$B$10='Flujo de Pagos'!$E161,10,9999)</f>
        <v>9999</v>
      </c>
      <c r="AE161" s="0" t="n">
        <f aca="false">IF(Presupuesto!$B$11='Flujo de Pagos'!$E161,11,9999)</f>
        <v>9999</v>
      </c>
      <c r="AF161" s="0" t="n">
        <f aca="false">IF(Presupuesto!$B$12='Flujo de Pagos'!$E161,12,9999)</f>
        <v>12</v>
      </c>
      <c r="AG161" s="0" t="n">
        <f aca="false">IF(Presupuesto!$B$13='Flujo de Pagos'!$E161,13,9999)</f>
        <v>13</v>
      </c>
      <c r="AH161" s="0" t="n">
        <f aca="false">IF(Presupuesto!$B$14='Flujo de Pagos'!$E161,14,9999)</f>
        <v>14</v>
      </c>
      <c r="AI161" s="0" t="n">
        <f aca="false">IF(Presupuesto!$B$15='Flujo de Pagos'!$E161,15,9999)</f>
        <v>15</v>
      </c>
      <c r="AJ161" s="0" t="n">
        <f aca="false">IF(Presupuesto!$B$16='Flujo de Pagos'!$E161,16,9999)</f>
        <v>16</v>
      </c>
      <c r="AK161" s="0" t="n">
        <f aca="false">IF(Presupuesto!$B$17='Flujo de Pagos'!$E161,17,9999)</f>
        <v>17</v>
      </c>
      <c r="AL161" s="0" t="n">
        <f aca="false">IF(Presupuesto!$B$18='Flujo de Pagos'!$E161,18,9999)</f>
        <v>18</v>
      </c>
      <c r="AM161" s="0" t="n">
        <f aca="false">IF(Presupuesto!$B$19='Flujo de Pagos'!$E161,19,9999)</f>
        <v>19</v>
      </c>
      <c r="AN161" s="0" t="n">
        <f aca="false">IF(Presupuesto!$B$20='Flujo de Pagos'!$E161,20,9999)</f>
        <v>20</v>
      </c>
      <c r="AO161" s="0" t="n">
        <f aca="false">IF(Presupuesto!$B$21='Flujo de Pagos'!$E161,21,9999)</f>
        <v>21</v>
      </c>
      <c r="AP161" s="0" t="n">
        <f aca="false">IF(Presupuesto!$B$22='Flujo de Pagos'!$E161,22,9999)</f>
        <v>22</v>
      </c>
      <c r="AQ161" s="0" t="n">
        <f aca="false">IF(Presupuesto!$B$23='Flujo de Pagos'!$E161,23,9999)</f>
        <v>23</v>
      </c>
      <c r="AR161" s="0" t="n">
        <f aca="false">IF(Presupuesto!$B$24='Flujo de Pagos'!$E161,24,9999)</f>
        <v>24</v>
      </c>
      <c r="AS161" s="0" t="n">
        <f aca="false">IF(Presupuesto!$B$25='Flujo de Pagos'!$E161,25,9999)</f>
        <v>25</v>
      </c>
      <c r="AT161" s="0" t="n">
        <f aca="false">IF(Presupuesto!$B$26='Flujo de Pagos'!$E161,26,9999)</f>
        <v>26</v>
      </c>
      <c r="AU161" s="0" t="n">
        <f aca="false">IF(Presupuesto!$B$27='Flujo de Pagos'!$E161,27,9999)</f>
        <v>27</v>
      </c>
      <c r="AV161" s="0" t="n">
        <f aca="false">IF(Presupuesto!$B$28='Flujo de Pagos'!$E161,28,9999)</f>
        <v>28</v>
      </c>
      <c r="AW161" s="0" t="n">
        <f aca="false">IF(Presupuesto!$B$29='Flujo de Pagos'!$E161,29,9999)</f>
        <v>29</v>
      </c>
      <c r="AX161" s="0" t="n">
        <f aca="false">IF(Presupuesto!$B$30='Flujo de Pagos'!$E161,30,9999)</f>
        <v>30</v>
      </c>
      <c r="AY161" s="0" t="n">
        <f aca="false">IF(Presupuesto!$B$31='Flujo de Pagos'!$E161,31,9999)</f>
        <v>31</v>
      </c>
      <c r="AZ161" s="0" t="n">
        <f aca="false">IF(Presupuesto!$B$32='Flujo de Pagos'!$E161,32,9999)</f>
        <v>32</v>
      </c>
      <c r="BA161" s="0" t="n">
        <f aca="false">IF(Presupuesto!$B$33='Flujo de Pagos'!$E161,33,9999)</f>
        <v>33</v>
      </c>
      <c r="BB161" s="0" t="n">
        <f aca="false">IF(Presupuesto!$B$34='Flujo de Pagos'!$E161,34,9999)</f>
        <v>34</v>
      </c>
      <c r="BC161" s="0" t="n">
        <f aca="false">IF(Presupuesto!$B$35='Flujo de Pagos'!$E161,35,9999)</f>
        <v>35</v>
      </c>
      <c r="BD161" s="0" t="n">
        <f aca="false">IF(Presupuesto!$B$36='Flujo de Pagos'!$E161,36,9999)</f>
        <v>36</v>
      </c>
      <c r="BE161" s="0" t="n">
        <f aca="false">IF(Presupuesto!$B$37='Flujo de Pagos'!$E161,37,9999)</f>
        <v>37</v>
      </c>
      <c r="BF161" s="0" t="n">
        <f aca="false">IF(Presupuesto!$B$38='Flujo de Pagos'!$E161,38,9999)</f>
        <v>38</v>
      </c>
      <c r="BG161" s="0" t="n">
        <f aca="false">IF(Presupuesto!$B$39='Flujo de Pagos'!$E161,39,9999)</f>
        <v>39</v>
      </c>
      <c r="BH161" s="0" t="n">
        <f aca="false">IF(Presupuesto!$B$40='Flujo de Pagos'!$E161,40,9999)</f>
        <v>40</v>
      </c>
      <c r="BI161" s="0" t="n">
        <f aca="false">IF(Presupuesto!$B$41='Flujo de Pagos'!$E161,41,9999)</f>
        <v>41</v>
      </c>
      <c r="BJ161" s="0" t="n">
        <f aca="false">IF(Presupuesto!$B$42='Flujo de Pagos'!$E161,42,9999)</f>
        <v>42</v>
      </c>
      <c r="BK161" s="0" t="n">
        <f aca="false">IF(Presupuesto!$B$43='Flujo de Pagos'!$E161,43,9999)</f>
        <v>43</v>
      </c>
      <c r="BL161" s="0" t="n">
        <f aca="false">IF(Presupuesto!$B$44='Flujo de Pagos'!$E161,44,9999)</f>
        <v>44</v>
      </c>
      <c r="BM161" s="0" t="n">
        <f aca="false">IF(Presupuesto!$B$45='Flujo de Pagos'!$E161,45,9999)</f>
        <v>45</v>
      </c>
      <c r="BN161" s="0" t="n">
        <f aca="false">IF(Presupuesto!$B$46='Flujo de Pagos'!$E161,46,9999)</f>
        <v>46</v>
      </c>
      <c r="BO161" s="0" t="n">
        <f aca="false">IF(Presupuesto!$B$47='Flujo de Pagos'!$E161,47,9999)</f>
        <v>47</v>
      </c>
      <c r="BP161" s="0" t="n">
        <f aca="false">IF(Presupuesto!$B$48='Flujo de Pagos'!$E161,48,9999)</f>
        <v>48</v>
      </c>
      <c r="BQ161" s="0" t="n">
        <f aca="false">IF(Presupuesto!$B$49='Flujo de Pagos'!$E161,49,9999)</f>
        <v>49</v>
      </c>
      <c r="BR161" s="0" t="n">
        <f aca="false">IF(Presupuesto!$B$50='Flujo de Pagos'!$E161,50,9999)</f>
        <v>50</v>
      </c>
      <c r="BS161" s="0" t="n">
        <f aca="false">IF(Presupuesto!$B$51='Flujo de Pagos'!$E161,51,9999)</f>
        <v>51</v>
      </c>
      <c r="BT161" s="0" t="n">
        <f aca="false">IF(Presupuesto!$B$52='Flujo de Pagos'!$E161,52,9999)</f>
        <v>52</v>
      </c>
      <c r="BU161" s="0" t="n">
        <f aca="false">IF(Presupuesto!$B$53='Flujo de Pagos'!$E161,53,9999)</f>
        <v>53</v>
      </c>
      <c r="BV161" s="0" t="n">
        <f aca="false">IF(Presupuesto!$B$54='Flujo de Pagos'!$E161,54,9999)</f>
        <v>54</v>
      </c>
      <c r="BW161" s="0" t="n">
        <f aca="false">IF(Presupuesto!$B$55='Flujo de Pagos'!$E161,55,9999)</f>
        <v>55</v>
      </c>
      <c r="BX161" s="0" t="n">
        <f aca="false">IF(Presupuesto!$B$56='Flujo de Pagos'!$E161,56,9999)</f>
        <v>56</v>
      </c>
      <c r="BY161" s="0" t="n">
        <f aca="false">IF(Presupuesto!$B$57='Flujo de Pagos'!$E161,57,9999)</f>
        <v>57</v>
      </c>
      <c r="BZ161" s="0" t="n">
        <f aca="false">IF(Presupuesto!$B$58='Flujo de Pagos'!$E161,58,9999)</f>
        <v>58</v>
      </c>
      <c r="CA161" s="0" t="n">
        <f aca="false">IF(Presupuesto!$B$59='Flujo de Pagos'!$E161,59,9999)</f>
        <v>59</v>
      </c>
      <c r="CB161" s="0" t="n">
        <f aca="false">IF(Presupuesto!$B$60='Flujo de Pagos'!$E161,60,9999)</f>
        <v>60</v>
      </c>
      <c r="CC161" s="0" t="n">
        <f aca="false">IF(Presupuesto!$B$61='Flujo de Pagos'!$E161,61,9999)</f>
        <v>61</v>
      </c>
      <c r="CD161" s="0" t="n">
        <f aca="false">IF(Presupuesto!$B$62='Flujo de Pagos'!$E161,62,9999)</f>
        <v>62</v>
      </c>
      <c r="CE161" s="0" t="n">
        <f aca="false">IF(Presupuesto!$B$63='Flujo de Pagos'!$E161,63,9999)</f>
        <v>63</v>
      </c>
      <c r="CF161" s="0" t="n">
        <f aca="false">IF(Presupuesto!$B$64='Flujo de Pagos'!$E161,64,9999)</f>
        <v>64</v>
      </c>
      <c r="CG161" s="0" t="n">
        <f aca="false">IF(Presupuesto!$B$65='Flujo de Pagos'!$E161,65,9999)</f>
        <v>65</v>
      </c>
      <c r="CH161" s="0" t="n">
        <f aca="false">IF(Presupuesto!$B$66='Flujo de Pagos'!$E161,66,9999)</f>
        <v>66</v>
      </c>
    </row>
    <row r="162" customFormat="false" ht="15" hidden="false" customHeight="true" outlineLevel="0" collapsed="false">
      <c r="B162" s="1" t="n">
        <f aca="false">IF(AND('Flujo de Pagos'!E167=Carátula!$B$2,'Flujo de Pagos'!F167=Carátula!$B$4,'Flujo de Pagos'!H167&lt;&gt;""),167,99999)</f>
        <v>99999</v>
      </c>
      <c r="H162" s="1" t="n">
        <f aca="false">IF(SMALL($AA162:$CH162,1)&gt;=9999,"",INDEX(Presupuesto!$C:$C,SMALL($AA162:$CH162,1)))</f>
        <v>0</v>
      </c>
      <c r="I162" s="1" t="n">
        <f aca="false">IF(SMALL($AA162:$CH162,2)&gt;=9999,"",INDEX(Presupuesto!$C:$C,SMALL($AA162:$CH162,2)))</f>
        <v>0</v>
      </c>
      <c r="J162" s="1" t="n">
        <f aca="false">IF(SMALL($AA162:$CH162,3)&gt;=9999,"",INDEX(Presupuesto!$C:$C,SMALL($AA162:$CH162,3)))</f>
        <v>0</v>
      </c>
      <c r="K162" s="1" t="n">
        <f aca="false">IF(SMALL($AA162:$CH162,4)&gt;=9999,"",INDEX(Presupuesto!$C:$C,SMALL($AA162:$CH162,4)))</f>
        <v>0</v>
      </c>
      <c r="L162" s="1" t="n">
        <f aca="false">IF(SMALL($AA162:$CH162,5)&gt;=9999,"",INDEX(Presupuesto!$C:$C,SMALL($AA162:$CH162,5)))</f>
        <v>0</v>
      </c>
      <c r="M162" s="1" t="n">
        <f aca="false">IF(SMALL($AA162:$CH162,6)&gt;=9999,"",INDEX(Presupuesto!$C:$C,SMALL($AA162:$CH162,6)))</f>
        <v>0</v>
      </c>
      <c r="N162" s="1" t="n">
        <f aca="false">IF(SMALL($AA162:$CH162,7)&gt;=9999,"",INDEX(Presupuesto!$C:$C,SMALL($AA162:$CH162,7)))</f>
        <v>0</v>
      </c>
      <c r="O162" s="1" t="n">
        <f aca="false">IF(SMALL($AA162:$CH162,8)&gt;=9999,"",INDEX(Presupuesto!$C:$C,SMALL($AA162:$CH162,8)))</f>
        <v>0</v>
      </c>
      <c r="P162" s="1" t="n">
        <f aca="false">IF(SMALL($AA162:$CH162,9)&gt;=9999,"",INDEX(Presupuesto!$C:$C,SMALL($AA162:$CH162,9)))</f>
        <v>0</v>
      </c>
      <c r="Q162" s="1" t="n">
        <f aca="false">IF(SMALL($AA162:$CH162,10)&gt;=9999,"",INDEX(Presupuesto!$C:$C,SMALL($AA162:$CH162,10)))</f>
        <v>0</v>
      </c>
      <c r="AA162" s="0" t="n">
        <f aca="false">IF(Presupuesto!$B$7='Flujo de Pagos'!$E162,7,9999)</f>
        <v>9999</v>
      </c>
      <c r="AB162" s="0" t="n">
        <f aca="false">IF(Presupuesto!$B$8='Flujo de Pagos'!$E162,8,9999)</f>
        <v>9999</v>
      </c>
      <c r="AC162" s="0" t="n">
        <f aca="false">IF(Presupuesto!$B$9='Flujo de Pagos'!$E162,9,9999)</f>
        <v>9999</v>
      </c>
      <c r="AD162" s="0" t="n">
        <f aca="false">IF(Presupuesto!$B$10='Flujo de Pagos'!$E162,10,9999)</f>
        <v>9999</v>
      </c>
      <c r="AE162" s="0" t="n">
        <f aca="false">IF(Presupuesto!$B$11='Flujo de Pagos'!$E162,11,9999)</f>
        <v>9999</v>
      </c>
      <c r="AF162" s="0" t="n">
        <f aca="false">IF(Presupuesto!$B$12='Flujo de Pagos'!$E162,12,9999)</f>
        <v>12</v>
      </c>
      <c r="AG162" s="0" t="n">
        <f aca="false">IF(Presupuesto!$B$13='Flujo de Pagos'!$E162,13,9999)</f>
        <v>13</v>
      </c>
      <c r="AH162" s="0" t="n">
        <f aca="false">IF(Presupuesto!$B$14='Flujo de Pagos'!$E162,14,9999)</f>
        <v>14</v>
      </c>
      <c r="AI162" s="0" t="n">
        <f aca="false">IF(Presupuesto!$B$15='Flujo de Pagos'!$E162,15,9999)</f>
        <v>15</v>
      </c>
      <c r="AJ162" s="0" t="n">
        <f aca="false">IF(Presupuesto!$B$16='Flujo de Pagos'!$E162,16,9999)</f>
        <v>16</v>
      </c>
      <c r="AK162" s="0" t="n">
        <f aca="false">IF(Presupuesto!$B$17='Flujo de Pagos'!$E162,17,9999)</f>
        <v>17</v>
      </c>
      <c r="AL162" s="0" t="n">
        <f aca="false">IF(Presupuesto!$B$18='Flujo de Pagos'!$E162,18,9999)</f>
        <v>18</v>
      </c>
      <c r="AM162" s="0" t="n">
        <f aca="false">IF(Presupuesto!$B$19='Flujo de Pagos'!$E162,19,9999)</f>
        <v>19</v>
      </c>
      <c r="AN162" s="0" t="n">
        <f aca="false">IF(Presupuesto!$B$20='Flujo de Pagos'!$E162,20,9999)</f>
        <v>20</v>
      </c>
      <c r="AO162" s="0" t="n">
        <f aca="false">IF(Presupuesto!$B$21='Flujo de Pagos'!$E162,21,9999)</f>
        <v>21</v>
      </c>
      <c r="AP162" s="0" t="n">
        <f aca="false">IF(Presupuesto!$B$22='Flujo de Pagos'!$E162,22,9999)</f>
        <v>22</v>
      </c>
      <c r="AQ162" s="0" t="n">
        <f aca="false">IF(Presupuesto!$B$23='Flujo de Pagos'!$E162,23,9999)</f>
        <v>23</v>
      </c>
      <c r="AR162" s="0" t="n">
        <f aca="false">IF(Presupuesto!$B$24='Flujo de Pagos'!$E162,24,9999)</f>
        <v>24</v>
      </c>
      <c r="AS162" s="0" t="n">
        <f aca="false">IF(Presupuesto!$B$25='Flujo de Pagos'!$E162,25,9999)</f>
        <v>25</v>
      </c>
      <c r="AT162" s="0" t="n">
        <f aca="false">IF(Presupuesto!$B$26='Flujo de Pagos'!$E162,26,9999)</f>
        <v>26</v>
      </c>
      <c r="AU162" s="0" t="n">
        <f aca="false">IF(Presupuesto!$B$27='Flujo de Pagos'!$E162,27,9999)</f>
        <v>27</v>
      </c>
      <c r="AV162" s="0" t="n">
        <f aca="false">IF(Presupuesto!$B$28='Flujo de Pagos'!$E162,28,9999)</f>
        <v>28</v>
      </c>
      <c r="AW162" s="0" t="n">
        <f aca="false">IF(Presupuesto!$B$29='Flujo de Pagos'!$E162,29,9999)</f>
        <v>29</v>
      </c>
      <c r="AX162" s="0" t="n">
        <f aca="false">IF(Presupuesto!$B$30='Flujo de Pagos'!$E162,30,9999)</f>
        <v>30</v>
      </c>
      <c r="AY162" s="0" t="n">
        <f aca="false">IF(Presupuesto!$B$31='Flujo de Pagos'!$E162,31,9999)</f>
        <v>31</v>
      </c>
      <c r="AZ162" s="0" t="n">
        <f aca="false">IF(Presupuesto!$B$32='Flujo de Pagos'!$E162,32,9999)</f>
        <v>32</v>
      </c>
      <c r="BA162" s="0" t="n">
        <f aca="false">IF(Presupuesto!$B$33='Flujo de Pagos'!$E162,33,9999)</f>
        <v>33</v>
      </c>
      <c r="BB162" s="0" t="n">
        <f aca="false">IF(Presupuesto!$B$34='Flujo de Pagos'!$E162,34,9999)</f>
        <v>34</v>
      </c>
      <c r="BC162" s="0" t="n">
        <f aca="false">IF(Presupuesto!$B$35='Flujo de Pagos'!$E162,35,9999)</f>
        <v>35</v>
      </c>
      <c r="BD162" s="0" t="n">
        <f aca="false">IF(Presupuesto!$B$36='Flujo de Pagos'!$E162,36,9999)</f>
        <v>36</v>
      </c>
      <c r="BE162" s="0" t="n">
        <f aca="false">IF(Presupuesto!$B$37='Flujo de Pagos'!$E162,37,9999)</f>
        <v>37</v>
      </c>
      <c r="BF162" s="0" t="n">
        <f aca="false">IF(Presupuesto!$B$38='Flujo de Pagos'!$E162,38,9999)</f>
        <v>38</v>
      </c>
      <c r="BG162" s="0" t="n">
        <f aca="false">IF(Presupuesto!$B$39='Flujo de Pagos'!$E162,39,9999)</f>
        <v>39</v>
      </c>
      <c r="BH162" s="0" t="n">
        <f aca="false">IF(Presupuesto!$B$40='Flujo de Pagos'!$E162,40,9999)</f>
        <v>40</v>
      </c>
      <c r="BI162" s="0" t="n">
        <f aca="false">IF(Presupuesto!$B$41='Flujo de Pagos'!$E162,41,9999)</f>
        <v>41</v>
      </c>
      <c r="BJ162" s="0" t="n">
        <f aca="false">IF(Presupuesto!$B$42='Flujo de Pagos'!$E162,42,9999)</f>
        <v>42</v>
      </c>
      <c r="BK162" s="0" t="n">
        <f aca="false">IF(Presupuesto!$B$43='Flujo de Pagos'!$E162,43,9999)</f>
        <v>43</v>
      </c>
      <c r="BL162" s="0" t="n">
        <f aca="false">IF(Presupuesto!$B$44='Flujo de Pagos'!$E162,44,9999)</f>
        <v>44</v>
      </c>
      <c r="BM162" s="0" t="n">
        <f aca="false">IF(Presupuesto!$B$45='Flujo de Pagos'!$E162,45,9999)</f>
        <v>45</v>
      </c>
      <c r="BN162" s="0" t="n">
        <f aca="false">IF(Presupuesto!$B$46='Flujo de Pagos'!$E162,46,9999)</f>
        <v>46</v>
      </c>
      <c r="BO162" s="0" t="n">
        <f aca="false">IF(Presupuesto!$B$47='Flujo de Pagos'!$E162,47,9999)</f>
        <v>47</v>
      </c>
      <c r="BP162" s="0" t="n">
        <f aca="false">IF(Presupuesto!$B$48='Flujo de Pagos'!$E162,48,9999)</f>
        <v>48</v>
      </c>
      <c r="BQ162" s="0" t="n">
        <f aca="false">IF(Presupuesto!$B$49='Flujo de Pagos'!$E162,49,9999)</f>
        <v>49</v>
      </c>
      <c r="BR162" s="0" t="n">
        <f aca="false">IF(Presupuesto!$B$50='Flujo de Pagos'!$E162,50,9999)</f>
        <v>50</v>
      </c>
      <c r="BS162" s="0" t="n">
        <f aca="false">IF(Presupuesto!$B$51='Flujo de Pagos'!$E162,51,9999)</f>
        <v>51</v>
      </c>
      <c r="BT162" s="0" t="n">
        <f aca="false">IF(Presupuesto!$B$52='Flujo de Pagos'!$E162,52,9999)</f>
        <v>52</v>
      </c>
      <c r="BU162" s="0" t="n">
        <f aca="false">IF(Presupuesto!$B$53='Flujo de Pagos'!$E162,53,9999)</f>
        <v>53</v>
      </c>
      <c r="BV162" s="0" t="n">
        <f aca="false">IF(Presupuesto!$B$54='Flujo de Pagos'!$E162,54,9999)</f>
        <v>54</v>
      </c>
      <c r="BW162" s="0" t="n">
        <f aca="false">IF(Presupuesto!$B$55='Flujo de Pagos'!$E162,55,9999)</f>
        <v>55</v>
      </c>
      <c r="BX162" s="0" t="n">
        <f aca="false">IF(Presupuesto!$B$56='Flujo de Pagos'!$E162,56,9999)</f>
        <v>56</v>
      </c>
      <c r="BY162" s="0" t="n">
        <f aca="false">IF(Presupuesto!$B$57='Flujo de Pagos'!$E162,57,9999)</f>
        <v>57</v>
      </c>
      <c r="BZ162" s="0" t="n">
        <f aca="false">IF(Presupuesto!$B$58='Flujo de Pagos'!$E162,58,9999)</f>
        <v>58</v>
      </c>
      <c r="CA162" s="0" t="n">
        <f aca="false">IF(Presupuesto!$B$59='Flujo de Pagos'!$E162,59,9999)</f>
        <v>59</v>
      </c>
      <c r="CB162" s="0" t="n">
        <f aca="false">IF(Presupuesto!$B$60='Flujo de Pagos'!$E162,60,9999)</f>
        <v>60</v>
      </c>
      <c r="CC162" s="0" t="n">
        <f aca="false">IF(Presupuesto!$B$61='Flujo de Pagos'!$E162,61,9999)</f>
        <v>61</v>
      </c>
      <c r="CD162" s="0" t="n">
        <f aca="false">IF(Presupuesto!$B$62='Flujo de Pagos'!$E162,62,9999)</f>
        <v>62</v>
      </c>
      <c r="CE162" s="0" t="n">
        <f aca="false">IF(Presupuesto!$B$63='Flujo de Pagos'!$E162,63,9999)</f>
        <v>63</v>
      </c>
      <c r="CF162" s="0" t="n">
        <f aca="false">IF(Presupuesto!$B$64='Flujo de Pagos'!$E162,64,9999)</f>
        <v>64</v>
      </c>
      <c r="CG162" s="0" t="n">
        <f aca="false">IF(Presupuesto!$B$65='Flujo de Pagos'!$E162,65,9999)</f>
        <v>65</v>
      </c>
      <c r="CH162" s="0" t="n">
        <f aca="false">IF(Presupuesto!$B$66='Flujo de Pagos'!$E162,66,9999)</f>
        <v>66</v>
      </c>
    </row>
    <row r="163" customFormat="false" ht="15" hidden="false" customHeight="true" outlineLevel="0" collapsed="false">
      <c r="B163" s="1" t="n">
        <f aca="false">IF(AND('Flujo de Pagos'!E168=Carátula!$B$2,'Flujo de Pagos'!F168=Carátula!$B$4,'Flujo de Pagos'!H168&lt;&gt;""),168,99999)</f>
        <v>99999</v>
      </c>
      <c r="H163" s="1" t="n">
        <f aca="false">IF(SMALL($AA163:$CH163,1)&gt;=9999,"",INDEX(Presupuesto!$C:$C,SMALL($AA163:$CH163,1)))</f>
        <v>0</v>
      </c>
      <c r="I163" s="1" t="n">
        <f aca="false">IF(SMALL($AA163:$CH163,2)&gt;=9999,"",INDEX(Presupuesto!$C:$C,SMALL($AA163:$CH163,2)))</f>
        <v>0</v>
      </c>
      <c r="J163" s="1" t="n">
        <f aca="false">IF(SMALL($AA163:$CH163,3)&gt;=9999,"",INDEX(Presupuesto!$C:$C,SMALL($AA163:$CH163,3)))</f>
        <v>0</v>
      </c>
      <c r="K163" s="1" t="n">
        <f aca="false">IF(SMALL($AA163:$CH163,4)&gt;=9999,"",INDEX(Presupuesto!$C:$C,SMALL($AA163:$CH163,4)))</f>
        <v>0</v>
      </c>
      <c r="L163" s="1" t="n">
        <f aca="false">IF(SMALL($AA163:$CH163,5)&gt;=9999,"",INDEX(Presupuesto!$C:$C,SMALL($AA163:$CH163,5)))</f>
        <v>0</v>
      </c>
      <c r="M163" s="1" t="n">
        <f aca="false">IF(SMALL($AA163:$CH163,6)&gt;=9999,"",INDEX(Presupuesto!$C:$C,SMALL($AA163:$CH163,6)))</f>
        <v>0</v>
      </c>
      <c r="N163" s="1" t="n">
        <f aca="false">IF(SMALL($AA163:$CH163,7)&gt;=9999,"",INDEX(Presupuesto!$C:$C,SMALL($AA163:$CH163,7)))</f>
        <v>0</v>
      </c>
      <c r="O163" s="1" t="n">
        <f aca="false">IF(SMALL($AA163:$CH163,8)&gt;=9999,"",INDEX(Presupuesto!$C:$C,SMALL($AA163:$CH163,8)))</f>
        <v>0</v>
      </c>
      <c r="P163" s="1" t="n">
        <f aca="false">IF(SMALL($AA163:$CH163,9)&gt;=9999,"",INDEX(Presupuesto!$C:$C,SMALL($AA163:$CH163,9)))</f>
        <v>0</v>
      </c>
      <c r="Q163" s="1" t="n">
        <f aca="false">IF(SMALL($AA163:$CH163,10)&gt;=9999,"",INDEX(Presupuesto!$C:$C,SMALL($AA163:$CH163,10)))</f>
        <v>0</v>
      </c>
      <c r="AA163" s="0" t="n">
        <f aca="false">IF(Presupuesto!$B$7='Flujo de Pagos'!$E163,7,9999)</f>
        <v>9999</v>
      </c>
      <c r="AB163" s="0" t="n">
        <f aca="false">IF(Presupuesto!$B$8='Flujo de Pagos'!$E163,8,9999)</f>
        <v>9999</v>
      </c>
      <c r="AC163" s="0" t="n">
        <f aca="false">IF(Presupuesto!$B$9='Flujo de Pagos'!$E163,9,9999)</f>
        <v>9999</v>
      </c>
      <c r="AD163" s="0" t="n">
        <f aca="false">IF(Presupuesto!$B$10='Flujo de Pagos'!$E163,10,9999)</f>
        <v>9999</v>
      </c>
      <c r="AE163" s="0" t="n">
        <f aca="false">IF(Presupuesto!$B$11='Flujo de Pagos'!$E163,11,9999)</f>
        <v>9999</v>
      </c>
      <c r="AF163" s="0" t="n">
        <f aca="false">IF(Presupuesto!$B$12='Flujo de Pagos'!$E163,12,9999)</f>
        <v>12</v>
      </c>
      <c r="AG163" s="0" t="n">
        <f aca="false">IF(Presupuesto!$B$13='Flujo de Pagos'!$E163,13,9999)</f>
        <v>13</v>
      </c>
      <c r="AH163" s="0" t="n">
        <f aca="false">IF(Presupuesto!$B$14='Flujo de Pagos'!$E163,14,9999)</f>
        <v>14</v>
      </c>
      <c r="AI163" s="0" t="n">
        <f aca="false">IF(Presupuesto!$B$15='Flujo de Pagos'!$E163,15,9999)</f>
        <v>15</v>
      </c>
      <c r="AJ163" s="0" t="n">
        <f aca="false">IF(Presupuesto!$B$16='Flujo de Pagos'!$E163,16,9999)</f>
        <v>16</v>
      </c>
      <c r="AK163" s="0" t="n">
        <f aca="false">IF(Presupuesto!$B$17='Flujo de Pagos'!$E163,17,9999)</f>
        <v>17</v>
      </c>
      <c r="AL163" s="0" t="n">
        <f aca="false">IF(Presupuesto!$B$18='Flujo de Pagos'!$E163,18,9999)</f>
        <v>18</v>
      </c>
      <c r="AM163" s="0" t="n">
        <f aca="false">IF(Presupuesto!$B$19='Flujo de Pagos'!$E163,19,9999)</f>
        <v>19</v>
      </c>
      <c r="AN163" s="0" t="n">
        <f aca="false">IF(Presupuesto!$B$20='Flujo de Pagos'!$E163,20,9999)</f>
        <v>20</v>
      </c>
      <c r="AO163" s="0" t="n">
        <f aca="false">IF(Presupuesto!$B$21='Flujo de Pagos'!$E163,21,9999)</f>
        <v>21</v>
      </c>
      <c r="AP163" s="0" t="n">
        <f aca="false">IF(Presupuesto!$B$22='Flujo de Pagos'!$E163,22,9999)</f>
        <v>22</v>
      </c>
      <c r="AQ163" s="0" t="n">
        <f aca="false">IF(Presupuesto!$B$23='Flujo de Pagos'!$E163,23,9999)</f>
        <v>23</v>
      </c>
      <c r="AR163" s="0" t="n">
        <f aca="false">IF(Presupuesto!$B$24='Flujo de Pagos'!$E163,24,9999)</f>
        <v>24</v>
      </c>
      <c r="AS163" s="0" t="n">
        <f aca="false">IF(Presupuesto!$B$25='Flujo de Pagos'!$E163,25,9999)</f>
        <v>25</v>
      </c>
      <c r="AT163" s="0" t="n">
        <f aca="false">IF(Presupuesto!$B$26='Flujo de Pagos'!$E163,26,9999)</f>
        <v>26</v>
      </c>
      <c r="AU163" s="0" t="n">
        <f aca="false">IF(Presupuesto!$B$27='Flujo de Pagos'!$E163,27,9999)</f>
        <v>27</v>
      </c>
      <c r="AV163" s="0" t="n">
        <f aca="false">IF(Presupuesto!$B$28='Flujo de Pagos'!$E163,28,9999)</f>
        <v>28</v>
      </c>
      <c r="AW163" s="0" t="n">
        <f aca="false">IF(Presupuesto!$B$29='Flujo de Pagos'!$E163,29,9999)</f>
        <v>29</v>
      </c>
      <c r="AX163" s="0" t="n">
        <f aca="false">IF(Presupuesto!$B$30='Flujo de Pagos'!$E163,30,9999)</f>
        <v>30</v>
      </c>
      <c r="AY163" s="0" t="n">
        <f aca="false">IF(Presupuesto!$B$31='Flujo de Pagos'!$E163,31,9999)</f>
        <v>31</v>
      </c>
      <c r="AZ163" s="0" t="n">
        <f aca="false">IF(Presupuesto!$B$32='Flujo de Pagos'!$E163,32,9999)</f>
        <v>32</v>
      </c>
      <c r="BA163" s="0" t="n">
        <f aca="false">IF(Presupuesto!$B$33='Flujo de Pagos'!$E163,33,9999)</f>
        <v>33</v>
      </c>
      <c r="BB163" s="0" t="n">
        <f aca="false">IF(Presupuesto!$B$34='Flujo de Pagos'!$E163,34,9999)</f>
        <v>34</v>
      </c>
      <c r="BC163" s="0" t="n">
        <f aca="false">IF(Presupuesto!$B$35='Flujo de Pagos'!$E163,35,9999)</f>
        <v>35</v>
      </c>
      <c r="BD163" s="0" t="n">
        <f aca="false">IF(Presupuesto!$B$36='Flujo de Pagos'!$E163,36,9999)</f>
        <v>36</v>
      </c>
      <c r="BE163" s="0" t="n">
        <f aca="false">IF(Presupuesto!$B$37='Flujo de Pagos'!$E163,37,9999)</f>
        <v>37</v>
      </c>
      <c r="BF163" s="0" t="n">
        <f aca="false">IF(Presupuesto!$B$38='Flujo de Pagos'!$E163,38,9999)</f>
        <v>38</v>
      </c>
      <c r="BG163" s="0" t="n">
        <f aca="false">IF(Presupuesto!$B$39='Flujo de Pagos'!$E163,39,9999)</f>
        <v>39</v>
      </c>
      <c r="BH163" s="0" t="n">
        <f aca="false">IF(Presupuesto!$B$40='Flujo de Pagos'!$E163,40,9999)</f>
        <v>40</v>
      </c>
      <c r="BI163" s="0" t="n">
        <f aca="false">IF(Presupuesto!$B$41='Flujo de Pagos'!$E163,41,9999)</f>
        <v>41</v>
      </c>
      <c r="BJ163" s="0" t="n">
        <f aca="false">IF(Presupuesto!$B$42='Flujo de Pagos'!$E163,42,9999)</f>
        <v>42</v>
      </c>
      <c r="BK163" s="0" t="n">
        <f aca="false">IF(Presupuesto!$B$43='Flujo de Pagos'!$E163,43,9999)</f>
        <v>43</v>
      </c>
      <c r="BL163" s="0" t="n">
        <f aca="false">IF(Presupuesto!$B$44='Flujo de Pagos'!$E163,44,9999)</f>
        <v>44</v>
      </c>
      <c r="BM163" s="0" t="n">
        <f aca="false">IF(Presupuesto!$B$45='Flujo de Pagos'!$E163,45,9999)</f>
        <v>45</v>
      </c>
      <c r="BN163" s="0" t="n">
        <f aca="false">IF(Presupuesto!$B$46='Flujo de Pagos'!$E163,46,9999)</f>
        <v>46</v>
      </c>
      <c r="BO163" s="0" t="n">
        <f aca="false">IF(Presupuesto!$B$47='Flujo de Pagos'!$E163,47,9999)</f>
        <v>47</v>
      </c>
      <c r="BP163" s="0" t="n">
        <f aca="false">IF(Presupuesto!$B$48='Flujo de Pagos'!$E163,48,9999)</f>
        <v>48</v>
      </c>
      <c r="BQ163" s="0" t="n">
        <f aca="false">IF(Presupuesto!$B$49='Flujo de Pagos'!$E163,49,9999)</f>
        <v>49</v>
      </c>
      <c r="BR163" s="0" t="n">
        <f aca="false">IF(Presupuesto!$B$50='Flujo de Pagos'!$E163,50,9999)</f>
        <v>50</v>
      </c>
      <c r="BS163" s="0" t="n">
        <f aca="false">IF(Presupuesto!$B$51='Flujo de Pagos'!$E163,51,9999)</f>
        <v>51</v>
      </c>
      <c r="BT163" s="0" t="n">
        <f aca="false">IF(Presupuesto!$B$52='Flujo de Pagos'!$E163,52,9999)</f>
        <v>52</v>
      </c>
      <c r="BU163" s="0" t="n">
        <f aca="false">IF(Presupuesto!$B$53='Flujo de Pagos'!$E163,53,9999)</f>
        <v>53</v>
      </c>
      <c r="BV163" s="0" t="n">
        <f aca="false">IF(Presupuesto!$B$54='Flujo de Pagos'!$E163,54,9999)</f>
        <v>54</v>
      </c>
      <c r="BW163" s="0" t="n">
        <f aca="false">IF(Presupuesto!$B$55='Flujo de Pagos'!$E163,55,9999)</f>
        <v>55</v>
      </c>
      <c r="BX163" s="0" t="n">
        <f aca="false">IF(Presupuesto!$B$56='Flujo de Pagos'!$E163,56,9999)</f>
        <v>56</v>
      </c>
      <c r="BY163" s="0" t="n">
        <f aca="false">IF(Presupuesto!$B$57='Flujo de Pagos'!$E163,57,9999)</f>
        <v>57</v>
      </c>
      <c r="BZ163" s="0" t="n">
        <f aca="false">IF(Presupuesto!$B$58='Flujo de Pagos'!$E163,58,9999)</f>
        <v>58</v>
      </c>
      <c r="CA163" s="0" t="n">
        <f aca="false">IF(Presupuesto!$B$59='Flujo de Pagos'!$E163,59,9999)</f>
        <v>59</v>
      </c>
      <c r="CB163" s="0" t="n">
        <f aca="false">IF(Presupuesto!$B$60='Flujo de Pagos'!$E163,60,9999)</f>
        <v>60</v>
      </c>
      <c r="CC163" s="0" t="n">
        <f aca="false">IF(Presupuesto!$B$61='Flujo de Pagos'!$E163,61,9999)</f>
        <v>61</v>
      </c>
      <c r="CD163" s="0" t="n">
        <f aca="false">IF(Presupuesto!$B$62='Flujo de Pagos'!$E163,62,9999)</f>
        <v>62</v>
      </c>
      <c r="CE163" s="0" t="n">
        <f aca="false">IF(Presupuesto!$B$63='Flujo de Pagos'!$E163,63,9999)</f>
        <v>63</v>
      </c>
      <c r="CF163" s="0" t="n">
        <f aca="false">IF(Presupuesto!$B$64='Flujo de Pagos'!$E163,64,9999)</f>
        <v>64</v>
      </c>
      <c r="CG163" s="0" t="n">
        <f aca="false">IF(Presupuesto!$B$65='Flujo de Pagos'!$E163,65,9999)</f>
        <v>65</v>
      </c>
      <c r="CH163" s="0" t="n">
        <f aca="false">IF(Presupuesto!$B$66='Flujo de Pagos'!$E163,66,9999)</f>
        <v>66</v>
      </c>
    </row>
    <row r="164" customFormat="false" ht="15" hidden="false" customHeight="true" outlineLevel="0" collapsed="false">
      <c r="B164" s="1" t="n">
        <f aca="false">IF(AND('Flujo de Pagos'!E169=Carátula!$B$2,'Flujo de Pagos'!F169=Carátula!$B$4,'Flujo de Pagos'!H169&lt;&gt;""),169,99999)</f>
        <v>99999</v>
      </c>
      <c r="H164" s="1" t="n">
        <f aca="false">IF(SMALL($AA164:$CH164,1)&gt;=9999,"",INDEX(Presupuesto!$C:$C,SMALL($AA164:$CH164,1)))</f>
        <v>0</v>
      </c>
      <c r="I164" s="1" t="n">
        <f aca="false">IF(SMALL($AA164:$CH164,2)&gt;=9999,"",INDEX(Presupuesto!$C:$C,SMALL($AA164:$CH164,2)))</f>
        <v>0</v>
      </c>
      <c r="J164" s="1" t="n">
        <f aca="false">IF(SMALL($AA164:$CH164,3)&gt;=9999,"",INDEX(Presupuesto!$C:$C,SMALL($AA164:$CH164,3)))</f>
        <v>0</v>
      </c>
      <c r="K164" s="1" t="n">
        <f aca="false">IF(SMALL($AA164:$CH164,4)&gt;=9999,"",INDEX(Presupuesto!$C:$C,SMALL($AA164:$CH164,4)))</f>
        <v>0</v>
      </c>
      <c r="L164" s="1" t="n">
        <f aca="false">IF(SMALL($AA164:$CH164,5)&gt;=9999,"",INDEX(Presupuesto!$C:$C,SMALL($AA164:$CH164,5)))</f>
        <v>0</v>
      </c>
      <c r="M164" s="1" t="n">
        <f aca="false">IF(SMALL($AA164:$CH164,6)&gt;=9999,"",INDEX(Presupuesto!$C:$C,SMALL($AA164:$CH164,6)))</f>
        <v>0</v>
      </c>
      <c r="N164" s="1" t="n">
        <f aca="false">IF(SMALL($AA164:$CH164,7)&gt;=9999,"",INDEX(Presupuesto!$C:$C,SMALL($AA164:$CH164,7)))</f>
        <v>0</v>
      </c>
      <c r="O164" s="1" t="n">
        <f aca="false">IF(SMALL($AA164:$CH164,8)&gt;=9999,"",INDEX(Presupuesto!$C:$C,SMALL($AA164:$CH164,8)))</f>
        <v>0</v>
      </c>
      <c r="P164" s="1" t="n">
        <f aca="false">IF(SMALL($AA164:$CH164,9)&gt;=9999,"",INDEX(Presupuesto!$C:$C,SMALL($AA164:$CH164,9)))</f>
        <v>0</v>
      </c>
      <c r="Q164" s="1" t="n">
        <f aca="false">IF(SMALL($AA164:$CH164,10)&gt;=9999,"",INDEX(Presupuesto!$C:$C,SMALL($AA164:$CH164,10)))</f>
        <v>0</v>
      </c>
      <c r="AA164" s="0" t="n">
        <f aca="false">IF(Presupuesto!$B$7='Flujo de Pagos'!$E164,7,9999)</f>
        <v>9999</v>
      </c>
      <c r="AB164" s="0" t="n">
        <f aca="false">IF(Presupuesto!$B$8='Flujo de Pagos'!$E164,8,9999)</f>
        <v>9999</v>
      </c>
      <c r="AC164" s="0" t="n">
        <f aca="false">IF(Presupuesto!$B$9='Flujo de Pagos'!$E164,9,9999)</f>
        <v>9999</v>
      </c>
      <c r="AD164" s="0" t="n">
        <f aca="false">IF(Presupuesto!$B$10='Flujo de Pagos'!$E164,10,9999)</f>
        <v>9999</v>
      </c>
      <c r="AE164" s="0" t="n">
        <f aca="false">IF(Presupuesto!$B$11='Flujo de Pagos'!$E164,11,9999)</f>
        <v>9999</v>
      </c>
      <c r="AF164" s="0" t="n">
        <f aca="false">IF(Presupuesto!$B$12='Flujo de Pagos'!$E164,12,9999)</f>
        <v>12</v>
      </c>
      <c r="AG164" s="0" t="n">
        <f aca="false">IF(Presupuesto!$B$13='Flujo de Pagos'!$E164,13,9999)</f>
        <v>13</v>
      </c>
      <c r="AH164" s="0" t="n">
        <f aca="false">IF(Presupuesto!$B$14='Flujo de Pagos'!$E164,14,9999)</f>
        <v>14</v>
      </c>
      <c r="AI164" s="0" t="n">
        <f aca="false">IF(Presupuesto!$B$15='Flujo de Pagos'!$E164,15,9999)</f>
        <v>15</v>
      </c>
      <c r="AJ164" s="0" t="n">
        <f aca="false">IF(Presupuesto!$B$16='Flujo de Pagos'!$E164,16,9999)</f>
        <v>16</v>
      </c>
      <c r="AK164" s="0" t="n">
        <f aca="false">IF(Presupuesto!$B$17='Flujo de Pagos'!$E164,17,9999)</f>
        <v>17</v>
      </c>
      <c r="AL164" s="0" t="n">
        <f aca="false">IF(Presupuesto!$B$18='Flujo de Pagos'!$E164,18,9999)</f>
        <v>18</v>
      </c>
      <c r="AM164" s="0" t="n">
        <f aca="false">IF(Presupuesto!$B$19='Flujo de Pagos'!$E164,19,9999)</f>
        <v>19</v>
      </c>
      <c r="AN164" s="0" t="n">
        <f aca="false">IF(Presupuesto!$B$20='Flujo de Pagos'!$E164,20,9999)</f>
        <v>20</v>
      </c>
      <c r="AO164" s="0" t="n">
        <f aca="false">IF(Presupuesto!$B$21='Flujo de Pagos'!$E164,21,9999)</f>
        <v>21</v>
      </c>
      <c r="AP164" s="0" t="n">
        <f aca="false">IF(Presupuesto!$B$22='Flujo de Pagos'!$E164,22,9999)</f>
        <v>22</v>
      </c>
      <c r="AQ164" s="0" t="n">
        <f aca="false">IF(Presupuesto!$B$23='Flujo de Pagos'!$E164,23,9999)</f>
        <v>23</v>
      </c>
      <c r="AR164" s="0" t="n">
        <f aca="false">IF(Presupuesto!$B$24='Flujo de Pagos'!$E164,24,9999)</f>
        <v>24</v>
      </c>
      <c r="AS164" s="0" t="n">
        <f aca="false">IF(Presupuesto!$B$25='Flujo de Pagos'!$E164,25,9999)</f>
        <v>25</v>
      </c>
      <c r="AT164" s="0" t="n">
        <f aca="false">IF(Presupuesto!$B$26='Flujo de Pagos'!$E164,26,9999)</f>
        <v>26</v>
      </c>
      <c r="AU164" s="0" t="n">
        <f aca="false">IF(Presupuesto!$B$27='Flujo de Pagos'!$E164,27,9999)</f>
        <v>27</v>
      </c>
      <c r="AV164" s="0" t="n">
        <f aca="false">IF(Presupuesto!$B$28='Flujo de Pagos'!$E164,28,9999)</f>
        <v>28</v>
      </c>
      <c r="AW164" s="0" t="n">
        <f aca="false">IF(Presupuesto!$B$29='Flujo de Pagos'!$E164,29,9999)</f>
        <v>29</v>
      </c>
      <c r="AX164" s="0" t="n">
        <f aca="false">IF(Presupuesto!$B$30='Flujo de Pagos'!$E164,30,9999)</f>
        <v>30</v>
      </c>
      <c r="AY164" s="0" t="n">
        <f aca="false">IF(Presupuesto!$B$31='Flujo de Pagos'!$E164,31,9999)</f>
        <v>31</v>
      </c>
      <c r="AZ164" s="0" t="n">
        <f aca="false">IF(Presupuesto!$B$32='Flujo de Pagos'!$E164,32,9999)</f>
        <v>32</v>
      </c>
      <c r="BA164" s="0" t="n">
        <f aca="false">IF(Presupuesto!$B$33='Flujo de Pagos'!$E164,33,9999)</f>
        <v>33</v>
      </c>
      <c r="BB164" s="0" t="n">
        <f aca="false">IF(Presupuesto!$B$34='Flujo de Pagos'!$E164,34,9999)</f>
        <v>34</v>
      </c>
      <c r="BC164" s="0" t="n">
        <f aca="false">IF(Presupuesto!$B$35='Flujo de Pagos'!$E164,35,9999)</f>
        <v>35</v>
      </c>
      <c r="BD164" s="0" t="n">
        <f aca="false">IF(Presupuesto!$B$36='Flujo de Pagos'!$E164,36,9999)</f>
        <v>36</v>
      </c>
      <c r="BE164" s="0" t="n">
        <f aca="false">IF(Presupuesto!$B$37='Flujo de Pagos'!$E164,37,9999)</f>
        <v>37</v>
      </c>
      <c r="BF164" s="0" t="n">
        <f aca="false">IF(Presupuesto!$B$38='Flujo de Pagos'!$E164,38,9999)</f>
        <v>38</v>
      </c>
      <c r="BG164" s="0" t="n">
        <f aca="false">IF(Presupuesto!$B$39='Flujo de Pagos'!$E164,39,9999)</f>
        <v>39</v>
      </c>
      <c r="BH164" s="0" t="n">
        <f aca="false">IF(Presupuesto!$B$40='Flujo de Pagos'!$E164,40,9999)</f>
        <v>40</v>
      </c>
      <c r="BI164" s="0" t="n">
        <f aca="false">IF(Presupuesto!$B$41='Flujo de Pagos'!$E164,41,9999)</f>
        <v>41</v>
      </c>
      <c r="BJ164" s="0" t="n">
        <f aca="false">IF(Presupuesto!$B$42='Flujo de Pagos'!$E164,42,9999)</f>
        <v>42</v>
      </c>
      <c r="BK164" s="0" t="n">
        <f aca="false">IF(Presupuesto!$B$43='Flujo de Pagos'!$E164,43,9999)</f>
        <v>43</v>
      </c>
      <c r="BL164" s="0" t="n">
        <f aca="false">IF(Presupuesto!$B$44='Flujo de Pagos'!$E164,44,9999)</f>
        <v>44</v>
      </c>
      <c r="BM164" s="0" t="n">
        <f aca="false">IF(Presupuesto!$B$45='Flujo de Pagos'!$E164,45,9999)</f>
        <v>45</v>
      </c>
      <c r="BN164" s="0" t="n">
        <f aca="false">IF(Presupuesto!$B$46='Flujo de Pagos'!$E164,46,9999)</f>
        <v>46</v>
      </c>
      <c r="BO164" s="0" t="n">
        <f aca="false">IF(Presupuesto!$B$47='Flujo de Pagos'!$E164,47,9999)</f>
        <v>47</v>
      </c>
      <c r="BP164" s="0" t="n">
        <f aca="false">IF(Presupuesto!$B$48='Flujo de Pagos'!$E164,48,9999)</f>
        <v>48</v>
      </c>
      <c r="BQ164" s="0" t="n">
        <f aca="false">IF(Presupuesto!$B$49='Flujo de Pagos'!$E164,49,9999)</f>
        <v>49</v>
      </c>
      <c r="BR164" s="0" t="n">
        <f aca="false">IF(Presupuesto!$B$50='Flujo de Pagos'!$E164,50,9999)</f>
        <v>50</v>
      </c>
      <c r="BS164" s="0" t="n">
        <f aca="false">IF(Presupuesto!$B$51='Flujo de Pagos'!$E164,51,9999)</f>
        <v>51</v>
      </c>
      <c r="BT164" s="0" t="n">
        <f aca="false">IF(Presupuesto!$B$52='Flujo de Pagos'!$E164,52,9999)</f>
        <v>52</v>
      </c>
      <c r="BU164" s="0" t="n">
        <f aca="false">IF(Presupuesto!$B$53='Flujo de Pagos'!$E164,53,9999)</f>
        <v>53</v>
      </c>
      <c r="BV164" s="0" t="n">
        <f aca="false">IF(Presupuesto!$B$54='Flujo de Pagos'!$E164,54,9999)</f>
        <v>54</v>
      </c>
      <c r="BW164" s="0" t="n">
        <f aca="false">IF(Presupuesto!$B$55='Flujo de Pagos'!$E164,55,9999)</f>
        <v>55</v>
      </c>
      <c r="BX164" s="0" t="n">
        <f aca="false">IF(Presupuesto!$B$56='Flujo de Pagos'!$E164,56,9999)</f>
        <v>56</v>
      </c>
      <c r="BY164" s="0" t="n">
        <f aca="false">IF(Presupuesto!$B$57='Flujo de Pagos'!$E164,57,9999)</f>
        <v>57</v>
      </c>
      <c r="BZ164" s="0" t="n">
        <f aca="false">IF(Presupuesto!$B$58='Flujo de Pagos'!$E164,58,9999)</f>
        <v>58</v>
      </c>
      <c r="CA164" s="0" t="n">
        <f aca="false">IF(Presupuesto!$B$59='Flujo de Pagos'!$E164,59,9999)</f>
        <v>59</v>
      </c>
      <c r="CB164" s="0" t="n">
        <f aca="false">IF(Presupuesto!$B$60='Flujo de Pagos'!$E164,60,9999)</f>
        <v>60</v>
      </c>
      <c r="CC164" s="0" t="n">
        <f aca="false">IF(Presupuesto!$B$61='Flujo de Pagos'!$E164,61,9999)</f>
        <v>61</v>
      </c>
      <c r="CD164" s="0" t="n">
        <f aca="false">IF(Presupuesto!$B$62='Flujo de Pagos'!$E164,62,9999)</f>
        <v>62</v>
      </c>
      <c r="CE164" s="0" t="n">
        <f aca="false">IF(Presupuesto!$B$63='Flujo de Pagos'!$E164,63,9999)</f>
        <v>63</v>
      </c>
      <c r="CF164" s="0" t="n">
        <f aca="false">IF(Presupuesto!$B$64='Flujo de Pagos'!$E164,64,9999)</f>
        <v>64</v>
      </c>
      <c r="CG164" s="0" t="n">
        <f aca="false">IF(Presupuesto!$B$65='Flujo de Pagos'!$E164,65,9999)</f>
        <v>65</v>
      </c>
      <c r="CH164" s="0" t="n">
        <f aca="false">IF(Presupuesto!$B$66='Flujo de Pagos'!$E164,66,9999)</f>
        <v>66</v>
      </c>
    </row>
    <row r="165" customFormat="false" ht="15" hidden="false" customHeight="true" outlineLevel="0" collapsed="false">
      <c r="B165" s="1" t="n">
        <f aca="false">IF(AND('Flujo de Pagos'!E170=Carátula!$B$2,'Flujo de Pagos'!F170=Carátula!$B$4,'Flujo de Pagos'!H170&lt;&gt;""),170,99999)</f>
        <v>99999</v>
      </c>
      <c r="H165" s="1" t="n">
        <f aca="false">IF(SMALL($AA165:$CH165,1)&gt;=9999,"",INDEX(Presupuesto!$C:$C,SMALL($AA165:$CH165,1)))</f>
        <v>0</v>
      </c>
      <c r="I165" s="1" t="n">
        <f aca="false">IF(SMALL($AA165:$CH165,2)&gt;=9999,"",INDEX(Presupuesto!$C:$C,SMALL($AA165:$CH165,2)))</f>
        <v>0</v>
      </c>
      <c r="J165" s="1" t="n">
        <f aca="false">IF(SMALL($AA165:$CH165,3)&gt;=9999,"",INDEX(Presupuesto!$C:$C,SMALL($AA165:$CH165,3)))</f>
        <v>0</v>
      </c>
      <c r="K165" s="1" t="n">
        <f aca="false">IF(SMALL($AA165:$CH165,4)&gt;=9999,"",INDEX(Presupuesto!$C:$C,SMALL($AA165:$CH165,4)))</f>
        <v>0</v>
      </c>
      <c r="L165" s="1" t="n">
        <f aca="false">IF(SMALL($AA165:$CH165,5)&gt;=9999,"",INDEX(Presupuesto!$C:$C,SMALL($AA165:$CH165,5)))</f>
        <v>0</v>
      </c>
      <c r="M165" s="1" t="n">
        <f aca="false">IF(SMALL($AA165:$CH165,6)&gt;=9999,"",INDEX(Presupuesto!$C:$C,SMALL($AA165:$CH165,6)))</f>
        <v>0</v>
      </c>
      <c r="N165" s="1" t="n">
        <f aca="false">IF(SMALL($AA165:$CH165,7)&gt;=9999,"",INDEX(Presupuesto!$C:$C,SMALL($AA165:$CH165,7)))</f>
        <v>0</v>
      </c>
      <c r="O165" s="1" t="n">
        <f aca="false">IF(SMALL($AA165:$CH165,8)&gt;=9999,"",INDEX(Presupuesto!$C:$C,SMALL($AA165:$CH165,8)))</f>
        <v>0</v>
      </c>
      <c r="P165" s="1" t="n">
        <f aca="false">IF(SMALL($AA165:$CH165,9)&gt;=9999,"",INDEX(Presupuesto!$C:$C,SMALL($AA165:$CH165,9)))</f>
        <v>0</v>
      </c>
      <c r="Q165" s="1" t="n">
        <f aca="false">IF(SMALL($AA165:$CH165,10)&gt;=9999,"",INDEX(Presupuesto!$C:$C,SMALL($AA165:$CH165,10)))</f>
        <v>0</v>
      </c>
      <c r="AA165" s="0" t="n">
        <f aca="false">IF(Presupuesto!$B$7='Flujo de Pagos'!$E165,7,9999)</f>
        <v>9999</v>
      </c>
      <c r="AB165" s="0" t="n">
        <f aca="false">IF(Presupuesto!$B$8='Flujo de Pagos'!$E165,8,9999)</f>
        <v>9999</v>
      </c>
      <c r="AC165" s="0" t="n">
        <f aca="false">IF(Presupuesto!$B$9='Flujo de Pagos'!$E165,9,9999)</f>
        <v>9999</v>
      </c>
      <c r="AD165" s="0" t="n">
        <f aca="false">IF(Presupuesto!$B$10='Flujo de Pagos'!$E165,10,9999)</f>
        <v>9999</v>
      </c>
      <c r="AE165" s="0" t="n">
        <f aca="false">IF(Presupuesto!$B$11='Flujo de Pagos'!$E165,11,9999)</f>
        <v>9999</v>
      </c>
      <c r="AF165" s="0" t="n">
        <f aca="false">IF(Presupuesto!$B$12='Flujo de Pagos'!$E165,12,9999)</f>
        <v>12</v>
      </c>
      <c r="AG165" s="0" t="n">
        <f aca="false">IF(Presupuesto!$B$13='Flujo de Pagos'!$E165,13,9999)</f>
        <v>13</v>
      </c>
      <c r="AH165" s="0" t="n">
        <f aca="false">IF(Presupuesto!$B$14='Flujo de Pagos'!$E165,14,9999)</f>
        <v>14</v>
      </c>
      <c r="AI165" s="0" t="n">
        <f aca="false">IF(Presupuesto!$B$15='Flujo de Pagos'!$E165,15,9999)</f>
        <v>15</v>
      </c>
      <c r="AJ165" s="0" t="n">
        <f aca="false">IF(Presupuesto!$B$16='Flujo de Pagos'!$E165,16,9999)</f>
        <v>16</v>
      </c>
      <c r="AK165" s="0" t="n">
        <f aca="false">IF(Presupuesto!$B$17='Flujo de Pagos'!$E165,17,9999)</f>
        <v>17</v>
      </c>
      <c r="AL165" s="0" t="n">
        <f aca="false">IF(Presupuesto!$B$18='Flujo de Pagos'!$E165,18,9999)</f>
        <v>18</v>
      </c>
      <c r="AM165" s="0" t="n">
        <f aca="false">IF(Presupuesto!$B$19='Flujo de Pagos'!$E165,19,9999)</f>
        <v>19</v>
      </c>
      <c r="AN165" s="0" t="n">
        <f aca="false">IF(Presupuesto!$B$20='Flujo de Pagos'!$E165,20,9999)</f>
        <v>20</v>
      </c>
      <c r="AO165" s="0" t="n">
        <f aca="false">IF(Presupuesto!$B$21='Flujo de Pagos'!$E165,21,9999)</f>
        <v>21</v>
      </c>
      <c r="AP165" s="0" t="n">
        <f aca="false">IF(Presupuesto!$B$22='Flujo de Pagos'!$E165,22,9999)</f>
        <v>22</v>
      </c>
      <c r="AQ165" s="0" t="n">
        <f aca="false">IF(Presupuesto!$B$23='Flujo de Pagos'!$E165,23,9999)</f>
        <v>23</v>
      </c>
      <c r="AR165" s="0" t="n">
        <f aca="false">IF(Presupuesto!$B$24='Flujo de Pagos'!$E165,24,9999)</f>
        <v>24</v>
      </c>
      <c r="AS165" s="0" t="n">
        <f aca="false">IF(Presupuesto!$B$25='Flujo de Pagos'!$E165,25,9999)</f>
        <v>25</v>
      </c>
      <c r="AT165" s="0" t="n">
        <f aca="false">IF(Presupuesto!$B$26='Flujo de Pagos'!$E165,26,9999)</f>
        <v>26</v>
      </c>
      <c r="AU165" s="0" t="n">
        <f aca="false">IF(Presupuesto!$B$27='Flujo de Pagos'!$E165,27,9999)</f>
        <v>27</v>
      </c>
      <c r="AV165" s="0" t="n">
        <f aca="false">IF(Presupuesto!$B$28='Flujo de Pagos'!$E165,28,9999)</f>
        <v>28</v>
      </c>
      <c r="AW165" s="0" t="n">
        <f aca="false">IF(Presupuesto!$B$29='Flujo de Pagos'!$E165,29,9999)</f>
        <v>29</v>
      </c>
      <c r="AX165" s="0" t="n">
        <f aca="false">IF(Presupuesto!$B$30='Flujo de Pagos'!$E165,30,9999)</f>
        <v>30</v>
      </c>
      <c r="AY165" s="0" t="n">
        <f aca="false">IF(Presupuesto!$B$31='Flujo de Pagos'!$E165,31,9999)</f>
        <v>31</v>
      </c>
      <c r="AZ165" s="0" t="n">
        <f aca="false">IF(Presupuesto!$B$32='Flujo de Pagos'!$E165,32,9999)</f>
        <v>32</v>
      </c>
      <c r="BA165" s="0" t="n">
        <f aca="false">IF(Presupuesto!$B$33='Flujo de Pagos'!$E165,33,9999)</f>
        <v>33</v>
      </c>
      <c r="BB165" s="0" t="n">
        <f aca="false">IF(Presupuesto!$B$34='Flujo de Pagos'!$E165,34,9999)</f>
        <v>34</v>
      </c>
      <c r="BC165" s="0" t="n">
        <f aca="false">IF(Presupuesto!$B$35='Flujo de Pagos'!$E165,35,9999)</f>
        <v>35</v>
      </c>
      <c r="BD165" s="0" t="n">
        <f aca="false">IF(Presupuesto!$B$36='Flujo de Pagos'!$E165,36,9999)</f>
        <v>36</v>
      </c>
      <c r="BE165" s="0" t="n">
        <f aca="false">IF(Presupuesto!$B$37='Flujo de Pagos'!$E165,37,9999)</f>
        <v>37</v>
      </c>
      <c r="BF165" s="0" t="n">
        <f aca="false">IF(Presupuesto!$B$38='Flujo de Pagos'!$E165,38,9999)</f>
        <v>38</v>
      </c>
      <c r="BG165" s="0" t="n">
        <f aca="false">IF(Presupuesto!$B$39='Flujo de Pagos'!$E165,39,9999)</f>
        <v>39</v>
      </c>
      <c r="BH165" s="0" t="n">
        <f aca="false">IF(Presupuesto!$B$40='Flujo de Pagos'!$E165,40,9999)</f>
        <v>40</v>
      </c>
      <c r="BI165" s="0" t="n">
        <f aca="false">IF(Presupuesto!$B$41='Flujo de Pagos'!$E165,41,9999)</f>
        <v>41</v>
      </c>
      <c r="BJ165" s="0" t="n">
        <f aca="false">IF(Presupuesto!$B$42='Flujo de Pagos'!$E165,42,9999)</f>
        <v>42</v>
      </c>
      <c r="BK165" s="0" t="n">
        <f aca="false">IF(Presupuesto!$B$43='Flujo de Pagos'!$E165,43,9999)</f>
        <v>43</v>
      </c>
      <c r="BL165" s="0" t="n">
        <f aca="false">IF(Presupuesto!$B$44='Flujo de Pagos'!$E165,44,9999)</f>
        <v>44</v>
      </c>
      <c r="BM165" s="0" t="n">
        <f aca="false">IF(Presupuesto!$B$45='Flujo de Pagos'!$E165,45,9999)</f>
        <v>45</v>
      </c>
      <c r="BN165" s="0" t="n">
        <f aca="false">IF(Presupuesto!$B$46='Flujo de Pagos'!$E165,46,9999)</f>
        <v>46</v>
      </c>
      <c r="BO165" s="0" t="n">
        <f aca="false">IF(Presupuesto!$B$47='Flujo de Pagos'!$E165,47,9999)</f>
        <v>47</v>
      </c>
      <c r="BP165" s="0" t="n">
        <f aca="false">IF(Presupuesto!$B$48='Flujo de Pagos'!$E165,48,9999)</f>
        <v>48</v>
      </c>
      <c r="BQ165" s="0" t="n">
        <f aca="false">IF(Presupuesto!$B$49='Flujo de Pagos'!$E165,49,9999)</f>
        <v>49</v>
      </c>
      <c r="BR165" s="0" t="n">
        <f aca="false">IF(Presupuesto!$B$50='Flujo de Pagos'!$E165,50,9999)</f>
        <v>50</v>
      </c>
      <c r="BS165" s="0" t="n">
        <f aca="false">IF(Presupuesto!$B$51='Flujo de Pagos'!$E165,51,9999)</f>
        <v>51</v>
      </c>
      <c r="BT165" s="0" t="n">
        <f aca="false">IF(Presupuesto!$B$52='Flujo de Pagos'!$E165,52,9999)</f>
        <v>52</v>
      </c>
      <c r="BU165" s="0" t="n">
        <f aca="false">IF(Presupuesto!$B$53='Flujo de Pagos'!$E165,53,9999)</f>
        <v>53</v>
      </c>
      <c r="BV165" s="0" t="n">
        <f aca="false">IF(Presupuesto!$B$54='Flujo de Pagos'!$E165,54,9999)</f>
        <v>54</v>
      </c>
      <c r="BW165" s="0" t="n">
        <f aca="false">IF(Presupuesto!$B$55='Flujo de Pagos'!$E165,55,9999)</f>
        <v>55</v>
      </c>
      <c r="BX165" s="0" t="n">
        <f aca="false">IF(Presupuesto!$B$56='Flujo de Pagos'!$E165,56,9999)</f>
        <v>56</v>
      </c>
      <c r="BY165" s="0" t="n">
        <f aca="false">IF(Presupuesto!$B$57='Flujo de Pagos'!$E165,57,9999)</f>
        <v>57</v>
      </c>
      <c r="BZ165" s="0" t="n">
        <f aca="false">IF(Presupuesto!$B$58='Flujo de Pagos'!$E165,58,9999)</f>
        <v>58</v>
      </c>
      <c r="CA165" s="0" t="n">
        <f aca="false">IF(Presupuesto!$B$59='Flujo de Pagos'!$E165,59,9999)</f>
        <v>59</v>
      </c>
      <c r="CB165" s="0" t="n">
        <f aca="false">IF(Presupuesto!$B$60='Flujo de Pagos'!$E165,60,9999)</f>
        <v>60</v>
      </c>
      <c r="CC165" s="0" t="n">
        <f aca="false">IF(Presupuesto!$B$61='Flujo de Pagos'!$E165,61,9999)</f>
        <v>61</v>
      </c>
      <c r="CD165" s="0" t="n">
        <f aca="false">IF(Presupuesto!$B$62='Flujo de Pagos'!$E165,62,9999)</f>
        <v>62</v>
      </c>
      <c r="CE165" s="0" t="n">
        <f aca="false">IF(Presupuesto!$B$63='Flujo de Pagos'!$E165,63,9999)</f>
        <v>63</v>
      </c>
      <c r="CF165" s="0" t="n">
        <f aca="false">IF(Presupuesto!$B$64='Flujo de Pagos'!$E165,64,9999)</f>
        <v>64</v>
      </c>
      <c r="CG165" s="0" t="n">
        <f aca="false">IF(Presupuesto!$B$65='Flujo de Pagos'!$E165,65,9999)</f>
        <v>65</v>
      </c>
      <c r="CH165" s="0" t="n">
        <f aca="false">IF(Presupuesto!$B$66='Flujo de Pagos'!$E165,66,9999)</f>
        <v>66</v>
      </c>
    </row>
    <row r="166" customFormat="false" ht="15" hidden="false" customHeight="true" outlineLevel="0" collapsed="false">
      <c r="B166" s="1" t="n">
        <f aca="false">IF(AND('Flujo de Pagos'!E171=Carátula!$B$2,'Flujo de Pagos'!F171=Carátula!$B$4,'Flujo de Pagos'!H171&lt;&gt;""),171,99999)</f>
        <v>99999</v>
      </c>
      <c r="H166" s="1" t="n">
        <f aca="false">IF(SMALL($AA166:$CH166,1)&gt;=9999,"",INDEX(Presupuesto!$C:$C,SMALL($AA166:$CH166,1)))</f>
        <v>0</v>
      </c>
      <c r="I166" s="1" t="n">
        <f aca="false">IF(SMALL($AA166:$CH166,2)&gt;=9999,"",INDEX(Presupuesto!$C:$C,SMALL($AA166:$CH166,2)))</f>
        <v>0</v>
      </c>
      <c r="J166" s="1" t="n">
        <f aca="false">IF(SMALL($AA166:$CH166,3)&gt;=9999,"",INDEX(Presupuesto!$C:$C,SMALL($AA166:$CH166,3)))</f>
        <v>0</v>
      </c>
      <c r="K166" s="1" t="n">
        <f aca="false">IF(SMALL($AA166:$CH166,4)&gt;=9999,"",INDEX(Presupuesto!$C:$C,SMALL($AA166:$CH166,4)))</f>
        <v>0</v>
      </c>
      <c r="L166" s="1" t="n">
        <f aca="false">IF(SMALL($AA166:$CH166,5)&gt;=9999,"",INDEX(Presupuesto!$C:$C,SMALL($AA166:$CH166,5)))</f>
        <v>0</v>
      </c>
      <c r="M166" s="1" t="n">
        <f aca="false">IF(SMALL($AA166:$CH166,6)&gt;=9999,"",INDEX(Presupuesto!$C:$C,SMALL($AA166:$CH166,6)))</f>
        <v>0</v>
      </c>
      <c r="N166" s="1" t="n">
        <f aca="false">IF(SMALL($AA166:$CH166,7)&gt;=9999,"",INDEX(Presupuesto!$C:$C,SMALL($AA166:$CH166,7)))</f>
        <v>0</v>
      </c>
      <c r="O166" s="1" t="n">
        <f aca="false">IF(SMALL($AA166:$CH166,8)&gt;=9999,"",INDEX(Presupuesto!$C:$C,SMALL($AA166:$CH166,8)))</f>
        <v>0</v>
      </c>
      <c r="P166" s="1" t="n">
        <f aca="false">IF(SMALL($AA166:$CH166,9)&gt;=9999,"",INDEX(Presupuesto!$C:$C,SMALL($AA166:$CH166,9)))</f>
        <v>0</v>
      </c>
      <c r="Q166" s="1" t="n">
        <f aca="false">IF(SMALL($AA166:$CH166,10)&gt;=9999,"",INDEX(Presupuesto!$C:$C,SMALL($AA166:$CH166,10)))</f>
        <v>0</v>
      </c>
      <c r="AA166" s="0" t="n">
        <f aca="false">IF(Presupuesto!$B$7='Flujo de Pagos'!$E166,7,9999)</f>
        <v>9999</v>
      </c>
      <c r="AB166" s="0" t="n">
        <f aca="false">IF(Presupuesto!$B$8='Flujo de Pagos'!$E166,8,9999)</f>
        <v>9999</v>
      </c>
      <c r="AC166" s="0" t="n">
        <f aca="false">IF(Presupuesto!$B$9='Flujo de Pagos'!$E166,9,9999)</f>
        <v>9999</v>
      </c>
      <c r="AD166" s="0" t="n">
        <f aca="false">IF(Presupuesto!$B$10='Flujo de Pagos'!$E166,10,9999)</f>
        <v>9999</v>
      </c>
      <c r="AE166" s="0" t="n">
        <f aca="false">IF(Presupuesto!$B$11='Flujo de Pagos'!$E166,11,9999)</f>
        <v>9999</v>
      </c>
      <c r="AF166" s="0" t="n">
        <f aca="false">IF(Presupuesto!$B$12='Flujo de Pagos'!$E166,12,9999)</f>
        <v>12</v>
      </c>
      <c r="AG166" s="0" t="n">
        <f aca="false">IF(Presupuesto!$B$13='Flujo de Pagos'!$E166,13,9999)</f>
        <v>13</v>
      </c>
      <c r="AH166" s="0" t="n">
        <f aca="false">IF(Presupuesto!$B$14='Flujo de Pagos'!$E166,14,9999)</f>
        <v>14</v>
      </c>
      <c r="AI166" s="0" t="n">
        <f aca="false">IF(Presupuesto!$B$15='Flujo de Pagos'!$E166,15,9999)</f>
        <v>15</v>
      </c>
      <c r="AJ166" s="0" t="n">
        <f aca="false">IF(Presupuesto!$B$16='Flujo de Pagos'!$E166,16,9999)</f>
        <v>16</v>
      </c>
      <c r="AK166" s="0" t="n">
        <f aca="false">IF(Presupuesto!$B$17='Flujo de Pagos'!$E166,17,9999)</f>
        <v>17</v>
      </c>
      <c r="AL166" s="0" t="n">
        <f aca="false">IF(Presupuesto!$B$18='Flujo de Pagos'!$E166,18,9999)</f>
        <v>18</v>
      </c>
      <c r="AM166" s="0" t="n">
        <f aca="false">IF(Presupuesto!$B$19='Flujo de Pagos'!$E166,19,9999)</f>
        <v>19</v>
      </c>
      <c r="AN166" s="0" t="n">
        <f aca="false">IF(Presupuesto!$B$20='Flujo de Pagos'!$E166,20,9999)</f>
        <v>20</v>
      </c>
      <c r="AO166" s="0" t="n">
        <f aca="false">IF(Presupuesto!$B$21='Flujo de Pagos'!$E166,21,9999)</f>
        <v>21</v>
      </c>
      <c r="AP166" s="0" t="n">
        <f aca="false">IF(Presupuesto!$B$22='Flujo de Pagos'!$E166,22,9999)</f>
        <v>22</v>
      </c>
      <c r="AQ166" s="0" t="n">
        <f aca="false">IF(Presupuesto!$B$23='Flujo de Pagos'!$E166,23,9999)</f>
        <v>23</v>
      </c>
      <c r="AR166" s="0" t="n">
        <f aca="false">IF(Presupuesto!$B$24='Flujo de Pagos'!$E166,24,9999)</f>
        <v>24</v>
      </c>
      <c r="AS166" s="0" t="n">
        <f aca="false">IF(Presupuesto!$B$25='Flujo de Pagos'!$E166,25,9999)</f>
        <v>25</v>
      </c>
      <c r="AT166" s="0" t="n">
        <f aca="false">IF(Presupuesto!$B$26='Flujo de Pagos'!$E166,26,9999)</f>
        <v>26</v>
      </c>
      <c r="AU166" s="0" t="n">
        <f aca="false">IF(Presupuesto!$B$27='Flujo de Pagos'!$E166,27,9999)</f>
        <v>27</v>
      </c>
      <c r="AV166" s="0" t="n">
        <f aca="false">IF(Presupuesto!$B$28='Flujo de Pagos'!$E166,28,9999)</f>
        <v>28</v>
      </c>
      <c r="AW166" s="0" t="n">
        <f aca="false">IF(Presupuesto!$B$29='Flujo de Pagos'!$E166,29,9999)</f>
        <v>29</v>
      </c>
      <c r="AX166" s="0" t="n">
        <f aca="false">IF(Presupuesto!$B$30='Flujo de Pagos'!$E166,30,9999)</f>
        <v>30</v>
      </c>
      <c r="AY166" s="0" t="n">
        <f aca="false">IF(Presupuesto!$B$31='Flujo de Pagos'!$E166,31,9999)</f>
        <v>31</v>
      </c>
      <c r="AZ166" s="0" t="n">
        <f aca="false">IF(Presupuesto!$B$32='Flujo de Pagos'!$E166,32,9999)</f>
        <v>32</v>
      </c>
      <c r="BA166" s="0" t="n">
        <f aca="false">IF(Presupuesto!$B$33='Flujo de Pagos'!$E166,33,9999)</f>
        <v>33</v>
      </c>
      <c r="BB166" s="0" t="n">
        <f aca="false">IF(Presupuesto!$B$34='Flujo de Pagos'!$E166,34,9999)</f>
        <v>34</v>
      </c>
      <c r="BC166" s="0" t="n">
        <f aca="false">IF(Presupuesto!$B$35='Flujo de Pagos'!$E166,35,9999)</f>
        <v>35</v>
      </c>
      <c r="BD166" s="0" t="n">
        <f aca="false">IF(Presupuesto!$B$36='Flujo de Pagos'!$E166,36,9999)</f>
        <v>36</v>
      </c>
      <c r="BE166" s="0" t="n">
        <f aca="false">IF(Presupuesto!$B$37='Flujo de Pagos'!$E166,37,9999)</f>
        <v>37</v>
      </c>
      <c r="BF166" s="0" t="n">
        <f aca="false">IF(Presupuesto!$B$38='Flujo de Pagos'!$E166,38,9999)</f>
        <v>38</v>
      </c>
      <c r="BG166" s="0" t="n">
        <f aca="false">IF(Presupuesto!$B$39='Flujo de Pagos'!$E166,39,9999)</f>
        <v>39</v>
      </c>
      <c r="BH166" s="0" t="n">
        <f aca="false">IF(Presupuesto!$B$40='Flujo de Pagos'!$E166,40,9999)</f>
        <v>40</v>
      </c>
      <c r="BI166" s="0" t="n">
        <f aca="false">IF(Presupuesto!$B$41='Flujo de Pagos'!$E166,41,9999)</f>
        <v>41</v>
      </c>
      <c r="BJ166" s="0" t="n">
        <f aca="false">IF(Presupuesto!$B$42='Flujo de Pagos'!$E166,42,9999)</f>
        <v>42</v>
      </c>
      <c r="BK166" s="0" t="n">
        <f aca="false">IF(Presupuesto!$B$43='Flujo de Pagos'!$E166,43,9999)</f>
        <v>43</v>
      </c>
      <c r="BL166" s="0" t="n">
        <f aca="false">IF(Presupuesto!$B$44='Flujo de Pagos'!$E166,44,9999)</f>
        <v>44</v>
      </c>
      <c r="BM166" s="0" t="n">
        <f aca="false">IF(Presupuesto!$B$45='Flujo de Pagos'!$E166,45,9999)</f>
        <v>45</v>
      </c>
      <c r="BN166" s="0" t="n">
        <f aca="false">IF(Presupuesto!$B$46='Flujo de Pagos'!$E166,46,9999)</f>
        <v>46</v>
      </c>
      <c r="BO166" s="0" t="n">
        <f aca="false">IF(Presupuesto!$B$47='Flujo de Pagos'!$E166,47,9999)</f>
        <v>47</v>
      </c>
      <c r="BP166" s="0" t="n">
        <f aca="false">IF(Presupuesto!$B$48='Flujo de Pagos'!$E166,48,9999)</f>
        <v>48</v>
      </c>
      <c r="BQ166" s="0" t="n">
        <f aca="false">IF(Presupuesto!$B$49='Flujo de Pagos'!$E166,49,9999)</f>
        <v>49</v>
      </c>
      <c r="BR166" s="0" t="n">
        <f aca="false">IF(Presupuesto!$B$50='Flujo de Pagos'!$E166,50,9999)</f>
        <v>50</v>
      </c>
      <c r="BS166" s="0" t="n">
        <f aca="false">IF(Presupuesto!$B$51='Flujo de Pagos'!$E166,51,9999)</f>
        <v>51</v>
      </c>
      <c r="BT166" s="0" t="n">
        <f aca="false">IF(Presupuesto!$B$52='Flujo de Pagos'!$E166,52,9999)</f>
        <v>52</v>
      </c>
      <c r="BU166" s="0" t="n">
        <f aca="false">IF(Presupuesto!$B$53='Flujo de Pagos'!$E166,53,9999)</f>
        <v>53</v>
      </c>
      <c r="BV166" s="0" t="n">
        <f aca="false">IF(Presupuesto!$B$54='Flujo de Pagos'!$E166,54,9999)</f>
        <v>54</v>
      </c>
      <c r="BW166" s="0" t="n">
        <f aca="false">IF(Presupuesto!$B$55='Flujo de Pagos'!$E166,55,9999)</f>
        <v>55</v>
      </c>
      <c r="BX166" s="0" t="n">
        <f aca="false">IF(Presupuesto!$B$56='Flujo de Pagos'!$E166,56,9999)</f>
        <v>56</v>
      </c>
      <c r="BY166" s="0" t="n">
        <f aca="false">IF(Presupuesto!$B$57='Flujo de Pagos'!$E166,57,9999)</f>
        <v>57</v>
      </c>
      <c r="BZ166" s="0" t="n">
        <f aca="false">IF(Presupuesto!$B$58='Flujo de Pagos'!$E166,58,9999)</f>
        <v>58</v>
      </c>
      <c r="CA166" s="0" t="n">
        <f aca="false">IF(Presupuesto!$B$59='Flujo de Pagos'!$E166,59,9999)</f>
        <v>59</v>
      </c>
      <c r="CB166" s="0" t="n">
        <f aca="false">IF(Presupuesto!$B$60='Flujo de Pagos'!$E166,60,9999)</f>
        <v>60</v>
      </c>
      <c r="CC166" s="0" t="n">
        <f aca="false">IF(Presupuesto!$B$61='Flujo de Pagos'!$E166,61,9999)</f>
        <v>61</v>
      </c>
      <c r="CD166" s="0" t="n">
        <f aca="false">IF(Presupuesto!$B$62='Flujo de Pagos'!$E166,62,9999)</f>
        <v>62</v>
      </c>
      <c r="CE166" s="0" t="n">
        <f aca="false">IF(Presupuesto!$B$63='Flujo de Pagos'!$E166,63,9999)</f>
        <v>63</v>
      </c>
      <c r="CF166" s="0" t="n">
        <f aca="false">IF(Presupuesto!$B$64='Flujo de Pagos'!$E166,64,9999)</f>
        <v>64</v>
      </c>
      <c r="CG166" s="0" t="n">
        <f aca="false">IF(Presupuesto!$B$65='Flujo de Pagos'!$E166,65,9999)</f>
        <v>65</v>
      </c>
      <c r="CH166" s="0" t="n">
        <f aca="false">IF(Presupuesto!$B$66='Flujo de Pagos'!$E166,66,9999)</f>
        <v>66</v>
      </c>
    </row>
    <row r="167" customFormat="false" ht="15" hidden="false" customHeight="true" outlineLevel="0" collapsed="false">
      <c r="B167" s="1" t="n">
        <f aca="false">IF(AND('Flujo de Pagos'!E172=Carátula!$B$2,'Flujo de Pagos'!F172=Carátula!$B$4,'Flujo de Pagos'!H172&lt;&gt;""),172,99999)</f>
        <v>99999</v>
      </c>
      <c r="H167" s="1" t="n">
        <f aca="false">IF(SMALL($AA167:$CH167,1)&gt;=9999,"",INDEX(Presupuesto!$C:$C,SMALL($AA167:$CH167,1)))</f>
        <v>0</v>
      </c>
      <c r="I167" s="1" t="n">
        <f aca="false">IF(SMALL($AA167:$CH167,2)&gt;=9999,"",INDEX(Presupuesto!$C:$C,SMALL($AA167:$CH167,2)))</f>
        <v>0</v>
      </c>
      <c r="J167" s="1" t="n">
        <f aca="false">IF(SMALL($AA167:$CH167,3)&gt;=9999,"",INDEX(Presupuesto!$C:$C,SMALL($AA167:$CH167,3)))</f>
        <v>0</v>
      </c>
      <c r="K167" s="1" t="n">
        <f aca="false">IF(SMALL($AA167:$CH167,4)&gt;=9999,"",INDEX(Presupuesto!$C:$C,SMALL($AA167:$CH167,4)))</f>
        <v>0</v>
      </c>
      <c r="L167" s="1" t="n">
        <f aca="false">IF(SMALL($AA167:$CH167,5)&gt;=9999,"",INDEX(Presupuesto!$C:$C,SMALL($AA167:$CH167,5)))</f>
        <v>0</v>
      </c>
      <c r="M167" s="1" t="n">
        <f aca="false">IF(SMALL($AA167:$CH167,6)&gt;=9999,"",INDEX(Presupuesto!$C:$C,SMALL($AA167:$CH167,6)))</f>
        <v>0</v>
      </c>
      <c r="N167" s="1" t="n">
        <f aca="false">IF(SMALL($AA167:$CH167,7)&gt;=9999,"",INDEX(Presupuesto!$C:$C,SMALL($AA167:$CH167,7)))</f>
        <v>0</v>
      </c>
      <c r="O167" s="1" t="n">
        <f aca="false">IF(SMALL($AA167:$CH167,8)&gt;=9999,"",INDEX(Presupuesto!$C:$C,SMALL($AA167:$CH167,8)))</f>
        <v>0</v>
      </c>
      <c r="P167" s="1" t="n">
        <f aca="false">IF(SMALL($AA167:$CH167,9)&gt;=9999,"",INDEX(Presupuesto!$C:$C,SMALL($AA167:$CH167,9)))</f>
        <v>0</v>
      </c>
      <c r="Q167" s="1" t="n">
        <f aca="false">IF(SMALL($AA167:$CH167,10)&gt;=9999,"",INDEX(Presupuesto!$C:$C,SMALL($AA167:$CH167,10)))</f>
        <v>0</v>
      </c>
      <c r="AA167" s="0" t="n">
        <f aca="false">IF(Presupuesto!$B$7='Flujo de Pagos'!$E167,7,9999)</f>
        <v>9999</v>
      </c>
      <c r="AB167" s="0" t="n">
        <f aca="false">IF(Presupuesto!$B$8='Flujo de Pagos'!$E167,8,9999)</f>
        <v>9999</v>
      </c>
      <c r="AC167" s="0" t="n">
        <f aca="false">IF(Presupuesto!$B$9='Flujo de Pagos'!$E167,9,9999)</f>
        <v>9999</v>
      </c>
      <c r="AD167" s="0" t="n">
        <f aca="false">IF(Presupuesto!$B$10='Flujo de Pagos'!$E167,10,9999)</f>
        <v>9999</v>
      </c>
      <c r="AE167" s="0" t="n">
        <f aca="false">IF(Presupuesto!$B$11='Flujo de Pagos'!$E167,11,9999)</f>
        <v>9999</v>
      </c>
      <c r="AF167" s="0" t="n">
        <f aca="false">IF(Presupuesto!$B$12='Flujo de Pagos'!$E167,12,9999)</f>
        <v>12</v>
      </c>
      <c r="AG167" s="0" t="n">
        <f aca="false">IF(Presupuesto!$B$13='Flujo de Pagos'!$E167,13,9999)</f>
        <v>13</v>
      </c>
      <c r="AH167" s="0" t="n">
        <f aca="false">IF(Presupuesto!$B$14='Flujo de Pagos'!$E167,14,9999)</f>
        <v>14</v>
      </c>
      <c r="AI167" s="0" t="n">
        <f aca="false">IF(Presupuesto!$B$15='Flujo de Pagos'!$E167,15,9999)</f>
        <v>15</v>
      </c>
      <c r="AJ167" s="0" t="n">
        <f aca="false">IF(Presupuesto!$B$16='Flujo de Pagos'!$E167,16,9999)</f>
        <v>16</v>
      </c>
      <c r="AK167" s="0" t="n">
        <f aca="false">IF(Presupuesto!$B$17='Flujo de Pagos'!$E167,17,9999)</f>
        <v>17</v>
      </c>
      <c r="AL167" s="0" t="n">
        <f aca="false">IF(Presupuesto!$B$18='Flujo de Pagos'!$E167,18,9999)</f>
        <v>18</v>
      </c>
      <c r="AM167" s="0" t="n">
        <f aca="false">IF(Presupuesto!$B$19='Flujo de Pagos'!$E167,19,9999)</f>
        <v>19</v>
      </c>
      <c r="AN167" s="0" t="n">
        <f aca="false">IF(Presupuesto!$B$20='Flujo de Pagos'!$E167,20,9999)</f>
        <v>20</v>
      </c>
      <c r="AO167" s="0" t="n">
        <f aca="false">IF(Presupuesto!$B$21='Flujo de Pagos'!$E167,21,9999)</f>
        <v>21</v>
      </c>
      <c r="AP167" s="0" t="n">
        <f aca="false">IF(Presupuesto!$B$22='Flujo de Pagos'!$E167,22,9999)</f>
        <v>22</v>
      </c>
      <c r="AQ167" s="0" t="n">
        <f aca="false">IF(Presupuesto!$B$23='Flujo de Pagos'!$E167,23,9999)</f>
        <v>23</v>
      </c>
      <c r="AR167" s="0" t="n">
        <f aca="false">IF(Presupuesto!$B$24='Flujo de Pagos'!$E167,24,9999)</f>
        <v>24</v>
      </c>
      <c r="AS167" s="0" t="n">
        <f aca="false">IF(Presupuesto!$B$25='Flujo de Pagos'!$E167,25,9999)</f>
        <v>25</v>
      </c>
      <c r="AT167" s="0" t="n">
        <f aca="false">IF(Presupuesto!$B$26='Flujo de Pagos'!$E167,26,9999)</f>
        <v>26</v>
      </c>
      <c r="AU167" s="0" t="n">
        <f aca="false">IF(Presupuesto!$B$27='Flujo de Pagos'!$E167,27,9999)</f>
        <v>27</v>
      </c>
      <c r="AV167" s="0" t="n">
        <f aca="false">IF(Presupuesto!$B$28='Flujo de Pagos'!$E167,28,9999)</f>
        <v>28</v>
      </c>
      <c r="AW167" s="0" t="n">
        <f aca="false">IF(Presupuesto!$B$29='Flujo de Pagos'!$E167,29,9999)</f>
        <v>29</v>
      </c>
      <c r="AX167" s="0" t="n">
        <f aca="false">IF(Presupuesto!$B$30='Flujo de Pagos'!$E167,30,9999)</f>
        <v>30</v>
      </c>
      <c r="AY167" s="0" t="n">
        <f aca="false">IF(Presupuesto!$B$31='Flujo de Pagos'!$E167,31,9999)</f>
        <v>31</v>
      </c>
      <c r="AZ167" s="0" t="n">
        <f aca="false">IF(Presupuesto!$B$32='Flujo de Pagos'!$E167,32,9999)</f>
        <v>32</v>
      </c>
      <c r="BA167" s="0" t="n">
        <f aca="false">IF(Presupuesto!$B$33='Flujo de Pagos'!$E167,33,9999)</f>
        <v>33</v>
      </c>
      <c r="BB167" s="0" t="n">
        <f aca="false">IF(Presupuesto!$B$34='Flujo de Pagos'!$E167,34,9999)</f>
        <v>34</v>
      </c>
      <c r="BC167" s="0" t="n">
        <f aca="false">IF(Presupuesto!$B$35='Flujo de Pagos'!$E167,35,9999)</f>
        <v>35</v>
      </c>
      <c r="BD167" s="0" t="n">
        <f aca="false">IF(Presupuesto!$B$36='Flujo de Pagos'!$E167,36,9999)</f>
        <v>36</v>
      </c>
      <c r="BE167" s="0" t="n">
        <f aca="false">IF(Presupuesto!$B$37='Flujo de Pagos'!$E167,37,9999)</f>
        <v>37</v>
      </c>
      <c r="BF167" s="0" t="n">
        <f aca="false">IF(Presupuesto!$B$38='Flujo de Pagos'!$E167,38,9999)</f>
        <v>38</v>
      </c>
      <c r="BG167" s="0" t="n">
        <f aca="false">IF(Presupuesto!$B$39='Flujo de Pagos'!$E167,39,9999)</f>
        <v>39</v>
      </c>
      <c r="BH167" s="0" t="n">
        <f aca="false">IF(Presupuesto!$B$40='Flujo de Pagos'!$E167,40,9999)</f>
        <v>40</v>
      </c>
      <c r="BI167" s="0" t="n">
        <f aca="false">IF(Presupuesto!$B$41='Flujo de Pagos'!$E167,41,9999)</f>
        <v>41</v>
      </c>
      <c r="BJ167" s="0" t="n">
        <f aca="false">IF(Presupuesto!$B$42='Flujo de Pagos'!$E167,42,9999)</f>
        <v>42</v>
      </c>
      <c r="BK167" s="0" t="n">
        <f aca="false">IF(Presupuesto!$B$43='Flujo de Pagos'!$E167,43,9999)</f>
        <v>43</v>
      </c>
      <c r="BL167" s="0" t="n">
        <f aca="false">IF(Presupuesto!$B$44='Flujo de Pagos'!$E167,44,9999)</f>
        <v>44</v>
      </c>
      <c r="BM167" s="0" t="n">
        <f aca="false">IF(Presupuesto!$B$45='Flujo de Pagos'!$E167,45,9999)</f>
        <v>45</v>
      </c>
      <c r="BN167" s="0" t="n">
        <f aca="false">IF(Presupuesto!$B$46='Flujo de Pagos'!$E167,46,9999)</f>
        <v>46</v>
      </c>
      <c r="BO167" s="0" t="n">
        <f aca="false">IF(Presupuesto!$B$47='Flujo de Pagos'!$E167,47,9999)</f>
        <v>47</v>
      </c>
      <c r="BP167" s="0" t="n">
        <f aca="false">IF(Presupuesto!$B$48='Flujo de Pagos'!$E167,48,9999)</f>
        <v>48</v>
      </c>
      <c r="BQ167" s="0" t="n">
        <f aca="false">IF(Presupuesto!$B$49='Flujo de Pagos'!$E167,49,9999)</f>
        <v>49</v>
      </c>
      <c r="BR167" s="0" t="n">
        <f aca="false">IF(Presupuesto!$B$50='Flujo de Pagos'!$E167,50,9999)</f>
        <v>50</v>
      </c>
      <c r="BS167" s="0" t="n">
        <f aca="false">IF(Presupuesto!$B$51='Flujo de Pagos'!$E167,51,9999)</f>
        <v>51</v>
      </c>
      <c r="BT167" s="0" t="n">
        <f aca="false">IF(Presupuesto!$B$52='Flujo de Pagos'!$E167,52,9999)</f>
        <v>52</v>
      </c>
      <c r="BU167" s="0" t="n">
        <f aca="false">IF(Presupuesto!$B$53='Flujo de Pagos'!$E167,53,9999)</f>
        <v>53</v>
      </c>
      <c r="BV167" s="0" t="n">
        <f aca="false">IF(Presupuesto!$B$54='Flujo de Pagos'!$E167,54,9999)</f>
        <v>54</v>
      </c>
      <c r="BW167" s="0" t="n">
        <f aca="false">IF(Presupuesto!$B$55='Flujo de Pagos'!$E167,55,9999)</f>
        <v>55</v>
      </c>
      <c r="BX167" s="0" t="n">
        <f aca="false">IF(Presupuesto!$B$56='Flujo de Pagos'!$E167,56,9999)</f>
        <v>56</v>
      </c>
      <c r="BY167" s="0" t="n">
        <f aca="false">IF(Presupuesto!$B$57='Flujo de Pagos'!$E167,57,9999)</f>
        <v>57</v>
      </c>
      <c r="BZ167" s="0" t="n">
        <f aca="false">IF(Presupuesto!$B$58='Flujo de Pagos'!$E167,58,9999)</f>
        <v>58</v>
      </c>
      <c r="CA167" s="0" t="n">
        <f aca="false">IF(Presupuesto!$B$59='Flujo de Pagos'!$E167,59,9999)</f>
        <v>59</v>
      </c>
      <c r="CB167" s="0" t="n">
        <f aca="false">IF(Presupuesto!$B$60='Flujo de Pagos'!$E167,60,9999)</f>
        <v>60</v>
      </c>
      <c r="CC167" s="0" t="n">
        <f aca="false">IF(Presupuesto!$B$61='Flujo de Pagos'!$E167,61,9999)</f>
        <v>61</v>
      </c>
      <c r="CD167" s="0" t="n">
        <f aca="false">IF(Presupuesto!$B$62='Flujo de Pagos'!$E167,62,9999)</f>
        <v>62</v>
      </c>
      <c r="CE167" s="0" t="n">
        <f aca="false">IF(Presupuesto!$B$63='Flujo de Pagos'!$E167,63,9999)</f>
        <v>63</v>
      </c>
      <c r="CF167" s="0" t="n">
        <f aca="false">IF(Presupuesto!$B$64='Flujo de Pagos'!$E167,64,9999)</f>
        <v>64</v>
      </c>
      <c r="CG167" s="0" t="n">
        <f aca="false">IF(Presupuesto!$B$65='Flujo de Pagos'!$E167,65,9999)</f>
        <v>65</v>
      </c>
      <c r="CH167" s="0" t="n">
        <f aca="false">IF(Presupuesto!$B$66='Flujo de Pagos'!$E167,66,9999)</f>
        <v>66</v>
      </c>
    </row>
    <row r="168" customFormat="false" ht="15" hidden="false" customHeight="true" outlineLevel="0" collapsed="false">
      <c r="B168" s="1" t="n">
        <f aca="false">IF(AND('Flujo de Pagos'!E173=Carátula!$B$2,'Flujo de Pagos'!F173=Carátula!$B$4,'Flujo de Pagos'!H173&lt;&gt;""),173,99999)</f>
        <v>99999</v>
      </c>
      <c r="H168" s="1" t="n">
        <f aca="false">IF(SMALL($AA168:$CH168,1)&gt;=9999,"",INDEX(Presupuesto!$C:$C,SMALL($AA168:$CH168,1)))</f>
        <v>0</v>
      </c>
      <c r="I168" s="1" t="n">
        <f aca="false">IF(SMALL($AA168:$CH168,2)&gt;=9999,"",INDEX(Presupuesto!$C:$C,SMALL($AA168:$CH168,2)))</f>
        <v>0</v>
      </c>
      <c r="J168" s="1" t="n">
        <f aca="false">IF(SMALL($AA168:$CH168,3)&gt;=9999,"",INDEX(Presupuesto!$C:$C,SMALL($AA168:$CH168,3)))</f>
        <v>0</v>
      </c>
      <c r="K168" s="1" t="n">
        <f aca="false">IF(SMALL($AA168:$CH168,4)&gt;=9999,"",INDEX(Presupuesto!$C:$C,SMALL($AA168:$CH168,4)))</f>
        <v>0</v>
      </c>
      <c r="L168" s="1" t="n">
        <f aca="false">IF(SMALL($AA168:$CH168,5)&gt;=9999,"",INDEX(Presupuesto!$C:$C,SMALL($AA168:$CH168,5)))</f>
        <v>0</v>
      </c>
      <c r="M168" s="1" t="n">
        <f aca="false">IF(SMALL($AA168:$CH168,6)&gt;=9999,"",INDEX(Presupuesto!$C:$C,SMALL($AA168:$CH168,6)))</f>
        <v>0</v>
      </c>
      <c r="N168" s="1" t="n">
        <f aca="false">IF(SMALL($AA168:$CH168,7)&gt;=9999,"",INDEX(Presupuesto!$C:$C,SMALL($AA168:$CH168,7)))</f>
        <v>0</v>
      </c>
      <c r="O168" s="1" t="n">
        <f aca="false">IF(SMALL($AA168:$CH168,8)&gt;=9999,"",INDEX(Presupuesto!$C:$C,SMALL($AA168:$CH168,8)))</f>
        <v>0</v>
      </c>
      <c r="P168" s="1" t="n">
        <f aca="false">IF(SMALL($AA168:$CH168,9)&gt;=9999,"",INDEX(Presupuesto!$C:$C,SMALL($AA168:$CH168,9)))</f>
        <v>0</v>
      </c>
      <c r="Q168" s="1" t="n">
        <f aca="false">IF(SMALL($AA168:$CH168,10)&gt;=9999,"",INDEX(Presupuesto!$C:$C,SMALL($AA168:$CH168,10)))</f>
        <v>0</v>
      </c>
      <c r="AA168" s="0" t="n">
        <f aca="false">IF(Presupuesto!$B$7='Flujo de Pagos'!$E168,7,9999)</f>
        <v>9999</v>
      </c>
      <c r="AB168" s="0" t="n">
        <f aca="false">IF(Presupuesto!$B$8='Flujo de Pagos'!$E168,8,9999)</f>
        <v>9999</v>
      </c>
      <c r="AC168" s="0" t="n">
        <f aca="false">IF(Presupuesto!$B$9='Flujo de Pagos'!$E168,9,9999)</f>
        <v>9999</v>
      </c>
      <c r="AD168" s="0" t="n">
        <f aca="false">IF(Presupuesto!$B$10='Flujo de Pagos'!$E168,10,9999)</f>
        <v>9999</v>
      </c>
      <c r="AE168" s="0" t="n">
        <f aca="false">IF(Presupuesto!$B$11='Flujo de Pagos'!$E168,11,9999)</f>
        <v>9999</v>
      </c>
      <c r="AF168" s="0" t="n">
        <f aca="false">IF(Presupuesto!$B$12='Flujo de Pagos'!$E168,12,9999)</f>
        <v>12</v>
      </c>
      <c r="AG168" s="0" t="n">
        <f aca="false">IF(Presupuesto!$B$13='Flujo de Pagos'!$E168,13,9999)</f>
        <v>13</v>
      </c>
      <c r="AH168" s="0" t="n">
        <f aca="false">IF(Presupuesto!$B$14='Flujo de Pagos'!$E168,14,9999)</f>
        <v>14</v>
      </c>
      <c r="AI168" s="0" t="n">
        <f aca="false">IF(Presupuesto!$B$15='Flujo de Pagos'!$E168,15,9999)</f>
        <v>15</v>
      </c>
      <c r="AJ168" s="0" t="n">
        <f aca="false">IF(Presupuesto!$B$16='Flujo de Pagos'!$E168,16,9999)</f>
        <v>16</v>
      </c>
      <c r="AK168" s="0" t="n">
        <f aca="false">IF(Presupuesto!$B$17='Flujo de Pagos'!$E168,17,9999)</f>
        <v>17</v>
      </c>
      <c r="AL168" s="0" t="n">
        <f aca="false">IF(Presupuesto!$B$18='Flujo de Pagos'!$E168,18,9999)</f>
        <v>18</v>
      </c>
      <c r="AM168" s="0" t="n">
        <f aca="false">IF(Presupuesto!$B$19='Flujo de Pagos'!$E168,19,9999)</f>
        <v>19</v>
      </c>
      <c r="AN168" s="0" t="n">
        <f aca="false">IF(Presupuesto!$B$20='Flujo de Pagos'!$E168,20,9999)</f>
        <v>20</v>
      </c>
      <c r="AO168" s="0" t="n">
        <f aca="false">IF(Presupuesto!$B$21='Flujo de Pagos'!$E168,21,9999)</f>
        <v>21</v>
      </c>
      <c r="AP168" s="0" t="n">
        <f aca="false">IF(Presupuesto!$B$22='Flujo de Pagos'!$E168,22,9999)</f>
        <v>22</v>
      </c>
      <c r="AQ168" s="0" t="n">
        <f aca="false">IF(Presupuesto!$B$23='Flujo de Pagos'!$E168,23,9999)</f>
        <v>23</v>
      </c>
      <c r="AR168" s="0" t="n">
        <f aca="false">IF(Presupuesto!$B$24='Flujo de Pagos'!$E168,24,9999)</f>
        <v>24</v>
      </c>
      <c r="AS168" s="0" t="n">
        <f aca="false">IF(Presupuesto!$B$25='Flujo de Pagos'!$E168,25,9999)</f>
        <v>25</v>
      </c>
      <c r="AT168" s="0" t="n">
        <f aca="false">IF(Presupuesto!$B$26='Flujo de Pagos'!$E168,26,9999)</f>
        <v>26</v>
      </c>
      <c r="AU168" s="0" t="n">
        <f aca="false">IF(Presupuesto!$B$27='Flujo de Pagos'!$E168,27,9999)</f>
        <v>27</v>
      </c>
      <c r="AV168" s="0" t="n">
        <f aca="false">IF(Presupuesto!$B$28='Flujo de Pagos'!$E168,28,9999)</f>
        <v>28</v>
      </c>
      <c r="AW168" s="0" t="n">
        <f aca="false">IF(Presupuesto!$B$29='Flujo de Pagos'!$E168,29,9999)</f>
        <v>29</v>
      </c>
      <c r="AX168" s="0" t="n">
        <f aca="false">IF(Presupuesto!$B$30='Flujo de Pagos'!$E168,30,9999)</f>
        <v>30</v>
      </c>
      <c r="AY168" s="0" t="n">
        <f aca="false">IF(Presupuesto!$B$31='Flujo de Pagos'!$E168,31,9999)</f>
        <v>31</v>
      </c>
      <c r="AZ168" s="0" t="n">
        <f aca="false">IF(Presupuesto!$B$32='Flujo de Pagos'!$E168,32,9999)</f>
        <v>32</v>
      </c>
      <c r="BA168" s="0" t="n">
        <f aca="false">IF(Presupuesto!$B$33='Flujo de Pagos'!$E168,33,9999)</f>
        <v>33</v>
      </c>
      <c r="BB168" s="0" t="n">
        <f aca="false">IF(Presupuesto!$B$34='Flujo de Pagos'!$E168,34,9999)</f>
        <v>34</v>
      </c>
      <c r="BC168" s="0" t="n">
        <f aca="false">IF(Presupuesto!$B$35='Flujo de Pagos'!$E168,35,9999)</f>
        <v>35</v>
      </c>
      <c r="BD168" s="0" t="n">
        <f aca="false">IF(Presupuesto!$B$36='Flujo de Pagos'!$E168,36,9999)</f>
        <v>36</v>
      </c>
      <c r="BE168" s="0" t="n">
        <f aca="false">IF(Presupuesto!$B$37='Flujo de Pagos'!$E168,37,9999)</f>
        <v>37</v>
      </c>
      <c r="BF168" s="0" t="n">
        <f aca="false">IF(Presupuesto!$B$38='Flujo de Pagos'!$E168,38,9999)</f>
        <v>38</v>
      </c>
      <c r="BG168" s="0" t="n">
        <f aca="false">IF(Presupuesto!$B$39='Flujo de Pagos'!$E168,39,9999)</f>
        <v>39</v>
      </c>
      <c r="BH168" s="0" t="n">
        <f aca="false">IF(Presupuesto!$B$40='Flujo de Pagos'!$E168,40,9999)</f>
        <v>40</v>
      </c>
      <c r="BI168" s="0" t="n">
        <f aca="false">IF(Presupuesto!$B$41='Flujo de Pagos'!$E168,41,9999)</f>
        <v>41</v>
      </c>
      <c r="BJ168" s="0" t="n">
        <f aca="false">IF(Presupuesto!$B$42='Flujo de Pagos'!$E168,42,9999)</f>
        <v>42</v>
      </c>
      <c r="BK168" s="0" t="n">
        <f aca="false">IF(Presupuesto!$B$43='Flujo de Pagos'!$E168,43,9999)</f>
        <v>43</v>
      </c>
      <c r="BL168" s="0" t="n">
        <f aca="false">IF(Presupuesto!$B$44='Flujo de Pagos'!$E168,44,9999)</f>
        <v>44</v>
      </c>
      <c r="BM168" s="0" t="n">
        <f aca="false">IF(Presupuesto!$B$45='Flujo de Pagos'!$E168,45,9999)</f>
        <v>45</v>
      </c>
      <c r="BN168" s="0" t="n">
        <f aca="false">IF(Presupuesto!$B$46='Flujo de Pagos'!$E168,46,9999)</f>
        <v>46</v>
      </c>
      <c r="BO168" s="0" t="n">
        <f aca="false">IF(Presupuesto!$B$47='Flujo de Pagos'!$E168,47,9999)</f>
        <v>47</v>
      </c>
      <c r="BP168" s="0" t="n">
        <f aca="false">IF(Presupuesto!$B$48='Flujo de Pagos'!$E168,48,9999)</f>
        <v>48</v>
      </c>
      <c r="BQ168" s="0" t="n">
        <f aca="false">IF(Presupuesto!$B$49='Flujo de Pagos'!$E168,49,9999)</f>
        <v>49</v>
      </c>
      <c r="BR168" s="0" t="n">
        <f aca="false">IF(Presupuesto!$B$50='Flujo de Pagos'!$E168,50,9999)</f>
        <v>50</v>
      </c>
      <c r="BS168" s="0" t="n">
        <f aca="false">IF(Presupuesto!$B$51='Flujo de Pagos'!$E168,51,9999)</f>
        <v>51</v>
      </c>
      <c r="BT168" s="0" t="n">
        <f aca="false">IF(Presupuesto!$B$52='Flujo de Pagos'!$E168,52,9999)</f>
        <v>52</v>
      </c>
      <c r="BU168" s="0" t="n">
        <f aca="false">IF(Presupuesto!$B$53='Flujo de Pagos'!$E168,53,9999)</f>
        <v>53</v>
      </c>
      <c r="BV168" s="0" t="n">
        <f aca="false">IF(Presupuesto!$B$54='Flujo de Pagos'!$E168,54,9999)</f>
        <v>54</v>
      </c>
      <c r="BW168" s="0" t="n">
        <f aca="false">IF(Presupuesto!$B$55='Flujo de Pagos'!$E168,55,9999)</f>
        <v>55</v>
      </c>
      <c r="BX168" s="0" t="n">
        <f aca="false">IF(Presupuesto!$B$56='Flujo de Pagos'!$E168,56,9999)</f>
        <v>56</v>
      </c>
      <c r="BY168" s="0" t="n">
        <f aca="false">IF(Presupuesto!$B$57='Flujo de Pagos'!$E168,57,9999)</f>
        <v>57</v>
      </c>
      <c r="BZ168" s="0" t="n">
        <f aca="false">IF(Presupuesto!$B$58='Flujo de Pagos'!$E168,58,9999)</f>
        <v>58</v>
      </c>
      <c r="CA168" s="0" t="n">
        <f aca="false">IF(Presupuesto!$B$59='Flujo de Pagos'!$E168,59,9999)</f>
        <v>59</v>
      </c>
      <c r="CB168" s="0" t="n">
        <f aca="false">IF(Presupuesto!$B$60='Flujo de Pagos'!$E168,60,9999)</f>
        <v>60</v>
      </c>
      <c r="CC168" s="0" t="n">
        <f aca="false">IF(Presupuesto!$B$61='Flujo de Pagos'!$E168,61,9999)</f>
        <v>61</v>
      </c>
      <c r="CD168" s="0" t="n">
        <f aca="false">IF(Presupuesto!$B$62='Flujo de Pagos'!$E168,62,9999)</f>
        <v>62</v>
      </c>
      <c r="CE168" s="0" t="n">
        <f aca="false">IF(Presupuesto!$B$63='Flujo de Pagos'!$E168,63,9999)</f>
        <v>63</v>
      </c>
      <c r="CF168" s="0" t="n">
        <f aca="false">IF(Presupuesto!$B$64='Flujo de Pagos'!$E168,64,9999)</f>
        <v>64</v>
      </c>
      <c r="CG168" s="0" t="n">
        <f aca="false">IF(Presupuesto!$B$65='Flujo de Pagos'!$E168,65,9999)</f>
        <v>65</v>
      </c>
      <c r="CH168" s="0" t="n">
        <f aca="false">IF(Presupuesto!$B$66='Flujo de Pagos'!$E168,66,9999)</f>
        <v>66</v>
      </c>
    </row>
    <row r="169" customFormat="false" ht="15" hidden="false" customHeight="true" outlineLevel="0" collapsed="false">
      <c r="B169" s="1" t="n">
        <f aca="false">IF(AND('Flujo de Pagos'!E174=Carátula!$B$2,'Flujo de Pagos'!F174=Carátula!$B$4,'Flujo de Pagos'!H174&lt;&gt;""),174,99999)</f>
        <v>99999</v>
      </c>
      <c r="H169" s="1" t="n">
        <f aca="false">IF(SMALL($AA169:$CH169,1)&gt;=9999,"",INDEX(Presupuesto!$C:$C,SMALL($AA169:$CH169,1)))</f>
        <v>0</v>
      </c>
      <c r="I169" s="1" t="n">
        <f aca="false">IF(SMALL($AA169:$CH169,2)&gt;=9999,"",INDEX(Presupuesto!$C:$C,SMALL($AA169:$CH169,2)))</f>
        <v>0</v>
      </c>
      <c r="J169" s="1" t="n">
        <f aca="false">IF(SMALL($AA169:$CH169,3)&gt;=9999,"",INDEX(Presupuesto!$C:$C,SMALL($AA169:$CH169,3)))</f>
        <v>0</v>
      </c>
      <c r="K169" s="1" t="n">
        <f aca="false">IF(SMALL($AA169:$CH169,4)&gt;=9999,"",INDEX(Presupuesto!$C:$C,SMALL($AA169:$CH169,4)))</f>
        <v>0</v>
      </c>
      <c r="L169" s="1" t="n">
        <f aca="false">IF(SMALL($AA169:$CH169,5)&gt;=9999,"",INDEX(Presupuesto!$C:$C,SMALL($AA169:$CH169,5)))</f>
        <v>0</v>
      </c>
      <c r="M169" s="1" t="n">
        <f aca="false">IF(SMALL($AA169:$CH169,6)&gt;=9999,"",INDEX(Presupuesto!$C:$C,SMALL($AA169:$CH169,6)))</f>
        <v>0</v>
      </c>
      <c r="N169" s="1" t="n">
        <f aca="false">IF(SMALL($AA169:$CH169,7)&gt;=9999,"",INDEX(Presupuesto!$C:$C,SMALL($AA169:$CH169,7)))</f>
        <v>0</v>
      </c>
      <c r="O169" s="1" t="n">
        <f aca="false">IF(SMALL($AA169:$CH169,8)&gt;=9999,"",INDEX(Presupuesto!$C:$C,SMALL($AA169:$CH169,8)))</f>
        <v>0</v>
      </c>
      <c r="P169" s="1" t="n">
        <f aca="false">IF(SMALL($AA169:$CH169,9)&gt;=9999,"",INDEX(Presupuesto!$C:$C,SMALL($AA169:$CH169,9)))</f>
        <v>0</v>
      </c>
      <c r="Q169" s="1" t="n">
        <f aca="false">IF(SMALL($AA169:$CH169,10)&gt;=9999,"",INDEX(Presupuesto!$C:$C,SMALL($AA169:$CH169,10)))</f>
        <v>0</v>
      </c>
      <c r="AA169" s="0" t="n">
        <f aca="false">IF(Presupuesto!$B$7='Flujo de Pagos'!$E169,7,9999)</f>
        <v>9999</v>
      </c>
      <c r="AB169" s="0" t="n">
        <f aca="false">IF(Presupuesto!$B$8='Flujo de Pagos'!$E169,8,9999)</f>
        <v>9999</v>
      </c>
      <c r="AC169" s="0" t="n">
        <f aca="false">IF(Presupuesto!$B$9='Flujo de Pagos'!$E169,9,9999)</f>
        <v>9999</v>
      </c>
      <c r="AD169" s="0" t="n">
        <f aca="false">IF(Presupuesto!$B$10='Flujo de Pagos'!$E169,10,9999)</f>
        <v>9999</v>
      </c>
      <c r="AE169" s="0" t="n">
        <f aca="false">IF(Presupuesto!$B$11='Flujo de Pagos'!$E169,11,9999)</f>
        <v>9999</v>
      </c>
      <c r="AF169" s="0" t="n">
        <f aca="false">IF(Presupuesto!$B$12='Flujo de Pagos'!$E169,12,9999)</f>
        <v>12</v>
      </c>
      <c r="AG169" s="0" t="n">
        <f aca="false">IF(Presupuesto!$B$13='Flujo de Pagos'!$E169,13,9999)</f>
        <v>13</v>
      </c>
      <c r="AH169" s="0" t="n">
        <f aca="false">IF(Presupuesto!$B$14='Flujo de Pagos'!$E169,14,9999)</f>
        <v>14</v>
      </c>
      <c r="AI169" s="0" t="n">
        <f aca="false">IF(Presupuesto!$B$15='Flujo de Pagos'!$E169,15,9999)</f>
        <v>15</v>
      </c>
      <c r="AJ169" s="0" t="n">
        <f aca="false">IF(Presupuesto!$B$16='Flujo de Pagos'!$E169,16,9999)</f>
        <v>16</v>
      </c>
      <c r="AK169" s="0" t="n">
        <f aca="false">IF(Presupuesto!$B$17='Flujo de Pagos'!$E169,17,9999)</f>
        <v>17</v>
      </c>
      <c r="AL169" s="0" t="n">
        <f aca="false">IF(Presupuesto!$B$18='Flujo de Pagos'!$E169,18,9999)</f>
        <v>18</v>
      </c>
      <c r="AM169" s="0" t="n">
        <f aca="false">IF(Presupuesto!$B$19='Flujo de Pagos'!$E169,19,9999)</f>
        <v>19</v>
      </c>
      <c r="AN169" s="0" t="n">
        <f aca="false">IF(Presupuesto!$B$20='Flujo de Pagos'!$E169,20,9999)</f>
        <v>20</v>
      </c>
      <c r="AO169" s="0" t="n">
        <f aca="false">IF(Presupuesto!$B$21='Flujo de Pagos'!$E169,21,9999)</f>
        <v>21</v>
      </c>
      <c r="AP169" s="0" t="n">
        <f aca="false">IF(Presupuesto!$B$22='Flujo de Pagos'!$E169,22,9999)</f>
        <v>22</v>
      </c>
      <c r="AQ169" s="0" t="n">
        <f aca="false">IF(Presupuesto!$B$23='Flujo de Pagos'!$E169,23,9999)</f>
        <v>23</v>
      </c>
      <c r="AR169" s="0" t="n">
        <f aca="false">IF(Presupuesto!$B$24='Flujo de Pagos'!$E169,24,9999)</f>
        <v>24</v>
      </c>
      <c r="AS169" s="0" t="n">
        <f aca="false">IF(Presupuesto!$B$25='Flujo de Pagos'!$E169,25,9999)</f>
        <v>25</v>
      </c>
      <c r="AT169" s="0" t="n">
        <f aca="false">IF(Presupuesto!$B$26='Flujo de Pagos'!$E169,26,9999)</f>
        <v>26</v>
      </c>
      <c r="AU169" s="0" t="n">
        <f aca="false">IF(Presupuesto!$B$27='Flujo de Pagos'!$E169,27,9999)</f>
        <v>27</v>
      </c>
      <c r="AV169" s="0" t="n">
        <f aca="false">IF(Presupuesto!$B$28='Flujo de Pagos'!$E169,28,9999)</f>
        <v>28</v>
      </c>
      <c r="AW169" s="0" t="n">
        <f aca="false">IF(Presupuesto!$B$29='Flujo de Pagos'!$E169,29,9999)</f>
        <v>29</v>
      </c>
      <c r="AX169" s="0" t="n">
        <f aca="false">IF(Presupuesto!$B$30='Flujo de Pagos'!$E169,30,9999)</f>
        <v>30</v>
      </c>
      <c r="AY169" s="0" t="n">
        <f aca="false">IF(Presupuesto!$B$31='Flujo de Pagos'!$E169,31,9999)</f>
        <v>31</v>
      </c>
      <c r="AZ169" s="0" t="n">
        <f aca="false">IF(Presupuesto!$B$32='Flujo de Pagos'!$E169,32,9999)</f>
        <v>32</v>
      </c>
      <c r="BA169" s="0" t="n">
        <f aca="false">IF(Presupuesto!$B$33='Flujo de Pagos'!$E169,33,9999)</f>
        <v>33</v>
      </c>
      <c r="BB169" s="0" t="n">
        <f aca="false">IF(Presupuesto!$B$34='Flujo de Pagos'!$E169,34,9999)</f>
        <v>34</v>
      </c>
      <c r="BC169" s="0" t="n">
        <f aca="false">IF(Presupuesto!$B$35='Flujo de Pagos'!$E169,35,9999)</f>
        <v>35</v>
      </c>
      <c r="BD169" s="0" t="n">
        <f aca="false">IF(Presupuesto!$B$36='Flujo de Pagos'!$E169,36,9999)</f>
        <v>36</v>
      </c>
      <c r="BE169" s="0" t="n">
        <f aca="false">IF(Presupuesto!$B$37='Flujo de Pagos'!$E169,37,9999)</f>
        <v>37</v>
      </c>
      <c r="BF169" s="0" t="n">
        <f aca="false">IF(Presupuesto!$B$38='Flujo de Pagos'!$E169,38,9999)</f>
        <v>38</v>
      </c>
      <c r="BG169" s="0" t="n">
        <f aca="false">IF(Presupuesto!$B$39='Flujo de Pagos'!$E169,39,9999)</f>
        <v>39</v>
      </c>
      <c r="BH169" s="0" t="n">
        <f aca="false">IF(Presupuesto!$B$40='Flujo de Pagos'!$E169,40,9999)</f>
        <v>40</v>
      </c>
      <c r="BI169" s="0" t="n">
        <f aca="false">IF(Presupuesto!$B$41='Flujo de Pagos'!$E169,41,9999)</f>
        <v>41</v>
      </c>
      <c r="BJ169" s="0" t="n">
        <f aca="false">IF(Presupuesto!$B$42='Flujo de Pagos'!$E169,42,9999)</f>
        <v>42</v>
      </c>
      <c r="BK169" s="0" t="n">
        <f aca="false">IF(Presupuesto!$B$43='Flujo de Pagos'!$E169,43,9999)</f>
        <v>43</v>
      </c>
      <c r="BL169" s="0" t="n">
        <f aca="false">IF(Presupuesto!$B$44='Flujo de Pagos'!$E169,44,9999)</f>
        <v>44</v>
      </c>
      <c r="BM169" s="0" t="n">
        <f aca="false">IF(Presupuesto!$B$45='Flujo de Pagos'!$E169,45,9999)</f>
        <v>45</v>
      </c>
      <c r="BN169" s="0" t="n">
        <f aca="false">IF(Presupuesto!$B$46='Flujo de Pagos'!$E169,46,9999)</f>
        <v>46</v>
      </c>
      <c r="BO169" s="0" t="n">
        <f aca="false">IF(Presupuesto!$B$47='Flujo de Pagos'!$E169,47,9999)</f>
        <v>47</v>
      </c>
      <c r="BP169" s="0" t="n">
        <f aca="false">IF(Presupuesto!$B$48='Flujo de Pagos'!$E169,48,9999)</f>
        <v>48</v>
      </c>
      <c r="BQ169" s="0" t="n">
        <f aca="false">IF(Presupuesto!$B$49='Flujo de Pagos'!$E169,49,9999)</f>
        <v>49</v>
      </c>
      <c r="BR169" s="0" t="n">
        <f aca="false">IF(Presupuesto!$B$50='Flujo de Pagos'!$E169,50,9999)</f>
        <v>50</v>
      </c>
      <c r="BS169" s="0" t="n">
        <f aca="false">IF(Presupuesto!$B$51='Flujo de Pagos'!$E169,51,9999)</f>
        <v>51</v>
      </c>
      <c r="BT169" s="0" t="n">
        <f aca="false">IF(Presupuesto!$B$52='Flujo de Pagos'!$E169,52,9999)</f>
        <v>52</v>
      </c>
      <c r="BU169" s="0" t="n">
        <f aca="false">IF(Presupuesto!$B$53='Flujo de Pagos'!$E169,53,9999)</f>
        <v>53</v>
      </c>
      <c r="BV169" s="0" t="n">
        <f aca="false">IF(Presupuesto!$B$54='Flujo de Pagos'!$E169,54,9999)</f>
        <v>54</v>
      </c>
      <c r="BW169" s="0" t="n">
        <f aca="false">IF(Presupuesto!$B$55='Flujo de Pagos'!$E169,55,9999)</f>
        <v>55</v>
      </c>
      <c r="BX169" s="0" t="n">
        <f aca="false">IF(Presupuesto!$B$56='Flujo de Pagos'!$E169,56,9999)</f>
        <v>56</v>
      </c>
      <c r="BY169" s="0" t="n">
        <f aca="false">IF(Presupuesto!$B$57='Flujo de Pagos'!$E169,57,9999)</f>
        <v>57</v>
      </c>
      <c r="BZ169" s="0" t="n">
        <f aca="false">IF(Presupuesto!$B$58='Flujo de Pagos'!$E169,58,9999)</f>
        <v>58</v>
      </c>
      <c r="CA169" s="0" t="n">
        <f aca="false">IF(Presupuesto!$B$59='Flujo de Pagos'!$E169,59,9999)</f>
        <v>59</v>
      </c>
      <c r="CB169" s="0" t="n">
        <f aca="false">IF(Presupuesto!$B$60='Flujo de Pagos'!$E169,60,9999)</f>
        <v>60</v>
      </c>
      <c r="CC169" s="0" t="n">
        <f aca="false">IF(Presupuesto!$B$61='Flujo de Pagos'!$E169,61,9999)</f>
        <v>61</v>
      </c>
      <c r="CD169" s="0" t="n">
        <f aca="false">IF(Presupuesto!$B$62='Flujo de Pagos'!$E169,62,9999)</f>
        <v>62</v>
      </c>
      <c r="CE169" s="0" t="n">
        <f aca="false">IF(Presupuesto!$B$63='Flujo de Pagos'!$E169,63,9999)</f>
        <v>63</v>
      </c>
      <c r="CF169" s="0" t="n">
        <f aca="false">IF(Presupuesto!$B$64='Flujo de Pagos'!$E169,64,9999)</f>
        <v>64</v>
      </c>
      <c r="CG169" s="0" t="n">
        <f aca="false">IF(Presupuesto!$B$65='Flujo de Pagos'!$E169,65,9999)</f>
        <v>65</v>
      </c>
      <c r="CH169" s="0" t="n">
        <f aca="false">IF(Presupuesto!$B$66='Flujo de Pagos'!$E169,66,9999)</f>
        <v>66</v>
      </c>
    </row>
    <row r="170" customFormat="false" ht="15" hidden="false" customHeight="true" outlineLevel="0" collapsed="false">
      <c r="B170" s="1" t="n">
        <f aca="false">IF(AND('Flujo de Pagos'!E175=Carátula!$B$2,'Flujo de Pagos'!F175=Carátula!$B$4,'Flujo de Pagos'!H175&lt;&gt;""),175,99999)</f>
        <v>99999</v>
      </c>
      <c r="H170" s="1" t="n">
        <f aca="false">IF(SMALL($AA170:$CH170,1)&gt;=9999,"",INDEX(Presupuesto!$C:$C,SMALL($AA170:$CH170,1)))</f>
        <v>0</v>
      </c>
      <c r="I170" s="1" t="n">
        <f aca="false">IF(SMALL($AA170:$CH170,2)&gt;=9999,"",INDEX(Presupuesto!$C:$C,SMALL($AA170:$CH170,2)))</f>
        <v>0</v>
      </c>
      <c r="J170" s="1" t="n">
        <f aca="false">IF(SMALL($AA170:$CH170,3)&gt;=9999,"",INDEX(Presupuesto!$C:$C,SMALL($AA170:$CH170,3)))</f>
        <v>0</v>
      </c>
      <c r="K170" s="1" t="n">
        <f aca="false">IF(SMALL($AA170:$CH170,4)&gt;=9999,"",INDEX(Presupuesto!$C:$C,SMALL($AA170:$CH170,4)))</f>
        <v>0</v>
      </c>
      <c r="L170" s="1" t="n">
        <f aca="false">IF(SMALL($AA170:$CH170,5)&gt;=9999,"",INDEX(Presupuesto!$C:$C,SMALL($AA170:$CH170,5)))</f>
        <v>0</v>
      </c>
      <c r="M170" s="1" t="n">
        <f aca="false">IF(SMALL($AA170:$CH170,6)&gt;=9999,"",INDEX(Presupuesto!$C:$C,SMALL($AA170:$CH170,6)))</f>
        <v>0</v>
      </c>
      <c r="N170" s="1" t="n">
        <f aca="false">IF(SMALL($AA170:$CH170,7)&gt;=9999,"",INDEX(Presupuesto!$C:$C,SMALL($AA170:$CH170,7)))</f>
        <v>0</v>
      </c>
      <c r="O170" s="1" t="n">
        <f aca="false">IF(SMALL($AA170:$CH170,8)&gt;=9999,"",INDEX(Presupuesto!$C:$C,SMALL($AA170:$CH170,8)))</f>
        <v>0</v>
      </c>
      <c r="P170" s="1" t="n">
        <f aca="false">IF(SMALL($AA170:$CH170,9)&gt;=9999,"",INDEX(Presupuesto!$C:$C,SMALL($AA170:$CH170,9)))</f>
        <v>0</v>
      </c>
      <c r="Q170" s="1" t="n">
        <f aca="false">IF(SMALL($AA170:$CH170,10)&gt;=9999,"",INDEX(Presupuesto!$C:$C,SMALL($AA170:$CH170,10)))</f>
        <v>0</v>
      </c>
      <c r="AA170" s="0" t="n">
        <f aca="false">IF(Presupuesto!$B$7='Flujo de Pagos'!$E170,7,9999)</f>
        <v>9999</v>
      </c>
      <c r="AB170" s="0" t="n">
        <f aca="false">IF(Presupuesto!$B$8='Flujo de Pagos'!$E170,8,9999)</f>
        <v>9999</v>
      </c>
      <c r="AC170" s="0" t="n">
        <f aca="false">IF(Presupuesto!$B$9='Flujo de Pagos'!$E170,9,9999)</f>
        <v>9999</v>
      </c>
      <c r="AD170" s="0" t="n">
        <f aca="false">IF(Presupuesto!$B$10='Flujo de Pagos'!$E170,10,9999)</f>
        <v>9999</v>
      </c>
      <c r="AE170" s="0" t="n">
        <f aca="false">IF(Presupuesto!$B$11='Flujo de Pagos'!$E170,11,9999)</f>
        <v>9999</v>
      </c>
      <c r="AF170" s="0" t="n">
        <f aca="false">IF(Presupuesto!$B$12='Flujo de Pagos'!$E170,12,9999)</f>
        <v>12</v>
      </c>
      <c r="AG170" s="0" t="n">
        <f aca="false">IF(Presupuesto!$B$13='Flujo de Pagos'!$E170,13,9999)</f>
        <v>13</v>
      </c>
      <c r="AH170" s="0" t="n">
        <f aca="false">IF(Presupuesto!$B$14='Flujo de Pagos'!$E170,14,9999)</f>
        <v>14</v>
      </c>
      <c r="AI170" s="0" t="n">
        <f aca="false">IF(Presupuesto!$B$15='Flujo de Pagos'!$E170,15,9999)</f>
        <v>15</v>
      </c>
      <c r="AJ170" s="0" t="n">
        <f aca="false">IF(Presupuesto!$B$16='Flujo de Pagos'!$E170,16,9999)</f>
        <v>16</v>
      </c>
      <c r="AK170" s="0" t="n">
        <f aca="false">IF(Presupuesto!$B$17='Flujo de Pagos'!$E170,17,9999)</f>
        <v>17</v>
      </c>
      <c r="AL170" s="0" t="n">
        <f aca="false">IF(Presupuesto!$B$18='Flujo de Pagos'!$E170,18,9999)</f>
        <v>18</v>
      </c>
      <c r="AM170" s="0" t="n">
        <f aca="false">IF(Presupuesto!$B$19='Flujo de Pagos'!$E170,19,9999)</f>
        <v>19</v>
      </c>
      <c r="AN170" s="0" t="n">
        <f aca="false">IF(Presupuesto!$B$20='Flujo de Pagos'!$E170,20,9999)</f>
        <v>20</v>
      </c>
      <c r="AO170" s="0" t="n">
        <f aca="false">IF(Presupuesto!$B$21='Flujo de Pagos'!$E170,21,9999)</f>
        <v>21</v>
      </c>
      <c r="AP170" s="0" t="n">
        <f aca="false">IF(Presupuesto!$B$22='Flujo de Pagos'!$E170,22,9999)</f>
        <v>22</v>
      </c>
      <c r="AQ170" s="0" t="n">
        <f aca="false">IF(Presupuesto!$B$23='Flujo de Pagos'!$E170,23,9999)</f>
        <v>23</v>
      </c>
      <c r="AR170" s="0" t="n">
        <f aca="false">IF(Presupuesto!$B$24='Flujo de Pagos'!$E170,24,9999)</f>
        <v>24</v>
      </c>
      <c r="AS170" s="0" t="n">
        <f aca="false">IF(Presupuesto!$B$25='Flujo de Pagos'!$E170,25,9999)</f>
        <v>25</v>
      </c>
      <c r="AT170" s="0" t="n">
        <f aca="false">IF(Presupuesto!$B$26='Flujo de Pagos'!$E170,26,9999)</f>
        <v>26</v>
      </c>
      <c r="AU170" s="0" t="n">
        <f aca="false">IF(Presupuesto!$B$27='Flujo de Pagos'!$E170,27,9999)</f>
        <v>27</v>
      </c>
      <c r="AV170" s="0" t="n">
        <f aca="false">IF(Presupuesto!$B$28='Flujo de Pagos'!$E170,28,9999)</f>
        <v>28</v>
      </c>
      <c r="AW170" s="0" t="n">
        <f aca="false">IF(Presupuesto!$B$29='Flujo de Pagos'!$E170,29,9999)</f>
        <v>29</v>
      </c>
      <c r="AX170" s="0" t="n">
        <f aca="false">IF(Presupuesto!$B$30='Flujo de Pagos'!$E170,30,9999)</f>
        <v>30</v>
      </c>
      <c r="AY170" s="0" t="n">
        <f aca="false">IF(Presupuesto!$B$31='Flujo de Pagos'!$E170,31,9999)</f>
        <v>31</v>
      </c>
      <c r="AZ170" s="0" t="n">
        <f aca="false">IF(Presupuesto!$B$32='Flujo de Pagos'!$E170,32,9999)</f>
        <v>32</v>
      </c>
      <c r="BA170" s="0" t="n">
        <f aca="false">IF(Presupuesto!$B$33='Flujo de Pagos'!$E170,33,9999)</f>
        <v>33</v>
      </c>
      <c r="BB170" s="0" t="n">
        <f aca="false">IF(Presupuesto!$B$34='Flujo de Pagos'!$E170,34,9999)</f>
        <v>34</v>
      </c>
      <c r="BC170" s="0" t="n">
        <f aca="false">IF(Presupuesto!$B$35='Flujo de Pagos'!$E170,35,9999)</f>
        <v>35</v>
      </c>
      <c r="BD170" s="0" t="n">
        <f aca="false">IF(Presupuesto!$B$36='Flujo de Pagos'!$E170,36,9999)</f>
        <v>36</v>
      </c>
      <c r="BE170" s="0" t="n">
        <f aca="false">IF(Presupuesto!$B$37='Flujo de Pagos'!$E170,37,9999)</f>
        <v>37</v>
      </c>
      <c r="BF170" s="0" t="n">
        <f aca="false">IF(Presupuesto!$B$38='Flujo de Pagos'!$E170,38,9999)</f>
        <v>38</v>
      </c>
      <c r="BG170" s="0" t="n">
        <f aca="false">IF(Presupuesto!$B$39='Flujo de Pagos'!$E170,39,9999)</f>
        <v>39</v>
      </c>
      <c r="BH170" s="0" t="n">
        <f aca="false">IF(Presupuesto!$B$40='Flujo de Pagos'!$E170,40,9999)</f>
        <v>40</v>
      </c>
      <c r="BI170" s="0" t="n">
        <f aca="false">IF(Presupuesto!$B$41='Flujo de Pagos'!$E170,41,9999)</f>
        <v>41</v>
      </c>
      <c r="BJ170" s="0" t="n">
        <f aca="false">IF(Presupuesto!$B$42='Flujo de Pagos'!$E170,42,9999)</f>
        <v>42</v>
      </c>
      <c r="BK170" s="0" t="n">
        <f aca="false">IF(Presupuesto!$B$43='Flujo de Pagos'!$E170,43,9999)</f>
        <v>43</v>
      </c>
      <c r="BL170" s="0" t="n">
        <f aca="false">IF(Presupuesto!$B$44='Flujo de Pagos'!$E170,44,9999)</f>
        <v>44</v>
      </c>
      <c r="BM170" s="0" t="n">
        <f aca="false">IF(Presupuesto!$B$45='Flujo de Pagos'!$E170,45,9999)</f>
        <v>45</v>
      </c>
      <c r="BN170" s="0" t="n">
        <f aca="false">IF(Presupuesto!$B$46='Flujo de Pagos'!$E170,46,9999)</f>
        <v>46</v>
      </c>
      <c r="BO170" s="0" t="n">
        <f aca="false">IF(Presupuesto!$B$47='Flujo de Pagos'!$E170,47,9999)</f>
        <v>47</v>
      </c>
      <c r="BP170" s="0" t="n">
        <f aca="false">IF(Presupuesto!$B$48='Flujo de Pagos'!$E170,48,9999)</f>
        <v>48</v>
      </c>
      <c r="BQ170" s="0" t="n">
        <f aca="false">IF(Presupuesto!$B$49='Flujo de Pagos'!$E170,49,9999)</f>
        <v>49</v>
      </c>
      <c r="BR170" s="0" t="n">
        <f aca="false">IF(Presupuesto!$B$50='Flujo de Pagos'!$E170,50,9999)</f>
        <v>50</v>
      </c>
      <c r="BS170" s="0" t="n">
        <f aca="false">IF(Presupuesto!$B$51='Flujo de Pagos'!$E170,51,9999)</f>
        <v>51</v>
      </c>
      <c r="BT170" s="0" t="n">
        <f aca="false">IF(Presupuesto!$B$52='Flujo de Pagos'!$E170,52,9999)</f>
        <v>52</v>
      </c>
      <c r="BU170" s="0" t="n">
        <f aca="false">IF(Presupuesto!$B$53='Flujo de Pagos'!$E170,53,9999)</f>
        <v>53</v>
      </c>
      <c r="BV170" s="0" t="n">
        <f aca="false">IF(Presupuesto!$B$54='Flujo de Pagos'!$E170,54,9999)</f>
        <v>54</v>
      </c>
      <c r="BW170" s="0" t="n">
        <f aca="false">IF(Presupuesto!$B$55='Flujo de Pagos'!$E170,55,9999)</f>
        <v>55</v>
      </c>
      <c r="BX170" s="0" t="n">
        <f aca="false">IF(Presupuesto!$B$56='Flujo de Pagos'!$E170,56,9999)</f>
        <v>56</v>
      </c>
      <c r="BY170" s="0" t="n">
        <f aca="false">IF(Presupuesto!$B$57='Flujo de Pagos'!$E170,57,9999)</f>
        <v>57</v>
      </c>
      <c r="BZ170" s="0" t="n">
        <f aca="false">IF(Presupuesto!$B$58='Flujo de Pagos'!$E170,58,9999)</f>
        <v>58</v>
      </c>
      <c r="CA170" s="0" t="n">
        <f aca="false">IF(Presupuesto!$B$59='Flujo de Pagos'!$E170,59,9999)</f>
        <v>59</v>
      </c>
      <c r="CB170" s="0" t="n">
        <f aca="false">IF(Presupuesto!$B$60='Flujo de Pagos'!$E170,60,9999)</f>
        <v>60</v>
      </c>
      <c r="CC170" s="0" t="n">
        <f aca="false">IF(Presupuesto!$B$61='Flujo de Pagos'!$E170,61,9999)</f>
        <v>61</v>
      </c>
      <c r="CD170" s="0" t="n">
        <f aca="false">IF(Presupuesto!$B$62='Flujo de Pagos'!$E170,62,9999)</f>
        <v>62</v>
      </c>
      <c r="CE170" s="0" t="n">
        <f aca="false">IF(Presupuesto!$B$63='Flujo de Pagos'!$E170,63,9999)</f>
        <v>63</v>
      </c>
      <c r="CF170" s="0" t="n">
        <f aca="false">IF(Presupuesto!$B$64='Flujo de Pagos'!$E170,64,9999)</f>
        <v>64</v>
      </c>
      <c r="CG170" s="0" t="n">
        <f aca="false">IF(Presupuesto!$B$65='Flujo de Pagos'!$E170,65,9999)</f>
        <v>65</v>
      </c>
      <c r="CH170" s="0" t="n">
        <f aca="false">IF(Presupuesto!$B$66='Flujo de Pagos'!$E170,66,9999)</f>
        <v>66</v>
      </c>
    </row>
    <row r="171" customFormat="false" ht="15" hidden="false" customHeight="true" outlineLevel="0" collapsed="false">
      <c r="B171" s="1" t="n">
        <f aca="false">IF(AND('Flujo de Pagos'!E176=Carátula!$B$2,'Flujo de Pagos'!F176=Carátula!$B$4,'Flujo de Pagos'!H176&lt;&gt;""),176,99999)</f>
        <v>99999</v>
      </c>
      <c r="H171" s="1" t="n">
        <f aca="false">IF(SMALL($AA171:$CH171,1)&gt;=9999,"",INDEX(Presupuesto!$C:$C,SMALL($AA171:$CH171,1)))</f>
        <v>0</v>
      </c>
      <c r="I171" s="1" t="n">
        <f aca="false">IF(SMALL($AA171:$CH171,2)&gt;=9999,"",INDEX(Presupuesto!$C:$C,SMALL($AA171:$CH171,2)))</f>
        <v>0</v>
      </c>
      <c r="J171" s="1" t="n">
        <f aca="false">IF(SMALL($AA171:$CH171,3)&gt;=9999,"",INDEX(Presupuesto!$C:$C,SMALL($AA171:$CH171,3)))</f>
        <v>0</v>
      </c>
      <c r="K171" s="1" t="n">
        <f aca="false">IF(SMALL($AA171:$CH171,4)&gt;=9999,"",INDEX(Presupuesto!$C:$C,SMALL($AA171:$CH171,4)))</f>
        <v>0</v>
      </c>
      <c r="L171" s="1" t="n">
        <f aca="false">IF(SMALL($AA171:$CH171,5)&gt;=9999,"",INDEX(Presupuesto!$C:$C,SMALL($AA171:$CH171,5)))</f>
        <v>0</v>
      </c>
      <c r="M171" s="1" t="n">
        <f aca="false">IF(SMALL($AA171:$CH171,6)&gt;=9999,"",INDEX(Presupuesto!$C:$C,SMALL($AA171:$CH171,6)))</f>
        <v>0</v>
      </c>
      <c r="N171" s="1" t="n">
        <f aca="false">IF(SMALL($AA171:$CH171,7)&gt;=9999,"",INDEX(Presupuesto!$C:$C,SMALL($AA171:$CH171,7)))</f>
        <v>0</v>
      </c>
      <c r="O171" s="1" t="n">
        <f aca="false">IF(SMALL($AA171:$CH171,8)&gt;=9999,"",INDEX(Presupuesto!$C:$C,SMALL($AA171:$CH171,8)))</f>
        <v>0</v>
      </c>
      <c r="P171" s="1" t="n">
        <f aca="false">IF(SMALL($AA171:$CH171,9)&gt;=9999,"",INDEX(Presupuesto!$C:$C,SMALL($AA171:$CH171,9)))</f>
        <v>0</v>
      </c>
      <c r="Q171" s="1" t="n">
        <f aca="false">IF(SMALL($AA171:$CH171,10)&gt;=9999,"",INDEX(Presupuesto!$C:$C,SMALL($AA171:$CH171,10)))</f>
        <v>0</v>
      </c>
      <c r="AA171" s="0" t="n">
        <f aca="false">IF(Presupuesto!$B$7='Flujo de Pagos'!$E171,7,9999)</f>
        <v>9999</v>
      </c>
      <c r="AB171" s="0" t="n">
        <f aca="false">IF(Presupuesto!$B$8='Flujo de Pagos'!$E171,8,9999)</f>
        <v>9999</v>
      </c>
      <c r="AC171" s="0" t="n">
        <f aca="false">IF(Presupuesto!$B$9='Flujo de Pagos'!$E171,9,9999)</f>
        <v>9999</v>
      </c>
      <c r="AD171" s="0" t="n">
        <f aca="false">IF(Presupuesto!$B$10='Flujo de Pagos'!$E171,10,9999)</f>
        <v>9999</v>
      </c>
      <c r="AE171" s="0" t="n">
        <f aca="false">IF(Presupuesto!$B$11='Flujo de Pagos'!$E171,11,9999)</f>
        <v>9999</v>
      </c>
      <c r="AF171" s="0" t="n">
        <f aca="false">IF(Presupuesto!$B$12='Flujo de Pagos'!$E171,12,9999)</f>
        <v>12</v>
      </c>
      <c r="AG171" s="0" t="n">
        <f aca="false">IF(Presupuesto!$B$13='Flujo de Pagos'!$E171,13,9999)</f>
        <v>13</v>
      </c>
      <c r="AH171" s="0" t="n">
        <f aca="false">IF(Presupuesto!$B$14='Flujo de Pagos'!$E171,14,9999)</f>
        <v>14</v>
      </c>
      <c r="AI171" s="0" t="n">
        <f aca="false">IF(Presupuesto!$B$15='Flujo de Pagos'!$E171,15,9999)</f>
        <v>15</v>
      </c>
      <c r="AJ171" s="0" t="n">
        <f aca="false">IF(Presupuesto!$B$16='Flujo de Pagos'!$E171,16,9999)</f>
        <v>16</v>
      </c>
      <c r="AK171" s="0" t="n">
        <f aca="false">IF(Presupuesto!$B$17='Flujo de Pagos'!$E171,17,9999)</f>
        <v>17</v>
      </c>
      <c r="AL171" s="0" t="n">
        <f aca="false">IF(Presupuesto!$B$18='Flujo de Pagos'!$E171,18,9999)</f>
        <v>18</v>
      </c>
      <c r="AM171" s="0" t="n">
        <f aca="false">IF(Presupuesto!$B$19='Flujo de Pagos'!$E171,19,9999)</f>
        <v>19</v>
      </c>
      <c r="AN171" s="0" t="n">
        <f aca="false">IF(Presupuesto!$B$20='Flujo de Pagos'!$E171,20,9999)</f>
        <v>20</v>
      </c>
      <c r="AO171" s="0" t="n">
        <f aca="false">IF(Presupuesto!$B$21='Flujo de Pagos'!$E171,21,9999)</f>
        <v>21</v>
      </c>
      <c r="AP171" s="0" t="n">
        <f aca="false">IF(Presupuesto!$B$22='Flujo de Pagos'!$E171,22,9999)</f>
        <v>22</v>
      </c>
      <c r="AQ171" s="0" t="n">
        <f aca="false">IF(Presupuesto!$B$23='Flujo de Pagos'!$E171,23,9999)</f>
        <v>23</v>
      </c>
      <c r="AR171" s="0" t="n">
        <f aca="false">IF(Presupuesto!$B$24='Flujo de Pagos'!$E171,24,9999)</f>
        <v>24</v>
      </c>
      <c r="AS171" s="0" t="n">
        <f aca="false">IF(Presupuesto!$B$25='Flujo de Pagos'!$E171,25,9999)</f>
        <v>25</v>
      </c>
      <c r="AT171" s="0" t="n">
        <f aca="false">IF(Presupuesto!$B$26='Flujo de Pagos'!$E171,26,9999)</f>
        <v>26</v>
      </c>
      <c r="AU171" s="0" t="n">
        <f aca="false">IF(Presupuesto!$B$27='Flujo de Pagos'!$E171,27,9999)</f>
        <v>27</v>
      </c>
      <c r="AV171" s="0" t="n">
        <f aca="false">IF(Presupuesto!$B$28='Flujo de Pagos'!$E171,28,9999)</f>
        <v>28</v>
      </c>
      <c r="AW171" s="0" t="n">
        <f aca="false">IF(Presupuesto!$B$29='Flujo de Pagos'!$E171,29,9999)</f>
        <v>29</v>
      </c>
      <c r="AX171" s="0" t="n">
        <f aca="false">IF(Presupuesto!$B$30='Flujo de Pagos'!$E171,30,9999)</f>
        <v>30</v>
      </c>
      <c r="AY171" s="0" t="n">
        <f aca="false">IF(Presupuesto!$B$31='Flujo de Pagos'!$E171,31,9999)</f>
        <v>31</v>
      </c>
      <c r="AZ171" s="0" t="n">
        <f aca="false">IF(Presupuesto!$B$32='Flujo de Pagos'!$E171,32,9999)</f>
        <v>32</v>
      </c>
      <c r="BA171" s="0" t="n">
        <f aca="false">IF(Presupuesto!$B$33='Flujo de Pagos'!$E171,33,9999)</f>
        <v>33</v>
      </c>
      <c r="BB171" s="0" t="n">
        <f aca="false">IF(Presupuesto!$B$34='Flujo de Pagos'!$E171,34,9999)</f>
        <v>34</v>
      </c>
      <c r="BC171" s="0" t="n">
        <f aca="false">IF(Presupuesto!$B$35='Flujo de Pagos'!$E171,35,9999)</f>
        <v>35</v>
      </c>
      <c r="BD171" s="0" t="n">
        <f aca="false">IF(Presupuesto!$B$36='Flujo de Pagos'!$E171,36,9999)</f>
        <v>36</v>
      </c>
      <c r="BE171" s="0" t="n">
        <f aca="false">IF(Presupuesto!$B$37='Flujo de Pagos'!$E171,37,9999)</f>
        <v>37</v>
      </c>
      <c r="BF171" s="0" t="n">
        <f aca="false">IF(Presupuesto!$B$38='Flujo de Pagos'!$E171,38,9999)</f>
        <v>38</v>
      </c>
      <c r="BG171" s="0" t="n">
        <f aca="false">IF(Presupuesto!$B$39='Flujo de Pagos'!$E171,39,9999)</f>
        <v>39</v>
      </c>
      <c r="BH171" s="0" t="n">
        <f aca="false">IF(Presupuesto!$B$40='Flujo de Pagos'!$E171,40,9999)</f>
        <v>40</v>
      </c>
      <c r="BI171" s="0" t="n">
        <f aca="false">IF(Presupuesto!$B$41='Flujo de Pagos'!$E171,41,9999)</f>
        <v>41</v>
      </c>
      <c r="BJ171" s="0" t="n">
        <f aca="false">IF(Presupuesto!$B$42='Flujo de Pagos'!$E171,42,9999)</f>
        <v>42</v>
      </c>
      <c r="BK171" s="0" t="n">
        <f aca="false">IF(Presupuesto!$B$43='Flujo de Pagos'!$E171,43,9999)</f>
        <v>43</v>
      </c>
      <c r="BL171" s="0" t="n">
        <f aca="false">IF(Presupuesto!$B$44='Flujo de Pagos'!$E171,44,9999)</f>
        <v>44</v>
      </c>
      <c r="BM171" s="0" t="n">
        <f aca="false">IF(Presupuesto!$B$45='Flujo de Pagos'!$E171,45,9999)</f>
        <v>45</v>
      </c>
      <c r="BN171" s="0" t="n">
        <f aca="false">IF(Presupuesto!$B$46='Flujo de Pagos'!$E171,46,9999)</f>
        <v>46</v>
      </c>
      <c r="BO171" s="0" t="n">
        <f aca="false">IF(Presupuesto!$B$47='Flujo de Pagos'!$E171,47,9999)</f>
        <v>47</v>
      </c>
      <c r="BP171" s="0" t="n">
        <f aca="false">IF(Presupuesto!$B$48='Flujo de Pagos'!$E171,48,9999)</f>
        <v>48</v>
      </c>
      <c r="BQ171" s="0" t="n">
        <f aca="false">IF(Presupuesto!$B$49='Flujo de Pagos'!$E171,49,9999)</f>
        <v>49</v>
      </c>
      <c r="BR171" s="0" t="n">
        <f aca="false">IF(Presupuesto!$B$50='Flujo de Pagos'!$E171,50,9999)</f>
        <v>50</v>
      </c>
      <c r="BS171" s="0" t="n">
        <f aca="false">IF(Presupuesto!$B$51='Flujo de Pagos'!$E171,51,9999)</f>
        <v>51</v>
      </c>
      <c r="BT171" s="0" t="n">
        <f aca="false">IF(Presupuesto!$B$52='Flujo de Pagos'!$E171,52,9999)</f>
        <v>52</v>
      </c>
      <c r="BU171" s="0" t="n">
        <f aca="false">IF(Presupuesto!$B$53='Flujo de Pagos'!$E171,53,9999)</f>
        <v>53</v>
      </c>
      <c r="BV171" s="0" t="n">
        <f aca="false">IF(Presupuesto!$B$54='Flujo de Pagos'!$E171,54,9999)</f>
        <v>54</v>
      </c>
      <c r="BW171" s="0" t="n">
        <f aca="false">IF(Presupuesto!$B$55='Flujo de Pagos'!$E171,55,9999)</f>
        <v>55</v>
      </c>
      <c r="BX171" s="0" t="n">
        <f aca="false">IF(Presupuesto!$B$56='Flujo de Pagos'!$E171,56,9999)</f>
        <v>56</v>
      </c>
      <c r="BY171" s="0" t="n">
        <f aca="false">IF(Presupuesto!$B$57='Flujo de Pagos'!$E171,57,9999)</f>
        <v>57</v>
      </c>
      <c r="BZ171" s="0" t="n">
        <f aca="false">IF(Presupuesto!$B$58='Flujo de Pagos'!$E171,58,9999)</f>
        <v>58</v>
      </c>
      <c r="CA171" s="0" t="n">
        <f aca="false">IF(Presupuesto!$B$59='Flujo de Pagos'!$E171,59,9999)</f>
        <v>59</v>
      </c>
      <c r="CB171" s="0" t="n">
        <f aca="false">IF(Presupuesto!$B$60='Flujo de Pagos'!$E171,60,9999)</f>
        <v>60</v>
      </c>
      <c r="CC171" s="0" t="n">
        <f aca="false">IF(Presupuesto!$B$61='Flujo de Pagos'!$E171,61,9999)</f>
        <v>61</v>
      </c>
      <c r="CD171" s="0" t="n">
        <f aca="false">IF(Presupuesto!$B$62='Flujo de Pagos'!$E171,62,9999)</f>
        <v>62</v>
      </c>
      <c r="CE171" s="0" t="n">
        <f aca="false">IF(Presupuesto!$B$63='Flujo de Pagos'!$E171,63,9999)</f>
        <v>63</v>
      </c>
      <c r="CF171" s="0" t="n">
        <f aca="false">IF(Presupuesto!$B$64='Flujo de Pagos'!$E171,64,9999)</f>
        <v>64</v>
      </c>
      <c r="CG171" s="0" t="n">
        <f aca="false">IF(Presupuesto!$B$65='Flujo de Pagos'!$E171,65,9999)</f>
        <v>65</v>
      </c>
      <c r="CH171" s="0" t="n">
        <f aca="false">IF(Presupuesto!$B$66='Flujo de Pagos'!$E171,66,9999)</f>
        <v>66</v>
      </c>
    </row>
    <row r="172" customFormat="false" ht="15" hidden="false" customHeight="true" outlineLevel="0" collapsed="false">
      <c r="B172" s="1" t="n">
        <f aca="false">IF(AND('Flujo de Pagos'!E177=Carátula!$B$2,'Flujo de Pagos'!F177=Carátula!$B$4,'Flujo de Pagos'!H177&lt;&gt;""),177,99999)</f>
        <v>99999</v>
      </c>
      <c r="H172" s="1" t="n">
        <f aca="false">IF(SMALL($AA172:$CH172,1)&gt;=9999,"",INDEX(Presupuesto!$C:$C,SMALL($AA172:$CH172,1)))</f>
        <v>0</v>
      </c>
      <c r="I172" s="1" t="n">
        <f aca="false">IF(SMALL($AA172:$CH172,2)&gt;=9999,"",INDEX(Presupuesto!$C:$C,SMALL($AA172:$CH172,2)))</f>
        <v>0</v>
      </c>
      <c r="J172" s="1" t="n">
        <f aca="false">IF(SMALL($AA172:$CH172,3)&gt;=9999,"",INDEX(Presupuesto!$C:$C,SMALL($AA172:$CH172,3)))</f>
        <v>0</v>
      </c>
      <c r="K172" s="1" t="n">
        <f aca="false">IF(SMALL($AA172:$CH172,4)&gt;=9999,"",INDEX(Presupuesto!$C:$C,SMALL($AA172:$CH172,4)))</f>
        <v>0</v>
      </c>
      <c r="L172" s="1" t="n">
        <f aca="false">IF(SMALL($AA172:$CH172,5)&gt;=9999,"",INDEX(Presupuesto!$C:$C,SMALL($AA172:$CH172,5)))</f>
        <v>0</v>
      </c>
      <c r="M172" s="1" t="n">
        <f aca="false">IF(SMALL($AA172:$CH172,6)&gt;=9999,"",INDEX(Presupuesto!$C:$C,SMALL($AA172:$CH172,6)))</f>
        <v>0</v>
      </c>
      <c r="N172" s="1" t="n">
        <f aca="false">IF(SMALL($AA172:$CH172,7)&gt;=9999,"",INDEX(Presupuesto!$C:$C,SMALL($AA172:$CH172,7)))</f>
        <v>0</v>
      </c>
      <c r="O172" s="1" t="n">
        <f aca="false">IF(SMALL($AA172:$CH172,8)&gt;=9999,"",INDEX(Presupuesto!$C:$C,SMALL($AA172:$CH172,8)))</f>
        <v>0</v>
      </c>
      <c r="P172" s="1" t="n">
        <f aca="false">IF(SMALL($AA172:$CH172,9)&gt;=9999,"",INDEX(Presupuesto!$C:$C,SMALL($AA172:$CH172,9)))</f>
        <v>0</v>
      </c>
      <c r="Q172" s="1" t="n">
        <f aca="false">IF(SMALL($AA172:$CH172,10)&gt;=9999,"",INDEX(Presupuesto!$C:$C,SMALL($AA172:$CH172,10)))</f>
        <v>0</v>
      </c>
      <c r="AA172" s="0" t="n">
        <f aca="false">IF(Presupuesto!$B$7='Flujo de Pagos'!$E172,7,9999)</f>
        <v>9999</v>
      </c>
      <c r="AB172" s="0" t="n">
        <f aca="false">IF(Presupuesto!$B$8='Flujo de Pagos'!$E172,8,9999)</f>
        <v>9999</v>
      </c>
      <c r="AC172" s="0" t="n">
        <f aca="false">IF(Presupuesto!$B$9='Flujo de Pagos'!$E172,9,9999)</f>
        <v>9999</v>
      </c>
      <c r="AD172" s="0" t="n">
        <f aca="false">IF(Presupuesto!$B$10='Flujo de Pagos'!$E172,10,9999)</f>
        <v>9999</v>
      </c>
      <c r="AE172" s="0" t="n">
        <f aca="false">IF(Presupuesto!$B$11='Flujo de Pagos'!$E172,11,9999)</f>
        <v>9999</v>
      </c>
      <c r="AF172" s="0" t="n">
        <f aca="false">IF(Presupuesto!$B$12='Flujo de Pagos'!$E172,12,9999)</f>
        <v>12</v>
      </c>
      <c r="AG172" s="0" t="n">
        <f aca="false">IF(Presupuesto!$B$13='Flujo de Pagos'!$E172,13,9999)</f>
        <v>13</v>
      </c>
      <c r="AH172" s="0" t="n">
        <f aca="false">IF(Presupuesto!$B$14='Flujo de Pagos'!$E172,14,9999)</f>
        <v>14</v>
      </c>
      <c r="AI172" s="0" t="n">
        <f aca="false">IF(Presupuesto!$B$15='Flujo de Pagos'!$E172,15,9999)</f>
        <v>15</v>
      </c>
      <c r="AJ172" s="0" t="n">
        <f aca="false">IF(Presupuesto!$B$16='Flujo de Pagos'!$E172,16,9999)</f>
        <v>16</v>
      </c>
      <c r="AK172" s="0" t="n">
        <f aca="false">IF(Presupuesto!$B$17='Flujo de Pagos'!$E172,17,9999)</f>
        <v>17</v>
      </c>
      <c r="AL172" s="0" t="n">
        <f aca="false">IF(Presupuesto!$B$18='Flujo de Pagos'!$E172,18,9999)</f>
        <v>18</v>
      </c>
      <c r="AM172" s="0" t="n">
        <f aca="false">IF(Presupuesto!$B$19='Flujo de Pagos'!$E172,19,9999)</f>
        <v>19</v>
      </c>
      <c r="AN172" s="0" t="n">
        <f aca="false">IF(Presupuesto!$B$20='Flujo de Pagos'!$E172,20,9999)</f>
        <v>20</v>
      </c>
      <c r="AO172" s="0" t="n">
        <f aca="false">IF(Presupuesto!$B$21='Flujo de Pagos'!$E172,21,9999)</f>
        <v>21</v>
      </c>
      <c r="AP172" s="0" t="n">
        <f aca="false">IF(Presupuesto!$B$22='Flujo de Pagos'!$E172,22,9999)</f>
        <v>22</v>
      </c>
      <c r="AQ172" s="0" t="n">
        <f aca="false">IF(Presupuesto!$B$23='Flujo de Pagos'!$E172,23,9999)</f>
        <v>23</v>
      </c>
      <c r="AR172" s="0" t="n">
        <f aca="false">IF(Presupuesto!$B$24='Flujo de Pagos'!$E172,24,9999)</f>
        <v>24</v>
      </c>
      <c r="AS172" s="0" t="n">
        <f aca="false">IF(Presupuesto!$B$25='Flujo de Pagos'!$E172,25,9999)</f>
        <v>25</v>
      </c>
      <c r="AT172" s="0" t="n">
        <f aca="false">IF(Presupuesto!$B$26='Flujo de Pagos'!$E172,26,9999)</f>
        <v>26</v>
      </c>
      <c r="AU172" s="0" t="n">
        <f aca="false">IF(Presupuesto!$B$27='Flujo de Pagos'!$E172,27,9999)</f>
        <v>27</v>
      </c>
      <c r="AV172" s="0" t="n">
        <f aca="false">IF(Presupuesto!$B$28='Flujo de Pagos'!$E172,28,9999)</f>
        <v>28</v>
      </c>
      <c r="AW172" s="0" t="n">
        <f aca="false">IF(Presupuesto!$B$29='Flujo de Pagos'!$E172,29,9999)</f>
        <v>29</v>
      </c>
      <c r="AX172" s="0" t="n">
        <f aca="false">IF(Presupuesto!$B$30='Flujo de Pagos'!$E172,30,9999)</f>
        <v>30</v>
      </c>
      <c r="AY172" s="0" t="n">
        <f aca="false">IF(Presupuesto!$B$31='Flujo de Pagos'!$E172,31,9999)</f>
        <v>31</v>
      </c>
      <c r="AZ172" s="0" t="n">
        <f aca="false">IF(Presupuesto!$B$32='Flujo de Pagos'!$E172,32,9999)</f>
        <v>32</v>
      </c>
      <c r="BA172" s="0" t="n">
        <f aca="false">IF(Presupuesto!$B$33='Flujo de Pagos'!$E172,33,9999)</f>
        <v>33</v>
      </c>
      <c r="BB172" s="0" t="n">
        <f aca="false">IF(Presupuesto!$B$34='Flujo de Pagos'!$E172,34,9999)</f>
        <v>34</v>
      </c>
      <c r="BC172" s="0" t="n">
        <f aca="false">IF(Presupuesto!$B$35='Flujo de Pagos'!$E172,35,9999)</f>
        <v>35</v>
      </c>
      <c r="BD172" s="0" t="n">
        <f aca="false">IF(Presupuesto!$B$36='Flujo de Pagos'!$E172,36,9999)</f>
        <v>36</v>
      </c>
      <c r="BE172" s="0" t="n">
        <f aca="false">IF(Presupuesto!$B$37='Flujo de Pagos'!$E172,37,9999)</f>
        <v>37</v>
      </c>
      <c r="BF172" s="0" t="n">
        <f aca="false">IF(Presupuesto!$B$38='Flujo de Pagos'!$E172,38,9999)</f>
        <v>38</v>
      </c>
      <c r="BG172" s="0" t="n">
        <f aca="false">IF(Presupuesto!$B$39='Flujo de Pagos'!$E172,39,9999)</f>
        <v>39</v>
      </c>
      <c r="BH172" s="0" t="n">
        <f aca="false">IF(Presupuesto!$B$40='Flujo de Pagos'!$E172,40,9999)</f>
        <v>40</v>
      </c>
      <c r="BI172" s="0" t="n">
        <f aca="false">IF(Presupuesto!$B$41='Flujo de Pagos'!$E172,41,9999)</f>
        <v>41</v>
      </c>
      <c r="BJ172" s="0" t="n">
        <f aca="false">IF(Presupuesto!$B$42='Flujo de Pagos'!$E172,42,9999)</f>
        <v>42</v>
      </c>
      <c r="BK172" s="0" t="n">
        <f aca="false">IF(Presupuesto!$B$43='Flujo de Pagos'!$E172,43,9999)</f>
        <v>43</v>
      </c>
      <c r="BL172" s="0" t="n">
        <f aca="false">IF(Presupuesto!$B$44='Flujo de Pagos'!$E172,44,9999)</f>
        <v>44</v>
      </c>
      <c r="BM172" s="0" t="n">
        <f aca="false">IF(Presupuesto!$B$45='Flujo de Pagos'!$E172,45,9999)</f>
        <v>45</v>
      </c>
      <c r="BN172" s="0" t="n">
        <f aca="false">IF(Presupuesto!$B$46='Flujo de Pagos'!$E172,46,9999)</f>
        <v>46</v>
      </c>
      <c r="BO172" s="0" t="n">
        <f aca="false">IF(Presupuesto!$B$47='Flujo de Pagos'!$E172,47,9999)</f>
        <v>47</v>
      </c>
      <c r="BP172" s="0" t="n">
        <f aca="false">IF(Presupuesto!$B$48='Flujo de Pagos'!$E172,48,9999)</f>
        <v>48</v>
      </c>
      <c r="BQ172" s="0" t="n">
        <f aca="false">IF(Presupuesto!$B$49='Flujo de Pagos'!$E172,49,9999)</f>
        <v>49</v>
      </c>
      <c r="BR172" s="0" t="n">
        <f aca="false">IF(Presupuesto!$B$50='Flujo de Pagos'!$E172,50,9999)</f>
        <v>50</v>
      </c>
      <c r="BS172" s="0" t="n">
        <f aca="false">IF(Presupuesto!$B$51='Flujo de Pagos'!$E172,51,9999)</f>
        <v>51</v>
      </c>
      <c r="BT172" s="0" t="n">
        <f aca="false">IF(Presupuesto!$B$52='Flujo de Pagos'!$E172,52,9999)</f>
        <v>52</v>
      </c>
      <c r="BU172" s="0" t="n">
        <f aca="false">IF(Presupuesto!$B$53='Flujo de Pagos'!$E172,53,9999)</f>
        <v>53</v>
      </c>
      <c r="BV172" s="0" t="n">
        <f aca="false">IF(Presupuesto!$B$54='Flujo de Pagos'!$E172,54,9999)</f>
        <v>54</v>
      </c>
      <c r="BW172" s="0" t="n">
        <f aca="false">IF(Presupuesto!$B$55='Flujo de Pagos'!$E172,55,9999)</f>
        <v>55</v>
      </c>
      <c r="BX172" s="0" t="n">
        <f aca="false">IF(Presupuesto!$B$56='Flujo de Pagos'!$E172,56,9999)</f>
        <v>56</v>
      </c>
      <c r="BY172" s="0" t="n">
        <f aca="false">IF(Presupuesto!$B$57='Flujo de Pagos'!$E172,57,9999)</f>
        <v>57</v>
      </c>
      <c r="BZ172" s="0" t="n">
        <f aca="false">IF(Presupuesto!$B$58='Flujo de Pagos'!$E172,58,9999)</f>
        <v>58</v>
      </c>
      <c r="CA172" s="0" t="n">
        <f aca="false">IF(Presupuesto!$B$59='Flujo de Pagos'!$E172,59,9999)</f>
        <v>59</v>
      </c>
      <c r="CB172" s="0" t="n">
        <f aca="false">IF(Presupuesto!$B$60='Flujo de Pagos'!$E172,60,9999)</f>
        <v>60</v>
      </c>
      <c r="CC172" s="0" t="n">
        <f aca="false">IF(Presupuesto!$B$61='Flujo de Pagos'!$E172,61,9999)</f>
        <v>61</v>
      </c>
      <c r="CD172" s="0" t="n">
        <f aca="false">IF(Presupuesto!$B$62='Flujo de Pagos'!$E172,62,9999)</f>
        <v>62</v>
      </c>
      <c r="CE172" s="0" t="n">
        <f aca="false">IF(Presupuesto!$B$63='Flujo de Pagos'!$E172,63,9999)</f>
        <v>63</v>
      </c>
      <c r="CF172" s="0" t="n">
        <f aca="false">IF(Presupuesto!$B$64='Flujo de Pagos'!$E172,64,9999)</f>
        <v>64</v>
      </c>
      <c r="CG172" s="0" t="n">
        <f aca="false">IF(Presupuesto!$B$65='Flujo de Pagos'!$E172,65,9999)</f>
        <v>65</v>
      </c>
      <c r="CH172" s="0" t="n">
        <f aca="false">IF(Presupuesto!$B$66='Flujo de Pagos'!$E172,66,9999)</f>
        <v>66</v>
      </c>
    </row>
    <row r="173" customFormat="false" ht="15" hidden="false" customHeight="true" outlineLevel="0" collapsed="false">
      <c r="B173" s="1" t="n">
        <f aca="false">IF(AND('Flujo de Pagos'!E178=Carátula!$B$2,'Flujo de Pagos'!F178=Carátula!$B$4,'Flujo de Pagos'!H178&lt;&gt;""),178,99999)</f>
        <v>99999</v>
      </c>
      <c r="H173" s="1" t="n">
        <f aca="false">IF(SMALL($AA173:$CH173,1)&gt;=9999,"",INDEX(Presupuesto!$C:$C,SMALL($AA173:$CH173,1)))</f>
        <v>0</v>
      </c>
      <c r="I173" s="1" t="n">
        <f aca="false">IF(SMALL($AA173:$CH173,2)&gt;=9999,"",INDEX(Presupuesto!$C:$C,SMALL($AA173:$CH173,2)))</f>
        <v>0</v>
      </c>
      <c r="J173" s="1" t="n">
        <f aca="false">IF(SMALL($AA173:$CH173,3)&gt;=9999,"",INDEX(Presupuesto!$C:$C,SMALL($AA173:$CH173,3)))</f>
        <v>0</v>
      </c>
      <c r="K173" s="1" t="n">
        <f aca="false">IF(SMALL($AA173:$CH173,4)&gt;=9999,"",INDEX(Presupuesto!$C:$C,SMALL($AA173:$CH173,4)))</f>
        <v>0</v>
      </c>
      <c r="L173" s="1" t="n">
        <f aca="false">IF(SMALL($AA173:$CH173,5)&gt;=9999,"",INDEX(Presupuesto!$C:$C,SMALL($AA173:$CH173,5)))</f>
        <v>0</v>
      </c>
      <c r="M173" s="1" t="n">
        <f aca="false">IF(SMALL($AA173:$CH173,6)&gt;=9999,"",INDEX(Presupuesto!$C:$C,SMALL($AA173:$CH173,6)))</f>
        <v>0</v>
      </c>
      <c r="N173" s="1" t="n">
        <f aca="false">IF(SMALL($AA173:$CH173,7)&gt;=9999,"",INDEX(Presupuesto!$C:$C,SMALL($AA173:$CH173,7)))</f>
        <v>0</v>
      </c>
      <c r="O173" s="1" t="n">
        <f aca="false">IF(SMALL($AA173:$CH173,8)&gt;=9999,"",INDEX(Presupuesto!$C:$C,SMALL($AA173:$CH173,8)))</f>
        <v>0</v>
      </c>
      <c r="P173" s="1" t="n">
        <f aca="false">IF(SMALL($AA173:$CH173,9)&gt;=9999,"",INDEX(Presupuesto!$C:$C,SMALL($AA173:$CH173,9)))</f>
        <v>0</v>
      </c>
      <c r="Q173" s="1" t="n">
        <f aca="false">IF(SMALL($AA173:$CH173,10)&gt;=9999,"",INDEX(Presupuesto!$C:$C,SMALL($AA173:$CH173,10)))</f>
        <v>0</v>
      </c>
      <c r="AA173" s="0" t="n">
        <f aca="false">IF(Presupuesto!$B$7='Flujo de Pagos'!$E173,7,9999)</f>
        <v>9999</v>
      </c>
      <c r="AB173" s="0" t="n">
        <f aca="false">IF(Presupuesto!$B$8='Flujo de Pagos'!$E173,8,9999)</f>
        <v>9999</v>
      </c>
      <c r="AC173" s="0" t="n">
        <f aca="false">IF(Presupuesto!$B$9='Flujo de Pagos'!$E173,9,9999)</f>
        <v>9999</v>
      </c>
      <c r="AD173" s="0" t="n">
        <f aca="false">IF(Presupuesto!$B$10='Flujo de Pagos'!$E173,10,9999)</f>
        <v>9999</v>
      </c>
      <c r="AE173" s="0" t="n">
        <f aca="false">IF(Presupuesto!$B$11='Flujo de Pagos'!$E173,11,9999)</f>
        <v>9999</v>
      </c>
      <c r="AF173" s="0" t="n">
        <f aca="false">IF(Presupuesto!$B$12='Flujo de Pagos'!$E173,12,9999)</f>
        <v>12</v>
      </c>
      <c r="AG173" s="0" t="n">
        <f aca="false">IF(Presupuesto!$B$13='Flujo de Pagos'!$E173,13,9999)</f>
        <v>13</v>
      </c>
      <c r="AH173" s="0" t="n">
        <f aca="false">IF(Presupuesto!$B$14='Flujo de Pagos'!$E173,14,9999)</f>
        <v>14</v>
      </c>
      <c r="AI173" s="0" t="n">
        <f aca="false">IF(Presupuesto!$B$15='Flujo de Pagos'!$E173,15,9999)</f>
        <v>15</v>
      </c>
      <c r="AJ173" s="0" t="n">
        <f aca="false">IF(Presupuesto!$B$16='Flujo de Pagos'!$E173,16,9999)</f>
        <v>16</v>
      </c>
      <c r="AK173" s="0" t="n">
        <f aca="false">IF(Presupuesto!$B$17='Flujo de Pagos'!$E173,17,9999)</f>
        <v>17</v>
      </c>
      <c r="AL173" s="0" t="n">
        <f aca="false">IF(Presupuesto!$B$18='Flujo de Pagos'!$E173,18,9999)</f>
        <v>18</v>
      </c>
      <c r="AM173" s="0" t="n">
        <f aca="false">IF(Presupuesto!$B$19='Flujo de Pagos'!$E173,19,9999)</f>
        <v>19</v>
      </c>
      <c r="AN173" s="0" t="n">
        <f aca="false">IF(Presupuesto!$B$20='Flujo de Pagos'!$E173,20,9999)</f>
        <v>20</v>
      </c>
      <c r="AO173" s="0" t="n">
        <f aca="false">IF(Presupuesto!$B$21='Flujo de Pagos'!$E173,21,9999)</f>
        <v>21</v>
      </c>
      <c r="AP173" s="0" t="n">
        <f aca="false">IF(Presupuesto!$B$22='Flujo de Pagos'!$E173,22,9999)</f>
        <v>22</v>
      </c>
      <c r="AQ173" s="0" t="n">
        <f aca="false">IF(Presupuesto!$B$23='Flujo de Pagos'!$E173,23,9999)</f>
        <v>23</v>
      </c>
      <c r="AR173" s="0" t="n">
        <f aca="false">IF(Presupuesto!$B$24='Flujo de Pagos'!$E173,24,9999)</f>
        <v>24</v>
      </c>
      <c r="AS173" s="0" t="n">
        <f aca="false">IF(Presupuesto!$B$25='Flujo de Pagos'!$E173,25,9999)</f>
        <v>25</v>
      </c>
      <c r="AT173" s="0" t="n">
        <f aca="false">IF(Presupuesto!$B$26='Flujo de Pagos'!$E173,26,9999)</f>
        <v>26</v>
      </c>
      <c r="AU173" s="0" t="n">
        <f aca="false">IF(Presupuesto!$B$27='Flujo de Pagos'!$E173,27,9999)</f>
        <v>27</v>
      </c>
      <c r="AV173" s="0" t="n">
        <f aca="false">IF(Presupuesto!$B$28='Flujo de Pagos'!$E173,28,9999)</f>
        <v>28</v>
      </c>
      <c r="AW173" s="0" t="n">
        <f aca="false">IF(Presupuesto!$B$29='Flujo de Pagos'!$E173,29,9999)</f>
        <v>29</v>
      </c>
      <c r="AX173" s="0" t="n">
        <f aca="false">IF(Presupuesto!$B$30='Flujo de Pagos'!$E173,30,9999)</f>
        <v>30</v>
      </c>
      <c r="AY173" s="0" t="n">
        <f aca="false">IF(Presupuesto!$B$31='Flujo de Pagos'!$E173,31,9999)</f>
        <v>31</v>
      </c>
      <c r="AZ173" s="0" t="n">
        <f aca="false">IF(Presupuesto!$B$32='Flujo de Pagos'!$E173,32,9999)</f>
        <v>32</v>
      </c>
      <c r="BA173" s="0" t="n">
        <f aca="false">IF(Presupuesto!$B$33='Flujo de Pagos'!$E173,33,9999)</f>
        <v>33</v>
      </c>
      <c r="BB173" s="0" t="n">
        <f aca="false">IF(Presupuesto!$B$34='Flujo de Pagos'!$E173,34,9999)</f>
        <v>34</v>
      </c>
      <c r="BC173" s="0" t="n">
        <f aca="false">IF(Presupuesto!$B$35='Flujo de Pagos'!$E173,35,9999)</f>
        <v>35</v>
      </c>
      <c r="BD173" s="0" t="n">
        <f aca="false">IF(Presupuesto!$B$36='Flujo de Pagos'!$E173,36,9999)</f>
        <v>36</v>
      </c>
      <c r="BE173" s="0" t="n">
        <f aca="false">IF(Presupuesto!$B$37='Flujo de Pagos'!$E173,37,9999)</f>
        <v>37</v>
      </c>
      <c r="BF173" s="0" t="n">
        <f aca="false">IF(Presupuesto!$B$38='Flujo de Pagos'!$E173,38,9999)</f>
        <v>38</v>
      </c>
      <c r="BG173" s="0" t="n">
        <f aca="false">IF(Presupuesto!$B$39='Flujo de Pagos'!$E173,39,9999)</f>
        <v>39</v>
      </c>
      <c r="BH173" s="0" t="n">
        <f aca="false">IF(Presupuesto!$B$40='Flujo de Pagos'!$E173,40,9999)</f>
        <v>40</v>
      </c>
      <c r="BI173" s="0" t="n">
        <f aca="false">IF(Presupuesto!$B$41='Flujo de Pagos'!$E173,41,9999)</f>
        <v>41</v>
      </c>
      <c r="BJ173" s="0" t="n">
        <f aca="false">IF(Presupuesto!$B$42='Flujo de Pagos'!$E173,42,9999)</f>
        <v>42</v>
      </c>
      <c r="BK173" s="0" t="n">
        <f aca="false">IF(Presupuesto!$B$43='Flujo de Pagos'!$E173,43,9999)</f>
        <v>43</v>
      </c>
      <c r="BL173" s="0" t="n">
        <f aca="false">IF(Presupuesto!$B$44='Flujo de Pagos'!$E173,44,9999)</f>
        <v>44</v>
      </c>
      <c r="BM173" s="0" t="n">
        <f aca="false">IF(Presupuesto!$B$45='Flujo de Pagos'!$E173,45,9999)</f>
        <v>45</v>
      </c>
      <c r="BN173" s="0" t="n">
        <f aca="false">IF(Presupuesto!$B$46='Flujo de Pagos'!$E173,46,9999)</f>
        <v>46</v>
      </c>
      <c r="BO173" s="0" t="n">
        <f aca="false">IF(Presupuesto!$B$47='Flujo de Pagos'!$E173,47,9999)</f>
        <v>47</v>
      </c>
      <c r="BP173" s="0" t="n">
        <f aca="false">IF(Presupuesto!$B$48='Flujo de Pagos'!$E173,48,9999)</f>
        <v>48</v>
      </c>
      <c r="BQ173" s="0" t="n">
        <f aca="false">IF(Presupuesto!$B$49='Flujo de Pagos'!$E173,49,9999)</f>
        <v>49</v>
      </c>
      <c r="BR173" s="0" t="n">
        <f aca="false">IF(Presupuesto!$B$50='Flujo de Pagos'!$E173,50,9999)</f>
        <v>50</v>
      </c>
      <c r="BS173" s="0" t="n">
        <f aca="false">IF(Presupuesto!$B$51='Flujo de Pagos'!$E173,51,9999)</f>
        <v>51</v>
      </c>
      <c r="BT173" s="0" t="n">
        <f aca="false">IF(Presupuesto!$B$52='Flujo de Pagos'!$E173,52,9999)</f>
        <v>52</v>
      </c>
      <c r="BU173" s="0" t="n">
        <f aca="false">IF(Presupuesto!$B$53='Flujo de Pagos'!$E173,53,9999)</f>
        <v>53</v>
      </c>
      <c r="BV173" s="0" t="n">
        <f aca="false">IF(Presupuesto!$B$54='Flujo de Pagos'!$E173,54,9999)</f>
        <v>54</v>
      </c>
      <c r="BW173" s="0" t="n">
        <f aca="false">IF(Presupuesto!$B$55='Flujo de Pagos'!$E173,55,9999)</f>
        <v>55</v>
      </c>
      <c r="BX173" s="0" t="n">
        <f aca="false">IF(Presupuesto!$B$56='Flujo de Pagos'!$E173,56,9999)</f>
        <v>56</v>
      </c>
      <c r="BY173" s="0" t="n">
        <f aca="false">IF(Presupuesto!$B$57='Flujo de Pagos'!$E173,57,9999)</f>
        <v>57</v>
      </c>
      <c r="BZ173" s="0" t="n">
        <f aca="false">IF(Presupuesto!$B$58='Flujo de Pagos'!$E173,58,9999)</f>
        <v>58</v>
      </c>
      <c r="CA173" s="0" t="n">
        <f aca="false">IF(Presupuesto!$B$59='Flujo de Pagos'!$E173,59,9999)</f>
        <v>59</v>
      </c>
      <c r="CB173" s="0" t="n">
        <f aca="false">IF(Presupuesto!$B$60='Flujo de Pagos'!$E173,60,9999)</f>
        <v>60</v>
      </c>
      <c r="CC173" s="0" t="n">
        <f aca="false">IF(Presupuesto!$B$61='Flujo de Pagos'!$E173,61,9999)</f>
        <v>61</v>
      </c>
      <c r="CD173" s="0" t="n">
        <f aca="false">IF(Presupuesto!$B$62='Flujo de Pagos'!$E173,62,9999)</f>
        <v>62</v>
      </c>
      <c r="CE173" s="0" t="n">
        <f aca="false">IF(Presupuesto!$B$63='Flujo de Pagos'!$E173,63,9999)</f>
        <v>63</v>
      </c>
      <c r="CF173" s="0" t="n">
        <f aca="false">IF(Presupuesto!$B$64='Flujo de Pagos'!$E173,64,9999)</f>
        <v>64</v>
      </c>
      <c r="CG173" s="0" t="n">
        <f aca="false">IF(Presupuesto!$B$65='Flujo de Pagos'!$E173,65,9999)</f>
        <v>65</v>
      </c>
      <c r="CH173" s="0" t="n">
        <f aca="false">IF(Presupuesto!$B$66='Flujo de Pagos'!$E173,66,9999)</f>
        <v>66</v>
      </c>
    </row>
    <row r="174" customFormat="false" ht="15" hidden="false" customHeight="true" outlineLevel="0" collapsed="false">
      <c r="B174" s="1" t="n">
        <f aca="false">IF(AND('Flujo de Pagos'!E179=Carátula!$B$2,'Flujo de Pagos'!F179=Carátula!$B$4,'Flujo de Pagos'!H179&lt;&gt;""),179,99999)</f>
        <v>99999</v>
      </c>
      <c r="H174" s="1" t="n">
        <f aca="false">IF(SMALL($AA174:$CH174,1)&gt;=9999,"",INDEX(Presupuesto!$C:$C,SMALL($AA174:$CH174,1)))</f>
        <v>0</v>
      </c>
      <c r="I174" s="1" t="n">
        <f aca="false">IF(SMALL($AA174:$CH174,2)&gt;=9999,"",INDEX(Presupuesto!$C:$C,SMALL($AA174:$CH174,2)))</f>
        <v>0</v>
      </c>
      <c r="J174" s="1" t="n">
        <f aca="false">IF(SMALL($AA174:$CH174,3)&gt;=9999,"",INDEX(Presupuesto!$C:$C,SMALL($AA174:$CH174,3)))</f>
        <v>0</v>
      </c>
      <c r="K174" s="1" t="n">
        <f aca="false">IF(SMALL($AA174:$CH174,4)&gt;=9999,"",INDEX(Presupuesto!$C:$C,SMALL($AA174:$CH174,4)))</f>
        <v>0</v>
      </c>
      <c r="L174" s="1" t="n">
        <f aca="false">IF(SMALL($AA174:$CH174,5)&gt;=9999,"",INDEX(Presupuesto!$C:$C,SMALL($AA174:$CH174,5)))</f>
        <v>0</v>
      </c>
      <c r="M174" s="1" t="n">
        <f aca="false">IF(SMALL($AA174:$CH174,6)&gt;=9999,"",INDEX(Presupuesto!$C:$C,SMALL($AA174:$CH174,6)))</f>
        <v>0</v>
      </c>
      <c r="N174" s="1" t="n">
        <f aca="false">IF(SMALL($AA174:$CH174,7)&gt;=9999,"",INDEX(Presupuesto!$C:$C,SMALL($AA174:$CH174,7)))</f>
        <v>0</v>
      </c>
      <c r="O174" s="1" t="n">
        <f aca="false">IF(SMALL($AA174:$CH174,8)&gt;=9999,"",INDEX(Presupuesto!$C:$C,SMALL($AA174:$CH174,8)))</f>
        <v>0</v>
      </c>
      <c r="P174" s="1" t="n">
        <f aca="false">IF(SMALL($AA174:$CH174,9)&gt;=9999,"",INDEX(Presupuesto!$C:$C,SMALL($AA174:$CH174,9)))</f>
        <v>0</v>
      </c>
      <c r="Q174" s="1" t="n">
        <f aca="false">IF(SMALL($AA174:$CH174,10)&gt;=9999,"",INDEX(Presupuesto!$C:$C,SMALL($AA174:$CH174,10)))</f>
        <v>0</v>
      </c>
      <c r="AA174" s="0" t="n">
        <f aca="false">IF(Presupuesto!$B$7='Flujo de Pagos'!$E174,7,9999)</f>
        <v>9999</v>
      </c>
      <c r="AB174" s="0" t="n">
        <f aca="false">IF(Presupuesto!$B$8='Flujo de Pagos'!$E174,8,9999)</f>
        <v>9999</v>
      </c>
      <c r="AC174" s="0" t="n">
        <f aca="false">IF(Presupuesto!$B$9='Flujo de Pagos'!$E174,9,9999)</f>
        <v>9999</v>
      </c>
      <c r="AD174" s="0" t="n">
        <f aca="false">IF(Presupuesto!$B$10='Flujo de Pagos'!$E174,10,9999)</f>
        <v>9999</v>
      </c>
      <c r="AE174" s="0" t="n">
        <f aca="false">IF(Presupuesto!$B$11='Flujo de Pagos'!$E174,11,9999)</f>
        <v>9999</v>
      </c>
      <c r="AF174" s="0" t="n">
        <f aca="false">IF(Presupuesto!$B$12='Flujo de Pagos'!$E174,12,9999)</f>
        <v>12</v>
      </c>
      <c r="AG174" s="0" t="n">
        <f aca="false">IF(Presupuesto!$B$13='Flujo de Pagos'!$E174,13,9999)</f>
        <v>13</v>
      </c>
      <c r="AH174" s="0" t="n">
        <f aca="false">IF(Presupuesto!$B$14='Flujo de Pagos'!$E174,14,9999)</f>
        <v>14</v>
      </c>
      <c r="AI174" s="0" t="n">
        <f aca="false">IF(Presupuesto!$B$15='Flujo de Pagos'!$E174,15,9999)</f>
        <v>15</v>
      </c>
      <c r="AJ174" s="0" t="n">
        <f aca="false">IF(Presupuesto!$B$16='Flujo de Pagos'!$E174,16,9999)</f>
        <v>16</v>
      </c>
      <c r="AK174" s="0" t="n">
        <f aca="false">IF(Presupuesto!$B$17='Flujo de Pagos'!$E174,17,9999)</f>
        <v>17</v>
      </c>
      <c r="AL174" s="0" t="n">
        <f aca="false">IF(Presupuesto!$B$18='Flujo de Pagos'!$E174,18,9999)</f>
        <v>18</v>
      </c>
      <c r="AM174" s="0" t="n">
        <f aca="false">IF(Presupuesto!$B$19='Flujo de Pagos'!$E174,19,9999)</f>
        <v>19</v>
      </c>
      <c r="AN174" s="0" t="n">
        <f aca="false">IF(Presupuesto!$B$20='Flujo de Pagos'!$E174,20,9999)</f>
        <v>20</v>
      </c>
      <c r="AO174" s="0" t="n">
        <f aca="false">IF(Presupuesto!$B$21='Flujo de Pagos'!$E174,21,9999)</f>
        <v>21</v>
      </c>
      <c r="AP174" s="0" t="n">
        <f aca="false">IF(Presupuesto!$B$22='Flujo de Pagos'!$E174,22,9999)</f>
        <v>22</v>
      </c>
      <c r="AQ174" s="0" t="n">
        <f aca="false">IF(Presupuesto!$B$23='Flujo de Pagos'!$E174,23,9999)</f>
        <v>23</v>
      </c>
      <c r="AR174" s="0" t="n">
        <f aca="false">IF(Presupuesto!$B$24='Flujo de Pagos'!$E174,24,9999)</f>
        <v>24</v>
      </c>
      <c r="AS174" s="0" t="n">
        <f aca="false">IF(Presupuesto!$B$25='Flujo de Pagos'!$E174,25,9999)</f>
        <v>25</v>
      </c>
      <c r="AT174" s="0" t="n">
        <f aca="false">IF(Presupuesto!$B$26='Flujo de Pagos'!$E174,26,9999)</f>
        <v>26</v>
      </c>
      <c r="AU174" s="0" t="n">
        <f aca="false">IF(Presupuesto!$B$27='Flujo de Pagos'!$E174,27,9999)</f>
        <v>27</v>
      </c>
      <c r="AV174" s="0" t="n">
        <f aca="false">IF(Presupuesto!$B$28='Flujo de Pagos'!$E174,28,9999)</f>
        <v>28</v>
      </c>
      <c r="AW174" s="0" t="n">
        <f aca="false">IF(Presupuesto!$B$29='Flujo de Pagos'!$E174,29,9999)</f>
        <v>29</v>
      </c>
      <c r="AX174" s="0" t="n">
        <f aca="false">IF(Presupuesto!$B$30='Flujo de Pagos'!$E174,30,9999)</f>
        <v>30</v>
      </c>
      <c r="AY174" s="0" t="n">
        <f aca="false">IF(Presupuesto!$B$31='Flujo de Pagos'!$E174,31,9999)</f>
        <v>31</v>
      </c>
      <c r="AZ174" s="0" t="n">
        <f aca="false">IF(Presupuesto!$B$32='Flujo de Pagos'!$E174,32,9999)</f>
        <v>32</v>
      </c>
      <c r="BA174" s="0" t="n">
        <f aca="false">IF(Presupuesto!$B$33='Flujo de Pagos'!$E174,33,9999)</f>
        <v>33</v>
      </c>
      <c r="BB174" s="0" t="n">
        <f aca="false">IF(Presupuesto!$B$34='Flujo de Pagos'!$E174,34,9999)</f>
        <v>34</v>
      </c>
      <c r="BC174" s="0" t="n">
        <f aca="false">IF(Presupuesto!$B$35='Flujo de Pagos'!$E174,35,9999)</f>
        <v>35</v>
      </c>
      <c r="BD174" s="0" t="n">
        <f aca="false">IF(Presupuesto!$B$36='Flujo de Pagos'!$E174,36,9999)</f>
        <v>36</v>
      </c>
      <c r="BE174" s="0" t="n">
        <f aca="false">IF(Presupuesto!$B$37='Flujo de Pagos'!$E174,37,9999)</f>
        <v>37</v>
      </c>
      <c r="BF174" s="0" t="n">
        <f aca="false">IF(Presupuesto!$B$38='Flujo de Pagos'!$E174,38,9999)</f>
        <v>38</v>
      </c>
      <c r="BG174" s="0" t="n">
        <f aca="false">IF(Presupuesto!$B$39='Flujo de Pagos'!$E174,39,9999)</f>
        <v>39</v>
      </c>
      <c r="BH174" s="0" t="n">
        <f aca="false">IF(Presupuesto!$B$40='Flujo de Pagos'!$E174,40,9999)</f>
        <v>40</v>
      </c>
      <c r="BI174" s="0" t="n">
        <f aca="false">IF(Presupuesto!$B$41='Flujo de Pagos'!$E174,41,9999)</f>
        <v>41</v>
      </c>
      <c r="BJ174" s="0" t="n">
        <f aca="false">IF(Presupuesto!$B$42='Flujo de Pagos'!$E174,42,9999)</f>
        <v>42</v>
      </c>
      <c r="BK174" s="0" t="n">
        <f aca="false">IF(Presupuesto!$B$43='Flujo de Pagos'!$E174,43,9999)</f>
        <v>43</v>
      </c>
      <c r="BL174" s="0" t="n">
        <f aca="false">IF(Presupuesto!$B$44='Flujo de Pagos'!$E174,44,9999)</f>
        <v>44</v>
      </c>
      <c r="BM174" s="0" t="n">
        <f aca="false">IF(Presupuesto!$B$45='Flujo de Pagos'!$E174,45,9999)</f>
        <v>45</v>
      </c>
      <c r="BN174" s="0" t="n">
        <f aca="false">IF(Presupuesto!$B$46='Flujo de Pagos'!$E174,46,9999)</f>
        <v>46</v>
      </c>
      <c r="BO174" s="0" t="n">
        <f aca="false">IF(Presupuesto!$B$47='Flujo de Pagos'!$E174,47,9999)</f>
        <v>47</v>
      </c>
      <c r="BP174" s="0" t="n">
        <f aca="false">IF(Presupuesto!$B$48='Flujo de Pagos'!$E174,48,9999)</f>
        <v>48</v>
      </c>
      <c r="BQ174" s="0" t="n">
        <f aca="false">IF(Presupuesto!$B$49='Flujo de Pagos'!$E174,49,9999)</f>
        <v>49</v>
      </c>
      <c r="BR174" s="0" t="n">
        <f aca="false">IF(Presupuesto!$B$50='Flujo de Pagos'!$E174,50,9999)</f>
        <v>50</v>
      </c>
      <c r="BS174" s="0" t="n">
        <f aca="false">IF(Presupuesto!$B$51='Flujo de Pagos'!$E174,51,9999)</f>
        <v>51</v>
      </c>
      <c r="BT174" s="0" t="n">
        <f aca="false">IF(Presupuesto!$B$52='Flujo de Pagos'!$E174,52,9999)</f>
        <v>52</v>
      </c>
      <c r="BU174" s="0" t="n">
        <f aca="false">IF(Presupuesto!$B$53='Flujo de Pagos'!$E174,53,9999)</f>
        <v>53</v>
      </c>
      <c r="BV174" s="0" t="n">
        <f aca="false">IF(Presupuesto!$B$54='Flujo de Pagos'!$E174,54,9999)</f>
        <v>54</v>
      </c>
      <c r="BW174" s="0" t="n">
        <f aca="false">IF(Presupuesto!$B$55='Flujo de Pagos'!$E174,55,9999)</f>
        <v>55</v>
      </c>
      <c r="BX174" s="0" t="n">
        <f aca="false">IF(Presupuesto!$B$56='Flujo de Pagos'!$E174,56,9999)</f>
        <v>56</v>
      </c>
      <c r="BY174" s="0" t="n">
        <f aca="false">IF(Presupuesto!$B$57='Flujo de Pagos'!$E174,57,9999)</f>
        <v>57</v>
      </c>
      <c r="BZ174" s="0" t="n">
        <f aca="false">IF(Presupuesto!$B$58='Flujo de Pagos'!$E174,58,9999)</f>
        <v>58</v>
      </c>
      <c r="CA174" s="0" t="n">
        <f aca="false">IF(Presupuesto!$B$59='Flujo de Pagos'!$E174,59,9999)</f>
        <v>59</v>
      </c>
      <c r="CB174" s="0" t="n">
        <f aca="false">IF(Presupuesto!$B$60='Flujo de Pagos'!$E174,60,9999)</f>
        <v>60</v>
      </c>
      <c r="CC174" s="0" t="n">
        <f aca="false">IF(Presupuesto!$B$61='Flujo de Pagos'!$E174,61,9999)</f>
        <v>61</v>
      </c>
      <c r="CD174" s="0" t="n">
        <f aca="false">IF(Presupuesto!$B$62='Flujo de Pagos'!$E174,62,9999)</f>
        <v>62</v>
      </c>
      <c r="CE174" s="0" t="n">
        <f aca="false">IF(Presupuesto!$B$63='Flujo de Pagos'!$E174,63,9999)</f>
        <v>63</v>
      </c>
      <c r="CF174" s="0" t="n">
        <f aca="false">IF(Presupuesto!$B$64='Flujo de Pagos'!$E174,64,9999)</f>
        <v>64</v>
      </c>
      <c r="CG174" s="0" t="n">
        <f aca="false">IF(Presupuesto!$B$65='Flujo de Pagos'!$E174,65,9999)</f>
        <v>65</v>
      </c>
      <c r="CH174" s="0" t="n">
        <f aca="false">IF(Presupuesto!$B$66='Flujo de Pagos'!$E174,66,9999)</f>
        <v>66</v>
      </c>
    </row>
    <row r="175" customFormat="false" ht="15" hidden="false" customHeight="true" outlineLevel="0" collapsed="false">
      <c r="B175" s="1" t="n">
        <f aca="false">IF(AND('Flujo de Pagos'!E180=Carátula!$B$2,'Flujo de Pagos'!F180=Carátula!$B$4,'Flujo de Pagos'!H180&lt;&gt;""),180,99999)</f>
        <v>99999</v>
      </c>
      <c r="H175" s="1" t="n">
        <f aca="false">IF(SMALL($AA175:$CH175,1)&gt;=9999,"",INDEX(Presupuesto!$C:$C,SMALL($AA175:$CH175,1)))</f>
        <v>0</v>
      </c>
      <c r="I175" s="1" t="n">
        <f aca="false">IF(SMALL($AA175:$CH175,2)&gt;=9999,"",INDEX(Presupuesto!$C:$C,SMALL($AA175:$CH175,2)))</f>
        <v>0</v>
      </c>
      <c r="J175" s="1" t="n">
        <f aca="false">IF(SMALL($AA175:$CH175,3)&gt;=9999,"",INDEX(Presupuesto!$C:$C,SMALL($AA175:$CH175,3)))</f>
        <v>0</v>
      </c>
      <c r="K175" s="1" t="n">
        <f aca="false">IF(SMALL($AA175:$CH175,4)&gt;=9999,"",INDEX(Presupuesto!$C:$C,SMALL($AA175:$CH175,4)))</f>
        <v>0</v>
      </c>
      <c r="L175" s="1" t="n">
        <f aca="false">IF(SMALL($AA175:$CH175,5)&gt;=9999,"",INDEX(Presupuesto!$C:$C,SMALL($AA175:$CH175,5)))</f>
        <v>0</v>
      </c>
      <c r="M175" s="1" t="n">
        <f aca="false">IF(SMALL($AA175:$CH175,6)&gt;=9999,"",INDEX(Presupuesto!$C:$C,SMALL($AA175:$CH175,6)))</f>
        <v>0</v>
      </c>
      <c r="N175" s="1" t="n">
        <f aca="false">IF(SMALL($AA175:$CH175,7)&gt;=9999,"",INDEX(Presupuesto!$C:$C,SMALL($AA175:$CH175,7)))</f>
        <v>0</v>
      </c>
      <c r="O175" s="1" t="n">
        <f aca="false">IF(SMALL($AA175:$CH175,8)&gt;=9999,"",INDEX(Presupuesto!$C:$C,SMALL($AA175:$CH175,8)))</f>
        <v>0</v>
      </c>
      <c r="P175" s="1" t="n">
        <f aca="false">IF(SMALL($AA175:$CH175,9)&gt;=9999,"",INDEX(Presupuesto!$C:$C,SMALL($AA175:$CH175,9)))</f>
        <v>0</v>
      </c>
      <c r="Q175" s="1" t="n">
        <f aca="false">IF(SMALL($AA175:$CH175,10)&gt;=9999,"",INDEX(Presupuesto!$C:$C,SMALL($AA175:$CH175,10)))</f>
        <v>0</v>
      </c>
      <c r="AA175" s="0" t="n">
        <f aca="false">IF(Presupuesto!$B$7='Flujo de Pagos'!$E175,7,9999)</f>
        <v>9999</v>
      </c>
      <c r="AB175" s="0" t="n">
        <f aca="false">IF(Presupuesto!$B$8='Flujo de Pagos'!$E175,8,9999)</f>
        <v>9999</v>
      </c>
      <c r="AC175" s="0" t="n">
        <f aca="false">IF(Presupuesto!$B$9='Flujo de Pagos'!$E175,9,9999)</f>
        <v>9999</v>
      </c>
      <c r="AD175" s="0" t="n">
        <f aca="false">IF(Presupuesto!$B$10='Flujo de Pagos'!$E175,10,9999)</f>
        <v>9999</v>
      </c>
      <c r="AE175" s="0" t="n">
        <f aca="false">IF(Presupuesto!$B$11='Flujo de Pagos'!$E175,11,9999)</f>
        <v>9999</v>
      </c>
      <c r="AF175" s="0" t="n">
        <f aca="false">IF(Presupuesto!$B$12='Flujo de Pagos'!$E175,12,9999)</f>
        <v>12</v>
      </c>
      <c r="AG175" s="0" t="n">
        <f aca="false">IF(Presupuesto!$B$13='Flujo de Pagos'!$E175,13,9999)</f>
        <v>13</v>
      </c>
      <c r="AH175" s="0" t="n">
        <f aca="false">IF(Presupuesto!$B$14='Flujo de Pagos'!$E175,14,9999)</f>
        <v>14</v>
      </c>
      <c r="AI175" s="0" t="n">
        <f aca="false">IF(Presupuesto!$B$15='Flujo de Pagos'!$E175,15,9999)</f>
        <v>15</v>
      </c>
      <c r="AJ175" s="0" t="n">
        <f aca="false">IF(Presupuesto!$B$16='Flujo de Pagos'!$E175,16,9999)</f>
        <v>16</v>
      </c>
      <c r="AK175" s="0" t="n">
        <f aca="false">IF(Presupuesto!$B$17='Flujo de Pagos'!$E175,17,9999)</f>
        <v>17</v>
      </c>
      <c r="AL175" s="0" t="n">
        <f aca="false">IF(Presupuesto!$B$18='Flujo de Pagos'!$E175,18,9999)</f>
        <v>18</v>
      </c>
      <c r="AM175" s="0" t="n">
        <f aca="false">IF(Presupuesto!$B$19='Flujo de Pagos'!$E175,19,9999)</f>
        <v>19</v>
      </c>
      <c r="AN175" s="0" t="n">
        <f aca="false">IF(Presupuesto!$B$20='Flujo de Pagos'!$E175,20,9999)</f>
        <v>20</v>
      </c>
      <c r="AO175" s="0" t="n">
        <f aca="false">IF(Presupuesto!$B$21='Flujo de Pagos'!$E175,21,9999)</f>
        <v>21</v>
      </c>
      <c r="AP175" s="0" t="n">
        <f aca="false">IF(Presupuesto!$B$22='Flujo de Pagos'!$E175,22,9999)</f>
        <v>22</v>
      </c>
      <c r="AQ175" s="0" t="n">
        <f aca="false">IF(Presupuesto!$B$23='Flujo de Pagos'!$E175,23,9999)</f>
        <v>23</v>
      </c>
      <c r="AR175" s="0" t="n">
        <f aca="false">IF(Presupuesto!$B$24='Flujo de Pagos'!$E175,24,9999)</f>
        <v>24</v>
      </c>
      <c r="AS175" s="0" t="n">
        <f aca="false">IF(Presupuesto!$B$25='Flujo de Pagos'!$E175,25,9999)</f>
        <v>25</v>
      </c>
      <c r="AT175" s="0" t="n">
        <f aca="false">IF(Presupuesto!$B$26='Flujo de Pagos'!$E175,26,9999)</f>
        <v>26</v>
      </c>
      <c r="AU175" s="0" t="n">
        <f aca="false">IF(Presupuesto!$B$27='Flujo de Pagos'!$E175,27,9999)</f>
        <v>27</v>
      </c>
      <c r="AV175" s="0" t="n">
        <f aca="false">IF(Presupuesto!$B$28='Flujo de Pagos'!$E175,28,9999)</f>
        <v>28</v>
      </c>
      <c r="AW175" s="0" t="n">
        <f aca="false">IF(Presupuesto!$B$29='Flujo de Pagos'!$E175,29,9999)</f>
        <v>29</v>
      </c>
      <c r="AX175" s="0" t="n">
        <f aca="false">IF(Presupuesto!$B$30='Flujo de Pagos'!$E175,30,9999)</f>
        <v>30</v>
      </c>
      <c r="AY175" s="0" t="n">
        <f aca="false">IF(Presupuesto!$B$31='Flujo de Pagos'!$E175,31,9999)</f>
        <v>31</v>
      </c>
      <c r="AZ175" s="0" t="n">
        <f aca="false">IF(Presupuesto!$B$32='Flujo de Pagos'!$E175,32,9999)</f>
        <v>32</v>
      </c>
      <c r="BA175" s="0" t="n">
        <f aca="false">IF(Presupuesto!$B$33='Flujo de Pagos'!$E175,33,9999)</f>
        <v>33</v>
      </c>
      <c r="BB175" s="0" t="n">
        <f aca="false">IF(Presupuesto!$B$34='Flujo de Pagos'!$E175,34,9999)</f>
        <v>34</v>
      </c>
      <c r="BC175" s="0" t="n">
        <f aca="false">IF(Presupuesto!$B$35='Flujo de Pagos'!$E175,35,9999)</f>
        <v>35</v>
      </c>
      <c r="BD175" s="0" t="n">
        <f aca="false">IF(Presupuesto!$B$36='Flujo de Pagos'!$E175,36,9999)</f>
        <v>36</v>
      </c>
      <c r="BE175" s="0" t="n">
        <f aca="false">IF(Presupuesto!$B$37='Flujo de Pagos'!$E175,37,9999)</f>
        <v>37</v>
      </c>
      <c r="BF175" s="0" t="n">
        <f aca="false">IF(Presupuesto!$B$38='Flujo de Pagos'!$E175,38,9999)</f>
        <v>38</v>
      </c>
      <c r="BG175" s="0" t="n">
        <f aca="false">IF(Presupuesto!$B$39='Flujo de Pagos'!$E175,39,9999)</f>
        <v>39</v>
      </c>
      <c r="BH175" s="0" t="n">
        <f aca="false">IF(Presupuesto!$B$40='Flujo de Pagos'!$E175,40,9999)</f>
        <v>40</v>
      </c>
      <c r="BI175" s="0" t="n">
        <f aca="false">IF(Presupuesto!$B$41='Flujo de Pagos'!$E175,41,9999)</f>
        <v>41</v>
      </c>
      <c r="BJ175" s="0" t="n">
        <f aca="false">IF(Presupuesto!$B$42='Flujo de Pagos'!$E175,42,9999)</f>
        <v>42</v>
      </c>
      <c r="BK175" s="0" t="n">
        <f aca="false">IF(Presupuesto!$B$43='Flujo de Pagos'!$E175,43,9999)</f>
        <v>43</v>
      </c>
      <c r="BL175" s="0" t="n">
        <f aca="false">IF(Presupuesto!$B$44='Flujo de Pagos'!$E175,44,9999)</f>
        <v>44</v>
      </c>
      <c r="BM175" s="0" t="n">
        <f aca="false">IF(Presupuesto!$B$45='Flujo de Pagos'!$E175,45,9999)</f>
        <v>45</v>
      </c>
      <c r="BN175" s="0" t="n">
        <f aca="false">IF(Presupuesto!$B$46='Flujo de Pagos'!$E175,46,9999)</f>
        <v>46</v>
      </c>
      <c r="BO175" s="0" t="n">
        <f aca="false">IF(Presupuesto!$B$47='Flujo de Pagos'!$E175,47,9999)</f>
        <v>47</v>
      </c>
      <c r="BP175" s="0" t="n">
        <f aca="false">IF(Presupuesto!$B$48='Flujo de Pagos'!$E175,48,9999)</f>
        <v>48</v>
      </c>
      <c r="BQ175" s="0" t="n">
        <f aca="false">IF(Presupuesto!$B$49='Flujo de Pagos'!$E175,49,9999)</f>
        <v>49</v>
      </c>
      <c r="BR175" s="0" t="n">
        <f aca="false">IF(Presupuesto!$B$50='Flujo de Pagos'!$E175,50,9999)</f>
        <v>50</v>
      </c>
      <c r="BS175" s="0" t="n">
        <f aca="false">IF(Presupuesto!$B$51='Flujo de Pagos'!$E175,51,9999)</f>
        <v>51</v>
      </c>
      <c r="BT175" s="0" t="n">
        <f aca="false">IF(Presupuesto!$B$52='Flujo de Pagos'!$E175,52,9999)</f>
        <v>52</v>
      </c>
      <c r="BU175" s="0" t="n">
        <f aca="false">IF(Presupuesto!$B$53='Flujo de Pagos'!$E175,53,9999)</f>
        <v>53</v>
      </c>
      <c r="BV175" s="0" t="n">
        <f aca="false">IF(Presupuesto!$B$54='Flujo de Pagos'!$E175,54,9999)</f>
        <v>54</v>
      </c>
      <c r="BW175" s="0" t="n">
        <f aca="false">IF(Presupuesto!$B$55='Flujo de Pagos'!$E175,55,9999)</f>
        <v>55</v>
      </c>
      <c r="BX175" s="0" t="n">
        <f aca="false">IF(Presupuesto!$B$56='Flujo de Pagos'!$E175,56,9999)</f>
        <v>56</v>
      </c>
      <c r="BY175" s="0" t="n">
        <f aca="false">IF(Presupuesto!$B$57='Flujo de Pagos'!$E175,57,9999)</f>
        <v>57</v>
      </c>
      <c r="BZ175" s="0" t="n">
        <f aca="false">IF(Presupuesto!$B$58='Flujo de Pagos'!$E175,58,9999)</f>
        <v>58</v>
      </c>
      <c r="CA175" s="0" t="n">
        <f aca="false">IF(Presupuesto!$B$59='Flujo de Pagos'!$E175,59,9999)</f>
        <v>59</v>
      </c>
      <c r="CB175" s="0" t="n">
        <f aca="false">IF(Presupuesto!$B$60='Flujo de Pagos'!$E175,60,9999)</f>
        <v>60</v>
      </c>
      <c r="CC175" s="0" t="n">
        <f aca="false">IF(Presupuesto!$B$61='Flujo de Pagos'!$E175,61,9999)</f>
        <v>61</v>
      </c>
      <c r="CD175" s="0" t="n">
        <f aca="false">IF(Presupuesto!$B$62='Flujo de Pagos'!$E175,62,9999)</f>
        <v>62</v>
      </c>
      <c r="CE175" s="0" t="n">
        <f aca="false">IF(Presupuesto!$B$63='Flujo de Pagos'!$E175,63,9999)</f>
        <v>63</v>
      </c>
      <c r="CF175" s="0" t="n">
        <f aca="false">IF(Presupuesto!$B$64='Flujo de Pagos'!$E175,64,9999)</f>
        <v>64</v>
      </c>
      <c r="CG175" s="0" t="n">
        <f aca="false">IF(Presupuesto!$B$65='Flujo de Pagos'!$E175,65,9999)</f>
        <v>65</v>
      </c>
      <c r="CH175" s="0" t="n">
        <f aca="false">IF(Presupuesto!$B$66='Flujo de Pagos'!$E175,66,9999)</f>
        <v>66</v>
      </c>
    </row>
    <row r="176" customFormat="false" ht="15" hidden="false" customHeight="true" outlineLevel="0" collapsed="false">
      <c r="B176" s="1" t="n">
        <f aca="false">IF(AND('Flujo de Pagos'!E181=Carátula!$B$2,'Flujo de Pagos'!F181=Carátula!$B$4,'Flujo de Pagos'!H181&lt;&gt;""),181,99999)</f>
        <v>99999</v>
      </c>
      <c r="H176" s="1" t="n">
        <f aca="false">IF(SMALL($AA176:$CH176,1)&gt;=9999,"",INDEX(Presupuesto!$C:$C,SMALL($AA176:$CH176,1)))</f>
        <v>0</v>
      </c>
      <c r="I176" s="1" t="n">
        <f aca="false">IF(SMALL($AA176:$CH176,2)&gt;=9999,"",INDEX(Presupuesto!$C:$C,SMALL($AA176:$CH176,2)))</f>
        <v>0</v>
      </c>
      <c r="J176" s="1" t="n">
        <f aca="false">IF(SMALL($AA176:$CH176,3)&gt;=9999,"",INDEX(Presupuesto!$C:$C,SMALL($AA176:$CH176,3)))</f>
        <v>0</v>
      </c>
      <c r="K176" s="1" t="n">
        <f aca="false">IF(SMALL($AA176:$CH176,4)&gt;=9999,"",INDEX(Presupuesto!$C:$C,SMALL($AA176:$CH176,4)))</f>
        <v>0</v>
      </c>
      <c r="L176" s="1" t="n">
        <f aca="false">IF(SMALL($AA176:$CH176,5)&gt;=9999,"",INDEX(Presupuesto!$C:$C,SMALL($AA176:$CH176,5)))</f>
        <v>0</v>
      </c>
      <c r="M176" s="1" t="n">
        <f aca="false">IF(SMALL($AA176:$CH176,6)&gt;=9999,"",INDEX(Presupuesto!$C:$C,SMALL($AA176:$CH176,6)))</f>
        <v>0</v>
      </c>
      <c r="N176" s="1" t="n">
        <f aca="false">IF(SMALL($AA176:$CH176,7)&gt;=9999,"",INDEX(Presupuesto!$C:$C,SMALL($AA176:$CH176,7)))</f>
        <v>0</v>
      </c>
      <c r="O176" s="1" t="n">
        <f aca="false">IF(SMALL($AA176:$CH176,8)&gt;=9999,"",INDEX(Presupuesto!$C:$C,SMALL($AA176:$CH176,8)))</f>
        <v>0</v>
      </c>
      <c r="P176" s="1" t="n">
        <f aca="false">IF(SMALL($AA176:$CH176,9)&gt;=9999,"",INDEX(Presupuesto!$C:$C,SMALL($AA176:$CH176,9)))</f>
        <v>0</v>
      </c>
      <c r="Q176" s="1" t="n">
        <f aca="false">IF(SMALL($AA176:$CH176,10)&gt;=9999,"",INDEX(Presupuesto!$C:$C,SMALL($AA176:$CH176,10)))</f>
        <v>0</v>
      </c>
      <c r="AA176" s="0" t="n">
        <f aca="false">IF(Presupuesto!$B$7='Flujo de Pagos'!$E176,7,9999)</f>
        <v>9999</v>
      </c>
      <c r="AB176" s="0" t="n">
        <f aca="false">IF(Presupuesto!$B$8='Flujo de Pagos'!$E176,8,9999)</f>
        <v>9999</v>
      </c>
      <c r="AC176" s="0" t="n">
        <f aca="false">IF(Presupuesto!$B$9='Flujo de Pagos'!$E176,9,9999)</f>
        <v>9999</v>
      </c>
      <c r="AD176" s="0" t="n">
        <f aca="false">IF(Presupuesto!$B$10='Flujo de Pagos'!$E176,10,9999)</f>
        <v>9999</v>
      </c>
      <c r="AE176" s="0" t="n">
        <f aca="false">IF(Presupuesto!$B$11='Flujo de Pagos'!$E176,11,9999)</f>
        <v>9999</v>
      </c>
      <c r="AF176" s="0" t="n">
        <f aca="false">IF(Presupuesto!$B$12='Flujo de Pagos'!$E176,12,9999)</f>
        <v>12</v>
      </c>
      <c r="AG176" s="0" t="n">
        <f aca="false">IF(Presupuesto!$B$13='Flujo de Pagos'!$E176,13,9999)</f>
        <v>13</v>
      </c>
      <c r="AH176" s="0" t="n">
        <f aca="false">IF(Presupuesto!$B$14='Flujo de Pagos'!$E176,14,9999)</f>
        <v>14</v>
      </c>
      <c r="AI176" s="0" t="n">
        <f aca="false">IF(Presupuesto!$B$15='Flujo de Pagos'!$E176,15,9999)</f>
        <v>15</v>
      </c>
      <c r="AJ176" s="0" t="n">
        <f aca="false">IF(Presupuesto!$B$16='Flujo de Pagos'!$E176,16,9999)</f>
        <v>16</v>
      </c>
      <c r="AK176" s="0" t="n">
        <f aca="false">IF(Presupuesto!$B$17='Flujo de Pagos'!$E176,17,9999)</f>
        <v>17</v>
      </c>
      <c r="AL176" s="0" t="n">
        <f aca="false">IF(Presupuesto!$B$18='Flujo de Pagos'!$E176,18,9999)</f>
        <v>18</v>
      </c>
      <c r="AM176" s="0" t="n">
        <f aca="false">IF(Presupuesto!$B$19='Flujo de Pagos'!$E176,19,9999)</f>
        <v>19</v>
      </c>
      <c r="AN176" s="0" t="n">
        <f aca="false">IF(Presupuesto!$B$20='Flujo de Pagos'!$E176,20,9999)</f>
        <v>20</v>
      </c>
      <c r="AO176" s="0" t="n">
        <f aca="false">IF(Presupuesto!$B$21='Flujo de Pagos'!$E176,21,9999)</f>
        <v>21</v>
      </c>
      <c r="AP176" s="0" t="n">
        <f aca="false">IF(Presupuesto!$B$22='Flujo de Pagos'!$E176,22,9999)</f>
        <v>22</v>
      </c>
      <c r="AQ176" s="0" t="n">
        <f aca="false">IF(Presupuesto!$B$23='Flujo de Pagos'!$E176,23,9999)</f>
        <v>23</v>
      </c>
      <c r="AR176" s="0" t="n">
        <f aca="false">IF(Presupuesto!$B$24='Flujo de Pagos'!$E176,24,9999)</f>
        <v>24</v>
      </c>
      <c r="AS176" s="0" t="n">
        <f aca="false">IF(Presupuesto!$B$25='Flujo de Pagos'!$E176,25,9999)</f>
        <v>25</v>
      </c>
      <c r="AT176" s="0" t="n">
        <f aca="false">IF(Presupuesto!$B$26='Flujo de Pagos'!$E176,26,9999)</f>
        <v>26</v>
      </c>
      <c r="AU176" s="0" t="n">
        <f aca="false">IF(Presupuesto!$B$27='Flujo de Pagos'!$E176,27,9999)</f>
        <v>27</v>
      </c>
      <c r="AV176" s="0" t="n">
        <f aca="false">IF(Presupuesto!$B$28='Flujo de Pagos'!$E176,28,9999)</f>
        <v>28</v>
      </c>
      <c r="AW176" s="0" t="n">
        <f aca="false">IF(Presupuesto!$B$29='Flujo de Pagos'!$E176,29,9999)</f>
        <v>29</v>
      </c>
      <c r="AX176" s="0" t="n">
        <f aca="false">IF(Presupuesto!$B$30='Flujo de Pagos'!$E176,30,9999)</f>
        <v>30</v>
      </c>
      <c r="AY176" s="0" t="n">
        <f aca="false">IF(Presupuesto!$B$31='Flujo de Pagos'!$E176,31,9999)</f>
        <v>31</v>
      </c>
      <c r="AZ176" s="0" t="n">
        <f aca="false">IF(Presupuesto!$B$32='Flujo de Pagos'!$E176,32,9999)</f>
        <v>32</v>
      </c>
      <c r="BA176" s="0" t="n">
        <f aca="false">IF(Presupuesto!$B$33='Flujo de Pagos'!$E176,33,9999)</f>
        <v>33</v>
      </c>
      <c r="BB176" s="0" t="n">
        <f aca="false">IF(Presupuesto!$B$34='Flujo de Pagos'!$E176,34,9999)</f>
        <v>34</v>
      </c>
      <c r="BC176" s="0" t="n">
        <f aca="false">IF(Presupuesto!$B$35='Flujo de Pagos'!$E176,35,9999)</f>
        <v>35</v>
      </c>
      <c r="BD176" s="0" t="n">
        <f aca="false">IF(Presupuesto!$B$36='Flujo de Pagos'!$E176,36,9999)</f>
        <v>36</v>
      </c>
      <c r="BE176" s="0" t="n">
        <f aca="false">IF(Presupuesto!$B$37='Flujo de Pagos'!$E176,37,9999)</f>
        <v>37</v>
      </c>
      <c r="BF176" s="0" t="n">
        <f aca="false">IF(Presupuesto!$B$38='Flujo de Pagos'!$E176,38,9999)</f>
        <v>38</v>
      </c>
      <c r="BG176" s="0" t="n">
        <f aca="false">IF(Presupuesto!$B$39='Flujo de Pagos'!$E176,39,9999)</f>
        <v>39</v>
      </c>
      <c r="BH176" s="0" t="n">
        <f aca="false">IF(Presupuesto!$B$40='Flujo de Pagos'!$E176,40,9999)</f>
        <v>40</v>
      </c>
      <c r="BI176" s="0" t="n">
        <f aca="false">IF(Presupuesto!$B$41='Flujo de Pagos'!$E176,41,9999)</f>
        <v>41</v>
      </c>
      <c r="BJ176" s="0" t="n">
        <f aca="false">IF(Presupuesto!$B$42='Flujo de Pagos'!$E176,42,9999)</f>
        <v>42</v>
      </c>
      <c r="BK176" s="0" t="n">
        <f aca="false">IF(Presupuesto!$B$43='Flujo de Pagos'!$E176,43,9999)</f>
        <v>43</v>
      </c>
      <c r="BL176" s="0" t="n">
        <f aca="false">IF(Presupuesto!$B$44='Flujo de Pagos'!$E176,44,9999)</f>
        <v>44</v>
      </c>
      <c r="BM176" s="0" t="n">
        <f aca="false">IF(Presupuesto!$B$45='Flujo de Pagos'!$E176,45,9999)</f>
        <v>45</v>
      </c>
      <c r="BN176" s="0" t="n">
        <f aca="false">IF(Presupuesto!$B$46='Flujo de Pagos'!$E176,46,9999)</f>
        <v>46</v>
      </c>
      <c r="BO176" s="0" t="n">
        <f aca="false">IF(Presupuesto!$B$47='Flujo de Pagos'!$E176,47,9999)</f>
        <v>47</v>
      </c>
      <c r="BP176" s="0" t="n">
        <f aca="false">IF(Presupuesto!$B$48='Flujo de Pagos'!$E176,48,9999)</f>
        <v>48</v>
      </c>
      <c r="BQ176" s="0" t="n">
        <f aca="false">IF(Presupuesto!$B$49='Flujo de Pagos'!$E176,49,9999)</f>
        <v>49</v>
      </c>
      <c r="BR176" s="0" t="n">
        <f aca="false">IF(Presupuesto!$B$50='Flujo de Pagos'!$E176,50,9999)</f>
        <v>50</v>
      </c>
      <c r="BS176" s="0" t="n">
        <f aca="false">IF(Presupuesto!$B$51='Flujo de Pagos'!$E176,51,9999)</f>
        <v>51</v>
      </c>
      <c r="BT176" s="0" t="n">
        <f aca="false">IF(Presupuesto!$B$52='Flujo de Pagos'!$E176,52,9999)</f>
        <v>52</v>
      </c>
      <c r="BU176" s="0" t="n">
        <f aca="false">IF(Presupuesto!$B$53='Flujo de Pagos'!$E176,53,9999)</f>
        <v>53</v>
      </c>
      <c r="BV176" s="0" t="n">
        <f aca="false">IF(Presupuesto!$B$54='Flujo de Pagos'!$E176,54,9999)</f>
        <v>54</v>
      </c>
      <c r="BW176" s="0" t="n">
        <f aca="false">IF(Presupuesto!$B$55='Flujo de Pagos'!$E176,55,9999)</f>
        <v>55</v>
      </c>
      <c r="BX176" s="0" t="n">
        <f aca="false">IF(Presupuesto!$B$56='Flujo de Pagos'!$E176,56,9999)</f>
        <v>56</v>
      </c>
      <c r="BY176" s="0" t="n">
        <f aca="false">IF(Presupuesto!$B$57='Flujo de Pagos'!$E176,57,9999)</f>
        <v>57</v>
      </c>
      <c r="BZ176" s="0" t="n">
        <f aca="false">IF(Presupuesto!$B$58='Flujo de Pagos'!$E176,58,9999)</f>
        <v>58</v>
      </c>
      <c r="CA176" s="0" t="n">
        <f aca="false">IF(Presupuesto!$B$59='Flujo de Pagos'!$E176,59,9999)</f>
        <v>59</v>
      </c>
      <c r="CB176" s="0" t="n">
        <f aca="false">IF(Presupuesto!$B$60='Flujo de Pagos'!$E176,60,9999)</f>
        <v>60</v>
      </c>
      <c r="CC176" s="0" t="n">
        <f aca="false">IF(Presupuesto!$B$61='Flujo de Pagos'!$E176,61,9999)</f>
        <v>61</v>
      </c>
      <c r="CD176" s="0" t="n">
        <f aca="false">IF(Presupuesto!$B$62='Flujo de Pagos'!$E176,62,9999)</f>
        <v>62</v>
      </c>
      <c r="CE176" s="0" t="n">
        <f aca="false">IF(Presupuesto!$B$63='Flujo de Pagos'!$E176,63,9999)</f>
        <v>63</v>
      </c>
      <c r="CF176" s="0" t="n">
        <f aca="false">IF(Presupuesto!$B$64='Flujo de Pagos'!$E176,64,9999)</f>
        <v>64</v>
      </c>
      <c r="CG176" s="0" t="n">
        <f aca="false">IF(Presupuesto!$B$65='Flujo de Pagos'!$E176,65,9999)</f>
        <v>65</v>
      </c>
      <c r="CH176" s="0" t="n">
        <f aca="false">IF(Presupuesto!$B$66='Flujo de Pagos'!$E176,66,9999)</f>
        <v>66</v>
      </c>
    </row>
    <row r="177" customFormat="false" ht="15" hidden="false" customHeight="true" outlineLevel="0" collapsed="false">
      <c r="B177" s="1" t="n">
        <f aca="false">IF(AND('Flujo de Pagos'!E182=Carátula!$B$2,'Flujo de Pagos'!F182=Carátula!$B$4,'Flujo de Pagos'!H182&lt;&gt;""),182,99999)</f>
        <v>99999</v>
      </c>
      <c r="H177" s="1" t="n">
        <f aca="false">IF(SMALL($AA177:$CH177,1)&gt;=9999,"",INDEX(Presupuesto!$C:$C,SMALL($AA177:$CH177,1)))</f>
        <v>0</v>
      </c>
      <c r="I177" s="1" t="n">
        <f aca="false">IF(SMALL($AA177:$CH177,2)&gt;=9999,"",INDEX(Presupuesto!$C:$C,SMALL($AA177:$CH177,2)))</f>
        <v>0</v>
      </c>
      <c r="J177" s="1" t="n">
        <f aca="false">IF(SMALL($AA177:$CH177,3)&gt;=9999,"",INDEX(Presupuesto!$C:$C,SMALL($AA177:$CH177,3)))</f>
        <v>0</v>
      </c>
      <c r="K177" s="1" t="n">
        <f aca="false">IF(SMALL($AA177:$CH177,4)&gt;=9999,"",INDEX(Presupuesto!$C:$C,SMALL($AA177:$CH177,4)))</f>
        <v>0</v>
      </c>
      <c r="L177" s="1" t="n">
        <f aca="false">IF(SMALL($AA177:$CH177,5)&gt;=9999,"",INDEX(Presupuesto!$C:$C,SMALL($AA177:$CH177,5)))</f>
        <v>0</v>
      </c>
      <c r="M177" s="1" t="n">
        <f aca="false">IF(SMALL($AA177:$CH177,6)&gt;=9999,"",INDEX(Presupuesto!$C:$C,SMALL($AA177:$CH177,6)))</f>
        <v>0</v>
      </c>
      <c r="N177" s="1" t="n">
        <f aca="false">IF(SMALL($AA177:$CH177,7)&gt;=9999,"",INDEX(Presupuesto!$C:$C,SMALL($AA177:$CH177,7)))</f>
        <v>0</v>
      </c>
      <c r="O177" s="1" t="n">
        <f aca="false">IF(SMALL($AA177:$CH177,8)&gt;=9999,"",INDEX(Presupuesto!$C:$C,SMALL($AA177:$CH177,8)))</f>
        <v>0</v>
      </c>
      <c r="P177" s="1" t="n">
        <f aca="false">IF(SMALL($AA177:$CH177,9)&gt;=9999,"",INDEX(Presupuesto!$C:$C,SMALL($AA177:$CH177,9)))</f>
        <v>0</v>
      </c>
      <c r="Q177" s="1" t="n">
        <f aca="false">IF(SMALL($AA177:$CH177,10)&gt;=9999,"",INDEX(Presupuesto!$C:$C,SMALL($AA177:$CH177,10)))</f>
        <v>0</v>
      </c>
      <c r="AA177" s="0" t="n">
        <f aca="false">IF(Presupuesto!$B$7='Flujo de Pagos'!$E177,7,9999)</f>
        <v>9999</v>
      </c>
      <c r="AB177" s="0" t="n">
        <f aca="false">IF(Presupuesto!$B$8='Flujo de Pagos'!$E177,8,9999)</f>
        <v>9999</v>
      </c>
      <c r="AC177" s="0" t="n">
        <f aca="false">IF(Presupuesto!$B$9='Flujo de Pagos'!$E177,9,9999)</f>
        <v>9999</v>
      </c>
      <c r="AD177" s="0" t="n">
        <f aca="false">IF(Presupuesto!$B$10='Flujo de Pagos'!$E177,10,9999)</f>
        <v>9999</v>
      </c>
      <c r="AE177" s="0" t="n">
        <f aca="false">IF(Presupuesto!$B$11='Flujo de Pagos'!$E177,11,9999)</f>
        <v>9999</v>
      </c>
      <c r="AF177" s="0" t="n">
        <f aca="false">IF(Presupuesto!$B$12='Flujo de Pagos'!$E177,12,9999)</f>
        <v>12</v>
      </c>
      <c r="AG177" s="0" t="n">
        <f aca="false">IF(Presupuesto!$B$13='Flujo de Pagos'!$E177,13,9999)</f>
        <v>13</v>
      </c>
      <c r="AH177" s="0" t="n">
        <f aca="false">IF(Presupuesto!$B$14='Flujo de Pagos'!$E177,14,9999)</f>
        <v>14</v>
      </c>
      <c r="AI177" s="0" t="n">
        <f aca="false">IF(Presupuesto!$B$15='Flujo de Pagos'!$E177,15,9999)</f>
        <v>15</v>
      </c>
      <c r="AJ177" s="0" t="n">
        <f aca="false">IF(Presupuesto!$B$16='Flujo de Pagos'!$E177,16,9999)</f>
        <v>16</v>
      </c>
      <c r="AK177" s="0" t="n">
        <f aca="false">IF(Presupuesto!$B$17='Flujo de Pagos'!$E177,17,9999)</f>
        <v>17</v>
      </c>
      <c r="AL177" s="0" t="n">
        <f aca="false">IF(Presupuesto!$B$18='Flujo de Pagos'!$E177,18,9999)</f>
        <v>18</v>
      </c>
      <c r="AM177" s="0" t="n">
        <f aca="false">IF(Presupuesto!$B$19='Flujo de Pagos'!$E177,19,9999)</f>
        <v>19</v>
      </c>
      <c r="AN177" s="0" t="n">
        <f aca="false">IF(Presupuesto!$B$20='Flujo de Pagos'!$E177,20,9999)</f>
        <v>20</v>
      </c>
      <c r="AO177" s="0" t="n">
        <f aca="false">IF(Presupuesto!$B$21='Flujo de Pagos'!$E177,21,9999)</f>
        <v>21</v>
      </c>
      <c r="AP177" s="0" t="n">
        <f aca="false">IF(Presupuesto!$B$22='Flujo de Pagos'!$E177,22,9999)</f>
        <v>22</v>
      </c>
      <c r="AQ177" s="0" t="n">
        <f aca="false">IF(Presupuesto!$B$23='Flujo de Pagos'!$E177,23,9999)</f>
        <v>23</v>
      </c>
      <c r="AR177" s="0" t="n">
        <f aca="false">IF(Presupuesto!$B$24='Flujo de Pagos'!$E177,24,9999)</f>
        <v>24</v>
      </c>
      <c r="AS177" s="0" t="n">
        <f aca="false">IF(Presupuesto!$B$25='Flujo de Pagos'!$E177,25,9999)</f>
        <v>25</v>
      </c>
      <c r="AT177" s="0" t="n">
        <f aca="false">IF(Presupuesto!$B$26='Flujo de Pagos'!$E177,26,9999)</f>
        <v>26</v>
      </c>
      <c r="AU177" s="0" t="n">
        <f aca="false">IF(Presupuesto!$B$27='Flujo de Pagos'!$E177,27,9999)</f>
        <v>27</v>
      </c>
      <c r="AV177" s="0" t="n">
        <f aca="false">IF(Presupuesto!$B$28='Flujo de Pagos'!$E177,28,9999)</f>
        <v>28</v>
      </c>
      <c r="AW177" s="0" t="n">
        <f aca="false">IF(Presupuesto!$B$29='Flujo de Pagos'!$E177,29,9999)</f>
        <v>29</v>
      </c>
      <c r="AX177" s="0" t="n">
        <f aca="false">IF(Presupuesto!$B$30='Flujo de Pagos'!$E177,30,9999)</f>
        <v>30</v>
      </c>
      <c r="AY177" s="0" t="n">
        <f aca="false">IF(Presupuesto!$B$31='Flujo de Pagos'!$E177,31,9999)</f>
        <v>31</v>
      </c>
      <c r="AZ177" s="0" t="n">
        <f aca="false">IF(Presupuesto!$B$32='Flujo de Pagos'!$E177,32,9999)</f>
        <v>32</v>
      </c>
      <c r="BA177" s="0" t="n">
        <f aca="false">IF(Presupuesto!$B$33='Flujo de Pagos'!$E177,33,9999)</f>
        <v>33</v>
      </c>
      <c r="BB177" s="0" t="n">
        <f aca="false">IF(Presupuesto!$B$34='Flujo de Pagos'!$E177,34,9999)</f>
        <v>34</v>
      </c>
      <c r="BC177" s="0" t="n">
        <f aca="false">IF(Presupuesto!$B$35='Flujo de Pagos'!$E177,35,9999)</f>
        <v>35</v>
      </c>
      <c r="BD177" s="0" t="n">
        <f aca="false">IF(Presupuesto!$B$36='Flujo de Pagos'!$E177,36,9999)</f>
        <v>36</v>
      </c>
      <c r="BE177" s="0" t="n">
        <f aca="false">IF(Presupuesto!$B$37='Flujo de Pagos'!$E177,37,9999)</f>
        <v>37</v>
      </c>
      <c r="BF177" s="0" t="n">
        <f aca="false">IF(Presupuesto!$B$38='Flujo de Pagos'!$E177,38,9999)</f>
        <v>38</v>
      </c>
      <c r="BG177" s="0" t="n">
        <f aca="false">IF(Presupuesto!$B$39='Flujo de Pagos'!$E177,39,9999)</f>
        <v>39</v>
      </c>
      <c r="BH177" s="0" t="n">
        <f aca="false">IF(Presupuesto!$B$40='Flujo de Pagos'!$E177,40,9999)</f>
        <v>40</v>
      </c>
      <c r="BI177" s="0" t="n">
        <f aca="false">IF(Presupuesto!$B$41='Flujo de Pagos'!$E177,41,9999)</f>
        <v>41</v>
      </c>
      <c r="BJ177" s="0" t="n">
        <f aca="false">IF(Presupuesto!$B$42='Flujo de Pagos'!$E177,42,9999)</f>
        <v>42</v>
      </c>
      <c r="BK177" s="0" t="n">
        <f aca="false">IF(Presupuesto!$B$43='Flujo de Pagos'!$E177,43,9999)</f>
        <v>43</v>
      </c>
      <c r="BL177" s="0" t="n">
        <f aca="false">IF(Presupuesto!$B$44='Flujo de Pagos'!$E177,44,9999)</f>
        <v>44</v>
      </c>
      <c r="BM177" s="0" t="n">
        <f aca="false">IF(Presupuesto!$B$45='Flujo de Pagos'!$E177,45,9999)</f>
        <v>45</v>
      </c>
      <c r="BN177" s="0" t="n">
        <f aca="false">IF(Presupuesto!$B$46='Flujo de Pagos'!$E177,46,9999)</f>
        <v>46</v>
      </c>
      <c r="BO177" s="0" t="n">
        <f aca="false">IF(Presupuesto!$B$47='Flujo de Pagos'!$E177,47,9999)</f>
        <v>47</v>
      </c>
      <c r="BP177" s="0" t="n">
        <f aca="false">IF(Presupuesto!$B$48='Flujo de Pagos'!$E177,48,9999)</f>
        <v>48</v>
      </c>
      <c r="BQ177" s="0" t="n">
        <f aca="false">IF(Presupuesto!$B$49='Flujo de Pagos'!$E177,49,9999)</f>
        <v>49</v>
      </c>
      <c r="BR177" s="0" t="n">
        <f aca="false">IF(Presupuesto!$B$50='Flujo de Pagos'!$E177,50,9999)</f>
        <v>50</v>
      </c>
      <c r="BS177" s="0" t="n">
        <f aca="false">IF(Presupuesto!$B$51='Flujo de Pagos'!$E177,51,9999)</f>
        <v>51</v>
      </c>
      <c r="BT177" s="0" t="n">
        <f aca="false">IF(Presupuesto!$B$52='Flujo de Pagos'!$E177,52,9999)</f>
        <v>52</v>
      </c>
      <c r="BU177" s="0" t="n">
        <f aca="false">IF(Presupuesto!$B$53='Flujo de Pagos'!$E177,53,9999)</f>
        <v>53</v>
      </c>
      <c r="BV177" s="0" t="n">
        <f aca="false">IF(Presupuesto!$B$54='Flujo de Pagos'!$E177,54,9999)</f>
        <v>54</v>
      </c>
      <c r="BW177" s="0" t="n">
        <f aca="false">IF(Presupuesto!$B$55='Flujo de Pagos'!$E177,55,9999)</f>
        <v>55</v>
      </c>
      <c r="BX177" s="0" t="n">
        <f aca="false">IF(Presupuesto!$B$56='Flujo de Pagos'!$E177,56,9999)</f>
        <v>56</v>
      </c>
      <c r="BY177" s="0" t="n">
        <f aca="false">IF(Presupuesto!$B$57='Flujo de Pagos'!$E177,57,9999)</f>
        <v>57</v>
      </c>
      <c r="BZ177" s="0" t="n">
        <f aca="false">IF(Presupuesto!$B$58='Flujo de Pagos'!$E177,58,9999)</f>
        <v>58</v>
      </c>
      <c r="CA177" s="0" t="n">
        <f aca="false">IF(Presupuesto!$B$59='Flujo de Pagos'!$E177,59,9999)</f>
        <v>59</v>
      </c>
      <c r="CB177" s="0" t="n">
        <f aca="false">IF(Presupuesto!$B$60='Flujo de Pagos'!$E177,60,9999)</f>
        <v>60</v>
      </c>
      <c r="CC177" s="0" t="n">
        <f aca="false">IF(Presupuesto!$B$61='Flujo de Pagos'!$E177,61,9999)</f>
        <v>61</v>
      </c>
      <c r="CD177" s="0" t="n">
        <f aca="false">IF(Presupuesto!$B$62='Flujo de Pagos'!$E177,62,9999)</f>
        <v>62</v>
      </c>
      <c r="CE177" s="0" t="n">
        <f aca="false">IF(Presupuesto!$B$63='Flujo de Pagos'!$E177,63,9999)</f>
        <v>63</v>
      </c>
      <c r="CF177" s="0" t="n">
        <f aca="false">IF(Presupuesto!$B$64='Flujo de Pagos'!$E177,64,9999)</f>
        <v>64</v>
      </c>
      <c r="CG177" s="0" t="n">
        <f aca="false">IF(Presupuesto!$B$65='Flujo de Pagos'!$E177,65,9999)</f>
        <v>65</v>
      </c>
      <c r="CH177" s="0" t="n">
        <f aca="false">IF(Presupuesto!$B$66='Flujo de Pagos'!$E177,66,9999)</f>
        <v>66</v>
      </c>
    </row>
    <row r="178" customFormat="false" ht="15" hidden="false" customHeight="true" outlineLevel="0" collapsed="false">
      <c r="B178" s="1" t="n">
        <f aca="false">IF(AND('Flujo de Pagos'!E183=Carátula!$B$2,'Flujo de Pagos'!F183=Carátula!$B$4,'Flujo de Pagos'!H183&lt;&gt;""),183,99999)</f>
        <v>99999</v>
      </c>
      <c r="H178" s="1" t="n">
        <f aca="false">IF(SMALL($AA178:$CH178,1)&gt;=9999,"",INDEX(Presupuesto!$C:$C,SMALL($AA178:$CH178,1)))</f>
        <v>0</v>
      </c>
      <c r="I178" s="1" t="n">
        <f aca="false">IF(SMALL($AA178:$CH178,2)&gt;=9999,"",INDEX(Presupuesto!$C:$C,SMALL($AA178:$CH178,2)))</f>
        <v>0</v>
      </c>
      <c r="J178" s="1" t="n">
        <f aca="false">IF(SMALL($AA178:$CH178,3)&gt;=9999,"",INDEX(Presupuesto!$C:$C,SMALL($AA178:$CH178,3)))</f>
        <v>0</v>
      </c>
      <c r="K178" s="1" t="n">
        <f aca="false">IF(SMALL($AA178:$CH178,4)&gt;=9999,"",INDEX(Presupuesto!$C:$C,SMALL($AA178:$CH178,4)))</f>
        <v>0</v>
      </c>
      <c r="L178" s="1" t="n">
        <f aca="false">IF(SMALL($AA178:$CH178,5)&gt;=9999,"",INDEX(Presupuesto!$C:$C,SMALL($AA178:$CH178,5)))</f>
        <v>0</v>
      </c>
      <c r="M178" s="1" t="n">
        <f aca="false">IF(SMALL($AA178:$CH178,6)&gt;=9999,"",INDEX(Presupuesto!$C:$C,SMALL($AA178:$CH178,6)))</f>
        <v>0</v>
      </c>
      <c r="N178" s="1" t="n">
        <f aca="false">IF(SMALL($AA178:$CH178,7)&gt;=9999,"",INDEX(Presupuesto!$C:$C,SMALL($AA178:$CH178,7)))</f>
        <v>0</v>
      </c>
      <c r="O178" s="1" t="n">
        <f aca="false">IF(SMALL($AA178:$CH178,8)&gt;=9999,"",INDEX(Presupuesto!$C:$C,SMALL($AA178:$CH178,8)))</f>
        <v>0</v>
      </c>
      <c r="P178" s="1" t="n">
        <f aca="false">IF(SMALL($AA178:$CH178,9)&gt;=9999,"",INDEX(Presupuesto!$C:$C,SMALL($AA178:$CH178,9)))</f>
        <v>0</v>
      </c>
      <c r="Q178" s="1" t="n">
        <f aca="false">IF(SMALL($AA178:$CH178,10)&gt;=9999,"",INDEX(Presupuesto!$C:$C,SMALL($AA178:$CH178,10)))</f>
        <v>0</v>
      </c>
      <c r="AA178" s="0" t="n">
        <f aca="false">IF(Presupuesto!$B$7='Flujo de Pagos'!$E178,7,9999)</f>
        <v>9999</v>
      </c>
      <c r="AB178" s="0" t="n">
        <f aca="false">IF(Presupuesto!$B$8='Flujo de Pagos'!$E178,8,9999)</f>
        <v>9999</v>
      </c>
      <c r="AC178" s="0" t="n">
        <f aca="false">IF(Presupuesto!$B$9='Flujo de Pagos'!$E178,9,9999)</f>
        <v>9999</v>
      </c>
      <c r="AD178" s="0" t="n">
        <f aca="false">IF(Presupuesto!$B$10='Flujo de Pagos'!$E178,10,9999)</f>
        <v>9999</v>
      </c>
      <c r="AE178" s="0" t="n">
        <f aca="false">IF(Presupuesto!$B$11='Flujo de Pagos'!$E178,11,9999)</f>
        <v>9999</v>
      </c>
      <c r="AF178" s="0" t="n">
        <f aca="false">IF(Presupuesto!$B$12='Flujo de Pagos'!$E178,12,9999)</f>
        <v>12</v>
      </c>
      <c r="AG178" s="0" t="n">
        <f aca="false">IF(Presupuesto!$B$13='Flujo de Pagos'!$E178,13,9999)</f>
        <v>13</v>
      </c>
      <c r="AH178" s="0" t="n">
        <f aca="false">IF(Presupuesto!$B$14='Flujo de Pagos'!$E178,14,9999)</f>
        <v>14</v>
      </c>
      <c r="AI178" s="0" t="n">
        <f aca="false">IF(Presupuesto!$B$15='Flujo de Pagos'!$E178,15,9999)</f>
        <v>15</v>
      </c>
      <c r="AJ178" s="0" t="n">
        <f aca="false">IF(Presupuesto!$B$16='Flujo de Pagos'!$E178,16,9999)</f>
        <v>16</v>
      </c>
      <c r="AK178" s="0" t="n">
        <f aca="false">IF(Presupuesto!$B$17='Flujo de Pagos'!$E178,17,9999)</f>
        <v>17</v>
      </c>
      <c r="AL178" s="0" t="n">
        <f aca="false">IF(Presupuesto!$B$18='Flujo de Pagos'!$E178,18,9999)</f>
        <v>18</v>
      </c>
      <c r="AM178" s="0" t="n">
        <f aca="false">IF(Presupuesto!$B$19='Flujo de Pagos'!$E178,19,9999)</f>
        <v>19</v>
      </c>
      <c r="AN178" s="0" t="n">
        <f aca="false">IF(Presupuesto!$B$20='Flujo de Pagos'!$E178,20,9999)</f>
        <v>20</v>
      </c>
      <c r="AO178" s="0" t="n">
        <f aca="false">IF(Presupuesto!$B$21='Flujo de Pagos'!$E178,21,9999)</f>
        <v>21</v>
      </c>
      <c r="AP178" s="0" t="n">
        <f aca="false">IF(Presupuesto!$B$22='Flujo de Pagos'!$E178,22,9999)</f>
        <v>22</v>
      </c>
      <c r="AQ178" s="0" t="n">
        <f aca="false">IF(Presupuesto!$B$23='Flujo de Pagos'!$E178,23,9999)</f>
        <v>23</v>
      </c>
      <c r="AR178" s="0" t="n">
        <f aca="false">IF(Presupuesto!$B$24='Flujo de Pagos'!$E178,24,9999)</f>
        <v>24</v>
      </c>
      <c r="AS178" s="0" t="n">
        <f aca="false">IF(Presupuesto!$B$25='Flujo de Pagos'!$E178,25,9999)</f>
        <v>25</v>
      </c>
      <c r="AT178" s="0" t="n">
        <f aca="false">IF(Presupuesto!$B$26='Flujo de Pagos'!$E178,26,9999)</f>
        <v>26</v>
      </c>
      <c r="AU178" s="0" t="n">
        <f aca="false">IF(Presupuesto!$B$27='Flujo de Pagos'!$E178,27,9999)</f>
        <v>27</v>
      </c>
      <c r="AV178" s="0" t="n">
        <f aca="false">IF(Presupuesto!$B$28='Flujo de Pagos'!$E178,28,9999)</f>
        <v>28</v>
      </c>
      <c r="AW178" s="0" t="n">
        <f aca="false">IF(Presupuesto!$B$29='Flujo de Pagos'!$E178,29,9999)</f>
        <v>29</v>
      </c>
      <c r="AX178" s="0" t="n">
        <f aca="false">IF(Presupuesto!$B$30='Flujo de Pagos'!$E178,30,9999)</f>
        <v>30</v>
      </c>
      <c r="AY178" s="0" t="n">
        <f aca="false">IF(Presupuesto!$B$31='Flujo de Pagos'!$E178,31,9999)</f>
        <v>31</v>
      </c>
      <c r="AZ178" s="0" t="n">
        <f aca="false">IF(Presupuesto!$B$32='Flujo de Pagos'!$E178,32,9999)</f>
        <v>32</v>
      </c>
      <c r="BA178" s="0" t="n">
        <f aca="false">IF(Presupuesto!$B$33='Flujo de Pagos'!$E178,33,9999)</f>
        <v>33</v>
      </c>
      <c r="BB178" s="0" t="n">
        <f aca="false">IF(Presupuesto!$B$34='Flujo de Pagos'!$E178,34,9999)</f>
        <v>34</v>
      </c>
      <c r="BC178" s="0" t="n">
        <f aca="false">IF(Presupuesto!$B$35='Flujo de Pagos'!$E178,35,9999)</f>
        <v>35</v>
      </c>
      <c r="BD178" s="0" t="n">
        <f aca="false">IF(Presupuesto!$B$36='Flujo de Pagos'!$E178,36,9999)</f>
        <v>36</v>
      </c>
      <c r="BE178" s="0" t="n">
        <f aca="false">IF(Presupuesto!$B$37='Flujo de Pagos'!$E178,37,9999)</f>
        <v>37</v>
      </c>
      <c r="BF178" s="0" t="n">
        <f aca="false">IF(Presupuesto!$B$38='Flujo de Pagos'!$E178,38,9999)</f>
        <v>38</v>
      </c>
      <c r="BG178" s="0" t="n">
        <f aca="false">IF(Presupuesto!$B$39='Flujo de Pagos'!$E178,39,9999)</f>
        <v>39</v>
      </c>
      <c r="BH178" s="0" t="n">
        <f aca="false">IF(Presupuesto!$B$40='Flujo de Pagos'!$E178,40,9999)</f>
        <v>40</v>
      </c>
      <c r="BI178" s="0" t="n">
        <f aca="false">IF(Presupuesto!$B$41='Flujo de Pagos'!$E178,41,9999)</f>
        <v>41</v>
      </c>
      <c r="BJ178" s="0" t="n">
        <f aca="false">IF(Presupuesto!$B$42='Flujo de Pagos'!$E178,42,9999)</f>
        <v>42</v>
      </c>
      <c r="BK178" s="0" t="n">
        <f aca="false">IF(Presupuesto!$B$43='Flujo de Pagos'!$E178,43,9999)</f>
        <v>43</v>
      </c>
      <c r="BL178" s="0" t="n">
        <f aca="false">IF(Presupuesto!$B$44='Flujo de Pagos'!$E178,44,9999)</f>
        <v>44</v>
      </c>
      <c r="BM178" s="0" t="n">
        <f aca="false">IF(Presupuesto!$B$45='Flujo de Pagos'!$E178,45,9999)</f>
        <v>45</v>
      </c>
      <c r="BN178" s="0" t="n">
        <f aca="false">IF(Presupuesto!$B$46='Flujo de Pagos'!$E178,46,9999)</f>
        <v>46</v>
      </c>
      <c r="BO178" s="0" t="n">
        <f aca="false">IF(Presupuesto!$B$47='Flujo de Pagos'!$E178,47,9999)</f>
        <v>47</v>
      </c>
      <c r="BP178" s="0" t="n">
        <f aca="false">IF(Presupuesto!$B$48='Flujo de Pagos'!$E178,48,9999)</f>
        <v>48</v>
      </c>
      <c r="BQ178" s="0" t="n">
        <f aca="false">IF(Presupuesto!$B$49='Flujo de Pagos'!$E178,49,9999)</f>
        <v>49</v>
      </c>
      <c r="BR178" s="0" t="n">
        <f aca="false">IF(Presupuesto!$B$50='Flujo de Pagos'!$E178,50,9999)</f>
        <v>50</v>
      </c>
      <c r="BS178" s="0" t="n">
        <f aca="false">IF(Presupuesto!$B$51='Flujo de Pagos'!$E178,51,9999)</f>
        <v>51</v>
      </c>
      <c r="BT178" s="0" t="n">
        <f aca="false">IF(Presupuesto!$B$52='Flujo de Pagos'!$E178,52,9999)</f>
        <v>52</v>
      </c>
      <c r="BU178" s="0" t="n">
        <f aca="false">IF(Presupuesto!$B$53='Flujo de Pagos'!$E178,53,9999)</f>
        <v>53</v>
      </c>
      <c r="BV178" s="0" t="n">
        <f aca="false">IF(Presupuesto!$B$54='Flujo de Pagos'!$E178,54,9999)</f>
        <v>54</v>
      </c>
      <c r="BW178" s="0" t="n">
        <f aca="false">IF(Presupuesto!$B$55='Flujo de Pagos'!$E178,55,9999)</f>
        <v>55</v>
      </c>
      <c r="BX178" s="0" t="n">
        <f aca="false">IF(Presupuesto!$B$56='Flujo de Pagos'!$E178,56,9999)</f>
        <v>56</v>
      </c>
      <c r="BY178" s="0" t="n">
        <f aca="false">IF(Presupuesto!$B$57='Flujo de Pagos'!$E178,57,9999)</f>
        <v>57</v>
      </c>
      <c r="BZ178" s="0" t="n">
        <f aca="false">IF(Presupuesto!$B$58='Flujo de Pagos'!$E178,58,9999)</f>
        <v>58</v>
      </c>
      <c r="CA178" s="0" t="n">
        <f aca="false">IF(Presupuesto!$B$59='Flujo de Pagos'!$E178,59,9999)</f>
        <v>59</v>
      </c>
      <c r="CB178" s="0" t="n">
        <f aca="false">IF(Presupuesto!$B$60='Flujo de Pagos'!$E178,60,9999)</f>
        <v>60</v>
      </c>
      <c r="CC178" s="0" t="n">
        <f aca="false">IF(Presupuesto!$B$61='Flujo de Pagos'!$E178,61,9999)</f>
        <v>61</v>
      </c>
      <c r="CD178" s="0" t="n">
        <f aca="false">IF(Presupuesto!$B$62='Flujo de Pagos'!$E178,62,9999)</f>
        <v>62</v>
      </c>
      <c r="CE178" s="0" t="n">
        <f aca="false">IF(Presupuesto!$B$63='Flujo de Pagos'!$E178,63,9999)</f>
        <v>63</v>
      </c>
      <c r="CF178" s="0" t="n">
        <f aca="false">IF(Presupuesto!$B$64='Flujo de Pagos'!$E178,64,9999)</f>
        <v>64</v>
      </c>
      <c r="CG178" s="0" t="n">
        <f aca="false">IF(Presupuesto!$B$65='Flujo de Pagos'!$E178,65,9999)</f>
        <v>65</v>
      </c>
      <c r="CH178" s="0" t="n">
        <f aca="false">IF(Presupuesto!$B$66='Flujo de Pagos'!$E178,66,9999)</f>
        <v>66</v>
      </c>
    </row>
    <row r="179" customFormat="false" ht="15" hidden="false" customHeight="true" outlineLevel="0" collapsed="false">
      <c r="B179" s="1" t="n">
        <f aca="false">IF(AND('Flujo de Pagos'!E184=Carátula!$B$2,'Flujo de Pagos'!F184=Carátula!$B$4,'Flujo de Pagos'!H184&lt;&gt;""),184,99999)</f>
        <v>99999</v>
      </c>
      <c r="H179" s="1" t="n">
        <f aca="false">IF(SMALL($AA179:$CH179,1)&gt;=9999,"",INDEX(Presupuesto!$C:$C,SMALL($AA179:$CH179,1)))</f>
        <v>0</v>
      </c>
      <c r="I179" s="1" t="n">
        <f aca="false">IF(SMALL($AA179:$CH179,2)&gt;=9999,"",INDEX(Presupuesto!$C:$C,SMALL($AA179:$CH179,2)))</f>
        <v>0</v>
      </c>
      <c r="J179" s="1" t="n">
        <f aca="false">IF(SMALL($AA179:$CH179,3)&gt;=9999,"",INDEX(Presupuesto!$C:$C,SMALL($AA179:$CH179,3)))</f>
        <v>0</v>
      </c>
      <c r="K179" s="1" t="n">
        <f aca="false">IF(SMALL($AA179:$CH179,4)&gt;=9999,"",INDEX(Presupuesto!$C:$C,SMALL($AA179:$CH179,4)))</f>
        <v>0</v>
      </c>
      <c r="L179" s="1" t="n">
        <f aca="false">IF(SMALL($AA179:$CH179,5)&gt;=9999,"",INDEX(Presupuesto!$C:$C,SMALL($AA179:$CH179,5)))</f>
        <v>0</v>
      </c>
      <c r="M179" s="1" t="n">
        <f aca="false">IF(SMALL($AA179:$CH179,6)&gt;=9999,"",INDEX(Presupuesto!$C:$C,SMALL($AA179:$CH179,6)))</f>
        <v>0</v>
      </c>
      <c r="N179" s="1" t="n">
        <f aca="false">IF(SMALL($AA179:$CH179,7)&gt;=9999,"",INDEX(Presupuesto!$C:$C,SMALL($AA179:$CH179,7)))</f>
        <v>0</v>
      </c>
      <c r="O179" s="1" t="n">
        <f aca="false">IF(SMALL($AA179:$CH179,8)&gt;=9999,"",INDEX(Presupuesto!$C:$C,SMALL($AA179:$CH179,8)))</f>
        <v>0</v>
      </c>
      <c r="P179" s="1" t="n">
        <f aca="false">IF(SMALL($AA179:$CH179,9)&gt;=9999,"",INDEX(Presupuesto!$C:$C,SMALL($AA179:$CH179,9)))</f>
        <v>0</v>
      </c>
      <c r="Q179" s="1" t="n">
        <f aca="false">IF(SMALL($AA179:$CH179,10)&gt;=9999,"",INDEX(Presupuesto!$C:$C,SMALL($AA179:$CH179,10)))</f>
        <v>0</v>
      </c>
      <c r="AA179" s="0" t="n">
        <f aca="false">IF(Presupuesto!$B$7='Flujo de Pagos'!$E179,7,9999)</f>
        <v>9999</v>
      </c>
      <c r="AB179" s="0" t="n">
        <f aca="false">IF(Presupuesto!$B$8='Flujo de Pagos'!$E179,8,9999)</f>
        <v>9999</v>
      </c>
      <c r="AC179" s="0" t="n">
        <f aca="false">IF(Presupuesto!$B$9='Flujo de Pagos'!$E179,9,9999)</f>
        <v>9999</v>
      </c>
      <c r="AD179" s="0" t="n">
        <f aca="false">IF(Presupuesto!$B$10='Flujo de Pagos'!$E179,10,9999)</f>
        <v>9999</v>
      </c>
      <c r="AE179" s="0" t="n">
        <f aca="false">IF(Presupuesto!$B$11='Flujo de Pagos'!$E179,11,9999)</f>
        <v>9999</v>
      </c>
      <c r="AF179" s="0" t="n">
        <f aca="false">IF(Presupuesto!$B$12='Flujo de Pagos'!$E179,12,9999)</f>
        <v>12</v>
      </c>
      <c r="AG179" s="0" t="n">
        <f aca="false">IF(Presupuesto!$B$13='Flujo de Pagos'!$E179,13,9999)</f>
        <v>13</v>
      </c>
      <c r="AH179" s="0" t="n">
        <f aca="false">IF(Presupuesto!$B$14='Flujo de Pagos'!$E179,14,9999)</f>
        <v>14</v>
      </c>
      <c r="AI179" s="0" t="n">
        <f aca="false">IF(Presupuesto!$B$15='Flujo de Pagos'!$E179,15,9999)</f>
        <v>15</v>
      </c>
      <c r="AJ179" s="0" t="n">
        <f aca="false">IF(Presupuesto!$B$16='Flujo de Pagos'!$E179,16,9999)</f>
        <v>16</v>
      </c>
      <c r="AK179" s="0" t="n">
        <f aca="false">IF(Presupuesto!$B$17='Flujo de Pagos'!$E179,17,9999)</f>
        <v>17</v>
      </c>
      <c r="AL179" s="0" t="n">
        <f aca="false">IF(Presupuesto!$B$18='Flujo de Pagos'!$E179,18,9999)</f>
        <v>18</v>
      </c>
      <c r="AM179" s="0" t="n">
        <f aca="false">IF(Presupuesto!$B$19='Flujo de Pagos'!$E179,19,9999)</f>
        <v>19</v>
      </c>
      <c r="AN179" s="0" t="n">
        <f aca="false">IF(Presupuesto!$B$20='Flujo de Pagos'!$E179,20,9999)</f>
        <v>20</v>
      </c>
      <c r="AO179" s="0" t="n">
        <f aca="false">IF(Presupuesto!$B$21='Flujo de Pagos'!$E179,21,9999)</f>
        <v>21</v>
      </c>
      <c r="AP179" s="0" t="n">
        <f aca="false">IF(Presupuesto!$B$22='Flujo de Pagos'!$E179,22,9999)</f>
        <v>22</v>
      </c>
      <c r="AQ179" s="0" t="n">
        <f aca="false">IF(Presupuesto!$B$23='Flujo de Pagos'!$E179,23,9999)</f>
        <v>23</v>
      </c>
      <c r="AR179" s="0" t="n">
        <f aca="false">IF(Presupuesto!$B$24='Flujo de Pagos'!$E179,24,9999)</f>
        <v>24</v>
      </c>
      <c r="AS179" s="0" t="n">
        <f aca="false">IF(Presupuesto!$B$25='Flujo de Pagos'!$E179,25,9999)</f>
        <v>25</v>
      </c>
      <c r="AT179" s="0" t="n">
        <f aca="false">IF(Presupuesto!$B$26='Flujo de Pagos'!$E179,26,9999)</f>
        <v>26</v>
      </c>
      <c r="AU179" s="0" t="n">
        <f aca="false">IF(Presupuesto!$B$27='Flujo de Pagos'!$E179,27,9999)</f>
        <v>27</v>
      </c>
      <c r="AV179" s="0" t="n">
        <f aca="false">IF(Presupuesto!$B$28='Flujo de Pagos'!$E179,28,9999)</f>
        <v>28</v>
      </c>
      <c r="AW179" s="0" t="n">
        <f aca="false">IF(Presupuesto!$B$29='Flujo de Pagos'!$E179,29,9999)</f>
        <v>29</v>
      </c>
      <c r="AX179" s="0" t="n">
        <f aca="false">IF(Presupuesto!$B$30='Flujo de Pagos'!$E179,30,9999)</f>
        <v>30</v>
      </c>
      <c r="AY179" s="0" t="n">
        <f aca="false">IF(Presupuesto!$B$31='Flujo de Pagos'!$E179,31,9999)</f>
        <v>31</v>
      </c>
      <c r="AZ179" s="0" t="n">
        <f aca="false">IF(Presupuesto!$B$32='Flujo de Pagos'!$E179,32,9999)</f>
        <v>32</v>
      </c>
      <c r="BA179" s="0" t="n">
        <f aca="false">IF(Presupuesto!$B$33='Flujo de Pagos'!$E179,33,9999)</f>
        <v>33</v>
      </c>
      <c r="BB179" s="0" t="n">
        <f aca="false">IF(Presupuesto!$B$34='Flujo de Pagos'!$E179,34,9999)</f>
        <v>34</v>
      </c>
      <c r="BC179" s="0" t="n">
        <f aca="false">IF(Presupuesto!$B$35='Flujo de Pagos'!$E179,35,9999)</f>
        <v>35</v>
      </c>
      <c r="BD179" s="0" t="n">
        <f aca="false">IF(Presupuesto!$B$36='Flujo de Pagos'!$E179,36,9999)</f>
        <v>36</v>
      </c>
      <c r="BE179" s="0" t="n">
        <f aca="false">IF(Presupuesto!$B$37='Flujo de Pagos'!$E179,37,9999)</f>
        <v>37</v>
      </c>
      <c r="BF179" s="0" t="n">
        <f aca="false">IF(Presupuesto!$B$38='Flujo de Pagos'!$E179,38,9999)</f>
        <v>38</v>
      </c>
      <c r="BG179" s="0" t="n">
        <f aca="false">IF(Presupuesto!$B$39='Flujo de Pagos'!$E179,39,9999)</f>
        <v>39</v>
      </c>
      <c r="BH179" s="0" t="n">
        <f aca="false">IF(Presupuesto!$B$40='Flujo de Pagos'!$E179,40,9999)</f>
        <v>40</v>
      </c>
      <c r="BI179" s="0" t="n">
        <f aca="false">IF(Presupuesto!$B$41='Flujo de Pagos'!$E179,41,9999)</f>
        <v>41</v>
      </c>
      <c r="BJ179" s="0" t="n">
        <f aca="false">IF(Presupuesto!$B$42='Flujo de Pagos'!$E179,42,9999)</f>
        <v>42</v>
      </c>
      <c r="BK179" s="0" t="n">
        <f aca="false">IF(Presupuesto!$B$43='Flujo de Pagos'!$E179,43,9999)</f>
        <v>43</v>
      </c>
      <c r="BL179" s="0" t="n">
        <f aca="false">IF(Presupuesto!$B$44='Flujo de Pagos'!$E179,44,9999)</f>
        <v>44</v>
      </c>
      <c r="BM179" s="0" t="n">
        <f aca="false">IF(Presupuesto!$B$45='Flujo de Pagos'!$E179,45,9999)</f>
        <v>45</v>
      </c>
      <c r="BN179" s="0" t="n">
        <f aca="false">IF(Presupuesto!$B$46='Flujo de Pagos'!$E179,46,9999)</f>
        <v>46</v>
      </c>
      <c r="BO179" s="0" t="n">
        <f aca="false">IF(Presupuesto!$B$47='Flujo de Pagos'!$E179,47,9999)</f>
        <v>47</v>
      </c>
      <c r="BP179" s="0" t="n">
        <f aca="false">IF(Presupuesto!$B$48='Flujo de Pagos'!$E179,48,9999)</f>
        <v>48</v>
      </c>
      <c r="BQ179" s="0" t="n">
        <f aca="false">IF(Presupuesto!$B$49='Flujo de Pagos'!$E179,49,9999)</f>
        <v>49</v>
      </c>
      <c r="BR179" s="0" t="n">
        <f aca="false">IF(Presupuesto!$B$50='Flujo de Pagos'!$E179,50,9999)</f>
        <v>50</v>
      </c>
      <c r="BS179" s="0" t="n">
        <f aca="false">IF(Presupuesto!$B$51='Flujo de Pagos'!$E179,51,9999)</f>
        <v>51</v>
      </c>
      <c r="BT179" s="0" t="n">
        <f aca="false">IF(Presupuesto!$B$52='Flujo de Pagos'!$E179,52,9999)</f>
        <v>52</v>
      </c>
      <c r="BU179" s="0" t="n">
        <f aca="false">IF(Presupuesto!$B$53='Flujo de Pagos'!$E179,53,9999)</f>
        <v>53</v>
      </c>
      <c r="BV179" s="0" t="n">
        <f aca="false">IF(Presupuesto!$B$54='Flujo de Pagos'!$E179,54,9999)</f>
        <v>54</v>
      </c>
      <c r="BW179" s="0" t="n">
        <f aca="false">IF(Presupuesto!$B$55='Flujo de Pagos'!$E179,55,9999)</f>
        <v>55</v>
      </c>
      <c r="BX179" s="0" t="n">
        <f aca="false">IF(Presupuesto!$B$56='Flujo de Pagos'!$E179,56,9999)</f>
        <v>56</v>
      </c>
      <c r="BY179" s="0" t="n">
        <f aca="false">IF(Presupuesto!$B$57='Flujo de Pagos'!$E179,57,9999)</f>
        <v>57</v>
      </c>
      <c r="BZ179" s="0" t="n">
        <f aca="false">IF(Presupuesto!$B$58='Flujo de Pagos'!$E179,58,9999)</f>
        <v>58</v>
      </c>
      <c r="CA179" s="0" t="n">
        <f aca="false">IF(Presupuesto!$B$59='Flujo de Pagos'!$E179,59,9999)</f>
        <v>59</v>
      </c>
      <c r="CB179" s="0" t="n">
        <f aca="false">IF(Presupuesto!$B$60='Flujo de Pagos'!$E179,60,9999)</f>
        <v>60</v>
      </c>
      <c r="CC179" s="0" t="n">
        <f aca="false">IF(Presupuesto!$B$61='Flujo de Pagos'!$E179,61,9999)</f>
        <v>61</v>
      </c>
      <c r="CD179" s="0" t="n">
        <f aca="false">IF(Presupuesto!$B$62='Flujo de Pagos'!$E179,62,9999)</f>
        <v>62</v>
      </c>
      <c r="CE179" s="0" t="n">
        <f aca="false">IF(Presupuesto!$B$63='Flujo de Pagos'!$E179,63,9999)</f>
        <v>63</v>
      </c>
      <c r="CF179" s="0" t="n">
        <f aca="false">IF(Presupuesto!$B$64='Flujo de Pagos'!$E179,64,9999)</f>
        <v>64</v>
      </c>
      <c r="CG179" s="0" t="n">
        <f aca="false">IF(Presupuesto!$B$65='Flujo de Pagos'!$E179,65,9999)</f>
        <v>65</v>
      </c>
      <c r="CH179" s="0" t="n">
        <f aca="false">IF(Presupuesto!$B$66='Flujo de Pagos'!$E179,66,9999)</f>
        <v>66</v>
      </c>
    </row>
    <row r="180" customFormat="false" ht="15" hidden="false" customHeight="true" outlineLevel="0" collapsed="false">
      <c r="B180" s="1" t="n">
        <f aca="false">IF(AND('Flujo de Pagos'!E185=Carátula!$B$2,'Flujo de Pagos'!F185=Carátula!$B$4,'Flujo de Pagos'!H185&lt;&gt;""),185,99999)</f>
        <v>99999</v>
      </c>
      <c r="H180" s="1" t="n">
        <f aca="false">IF(SMALL($AA180:$CH180,1)&gt;=9999,"",INDEX(Presupuesto!$C:$C,SMALL($AA180:$CH180,1)))</f>
        <v>0</v>
      </c>
      <c r="I180" s="1" t="n">
        <f aca="false">IF(SMALL($AA180:$CH180,2)&gt;=9999,"",INDEX(Presupuesto!$C:$C,SMALL($AA180:$CH180,2)))</f>
        <v>0</v>
      </c>
      <c r="J180" s="1" t="n">
        <f aca="false">IF(SMALL($AA180:$CH180,3)&gt;=9999,"",INDEX(Presupuesto!$C:$C,SMALL($AA180:$CH180,3)))</f>
        <v>0</v>
      </c>
      <c r="K180" s="1" t="n">
        <f aca="false">IF(SMALL($AA180:$CH180,4)&gt;=9999,"",INDEX(Presupuesto!$C:$C,SMALL($AA180:$CH180,4)))</f>
        <v>0</v>
      </c>
      <c r="L180" s="1" t="n">
        <f aca="false">IF(SMALL($AA180:$CH180,5)&gt;=9999,"",INDEX(Presupuesto!$C:$C,SMALL($AA180:$CH180,5)))</f>
        <v>0</v>
      </c>
      <c r="M180" s="1" t="n">
        <f aca="false">IF(SMALL($AA180:$CH180,6)&gt;=9999,"",INDEX(Presupuesto!$C:$C,SMALL($AA180:$CH180,6)))</f>
        <v>0</v>
      </c>
      <c r="N180" s="1" t="n">
        <f aca="false">IF(SMALL($AA180:$CH180,7)&gt;=9999,"",INDEX(Presupuesto!$C:$C,SMALL($AA180:$CH180,7)))</f>
        <v>0</v>
      </c>
      <c r="O180" s="1" t="n">
        <f aca="false">IF(SMALL($AA180:$CH180,8)&gt;=9999,"",INDEX(Presupuesto!$C:$C,SMALL($AA180:$CH180,8)))</f>
        <v>0</v>
      </c>
      <c r="P180" s="1" t="n">
        <f aca="false">IF(SMALL($AA180:$CH180,9)&gt;=9999,"",INDEX(Presupuesto!$C:$C,SMALL($AA180:$CH180,9)))</f>
        <v>0</v>
      </c>
      <c r="Q180" s="1" t="n">
        <f aca="false">IF(SMALL($AA180:$CH180,10)&gt;=9999,"",INDEX(Presupuesto!$C:$C,SMALL($AA180:$CH180,10)))</f>
        <v>0</v>
      </c>
      <c r="AA180" s="0" t="n">
        <f aca="false">IF(Presupuesto!$B$7='Flujo de Pagos'!$E180,7,9999)</f>
        <v>9999</v>
      </c>
      <c r="AB180" s="0" t="n">
        <f aca="false">IF(Presupuesto!$B$8='Flujo de Pagos'!$E180,8,9999)</f>
        <v>9999</v>
      </c>
      <c r="AC180" s="0" t="n">
        <f aca="false">IF(Presupuesto!$B$9='Flujo de Pagos'!$E180,9,9999)</f>
        <v>9999</v>
      </c>
      <c r="AD180" s="0" t="n">
        <f aca="false">IF(Presupuesto!$B$10='Flujo de Pagos'!$E180,10,9999)</f>
        <v>9999</v>
      </c>
      <c r="AE180" s="0" t="n">
        <f aca="false">IF(Presupuesto!$B$11='Flujo de Pagos'!$E180,11,9999)</f>
        <v>9999</v>
      </c>
      <c r="AF180" s="0" t="n">
        <f aca="false">IF(Presupuesto!$B$12='Flujo de Pagos'!$E180,12,9999)</f>
        <v>12</v>
      </c>
      <c r="AG180" s="0" t="n">
        <f aca="false">IF(Presupuesto!$B$13='Flujo de Pagos'!$E180,13,9999)</f>
        <v>13</v>
      </c>
      <c r="AH180" s="0" t="n">
        <f aca="false">IF(Presupuesto!$B$14='Flujo de Pagos'!$E180,14,9999)</f>
        <v>14</v>
      </c>
      <c r="AI180" s="0" t="n">
        <f aca="false">IF(Presupuesto!$B$15='Flujo de Pagos'!$E180,15,9999)</f>
        <v>15</v>
      </c>
      <c r="AJ180" s="0" t="n">
        <f aca="false">IF(Presupuesto!$B$16='Flujo de Pagos'!$E180,16,9999)</f>
        <v>16</v>
      </c>
      <c r="AK180" s="0" t="n">
        <f aca="false">IF(Presupuesto!$B$17='Flujo de Pagos'!$E180,17,9999)</f>
        <v>17</v>
      </c>
      <c r="AL180" s="0" t="n">
        <f aca="false">IF(Presupuesto!$B$18='Flujo de Pagos'!$E180,18,9999)</f>
        <v>18</v>
      </c>
      <c r="AM180" s="0" t="n">
        <f aca="false">IF(Presupuesto!$B$19='Flujo de Pagos'!$E180,19,9999)</f>
        <v>19</v>
      </c>
      <c r="AN180" s="0" t="n">
        <f aca="false">IF(Presupuesto!$B$20='Flujo de Pagos'!$E180,20,9999)</f>
        <v>20</v>
      </c>
      <c r="AO180" s="0" t="n">
        <f aca="false">IF(Presupuesto!$B$21='Flujo de Pagos'!$E180,21,9999)</f>
        <v>21</v>
      </c>
      <c r="AP180" s="0" t="n">
        <f aca="false">IF(Presupuesto!$B$22='Flujo de Pagos'!$E180,22,9999)</f>
        <v>22</v>
      </c>
      <c r="AQ180" s="0" t="n">
        <f aca="false">IF(Presupuesto!$B$23='Flujo de Pagos'!$E180,23,9999)</f>
        <v>23</v>
      </c>
      <c r="AR180" s="0" t="n">
        <f aca="false">IF(Presupuesto!$B$24='Flujo de Pagos'!$E180,24,9999)</f>
        <v>24</v>
      </c>
      <c r="AS180" s="0" t="n">
        <f aca="false">IF(Presupuesto!$B$25='Flujo de Pagos'!$E180,25,9999)</f>
        <v>25</v>
      </c>
      <c r="AT180" s="0" t="n">
        <f aca="false">IF(Presupuesto!$B$26='Flujo de Pagos'!$E180,26,9999)</f>
        <v>26</v>
      </c>
      <c r="AU180" s="0" t="n">
        <f aca="false">IF(Presupuesto!$B$27='Flujo de Pagos'!$E180,27,9999)</f>
        <v>27</v>
      </c>
      <c r="AV180" s="0" t="n">
        <f aca="false">IF(Presupuesto!$B$28='Flujo de Pagos'!$E180,28,9999)</f>
        <v>28</v>
      </c>
      <c r="AW180" s="0" t="n">
        <f aca="false">IF(Presupuesto!$B$29='Flujo de Pagos'!$E180,29,9999)</f>
        <v>29</v>
      </c>
      <c r="AX180" s="0" t="n">
        <f aca="false">IF(Presupuesto!$B$30='Flujo de Pagos'!$E180,30,9999)</f>
        <v>30</v>
      </c>
      <c r="AY180" s="0" t="n">
        <f aca="false">IF(Presupuesto!$B$31='Flujo de Pagos'!$E180,31,9999)</f>
        <v>31</v>
      </c>
      <c r="AZ180" s="0" t="n">
        <f aca="false">IF(Presupuesto!$B$32='Flujo de Pagos'!$E180,32,9999)</f>
        <v>32</v>
      </c>
      <c r="BA180" s="0" t="n">
        <f aca="false">IF(Presupuesto!$B$33='Flujo de Pagos'!$E180,33,9999)</f>
        <v>33</v>
      </c>
      <c r="BB180" s="0" t="n">
        <f aca="false">IF(Presupuesto!$B$34='Flujo de Pagos'!$E180,34,9999)</f>
        <v>34</v>
      </c>
      <c r="BC180" s="0" t="n">
        <f aca="false">IF(Presupuesto!$B$35='Flujo de Pagos'!$E180,35,9999)</f>
        <v>35</v>
      </c>
      <c r="BD180" s="0" t="n">
        <f aca="false">IF(Presupuesto!$B$36='Flujo de Pagos'!$E180,36,9999)</f>
        <v>36</v>
      </c>
      <c r="BE180" s="0" t="n">
        <f aca="false">IF(Presupuesto!$B$37='Flujo de Pagos'!$E180,37,9999)</f>
        <v>37</v>
      </c>
      <c r="BF180" s="0" t="n">
        <f aca="false">IF(Presupuesto!$B$38='Flujo de Pagos'!$E180,38,9999)</f>
        <v>38</v>
      </c>
      <c r="BG180" s="0" t="n">
        <f aca="false">IF(Presupuesto!$B$39='Flujo de Pagos'!$E180,39,9999)</f>
        <v>39</v>
      </c>
      <c r="BH180" s="0" t="n">
        <f aca="false">IF(Presupuesto!$B$40='Flujo de Pagos'!$E180,40,9999)</f>
        <v>40</v>
      </c>
      <c r="BI180" s="0" t="n">
        <f aca="false">IF(Presupuesto!$B$41='Flujo de Pagos'!$E180,41,9999)</f>
        <v>41</v>
      </c>
      <c r="BJ180" s="0" t="n">
        <f aca="false">IF(Presupuesto!$B$42='Flujo de Pagos'!$E180,42,9999)</f>
        <v>42</v>
      </c>
      <c r="BK180" s="0" t="n">
        <f aca="false">IF(Presupuesto!$B$43='Flujo de Pagos'!$E180,43,9999)</f>
        <v>43</v>
      </c>
      <c r="BL180" s="0" t="n">
        <f aca="false">IF(Presupuesto!$B$44='Flujo de Pagos'!$E180,44,9999)</f>
        <v>44</v>
      </c>
      <c r="BM180" s="0" t="n">
        <f aca="false">IF(Presupuesto!$B$45='Flujo de Pagos'!$E180,45,9999)</f>
        <v>45</v>
      </c>
      <c r="BN180" s="0" t="n">
        <f aca="false">IF(Presupuesto!$B$46='Flujo de Pagos'!$E180,46,9999)</f>
        <v>46</v>
      </c>
      <c r="BO180" s="0" t="n">
        <f aca="false">IF(Presupuesto!$B$47='Flujo de Pagos'!$E180,47,9999)</f>
        <v>47</v>
      </c>
      <c r="BP180" s="0" t="n">
        <f aca="false">IF(Presupuesto!$B$48='Flujo de Pagos'!$E180,48,9999)</f>
        <v>48</v>
      </c>
      <c r="BQ180" s="0" t="n">
        <f aca="false">IF(Presupuesto!$B$49='Flujo de Pagos'!$E180,49,9999)</f>
        <v>49</v>
      </c>
      <c r="BR180" s="0" t="n">
        <f aca="false">IF(Presupuesto!$B$50='Flujo de Pagos'!$E180,50,9999)</f>
        <v>50</v>
      </c>
      <c r="BS180" s="0" t="n">
        <f aca="false">IF(Presupuesto!$B$51='Flujo de Pagos'!$E180,51,9999)</f>
        <v>51</v>
      </c>
      <c r="BT180" s="0" t="n">
        <f aca="false">IF(Presupuesto!$B$52='Flujo de Pagos'!$E180,52,9999)</f>
        <v>52</v>
      </c>
      <c r="BU180" s="0" t="n">
        <f aca="false">IF(Presupuesto!$B$53='Flujo de Pagos'!$E180,53,9999)</f>
        <v>53</v>
      </c>
      <c r="BV180" s="0" t="n">
        <f aca="false">IF(Presupuesto!$B$54='Flujo de Pagos'!$E180,54,9999)</f>
        <v>54</v>
      </c>
      <c r="BW180" s="0" t="n">
        <f aca="false">IF(Presupuesto!$B$55='Flujo de Pagos'!$E180,55,9999)</f>
        <v>55</v>
      </c>
      <c r="BX180" s="0" t="n">
        <f aca="false">IF(Presupuesto!$B$56='Flujo de Pagos'!$E180,56,9999)</f>
        <v>56</v>
      </c>
      <c r="BY180" s="0" t="n">
        <f aca="false">IF(Presupuesto!$B$57='Flujo de Pagos'!$E180,57,9999)</f>
        <v>57</v>
      </c>
      <c r="BZ180" s="0" t="n">
        <f aca="false">IF(Presupuesto!$B$58='Flujo de Pagos'!$E180,58,9999)</f>
        <v>58</v>
      </c>
      <c r="CA180" s="0" t="n">
        <f aca="false">IF(Presupuesto!$B$59='Flujo de Pagos'!$E180,59,9999)</f>
        <v>59</v>
      </c>
      <c r="CB180" s="0" t="n">
        <f aca="false">IF(Presupuesto!$B$60='Flujo de Pagos'!$E180,60,9999)</f>
        <v>60</v>
      </c>
      <c r="CC180" s="0" t="n">
        <f aca="false">IF(Presupuesto!$B$61='Flujo de Pagos'!$E180,61,9999)</f>
        <v>61</v>
      </c>
      <c r="CD180" s="0" t="n">
        <f aca="false">IF(Presupuesto!$B$62='Flujo de Pagos'!$E180,62,9999)</f>
        <v>62</v>
      </c>
      <c r="CE180" s="0" t="n">
        <f aca="false">IF(Presupuesto!$B$63='Flujo de Pagos'!$E180,63,9999)</f>
        <v>63</v>
      </c>
      <c r="CF180" s="0" t="n">
        <f aca="false">IF(Presupuesto!$B$64='Flujo de Pagos'!$E180,64,9999)</f>
        <v>64</v>
      </c>
      <c r="CG180" s="0" t="n">
        <f aca="false">IF(Presupuesto!$B$65='Flujo de Pagos'!$E180,65,9999)</f>
        <v>65</v>
      </c>
      <c r="CH180" s="0" t="n">
        <f aca="false">IF(Presupuesto!$B$66='Flujo de Pagos'!$E180,66,9999)</f>
        <v>66</v>
      </c>
    </row>
    <row r="181" customFormat="false" ht="15" hidden="false" customHeight="true" outlineLevel="0" collapsed="false">
      <c r="B181" s="1" t="n">
        <f aca="false">IF(AND('Flujo de Pagos'!E186=Carátula!$B$2,'Flujo de Pagos'!F186=Carátula!$B$4,'Flujo de Pagos'!H186&lt;&gt;""),186,99999)</f>
        <v>99999</v>
      </c>
      <c r="H181" s="1" t="n">
        <f aca="false">IF(SMALL($AA181:$CH181,1)&gt;=9999,"",INDEX(Presupuesto!$C:$C,SMALL($AA181:$CH181,1)))</f>
        <v>0</v>
      </c>
      <c r="I181" s="1" t="n">
        <f aca="false">IF(SMALL($AA181:$CH181,2)&gt;=9999,"",INDEX(Presupuesto!$C:$C,SMALL($AA181:$CH181,2)))</f>
        <v>0</v>
      </c>
      <c r="J181" s="1" t="n">
        <f aca="false">IF(SMALL($AA181:$CH181,3)&gt;=9999,"",INDEX(Presupuesto!$C:$C,SMALL($AA181:$CH181,3)))</f>
        <v>0</v>
      </c>
      <c r="K181" s="1" t="n">
        <f aca="false">IF(SMALL($AA181:$CH181,4)&gt;=9999,"",INDEX(Presupuesto!$C:$C,SMALL($AA181:$CH181,4)))</f>
        <v>0</v>
      </c>
      <c r="L181" s="1" t="n">
        <f aca="false">IF(SMALL($AA181:$CH181,5)&gt;=9999,"",INDEX(Presupuesto!$C:$C,SMALL($AA181:$CH181,5)))</f>
        <v>0</v>
      </c>
      <c r="M181" s="1" t="n">
        <f aca="false">IF(SMALL($AA181:$CH181,6)&gt;=9999,"",INDEX(Presupuesto!$C:$C,SMALL($AA181:$CH181,6)))</f>
        <v>0</v>
      </c>
      <c r="N181" s="1" t="n">
        <f aca="false">IF(SMALL($AA181:$CH181,7)&gt;=9999,"",INDEX(Presupuesto!$C:$C,SMALL($AA181:$CH181,7)))</f>
        <v>0</v>
      </c>
      <c r="O181" s="1" t="n">
        <f aca="false">IF(SMALL($AA181:$CH181,8)&gt;=9999,"",INDEX(Presupuesto!$C:$C,SMALL($AA181:$CH181,8)))</f>
        <v>0</v>
      </c>
      <c r="P181" s="1" t="n">
        <f aca="false">IF(SMALL($AA181:$CH181,9)&gt;=9999,"",INDEX(Presupuesto!$C:$C,SMALL($AA181:$CH181,9)))</f>
        <v>0</v>
      </c>
      <c r="Q181" s="1" t="n">
        <f aca="false">IF(SMALL($AA181:$CH181,10)&gt;=9999,"",INDEX(Presupuesto!$C:$C,SMALL($AA181:$CH181,10)))</f>
        <v>0</v>
      </c>
      <c r="AA181" s="0" t="n">
        <f aca="false">IF(Presupuesto!$B$7='Flujo de Pagos'!$E181,7,9999)</f>
        <v>9999</v>
      </c>
      <c r="AB181" s="0" t="n">
        <f aca="false">IF(Presupuesto!$B$8='Flujo de Pagos'!$E181,8,9999)</f>
        <v>9999</v>
      </c>
      <c r="AC181" s="0" t="n">
        <f aca="false">IF(Presupuesto!$B$9='Flujo de Pagos'!$E181,9,9999)</f>
        <v>9999</v>
      </c>
      <c r="AD181" s="0" t="n">
        <f aca="false">IF(Presupuesto!$B$10='Flujo de Pagos'!$E181,10,9999)</f>
        <v>9999</v>
      </c>
      <c r="AE181" s="0" t="n">
        <f aca="false">IF(Presupuesto!$B$11='Flujo de Pagos'!$E181,11,9999)</f>
        <v>9999</v>
      </c>
      <c r="AF181" s="0" t="n">
        <f aca="false">IF(Presupuesto!$B$12='Flujo de Pagos'!$E181,12,9999)</f>
        <v>12</v>
      </c>
      <c r="AG181" s="0" t="n">
        <f aca="false">IF(Presupuesto!$B$13='Flujo de Pagos'!$E181,13,9999)</f>
        <v>13</v>
      </c>
      <c r="AH181" s="0" t="n">
        <f aca="false">IF(Presupuesto!$B$14='Flujo de Pagos'!$E181,14,9999)</f>
        <v>14</v>
      </c>
      <c r="AI181" s="0" t="n">
        <f aca="false">IF(Presupuesto!$B$15='Flujo de Pagos'!$E181,15,9999)</f>
        <v>15</v>
      </c>
      <c r="AJ181" s="0" t="n">
        <f aca="false">IF(Presupuesto!$B$16='Flujo de Pagos'!$E181,16,9999)</f>
        <v>16</v>
      </c>
      <c r="AK181" s="0" t="n">
        <f aca="false">IF(Presupuesto!$B$17='Flujo de Pagos'!$E181,17,9999)</f>
        <v>17</v>
      </c>
      <c r="AL181" s="0" t="n">
        <f aca="false">IF(Presupuesto!$B$18='Flujo de Pagos'!$E181,18,9999)</f>
        <v>18</v>
      </c>
      <c r="AM181" s="0" t="n">
        <f aca="false">IF(Presupuesto!$B$19='Flujo de Pagos'!$E181,19,9999)</f>
        <v>19</v>
      </c>
      <c r="AN181" s="0" t="n">
        <f aca="false">IF(Presupuesto!$B$20='Flujo de Pagos'!$E181,20,9999)</f>
        <v>20</v>
      </c>
      <c r="AO181" s="0" t="n">
        <f aca="false">IF(Presupuesto!$B$21='Flujo de Pagos'!$E181,21,9999)</f>
        <v>21</v>
      </c>
      <c r="AP181" s="0" t="n">
        <f aca="false">IF(Presupuesto!$B$22='Flujo de Pagos'!$E181,22,9999)</f>
        <v>22</v>
      </c>
      <c r="AQ181" s="0" t="n">
        <f aca="false">IF(Presupuesto!$B$23='Flujo de Pagos'!$E181,23,9999)</f>
        <v>23</v>
      </c>
      <c r="AR181" s="0" t="n">
        <f aca="false">IF(Presupuesto!$B$24='Flujo de Pagos'!$E181,24,9999)</f>
        <v>24</v>
      </c>
      <c r="AS181" s="0" t="n">
        <f aca="false">IF(Presupuesto!$B$25='Flujo de Pagos'!$E181,25,9999)</f>
        <v>25</v>
      </c>
      <c r="AT181" s="0" t="n">
        <f aca="false">IF(Presupuesto!$B$26='Flujo de Pagos'!$E181,26,9999)</f>
        <v>26</v>
      </c>
      <c r="AU181" s="0" t="n">
        <f aca="false">IF(Presupuesto!$B$27='Flujo de Pagos'!$E181,27,9999)</f>
        <v>27</v>
      </c>
      <c r="AV181" s="0" t="n">
        <f aca="false">IF(Presupuesto!$B$28='Flujo de Pagos'!$E181,28,9999)</f>
        <v>28</v>
      </c>
      <c r="AW181" s="0" t="n">
        <f aca="false">IF(Presupuesto!$B$29='Flujo de Pagos'!$E181,29,9999)</f>
        <v>29</v>
      </c>
      <c r="AX181" s="0" t="n">
        <f aca="false">IF(Presupuesto!$B$30='Flujo de Pagos'!$E181,30,9999)</f>
        <v>30</v>
      </c>
      <c r="AY181" s="0" t="n">
        <f aca="false">IF(Presupuesto!$B$31='Flujo de Pagos'!$E181,31,9999)</f>
        <v>31</v>
      </c>
      <c r="AZ181" s="0" t="n">
        <f aca="false">IF(Presupuesto!$B$32='Flujo de Pagos'!$E181,32,9999)</f>
        <v>32</v>
      </c>
      <c r="BA181" s="0" t="n">
        <f aca="false">IF(Presupuesto!$B$33='Flujo de Pagos'!$E181,33,9999)</f>
        <v>33</v>
      </c>
      <c r="BB181" s="0" t="n">
        <f aca="false">IF(Presupuesto!$B$34='Flujo de Pagos'!$E181,34,9999)</f>
        <v>34</v>
      </c>
      <c r="BC181" s="0" t="n">
        <f aca="false">IF(Presupuesto!$B$35='Flujo de Pagos'!$E181,35,9999)</f>
        <v>35</v>
      </c>
      <c r="BD181" s="0" t="n">
        <f aca="false">IF(Presupuesto!$B$36='Flujo de Pagos'!$E181,36,9999)</f>
        <v>36</v>
      </c>
      <c r="BE181" s="0" t="n">
        <f aca="false">IF(Presupuesto!$B$37='Flujo de Pagos'!$E181,37,9999)</f>
        <v>37</v>
      </c>
      <c r="BF181" s="0" t="n">
        <f aca="false">IF(Presupuesto!$B$38='Flujo de Pagos'!$E181,38,9999)</f>
        <v>38</v>
      </c>
      <c r="BG181" s="0" t="n">
        <f aca="false">IF(Presupuesto!$B$39='Flujo de Pagos'!$E181,39,9999)</f>
        <v>39</v>
      </c>
      <c r="BH181" s="0" t="n">
        <f aca="false">IF(Presupuesto!$B$40='Flujo de Pagos'!$E181,40,9999)</f>
        <v>40</v>
      </c>
      <c r="BI181" s="0" t="n">
        <f aca="false">IF(Presupuesto!$B$41='Flujo de Pagos'!$E181,41,9999)</f>
        <v>41</v>
      </c>
      <c r="BJ181" s="0" t="n">
        <f aca="false">IF(Presupuesto!$B$42='Flujo de Pagos'!$E181,42,9999)</f>
        <v>42</v>
      </c>
      <c r="BK181" s="0" t="n">
        <f aca="false">IF(Presupuesto!$B$43='Flujo de Pagos'!$E181,43,9999)</f>
        <v>43</v>
      </c>
      <c r="BL181" s="0" t="n">
        <f aca="false">IF(Presupuesto!$B$44='Flujo de Pagos'!$E181,44,9999)</f>
        <v>44</v>
      </c>
      <c r="BM181" s="0" t="n">
        <f aca="false">IF(Presupuesto!$B$45='Flujo de Pagos'!$E181,45,9999)</f>
        <v>45</v>
      </c>
      <c r="BN181" s="0" t="n">
        <f aca="false">IF(Presupuesto!$B$46='Flujo de Pagos'!$E181,46,9999)</f>
        <v>46</v>
      </c>
      <c r="BO181" s="0" t="n">
        <f aca="false">IF(Presupuesto!$B$47='Flujo de Pagos'!$E181,47,9999)</f>
        <v>47</v>
      </c>
      <c r="BP181" s="0" t="n">
        <f aca="false">IF(Presupuesto!$B$48='Flujo de Pagos'!$E181,48,9999)</f>
        <v>48</v>
      </c>
      <c r="BQ181" s="0" t="n">
        <f aca="false">IF(Presupuesto!$B$49='Flujo de Pagos'!$E181,49,9999)</f>
        <v>49</v>
      </c>
      <c r="BR181" s="0" t="n">
        <f aca="false">IF(Presupuesto!$B$50='Flujo de Pagos'!$E181,50,9999)</f>
        <v>50</v>
      </c>
      <c r="BS181" s="0" t="n">
        <f aca="false">IF(Presupuesto!$B$51='Flujo de Pagos'!$E181,51,9999)</f>
        <v>51</v>
      </c>
      <c r="BT181" s="0" t="n">
        <f aca="false">IF(Presupuesto!$B$52='Flujo de Pagos'!$E181,52,9999)</f>
        <v>52</v>
      </c>
      <c r="BU181" s="0" t="n">
        <f aca="false">IF(Presupuesto!$B$53='Flujo de Pagos'!$E181,53,9999)</f>
        <v>53</v>
      </c>
      <c r="BV181" s="0" t="n">
        <f aca="false">IF(Presupuesto!$B$54='Flujo de Pagos'!$E181,54,9999)</f>
        <v>54</v>
      </c>
      <c r="BW181" s="0" t="n">
        <f aca="false">IF(Presupuesto!$B$55='Flujo de Pagos'!$E181,55,9999)</f>
        <v>55</v>
      </c>
      <c r="BX181" s="0" t="n">
        <f aca="false">IF(Presupuesto!$B$56='Flujo de Pagos'!$E181,56,9999)</f>
        <v>56</v>
      </c>
      <c r="BY181" s="0" t="n">
        <f aca="false">IF(Presupuesto!$B$57='Flujo de Pagos'!$E181,57,9999)</f>
        <v>57</v>
      </c>
      <c r="BZ181" s="0" t="n">
        <f aca="false">IF(Presupuesto!$B$58='Flujo de Pagos'!$E181,58,9999)</f>
        <v>58</v>
      </c>
      <c r="CA181" s="0" t="n">
        <f aca="false">IF(Presupuesto!$B$59='Flujo de Pagos'!$E181,59,9999)</f>
        <v>59</v>
      </c>
      <c r="CB181" s="0" t="n">
        <f aca="false">IF(Presupuesto!$B$60='Flujo de Pagos'!$E181,60,9999)</f>
        <v>60</v>
      </c>
      <c r="CC181" s="0" t="n">
        <f aca="false">IF(Presupuesto!$B$61='Flujo de Pagos'!$E181,61,9999)</f>
        <v>61</v>
      </c>
      <c r="CD181" s="0" t="n">
        <f aca="false">IF(Presupuesto!$B$62='Flujo de Pagos'!$E181,62,9999)</f>
        <v>62</v>
      </c>
      <c r="CE181" s="0" t="n">
        <f aca="false">IF(Presupuesto!$B$63='Flujo de Pagos'!$E181,63,9999)</f>
        <v>63</v>
      </c>
      <c r="CF181" s="0" t="n">
        <f aca="false">IF(Presupuesto!$B$64='Flujo de Pagos'!$E181,64,9999)</f>
        <v>64</v>
      </c>
      <c r="CG181" s="0" t="n">
        <f aca="false">IF(Presupuesto!$B$65='Flujo de Pagos'!$E181,65,9999)</f>
        <v>65</v>
      </c>
      <c r="CH181" s="0" t="n">
        <f aca="false">IF(Presupuesto!$B$66='Flujo de Pagos'!$E181,66,9999)</f>
        <v>66</v>
      </c>
    </row>
    <row r="182" customFormat="false" ht="15" hidden="false" customHeight="true" outlineLevel="0" collapsed="false">
      <c r="B182" s="1" t="n">
        <f aca="false">IF(AND('Flujo de Pagos'!E187=Carátula!$B$2,'Flujo de Pagos'!F187=Carátula!$B$4,'Flujo de Pagos'!H187&lt;&gt;""),187,99999)</f>
        <v>99999</v>
      </c>
      <c r="H182" s="1" t="n">
        <f aca="false">IF(SMALL($AA182:$CH182,1)&gt;=9999,"",INDEX(Presupuesto!$C:$C,SMALL($AA182:$CH182,1)))</f>
        <v>0</v>
      </c>
      <c r="I182" s="1" t="n">
        <f aca="false">IF(SMALL($AA182:$CH182,2)&gt;=9999,"",INDEX(Presupuesto!$C:$C,SMALL($AA182:$CH182,2)))</f>
        <v>0</v>
      </c>
      <c r="J182" s="1" t="n">
        <f aca="false">IF(SMALL($AA182:$CH182,3)&gt;=9999,"",INDEX(Presupuesto!$C:$C,SMALL($AA182:$CH182,3)))</f>
        <v>0</v>
      </c>
      <c r="K182" s="1" t="n">
        <f aca="false">IF(SMALL($AA182:$CH182,4)&gt;=9999,"",INDEX(Presupuesto!$C:$C,SMALL($AA182:$CH182,4)))</f>
        <v>0</v>
      </c>
      <c r="L182" s="1" t="n">
        <f aca="false">IF(SMALL($AA182:$CH182,5)&gt;=9999,"",INDEX(Presupuesto!$C:$C,SMALL($AA182:$CH182,5)))</f>
        <v>0</v>
      </c>
      <c r="M182" s="1" t="n">
        <f aca="false">IF(SMALL($AA182:$CH182,6)&gt;=9999,"",INDEX(Presupuesto!$C:$C,SMALL($AA182:$CH182,6)))</f>
        <v>0</v>
      </c>
      <c r="N182" s="1" t="n">
        <f aca="false">IF(SMALL($AA182:$CH182,7)&gt;=9999,"",INDEX(Presupuesto!$C:$C,SMALL($AA182:$CH182,7)))</f>
        <v>0</v>
      </c>
      <c r="O182" s="1" t="n">
        <f aca="false">IF(SMALL($AA182:$CH182,8)&gt;=9999,"",INDEX(Presupuesto!$C:$C,SMALL($AA182:$CH182,8)))</f>
        <v>0</v>
      </c>
      <c r="P182" s="1" t="n">
        <f aca="false">IF(SMALL($AA182:$CH182,9)&gt;=9999,"",INDEX(Presupuesto!$C:$C,SMALL($AA182:$CH182,9)))</f>
        <v>0</v>
      </c>
      <c r="Q182" s="1" t="n">
        <f aca="false">IF(SMALL($AA182:$CH182,10)&gt;=9999,"",INDEX(Presupuesto!$C:$C,SMALL($AA182:$CH182,10)))</f>
        <v>0</v>
      </c>
      <c r="AA182" s="0" t="n">
        <f aca="false">IF(Presupuesto!$B$7='Flujo de Pagos'!$E182,7,9999)</f>
        <v>9999</v>
      </c>
      <c r="AB182" s="0" t="n">
        <f aca="false">IF(Presupuesto!$B$8='Flujo de Pagos'!$E182,8,9999)</f>
        <v>9999</v>
      </c>
      <c r="AC182" s="0" t="n">
        <f aca="false">IF(Presupuesto!$B$9='Flujo de Pagos'!$E182,9,9999)</f>
        <v>9999</v>
      </c>
      <c r="AD182" s="0" t="n">
        <f aca="false">IF(Presupuesto!$B$10='Flujo de Pagos'!$E182,10,9999)</f>
        <v>9999</v>
      </c>
      <c r="AE182" s="0" t="n">
        <f aca="false">IF(Presupuesto!$B$11='Flujo de Pagos'!$E182,11,9999)</f>
        <v>9999</v>
      </c>
      <c r="AF182" s="0" t="n">
        <f aca="false">IF(Presupuesto!$B$12='Flujo de Pagos'!$E182,12,9999)</f>
        <v>12</v>
      </c>
      <c r="AG182" s="0" t="n">
        <f aca="false">IF(Presupuesto!$B$13='Flujo de Pagos'!$E182,13,9999)</f>
        <v>13</v>
      </c>
      <c r="AH182" s="0" t="n">
        <f aca="false">IF(Presupuesto!$B$14='Flujo de Pagos'!$E182,14,9999)</f>
        <v>14</v>
      </c>
      <c r="AI182" s="0" t="n">
        <f aca="false">IF(Presupuesto!$B$15='Flujo de Pagos'!$E182,15,9999)</f>
        <v>15</v>
      </c>
      <c r="AJ182" s="0" t="n">
        <f aca="false">IF(Presupuesto!$B$16='Flujo de Pagos'!$E182,16,9999)</f>
        <v>16</v>
      </c>
      <c r="AK182" s="0" t="n">
        <f aca="false">IF(Presupuesto!$B$17='Flujo de Pagos'!$E182,17,9999)</f>
        <v>17</v>
      </c>
      <c r="AL182" s="0" t="n">
        <f aca="false">IF(Presupuesto!$B$18='Flujo de Pagos'!$E182,18,9999)</f>
        <v>18</v>
      </c>
      <c r="AM182" s="0" t="n">
        <f aca="false">IF(Presupuesto!$B$19='Flujo de Pagos'!$E182,19,9999)</f>
        <v>19</v>
      </c>
      <c r="AN182" s="0" t="n">
        <f aca="false">IF(Presupuesto!$B$20='Flujo de Pagos'!$E182,20,9999)</f>
        <v>20</v>
      </c>
      <c r="AO182" s="0" t="n">
        <f aca="false">IF(Presupuesto!$B$21='Flujo de Pagos'!$E182,21,9999)</f>
        <v>21</v>
      </c>
      <c r="AP182" s="0" t="n">
        <f aca="false">IF(Presupuesto!$B$22='Flujo de Pagos'!$E182,22,9999)</f>
        <v>22</v>
      </c>
      <c r="AQ182" s="0" t="n">
        <f aca="false">IF(Presupuesto!$B$23='Flujo de Pagos'!$E182,23,9999)</f>
        <v>23</v>
      </c>
      <c r="AR182" s="0" t="n">
        <f aca="false">IF(Presupuesto!$B$24='Flujo de Pagos'!$E182,24,9999)</f>
        <v>24</v>
      </c>
      <c r="AS182" s="0" t="n">
        <f aca="false">IF(Presupuesto!$B$25='Flujo de Pagos'!$E182,25,9999)</f>
        <v>25</v>
      </c>
      <c r="AT182" s="0" t="n">
        <f aca="false">IF(Presupuesto!$B$26='Flujo de Pagos'!$E182,26,9999)</f>
        <v>26</v>
      </c>
      <c r="AU182" s="0" t="n">
        <f aca="false">IF(Presupuesto!$B$27='Flujo de Pagos'!$E182,27,9999)</f>
        <v>27</v>
      </c>
      <c r="AV182" s="0" t="n">
        <f aca="false">IF(Presupuesto!$B$28='Flujo de Pagos'!$E182,28,9999)</f>
        <v>28</v>
      </c>
      <c r="AW182" s="0" t="n">
        <f aca="false">IF(Presupuesto!$B$29='Flujo de Pagos'!$E182,29,9999)</f>
        <v>29</v>
      </c>
      <c r="AX182" s="0" t="n">
        <f aca="false">IF(Presupuesto!$B$30='Flujo de Pagos'!$E182,30,9999)</f>
        <v>30</v>
      </c>
      <c r="AY182" s="0" t="n">
        <f aca="false">IF(Presupuesto!$B$31='Flujo de Pagos'!$E182,31,9999)</f>
        <v>31</v>
      </c>
      <c r="AZ182" s="0" t="n">
        <f aca="false">IF(Presupuesto!$B$32='Flujo de Pagos'!$E182,32,9999)</f>
        <v>32</v>
      </c>
      <c r="BA182" s="0" t="n">
        <f aca="false">IF(Presupuesto!$B$33='Flujo de Pagos'!$E182,33,9999)</f>
        <v>33</v>
      </c>
      <c r="BB182" s="0" t="n">
        <f aca="false">IF(Presupuesto!$B$34='Flujo de Pagos'!$E182,34,9999)</f>
        <v>34</v>
      </c>
      <c r="BC182" s="0" t="n">
        <f aca="false">IF(Presupuesto!$B$35='Flujo de Pagos'!$E182,35,9999)</f>
        <v>35</v>
      </c>
      <c r="BD182" s="0" t="n">
        <f aca="false">IF(Presupuesto!$B$36='Flujo de Pagos'!$E182,36,9999)</f>
        <v>36</v>
      </c>
      <c r="BE182" s="0" t="n">
        <f aca="false">IF(Presupuesto!$B$37='Flujo de Pagos'!$E182,37,9999)</f>
        <v>37</v>
      </c>
      <c r="BF182" s="0" t="n">
        <f aca="false">IF(Presupuesto!$B$38='Flujo de Pagos'!$E182,38,9999)</f>
        <v>38</v>
      </c>
      <c r="BG182" s="0" t="n">
        <f aca="false">IF(Presupuesto!$B$39='Flujo de Pagos'!$E182,39,9999)</f>
        <v>39</v>
      </c>
      <c r="BH182" s="0" t="n">
        <f aca="false">IF(Presupuesto!$B$40='Flujo de Pagos'!$E182,40,9999)</f>
        <v>40</v>
      </c>
      <c r="BI182" s="0" t="n">
        <f aca="false">IF(Presupuesto!$B$41='Flujo de Pagos'!$E182,41,9999)</f>
        <v>41</v>
      </c>
      <c r="BJ182" s="0" t="n">
        <f aca="false">IF(Presupuesto!$B$42='Flujo de Pagos'!$E182,42,9999)</f>
        <v>42</v>
      </c>
      <c r="BK182" s="0" t="n">
        <f aca="false">IF(Presupuesto!$B$43='Flujo de Pagos'!$E182,43,9999)</f>
        <v>43</v>
      </c>
      <c r="BL182" s="0" t="n">
        <f aca="false">IF(Presupuesto!$B$44='Flujo de Pagos'!$E182,44,9999)</f>
        <v>44</v>
      </c>
      <c r="BM182" s="0" t="n">
        <f aca="false">IF(Presupuesto!$B$45='Flujo de Pagos'!$E182,45,9999)</f>
        <v>45</v>
      </c>
      <c r="BN182" s="0" t="n">
        <f aca="false">IF(Presupuesto!$B$46='Flujo de Pagos'!$E182,46,9999)</f>
        <v>46</v>
      </c>
      <c r="BO182" s="0" t="n">
        <f aca="false">IF(Presupuesto!$B$47='Flujo de Pagos'!$E182,47,9999)</f>
        <v>47</v>
      </c>
      <c r="BP182" s="0" t="n">
        <f aca="false">IF(Presupuesto!$B$48='Flujo de Pagos'!$E182,48,9999)</f>
        <v>48</v>
      </c>
      <c r="BQ182" s="0" t="n">
        <f aca="false">IF(Presupuesto!$B$49='Flujo de Pagos'!$E182,49,9999)</f>
        <v>49</v>
      </c>
      <c r="BR182" s="0" t="n">
        <f aca="false">IF(Presupuesto!$B$50='Flujo de Pagos'!$E182,50,9999)</f>
        <v>50</v>
      </c>
      <c r="BS182" s="0" t="n">
        <f aca="false">IF(Presupuesto!$B$51='Flujo de Pagos'!$E182,51,9999)</f>
        <v>51</v>
      </c>
      <c r="BT182" s="0" t="n">
        <f aca="false">IF(Presupuesto!$B$52='Flujo de Pagos'!$E182,52,9999)</f>
        <v>52</v>
      </c>
      <c r="BU182" s="0" t="n">
        <f aca="false">IF(Presupuesto!$B$53='Flujo de Pagos'!$E182,53,9999)</f>
        <v>53</v>
      </c>
      <c r="BV182" s="0" t="n">
        <f aca="false">IF(Presupuesto!$B$54='Flujo de Pagos'!$E182,54,9999)</f>
        <v>54</v>
      </c>
      <c r="BW182" s="0" t="n">
        <f aca="false">IF(Presupuesto!$B$55='Flujo de Pagos'!$E182,55,9999)</f>
        <v>55</v>
      </c>
      <c r="BX182" s="0" t="n">
        <f aca="false">IF(Presupuesto!$B$56='Flujo de Pagos'!$E182,56,9999)</f>
        <v>56</v>
      </c>
      <c r="BY182" s="0" t="n">
        <f aca="false">IF(Presupuesto!$B$57='Flujo de Pagos'!$E182,57,9999)</f>
        <v>57</v>
      </c>
      <c r="BZ182" s="0" t="n">
        <f aca="false">IF(Presupuesto!$B$58='Flujo de Pagos'!$E182,58,9999)</f>
        <v>58</v>
      </c>
      <c r="CA182" s="0" t="n">
        <f aca="false">IF(Presupuesto!$B$59='Flujo de Pagos'!$E182,59,9999)</f>
        <v>59</v>
      </c>
      <c r="CB182" s="0" t="n">
        <f aca="false">IF(Presupuesto!$B$60='Flujo de Pagos'!$E182,60,9999)</f>
        <v>60</v>
      </c>
      <c r="CC182" s="0" t="n">
        <f aca="false">IF(Presupuesto!$B$61='Flujo de Pagos'!$E182,61,9999)</f>
        <v>61</v>
      </c>
      <c r="CD182" s="0" t="n">
        <f aca="false">IF(Presupuesto!$B$62='Flujo de Pagos'!$E182,62,9999)</f>
        <v>62</v>
      </c>
      <c r="CE182" s="0" t="n">
        <f aca="false">IF(Presupuesto!$B$63='Flujo de Pagos'!$E182,63,9999)</f>
        <v>63</v>
      </c>
      <c r="CF182" s="0" t="n">
        <f aca="false">IF(Presupuesto!$B$64='Flujo de Pagos'!$E182,64,9999)</f>
        <v>64</v>
      </c>
      <c r="CG182" s="0" t="n">
        <f aca="false">IF(Presupuesto!$B$65='Flujo de Pagos'!$E182,65,9999)</f>
        <v>65</v>
      </c>
      <c r="CH182" s="0" t="n">
        <f aca="false">IF(Presupuesto!$B$66='Flujo de Pagos'!$E182,66,9999)</f>
        <v>66</v>
      </c>
    </row>
    <row r="183" customFormat="false" ht="15" hidden="false" customHeight="true" outlineLevel="0" collapsed="false">
      <c r="B183" s="1" t="n">
        <f aca="false">IF(AND('Flujo de Pagos'!E188=Carátula!$B$2,'Flujo de Pagos'!F188=Carátula!$B$4,'Flujo de Pagos'!H188&lt;&gt;""),188,99999)</f>
        <v>99999</v>
      </c>
      <c r="H183" s="1" t="n">
        <f aca="false">IF(SMALL($AA183:$CH183,1)&gt;=9999,"",INDEX(Presupuesto!$C:$C,SMALL($AA183:$CH183,1)))</f>
        <v>0</v>
      </c>
      <c r="I183" s="1" t="n">
        <f aca="false">IF(SMALL($AA183:$CH183,2)&gt;=9999,"",INDEX(Presupuesto!$C:$C,SMALL($AA183:$CH183,2)))</f>
        <v>0</v>
      </c>
      <c r="J183" s="1" t="n">
        <f aca="false">IF(SMALL($AA183:$CH183,3)&gt;=9999,"",INDEX(Presupuesto!$C:$C,SMALL($AA183:$CH183,3)))</f>
        <v>0</v>
      </c>
      <c r="K183" s="1" t="n">
        <f aca="false">IF(SMALL($AA183:$CH183,4)&gt;=9999,"",INDEX(Presupuesto!$C:$C,SMALL($AA183:$CH183,4)))</f>
        <v>0</v>
      </c>
      <c r="L183" s="1" t="n">
        <f aca="false">IF(SMALL($AA183:$CH183,5)&gt;=9999,"",INDEX(Presupuesto!$C:$C,SMALL($AA183:$CH183,5)))</f>
        <v>0</v>
      </c>
      <c r="M183" s="1" t="n">
        <f aca="false">IF(SMALL($AA183:$CH183,6)&gt;=9999,"",INDEX(Presupuesto!$C:$C,SMALL($AA183:$CH183,6)))</f>
        <v>0</v>
      </c>
      <c r="N183" s="1" t="n">
        <f aca="false">IF(SMALL($AA183:$CH183,7)&gt;=9999,"",INDEX(Presupuesto!$C:$C,SMALL($AA183:$CH183,7)))</f>
        <v>0</v>
      </c>
      <c r="O183" s="1" t="n">
        <f aca="false">IF(SMALL($AA183:$CH183,8)&gt;=9999,"",INDEX(Presupuesto!$C:$C,SMALL($AA183:$CH183,8)))</f>
        <v>0</v>
      </c>
      <c r="P183" s="1" t="n">
        <f aca="false">IF(SMALL($AA183:$CH183,9)&gt;=9999,"",INDEX(Presupuesto!$C:$C,SMALL($AA183:$CH183,9)))</f>
        <v>0</v>
      </c>
      <c r="Q183" s="1" t="n">
        <f aca="false">IF(SMALL($AA183:$CH183,10)&gt;=9999,"",INDEX(Presupuesto!$C:$C,SMALL($AA183:$CH183,10)))</f>
        <v>0</v>
      </c>
      <c r="AA183" s="0" t="n">
        <f aca="false">IF(Presupuesto!$B$7='Flujo de Pagos'!$E183,7,9999)</f>
        <v>9999</v>
      </c>
      <c r="AB183" s="0" t="n">
        <f aca="false">IF(Presupuesto!$B$8='Flujo de Pagos'!$E183,8,9999)</f>
        <v>9999</v>
      </c>
      <c r="AC183" s="0" t="n">
        <f aca="false">IF(Presupuesto!$B$9='Flujo de Pagos'!$E183,9,9999)</f>
        <v>9999</v>
      </c>
      <c r="AD183" s="0" t="n">
        <f aca="false">IF(Presupuesto!$B$10='Flujo de Pagos'!$E183,10,9999)</f>
        <v>9999</v>
      </c>
      <c r="AE183" s="0" t="n">
        <f aca="false">IF(Presupuesto!$B$11='Flujo de Pagos'!$E183,11,9999)</f>
        <v>9999</v>
      </c>
      <c r="AF183" s="0" t="n">
        <f aca="false">IF(Presupuesto!$B$12='Flujo de Pagos'!$E183,12,9999)</f>
        <v>12</v>
      </c>
      <c r="AG183" s="0" t="n">
        <f aca="false">IF(Presupuesto!$B$13='Flujo de Pagos'!$E183,13,9999)</f>
        <v>13</v>
      </c>
      <c r="AH183" s="0" t="n">
        <f aca="false">IF(Presupuesto!$B$14='Flujo de Pagos'!$E183,14,9999)</f>
        <v>14</v>
      </c>
      <c r="AI183" s="0" t="n">
        <f aca="false">IF(Presupuesto!$B$15='Flujo de Pagos'!$E183,15,9999)</f>
        <v>15</v>
      </c>
      <c r="AJ183" s="0" t="n">
        <f aca="false">IF(Presupuesto!$B$16='Flujo de Pagos'!$E183,16,9999)</f>
        <v>16</v>
      </c>
      <c r="AK183" s="0" t="n">
        <f aca="false">IF(Presupuesto!$B$17='Flujo de Pagos'!$E183,17,9999)</f>
        <v>17</v>
      </c>
      <c r="AL183" s="0" t="n">
        <f aca="false">IF(Presupuesto!$B$18='Flujo de Pagos'!$E183,18,9999)</f>
        <v>18</v>
      </c>
      <c r="AM183" s="0" t="n">
        <f aca="false">IF(Presupuesto!$B$19='Flujo de Pagos'!$E183,19,9999)</f>
        <v>19</v>
      </c>
      <c r="AN183" s="0" t="n">
        <f aca="false">IF(Presupuesto!$B$20='Flujo de Pagos'!$E183,20,9999)</f>
        <v>20</v>
      </c>
      <c r="AO183" s="0" t="n">
        <f aca="false">IF(Presupuesto!$B$21='Flujo de Pagos'!$E183,21,9999)</f>
        <v>21</v>
      </c>
      <c r="AP183" s="0" t="n">
        <f aca="false">IF(Presupuesto!$B$22='Flujo de Pagos'!$E183,22,9999)</f>
        <v>22</v>
      </c>
      <c r="AQ183" s="0" t="n">
        <f aca="false">IF(Presupuesto!$B$23='Flujo de Pagos'!$E183,23,9999)</f>
        <v>23</v>
      </c>
      <c r="AR183" s="0" t="n">
        <f aca="false">IF(Presupuesto!$B$24='Flujo de Pagos'!$E183,24,9999)</f>
        <v>24</v>
      </c>
      <c r="AS183" s="0" t="n">
        <f aca="false">IF(Presupuesto!$B$25='Flujo de Pagos'!$E183,25,9999)</f>
        <v>25</v>
      </c>
      <c r="AT183" s="0" t="n">
        <f aca="false">IF(Presupuesto!$B$26='Flujo de Pagos'!$E183,26,9999)</f>
        <v>26</v>
      </c>
      <c r="AU183" s="0" t="n">
        <f aca="false">IF(Presupuesto!$B$27='Flujo de Pagos'!$E183,27,9999)</f>
        <v>27</v>
      </c>
      <c r="AV183" s="0" t="n">
        <f aca="false">IF(Presupuesto!$B$28='Flujo de Pagos'!$E183,28,9999)</f>
        <v>28</v>
      </c>
      <c r="AW183" s="0" t="n">
        <f aca="false">IF(Presupuesto!$B$29='Flujo de Pagos'!$E183,29,9999)</f>
        <v>29</v>
      </c>
      <c r="AX183" s="0" t="n">
        <f aca="false">IF(Presupuesto!$B$30='Flujo de Pagos'!$E183,30,9999)</f>
        <v>30</v>
      </c>
      <c r="AY183" s="0" t="n">
        <f aca="false">IF(Presupuesto!$B$31='Flujo de Pagos'!$E183,31,9999)</f>
        <v>31</v>
      </c>
      <c r="AZ183" s="0" t="n">
        <f aca="false">IF(Presupuesto!$B$32='Flujo de Pagos'!$E183,32,9999)</f>
        <v>32</v>
      </c>
      <c r="BA183" s="0" t="n">
        <f aca="false">IF(Presupuesto!$B$33='Flujo de Pagos'!$E183,33,9999)</f>
        <v>33</v>
      </c>
      <c r="BB183" s="0" t="n">
        <f aca="false">IF(Presupuesto!$B$34='Flujo de Pagos'!$E183,34,9999)</f>
        <v>34</v>
      </c>
      <c r="BC183" s="0" t="n">
        <f aca="false">IF(Presupuesto!$B$35='Flujo de Pagos'!$E183,35,9999)</f>
        <v>35</v>
      </c>
      <c r="BD183" s="0" t="n">
        <f aca="false">IF(Presupuesto!$B$36='Flujo de Pagos'!$E183,36,9999)</f>
        <v>36</v>
      </c>
      <c r="BE183" s="0" t="n">
        <f aca="false">IF(Presupuesto!$B$37='Flujo de Pagos'!$E183,37,9999)</f>
        <v>37</v>
      </c>
      <c r="BF183" s="0" t="n">
        <f aca="false">IF(Presupuesto!$B$38='Flujo de Pagos'!$E183,38,9999)</f>
        <v>38</v>
      </c>
      <c r="BG183" s="0" t="n">
        <f aca="false">IF(Presupuesto!$B$39='Flujo de Pagos'!$E183,39,9999)</f>
        <v>39</v>
      </c>
      <c r="BH183" s="0" t="n">
        <f aca="false">IF(Presupuesto!$B$40='Flujo de Pagos'!$E183,40,9999)</f>
        <v>40</v>
      </c>
      <c r="BI183" s="0" t="n">
        <f aca="false">IF(Presupuesto!$B$41='Flujo de Pagos'!$E183,41,9999)</f>
        <v>41</v>
      </c>
      <c r="BJ183" s="0" t="n">
        <f aca="false">IF(Presupuesto!$B$42='Flujo de Pagos'!$E183,42,9999)</f>
        <v>42</v>
      </c>
      <c r="BK183" s="0" t="n">
        <f aca="false">IF(Presupuesto!$B$43='Flujo de Pagos'!$E183,43,9999)</f>
        <v>43</v>
      </c>
      <c r="BL183" s="0" t="n">
        <f aca="false">IF(Presupuesto!$B$44='Flujo de Pagos'!$E183,44,9999)</f>
        <v>44</v>
      </c>
      <c r="BM183" s="0" t="n">
        <f aca="false">IF(Presupuesto!$B$45='Flujo de Pagos'!$E183,45,9999)</f>
        <v>45</v>
      </c>
      <c r="BN183" s="0" t="n">
        <f aca="false">IF(Presupuesto!$B$46='Flujo de Pagos'!$E183,46,9999)</f>
        <v>46</v>
      </c>
      <c r="BO183" s="0" t="n">
        <f aca="false">IF(Presupuesto!$B$47='Flujo de Pagos'!$E183,47,9999)</f>
        <v>47</v>
      </c>
      <c r="BP183" s="0" t="n">
        <f aca="false">IF(Presupuesto!$B$48='Flujo de Pagos'!$E183,48,9999)</f>
        <v>48</v>
      </c>
      <c r="BQ183" s="0" t="n">
        <f aca="false">IF(Presupuesto!$B$49='Flujo de Pagos'!$E183,49,9999)</f>
        <v>49</v>
      </c>
      <c r="BR183" s="0" t="n">
        <f aca="false">IF(Presupuesto!$B$50='Flujo de Pagos'!$E183,50,9999)</f>
        <v>50</v>
      </c>
      <c r="BS183" s="0" t="n">
        <f aca="false">IF(Presupuesto!$B$51='Flujo de Pagos'!$E183,51,9999)</f>
        <v>51</v>
      </c>
      <c r="BT183" s="0" t="n">
        <f aca="false">IF(Presupuesto!$B$52='Flujo de Pagos'!$E183,52,9999)</f>
        <v>52</v>
      </c>
      <c r="BU183" s="0" t="n">
        <f aca="false">IF(Presupuesto!$B$53='Flujo de Pagos'!$E183,53,9999)</f>
        <v>53</v>
      </c>
      <c r="BV183" s="0" t="n">
        <f aca="false">IF(Presupuesto!$B$54='Flujo de Pagos'!$E183,54,9999)</f>
        <v>54</v>
      </c>
      <c r="BW183" s="0" t="n">
        <f aca="false">IF(Presupuesto!$B$55='Flujo de Pagos'!$E183,55,9999)</f>
        <v>55</v>
      </c>
      <c r="BX183" s="0" t="n">
        <f aca="false">IF(Presupuesto!$B$56='Flujo de Pagos'!$E183,56,9999)</f>
        <v>56</v>
      </c>
      <c r="BY183" s="0" t="n">
        <f aca="false">IF(Presupuesto!$B$57='Flujo de Pagos'!$E183,57,9999)</f>
        <v>57</v>
      </c>
      <c r="BZ183" s="0" t="n">
        <f aca="false">IF(Presupuesto!$B$58='Flujo de Pagos'!$E183,58,9999)</f>
        <v>58</v>
      </c>
      <c r="CA183" s="0" t="n">
        <f aca="false">IF(Presupuesto!$B$59='Flujo de Pagos'!$E183,59,9999)</f>
        <v>59</v>
      </c>
      <c r="CB183" s="0" t="n">
        <f aca="false">IF(Presupuesto!$B$60='Flujo de Pagos'!$E183,60,9999)</f>
        <v>60</v>
      </c>
      <c r="CC183" s="0" t="n">
        <f aca="false">IF(Presupuesto!$B$61='Flujo de Pagos'!$E183,61,9999)</f>
        <v>61</v>
      </c>
      <c r="CD183" s="0" t="n">
        <f aca="false">IF(Presupuesto!$B$62='Flujo de Pagos'!$E183,62,9999)</f>
        <v>62</v>
      </c>
      <c r="CE183" s="0" t="n">
        <f aca="false">IF(Presupuesto!$B$63='Flujo de Pagos'!$E183,63,9999)</f>
        <v>63</v>
      </c>
      <c r="CF183" s="0" t="n">
        <f aca="false">IF(Presupuesto!$B$64='Flujo de Pagos'!$E183,64,9999)</f>
        <v>64</v>
      </c>
      <c r="CG183" s="0" t="n">
        <f aca="false">IF(Presupuesto!$B$65='Flujo de Pagos'!$E183,65,9999)</f>
        <v>65</v>
      </c>
      <c r="CH183" s="0" t="n">
        <f aca="false">IF(Presupuesto!$B$66='Flujo de Pagos'!$E183,66,9999)</f>
        <v>66</v>
      </c>
    </row>
    <row r="184" customFormat="false" ht="15" hidden="false" customHeight="true" outlineLevel="0" collapsed="false">
      <c r="B184" s="1" t="n">
        <f aca="false">IF(AND('Flujo de Pagos'!E189=Carátula!$B$2,'Flujo de Pagos'!F189=Carátula!$B$4,'Flujo de Pagos'!H189&lt;&gt;""),189,99999)</f>
        <v>99999</v>
      </c>
      <c r="H184" s="1" t="n">
        <f aca="false">IF(SMALL($AA184:$CH184,1)&gt;=9999,"",INDEX(Presupuesto!$C:$C,SMALL($AA184:$CH184,1)))</f>
        <v>0</v>
      </c>
      <c r="I184" s="1" t="n">
        <f aca="false">IF(SMALL($AA184:$CH184,2)&gt;=9999,"",INDEX(Presupuesto!$C:$C,SMALL($AA184:$CH184,2)))</f>
        <v>0</v>
      </c>
      <c r="J184" s="1" t="n">
        <f aca="false">IF(SMALL($AA184:$CH184,3)&gt;=9999,"",INDEX(Presupuesto!$C:$C,SMALL($AA184:$CH184,3)))</f>
        <v>0</v>
      </c>
      <c r="K184" s="1" t="n">
        <f aca="false">IF(SMALL($AA184:$CH184,4)&gt;=9999,"",INDEX(Presupuesto!$C:$C,SMALL($AA184:$CH184,4)))</f>
        <v>0</v>
      </c>
      <c r="L184" s="1" t="n">
        <f aca="false">IF(SMALL($AA184:$CH184,5)&gt;=9999,"",INDEX(Presupuesto!$C:$C,SMALL($AA184:$CH184,5)))</f>
        <v>0</v>
      </c>
      <c r="M184" s="1" t="n">
        <f aca="false">IF(SMALL($AA184:$CH184,6)&gt;=9999,"",INDEX(Presupuesto!$C:$C,SMALL($AA184:$CH184,6)))</f>
        <v>0</v>
      </c>
      <c r="N184" s="1" t="n">
        <f aca="false">IF(SMALL($AA184:$CH184,7)&gt;=9999,"",INDEX(Presupuesto!$C:$C,SMALL($AA184:$CH184,7)))</f>
        <v>0</v>
      </c>
      <c r="O184" s="1" t="n">
        <f aca="false">IF(SMALL($AA184:$CH184,8)&gt;=9999,"",INDEX(Presupuesto!$C:$C,SMALL($AA184:$CH184,8)))</f>
        <v>0</v>
      </c>
      <c r="P184" s="1" t="n">
        <f aca="false">IF(SMALL($AA184:$CH184,9)&gt;=9999,"",INDEX(Presupuesto!$C:$C,SMALL($AA184:$CH184,9)))</f>
        <v>0</v>
      </c>
      <c r="Q184" s="1" t="n">
        <f aca="false">IF(SMALL($AA184:$CH184,10)&gt;=9999,"",INDEX(Presupuesto!$C:$C,SMALL($AA184:$CH184,10)))</f>
        <v>0</v>
      </c>
      <c r="AA184" s="0" t="n">
        <f aca="false">IF(Presupuesto!$B$7='Flujo de Pagos'!$E184,7,9999)</f>
        <v>9999</v>
      </c>
      <c r="AB184" s="0" t="n">
        <f aca="false">IF(Presupuesto!$B$8='Flujo de Pagos'!$E184,8,9999)</f>
        <v>9999</v>
      </c>
      <c r="AC184" s="0" t="n">
        <f aca="false">IF(Presupuesto!$B$9='Flujo de Pagos'!$E184,9,9999)</f>
        <v>9999</v>
      </c>
      <c r="AD184" s="0" t="n">
        <f aca="false">IF(Presupuesto!$B$10='Flujo de Pagos'!$E184,10,9999)</f>
        <v>9999</v>
      </c>
      <c r="AE184" s="0" t="n">
        <f aca="false">IF(Presupuesto!$B$11='Flujo de Pagos'!$E184,11,9999)</f>
        <v>9999</v>
      </c>
      <c r="AF184" s="0" t="n">
        <f aca="false">IF(Presupuesto!$B$12='Flujo de Pagos'!$E184,12,9999)</f>
        <v>12</v>
      </c>
      <c r="AG184" s="0" t="n">
        <f aca="false">IF(Presupuesto!$B$13='Flujo de Pagos'!$E184,13,9999)</f>
        <v>13</v>
      </c>
      <c r="AH184" s="0" t="n">
        <f aca="false">IF(Presupuesto!$B$14='Flujo de Pagos'!$E184,14,9999)</f>
        <v>14</v>
      </c>
      <c r="AI184" s="0" t="n">
        <f aca="false">IF(Presupuesto!$B$15='Flujo de Pagos'!$E184,15,9999)</f>
        <v>15</v>
      </c>
      <c r="AJ184" s="0" t="n">
        <f aca="false">IF(Presupuesto!$B$16='Flujo de Pagos'!$E184,16,9999)</f>
        <v>16</v>
      </c>
      <c r="AK184" s="0" t="n">
        <f aca="false">IF(Presupuesto!$B$17='Flujo de Pagos'!$E184,17,9999)</f>
        <v>17</v>
      </c>
      <c r="AL184" s="0" t="n">
        <f aca="false">IF(Presupuesto!$B$18='Flujo de Pagos'!$E184,18,9999)</f>
        <v>18</v>
      </c>
      <c r="AM184" s="0" t="n">
        <f aca="false">IF(Presupuesto!$B$19='Flujo de Pagos'!$E184,19,9999)</f>
        <v>19</v>
      </c>
      <c r="AN184" s="0" t="n">
        <f aca="false">IF(Presupuesto!$B$20='Flujo de Pagos'!$E184,20,9999)</f>
        <v>20</v>
      </c>
      <c r="AO184" s="0" t="n">
        <f aca="false">IF(Presupuesto!$B$21='Flujo de Pagos'!$E184,21,9999)</f>
        <v>21</v>
      </c>
      <c r="AP184" s="0" t="n">
        <f aca="false">IF(Presupuesto!$B$22='Flujo de Pagos'!$E184,22,9999)</f>
        <v>22</v>
      </c>
      <c r="AQ184" s="0" t="n">
        <f aca="false">IF(Presupuesto!$B$23='Flujo de Pagos'!$E184,23,9999)</f>
        <v>23</v>
      </c>
      <c r="AR184" s="0" t="n">
        <f aca="false">IF(Presupuesto!$B$24='Flujo de Pagos'!$E184,24,9999)</f>
        <v>24</v>
      </c>
      <c r="AS184" s="0" t="n">
        <f aca="false">IF(Presupuesto!$B$25='Flujo de Pagos'!$E184,25,9999)</f>
        <v>25</v>
      </c>
      <c r="AT184" s="0" t="n">
        <f aca="false">IF(Presupuesto!$B$26='Flujo de Pagos'!$E184,26,9999)</f>
        <v>26</v>
      </c>
      <c r="AU184" s="0" t="n">
        <f aca="false">IF(Presupuesto!$B$27='Flujo de Pagos'!$E184,27,9999)</f>
        <v>27</v>
      </c>
      <c r="AV184" s="0" t="n">
        <f aca="false">IF(Presupuesto!$B$28='Flujo de Pagos'!$E184,28,9999)</f>
        <v>28</v>
      </c>
      <c r="AW184" s="0" t="n">
        <f aca="false">IF(Presupuesto!$B$29='Flujo de Pagos'!$E184,29,9999)</f>
        <v>29</v>
      </c>
      <c r="AX184" s="0" t="n">
        <f aca="false">IF(Presupuesto!$B$30='Flujo de Pagos'!$E184,30,9999)</f>
        <v>30</v>
      </c>
      <c r="AY184" s="0" t="n">
        <f aca="false">IF(Presupuesto!$B$31='Flujo de Pagos'!$E184,31,9999)</f>
        <v>31</v>
      </c>
      <c r="AZ184" s="0" t="n">
        <f aca="false">IF(Presupuesto!$B$32='Flujo de Pagos'!$E184,32,9999)</f>
        <v>32</v>
      </c>
      <c r="BA184" s="0" t="n">
        <f aca="false">IF(Presupuesto!$B$33='Flujo de Pagos'!$E184,33,9999)</f>
        <v>33</v>
      </c>
      <c r="BB184" s="0" t="n">
        <f aca="false">IF(Presupuesto!$B$34='Flujo de Pagos'!$E184,34,9999)</f>
        <v>34</v>
      </c>
      <c r="BC184" s="0" t="n">
        <f aca="false">IF(Presupuesto!$B$35='Flujo de Pagos'!$E184,35,9999)</f>
        <v>35</v>
      </c>
      <c r="BD184" s="0" t="n">
        <f aca="false">IF(Presupuesto!$B$36='Flujo de Pagos'!$E184,36,9999)</f>
        <v>36</v>
      </c>
      <c r="BE184" s="0" t="n">
        <f aca="false">IF(Presupuesto!$B$37='Flujo de Pagos'!$E184,37,9999)</f>
        <v>37</v>
      </c>
      <c r="BF184" s="0" t="n">
        <f aca="false">IF(Presupuesto!$B$38='Flujo de Pagos'!$E184,38,9999)</f>
        <v>38</v>
      </c>
      <c r="BG184" s="0" t="n">
        <f aca="false">IF(Presupuesto!$B$39='Flujo de Pagos'!$E184,39,9999)</f>
        <v>39</v>
      </c>
      <c r="BH184" s="0" t="n">
        <f aca="false">IF(Presupuesto!$B$40='Flujo de Pagos'!$E184,40,9999)</f>
        <v>40</v>
      </c>
      <c r="BI184" s="0" t="n">
        <f aca="false">IF(Presupuesto!$B$41='Flujo de Pagos'!$E184,41,9999)</f>
        <v>41</v>
      </c>
      <c r="BJ184" s="0" t="n">
        <f aca="false">IF(Presupuesto!$B$42='Flujo de Pagos'!$E184,42,9999)</f>
        <v>42</v>
      </c>
      <c r="BK184" s="0" t="n">
        <f aca="false">IF(Presupuesto!$B$43='Flujo de Pagos'!$E184,43,9999)</f>
        <v>43</v>
      </c>
      <c r="BL184" s="0" t="n">
        <f aca="false">IF(Presupuesto!$B$44='Flujo de Pagos'!$E184,44,9999)</f>
        <v>44</v>
      </c>
      <c r="BM184" s="0" t="n">
        <f aca="false">IF(Presupuesto!$B$45='Flujo de Pagos'!$E184,45,9999)</f>
        <v>45</v>
      </c>
      <c r="BN184" s="0" t="n">
        <f aca="false">IF(Presupuesto!$B$46='Flujo de Pagos'!$E184,46,9999)</f>
        <v>46</v>
      </c>
      <c r="BO184" s="0" t="n">
        <f aca="false">IF(Presupuesto!$B$47='Flujo de Pagos'!$E184,47,9999)</f>
        <v>47</v>
      </c>
      <c r="BP184" s="0" t="n">
        <f aca="false">IF(Presupuesto!$B$48='Flujo de Pagos'!$E184,48,9999)</f>
        <v>48</v>
      </c>
      <c r="BQ184" s="0" t="n">
        <f aca="false">IF(Presupuesto!$B$49='Flujo de Pagos'!$E184,49,9999)</f>
        <v>49</v>
      </c>
      <c r="BR184" s="0" t="n">
        <f aca="false">IF(Presupuesto!$B$50='Flujo de Pagos'!$E184,50,9999)</f>
        <v>50</v>
      </c>
      <c r="BS184" s="0" t="n">
        <f aca="false">IF(Presupuesto!$B$51='Flujo de Pagos'!$E184,51,9999)</f>
        <v>51</v>
      </c>
      <c r="BT184" s="0" t="n">
        <f aca="false">IF(Presupuesto!$B$52='Flujo de Pagos'!$E184,52,9999)</f>
        <v>52</v>
      </c>
      <c r="BU184" s="0" t="n">
        <f aca="false">IF(Presupuesto!$B$53='Flujo de Pagos'!$E184,53,9999)</f>
        <v>53</v>
      </c>
      <c r="BV184" s="0" t="n">
        <f aca="false">IF(Presupuesto!$B$54='Flujo de Pagos'!$E184,54,9999)</f>
        <v>54</v>
      </c>
      <c r="BW184" s="0" t="n">
        <f aca="false">IF(Presupuesto!$B$55='Flujo de Pagos'!$E184,55,9999)</f>
        <v>55</v>
      </c>
      <c r="BX184" s="0" t="n">
        <f aca="false">IF(Presupuesto!$B$56='Flujo de Pagos'!$E184,56,9999)</f>
        <v>56</v>
      </c>
      <c r="BY184" s="0" t="n">
        <f aca="false">IF(Presupuesto!$B$57='Flujo de Pagos'!$E184,57,9999)</f>
        <v>57</v>
      </c>
      <c r="BZ184" s="0" t="n">
        <f aca="false">IF(Presupuesto!$B$58='Flujo de Pagos'!$E184,58,9999)</f>
        <v>58</v>
      </c>
      <c r="CA184" s="0" t="n">
        <f aca="false">IF(Presupuesto!$B$59='Flujo de Pagos'!$E184,59,9999)</f>
        <v>59</v>
      </c>
      <c r="CB184" s="0" t="n">
        <f aca="false">IF(Presupuesto!$B$60='Flujo de Pagos'!$E184,60,9999)</f>
        <v>60</v>
      </c>
      <c r="CC184" s="0" t="n">
        <f aca="false">IF(Presupuesto!$B$61='Flujo de Pagos'!$E184,61,9999)</f>
        <v>61</v>
      </c>
      <c r="CD184" s="0" t="n">
        <f aca="false">IF(Presupuesto!$B$62='Flujo de Pagos'!$E184,62,9999)</f>
        <v>62</v>
      </c>
      <c r="CE184" s="0" t="n">
        <f aca="false">IF(Presupuesto!$B$63='Flujo de Pagos'!$E184,63,9999)</f>
        <v>63</v>
      </c>
      <c r="CF184" s="0" t="n">
        <f aca="false">IF(Presupuesto!$B$64='Flujo de Pagos'!$E184,64,9999)</f>
        <v>64</v>
      </c>
      <c r="CG184" s="0" t="n">
        <f aca="false">IF(Presupuesto!$B$65='Flujo de Pagos'!$E184,65,9999)</f>
        <v>65</v>
      </c>
      <c r="CH184" s="0" t="n">
        <f aca="false">IF(Presupuesto!$B$66='Flujo de Pagos'!$E184,66,9999)</f>
        <v>66</v>
      </c>
    </row>
    <row r="185" customFormat="false" ht="15" hidden="false" customHeight="true" outlineLevel="0" collapsed="false">
      <c r="B185" s="1" t="n">
        <f aca="false">IF(AND('Flujo de Pagos'!E190=Carátula!$B$2,'Flujo de Pagos'!F190=Carátula!$B$4,'Flujo de Pagos'!H190&lt;&gt;""),190,99999)</f>
        <v>99999</v>
      </c>
      <c r="H185" s="1" t="n">
        <f aca="false">IF(SMALL($AA185:$CH185,1)&gt;=9999,"",INDEX(Presupuesto!$C:$C,SMALL($AA185:$CH185,1)))</f>
        <v>0</v>
      </c>
      <c r="I185" s="1" t="n">
        <f aca="false">IF(SMALL($AA185:$CH185,2)&gt;=9999,"",INDEX(Presupuesto!$C:$C,SMALL($AA185:$CH185,2)))</f>
        <v>0</v>
      </c>
      <c r="J185" s="1" t="n">
        <f aca="false">IF(SMALL($AA185:$CH185,3)&gt;=9999,"",INDEX(Presupuesto!$C:$C,SMALL($AA185:$CH185,3)))</f>
        <v>0</v>
      </c>
      <c r="K185" s="1" t="n">
        <f aca="false">IF(SMALL($AA185:$CH185,4)&gt;=9999,"",INDEX(Presupuesto!$C:$C,SMALL($AA185:$CH185,4)))</f>
        <v>0</v>
      </c>
      <c r="L185" s="1" t="n">
        <f aca="false">IF(SMALL($AA185:$CH185,5)&gt;=9999,"",INDEX(Presupuesto!$C:$C,SMALL($AA185:$CH185,5)))</f>
        <v>0</v>
      </c>
      <c r="M185" s="1" t="n">
        <f aca="false">IF(SMALL($AA185:$CH185,6)&gt;=9999,"",INDEX(Presupuesto!$C:$C,SMALL($AA185:$CH185,6)))</f>
        <v>0</v>
      </c>
      <c r="N185" s="1" t="n">
        <f aca="false">IF(SMALL($AA185:$CH185,7)&gt;=9999,"",INDEX(Presupuesto!$C:$C,SMALL($AA185:$CH185,7)))</f>
        <v>0</v>
      </c>
      <c r="O185" s="1" t="n">
        <f aca="false">IF(SMALL($AA185:$CH185,8)&gt;=9999,"",INDEX(Presupuesto!$C:$C,SMALL($AA185:$CH185,8)))</f>
        <v>0</v>
      </c>
      <c r="P185" s="1" t="n">
        <f aca="false">IF(SMALL($AA185:$CH185,9)&gt;=9999,"",INDEX(Presupuesto!$C:$C,SMALL($AA185:$CH185,9)))</f>
        <v>0</v>
      </c>
      <c r="Q185" s="1" t="n">
        <f aca="false">IF(SMALL($AA185:$CH185,10)&gt;=9999,"",INDEX(Presupuesto!$C:$C,SMALL($AA185:$CH185,10)))</f>
        <v>0</v>
      </c>
      <c r="AA185" s="0" t="n">
        <f aca="false">IF(Presupuesto!$B$7='Flujo de Pagos'!$E185,7,9999)</f>
        <v>9999</v>
      </c>
      <c r="AB185" s="0" t="n">
        <f aca="false">IF(Presupuesto!$B$8='Flujo de Pagos'!$E185,8,9999)</f>
        <v>9999</v>
      </c>
      <c r="AC185" s="0" t="n">
        <f aca="false">IF(Presupuesto!$B$9='Flujo de Pagos'!$E185,9,9999)</f>
        <v>9999</v>
      </c>
      <c r="AD185" s="0" t="n">
        <f aca="false">IF(Presupuesto!$B$10='Flujo de Pagos'!$E185,10,9999)</f>
        <v>9999</v>
      </c>
      <c r="AE185" s="0" t="n">
        <f aca="false">IF(Presupuesto!$B$11='Flujo de Pagos'!$E185,11,9999)</f>
        <v>9999</v>
      </c>
      <c r="AF185" s="0" t="n">
        <f aca="false">IF(Presupuesto!$B$12='Flujo de Pagos'!$E185,12,9999)</f>
        <v>12</v>
      </c>
      <c r="AG185" s="0" t="n">
        <f aca="false">IF(Presupuesto!$B$13='Flujo de Pagos'!$E185,13,9999)</f>
        <v>13</v>
      </c>
      <c r="AH185" s="0" t="n">
        <f aca="false">IF(Presupuesto!$B$14='Flujo de Pagos'!$E185,14,9999)</f>
        <v>14</v>
      </c>
      <c r="AI185" s="0" t="n">
        <f aca="false">IF(Presupuesto!$B$15='Flujo de Pagos'!$E185,15,9999)</f>
        <v>15</v>
      </c>
      <c r="AJ185" s="0" t="n">
        <f aca="false">IF(Presupuesto!$B$16='Flujo de Pagos'!$E185,16,9999)</f>
        <v>16</v>
      </c>
      <c r="AK185" s="0" t="n">
        <f aca="false">IF(Presupuesto!$B$17='Flujo de Pagos'!$E185,17,9999)</f>
        <v>17</v>
      </c>
      <c r="AL185" s="0" t="n">
        <f aca="false">IF(Presupuesto!$B$18='Flujo de Pagos'!$E185,18,9999)</f>
        <v>18</v>
      </c>
      <c r="AM185" s="0" t="n">
        <f aca="false">IF(Presupuesto!$B$19='Flujo de Pagos'!$E185,19,9999)</f>
        <v>19</v>
      </c>
      <c r="AN185" s="0" t="n">
        <f aca="false">IF(Presupuesto!$B$20='Flujo de Pagos'!$E185,20,9999)</f>
        <v>20</v>
      </c>
      <c r="AO185" s="0" t="n">
        <f aca="false">IF(Presupuesto!$B$21='Flujo de Pagos'!$E185,21,9999)</f>
        <v>21</v>
      </c>
      <c r="AP185" s="0" t="n">
        <f aca="false">IF(Presupuesto!$B$22='Flujo de Pagos'!$E185,22,9999)</f>
        <v>22</v>
      </c>
      <c r="AQ185" s="0" t="n">
        <f aca="false">IF(Presupuesto!$B$23='Flujo de Pagos'!$E185,23,9999)</f>
        <v>23</v>
      </c>
      <c r="AR185" s="0" t="n">
        <f aca="false">IF(Presupuesto!$B$24='Flujo de Pagos'!$E185,24,9999)</f>
        <v>24</v>
      </c>
      <c r="AS185" s="0" t="n">
        <f aca="false">IF(Presupuesto!$B$25='Flujo de Pagos'!$E185,25,9999)</f>
        <v>25</v>
      </c>
      <c r="AT185" s="0" t="n">
        <f aca="false">IF(Presupuesto!$B$26='Flujo de Pagos'!$E185,26,9999)</f>
        <v>26</v>
      </c>
      <c r="AU185" s="0" t="n">
        <f aca="false">IF(Presupuesto!$B$27='Flujo de Pagos'!$E185,27,9999)</f>
        <v>27</v>
      </c>
      <c r="AV185" s="0" t="n">
        <f aca="false">IF(Presupuesto!$B$28='Flujo de Pagos'!$E185,28,9999)</f>
        <v>28</v>
      </c>
      <c r="AW185" s="0" t="n">
        <f aca="false">IF(Presupuesto!$B$29='Flujo de Pagos'!$E185,29,9999)</f>
        <v>29</v>
      </c>
      <c r="AX185" s="0" t="n">
        <f aca="false">IF(Presupuesto!$B$30='Flujo de Pagos'!$E185,30,9999)</f>
        <v>30</v>
      </c>
      <c r="AY185" s="0" t="n">
        <f aca="false">IF(Presupuesto!$B$31='Flujo de Pagos'!$E185,31,9999)</f>
        <v>31</v>
      </c>
      <c r="AZ185" s="0" t="n">
        <f aca="false">IF(Presupuesto!$B$32='Flujo de Pagos'!$E185,32,9999)</f>
        <v>32</v>
      </c>
      <c r="BA185" s="0" t="n">
        <f aca="false">IF(Presupuesto!$B$33='Flujo de Pagos'!$E185,33,9999)</f>
        <v>33</v>
      </c>
      <c r="BB185" s="0" t="n">
        <f aca="false">IF(Presupuesto!$B$34='Flujo de Pagos'!$E185,34,9999)</f>
        <v>34</v>
      </c>
      <c r="BC185" s="0" t="n">
        <f aca="false">IF(Presupuesto!$B$35='Flujo de Pagos'!$E185,35,9999)</f>
        <v>35</v>
      </c>
      <c r="BD185" s="0" t="n">
        <f aca="false">IF(Presupuesto!$B$36='Flujo de Pagos'!$E185,36,9999)</f>
        <v>36</v>
      </c>
      <c r="BE185" s="0" t="n">
        <f aca="false">IF(Presupuesto!$B$37='Flujo de Pagos'!$E185,37,9999)</f>
        <v>37</v>
      </c>
      <c r="BF185" s="0" t="n">
        <f aca="false">IF(Presupuesto!$B$38='Flujo de Pagos'!$E185,38,9999)</f>
        <v>38</v>
      </c>
      <c r="BG185" s="0" t="n">
        <f aca="false">IF(Presupuesto!$B$39='Flujo de Pagos'!$E185,39,9999)</f>
        <v>39</v>
      </c>
      <c r="BH185" s="0" t="n">
        <f aca="false">IF(Presupuesto!$B$40='Flujo de Pagos'!$E185,40,9999)</f>
        <v>40</v>
      </c>
      <c r="BI185" s="0" t="n">
        <f aca="false">IF(Presupuesto!$B$41='Flujo de Pagos'!$E185,41,9999)</f>
        <v>41</v>
      </c>
      <c r="BJ185" s="0" t="n">
        <f aca="false">IF(Presupuesto!$B$42='Flujo de Pagos'!$E185,42,9999)</f>
        <v>42</v>
      </c>
      <c r="BK185" s="0" t="n">
        <f aca="false">IF(Presupuesto!$B$43='Flujo de Pagos'!$E185,43,9999)</f>
        <v>43</v>
      </c>
      <c r="BL185" s="0" t="n">
        <f aca="false">IF(Presupuesto!$B$44='Flujo de Pagos'!$E185,44,9999)</f>
        <v>44</v>
      </c>
      <c r="BM185" s="0" t="n">
        <f aca="false">IF(Presupuesto!$B$45='Flujo de Pagos'!$E185,45,9999)</f>
        <v>45</v>
      </c>
      <c r="BN185" s="0" t="n">
        <f aca="false">IF(Presupuesto!$B$46='Flujo de Pagos'!$E185,46,9999)</f>
        <v>46</v>
      </c>
      <c r="BO185" s="0" t="n">
        <f aca="false">IF(Presupuesto!$B$47='Flujo de Pagos'!$E185,47,9999)</f>
        <v>47</v>
      </c>
      <c r="BP185" s="0" t="n">
        <f aca="false">IF(Presupuesto!$B$48='Flujo de Pagos'!$E185,48,9999)</f>
        <v>48</v>
      </c>
      <c r="BQ185" s="0" t="n">
        <f aca="false">IF(Presupuesto!$B$49='Flujo de Pagos'!$E185,49,9999)</f>
        <v>49</v>
      </c>
      <c r="BR185" s="0" t="n">
        <f aca="false">IF(Presupuesto!$B$50='Flujo de Pagos'!$E185,50,9999)</f>
        <v>50</v>
      </c>
      <c r="BS185" s="0" t="n">
        <f aca="false">IF(Presupuesto!$B$51='Flujo de Pagos'!$E185,51,9999)</f>
        <v>51</v>
      </c>
      <c r="BT185" s="0" t="n">
        <f aca="false">IF(Presupuesto!$B$52='Flujo de Pagos'!$E185,52,9999)</f>
        <v>52</v>
      </c>
      <c r="BU185" s="0" t="n">
        <f aca="false">IF(Presupuesto!$B$53='Flujo de Pagos'!$E185,53,9999)</f>
        <v>53</v>
      </c>
      <c r="BV185" s="0" t="n">
        <f aca="false">IF(Presupuesto!$B$54='Flujo de Pagos'!$E185,54,9999)</f>
        <v>54</v>
      </c>
      <c r="BW185" s="0" t="n">
        <f aca="false">IF(Presupuesto!$B$55='Flujo de Pagos'!$E185,55,9999)</f>
        <v>55</v>
      </c>
      <c r="BX185" s="0" t="n">
        <f aca="false">IF(Presupuesto!$B$56='Flujo de Pagos'!$E185,56,9999)</f>
        <v>56</v>
      </c>
      <c r="BY185" s="0" t="n">
        <f aca="false">IF(Presupuesto!$B$57='Flujo de Pagos'!$E185,57,9999)</f>
        <v>57</v>
      </c>
      <c r="BZ185" s="0" t="n">
        <f aca="false">IF(Presupuesto!$B$58='Flujo de Pagos'!$E185,58,9999)</f>
        <v>58</v>
      </c>
      <c r="CA185" s="0" t="n">
        <f aca="false">IF(Presupuesto!$B$59='Flujo de Pagos'!$E185,59,9999)</f>
        <v>59</v>
      </c>
      <c r="CB185" s="0" t="n">
        <f aca="false">IF(Presupuesto!$B$60='Flujo de Pagos'!$E185,60,9999)</f>
        <v>60</v>
      </c>
      <c r="CC185" s="0" t="n">
        <f aca="false">IF(Presupuesto!$B$61='Flujo de Pagos'!$E185,61,9999)</f>
        <v>61</v>
      </c>
      <c r="CD185" s="0" t="n">
        <f aca="false">IF(Presupuesto!$B$62='Flujo de Pagos'!$E185,62,9999)</f>
        <v>62</v>
      </c>
      <c r="CE185" s="0" t="n">
        <f aca="false">IF(Presupuesto!$B$63='Flujo de Pagos'!$E185,63,9999)</f>
        <v>63</v>
      </c>
      <c r="CF185" s="0" t="n">
        <f aca="false">IF(Presupuesto!$B$64='Flujo de Pagos'!$E185,64,9999)</f>
        <v>64</v>
      </c>
      <c r="CG185" s="0" t="n">
        <f aca="false">IF(Presupuesto!$B$65='Flujo de Pagos'!$E185,65,9999)</f>
        <v>65</v>
      </c>
      <c r="CH185" s="0" t="n">
        <f aca="false">IF(Presupuesto!$B$66='Flujo de Pagos'!$E185,66,9999)</f>
        <v>66</v>
      </c>
    </row>
    <row r="186" customFormat="false" ht="15" hidden="false" customHeight="true" outlineLevel="0" collapsed="false">
      <c r="B186" s="1" t="n">
        <f aca="false">IF(AND('Flujo de Pagos'!E191=Carátula!$B$2,'Flujo de Pagos'!F191=Carátula!$B$4,'Flujo de Pagos'!H191&lt;&gt;""),191,99999)</f>
        <v>99999</v>
      </c>
      <c r="H186" s="1" t="n">
        <f aca="false">IF(SMALL($AA186:$CH186,1)&gt;=9999,"",INDEX(Presupuesto!$C:$C,SMALL($AA186:$CH186,1)))</f>
        <v>0</v>
      </c>
      <c r="I186" s="1" t="n">
        <f aca="false">IF(SMALL($AA186:$CH186,2)&gt;=9999,"",INDEX(Presupuesto!$C:$C,SMALL($AA186:$CH186,2)))</f>
        <v>0</v>
      </c>
      <c r="J186" s="1" t="n">
        <f aca="false">IF(SMALL($AA186:$CH186,3)&gt;=9999,"",INDEX(Presupuesto!$C:$C,SMALL($AA186:$CH186,3)))</f>
        <v>0</v>
      </c>
      <c r="K186" s="1" t="n">
        <f aca="false">IF(SMALL($AA186:$CH186,4)&gt;=9999,"",INDEX(Presupuesto!$C:$C,SMALL($AA186:$CH186,4)))</f>
        <v>0</v>
      </c>
      <c r="L186" s="1" t="n">
        <f aca="false">IF(SMALL($AA186:$CH186,5)&gt;=9999,"",INDEX(Presupuesto!$C:$C,SMALL($AA186:$CH186,5)))</f>
        <v>0</v>
      </c>
      <c r="M186" s="1" t="n">
        <f aca="false">IF(SMALL($AA186:$CH186,6)&gt;=9999,"",INDEX(Presupuesto!$C:$C,SMALL($AA186:$CH186,6)))</f>
        <v>0</v>
      </c>
      <c r="N186" s="1" t="n">
        <f aca="false">IF(SMALL($AA186:$CH186,7)&gt;=9999,"",INDEX(Presupuesto!$C:$C,SMALL($AA186:$CH186,7)))</f>
        <v>0</v>
      </c>
      <c r="O186" s="1" t="n">
        <f aca="false">IF(SMALL($AA186:$CH186,8)&gt;=9999,"",INDEX(Presupuesto!$C:$C,SMALL($AA186:$CH186,8)))</f>
        <v>0</v>
      </c>
      <c r="P186" s="1" t="n">
        <f aca="false">IF(SMALL($AA186:$CH186,9)&gt;=9999,"",INDEX(Presupuesto!$C:$C,SMALL($AA186:$CH186,9)))</f>
        <v>0</v>
      </c>
      <c r="Q186" s="1" t="n">
        <f aca="false">IF(SMALL($AA186:$CH186,10)&gt;=9999,"",INDEX(Presupuesto!$C:$C,SMALL($AA186:$CH186,10)))</f>
        <v>0</v>
      </c>
      <c r="AA186" s="0" t="n">
        <f aca="false">IF(Presupuesto!$B$7='Flujo de Pagos'!$E186,7,9999)</f>
        <v>9999</v>
      </c>
      <c r="AB186" s="0" t="n">
        <f aca="false">IF(Presupuesto!$B$8='Flujo de Pagos'!$E186,8,9999)</f>
        <v>9999</v>
      </c>
      <c r="AC186" s="0" t="n">
        <f aca="false">IF(Presupuesto!$B$9='Flujo de Pagos'!$E186,9,9999)</f>
        <v>9999</v>
      </c>
      <c r="AD186" s="0" t="n">
        <f aca="false">IF(Presupuesto!$B$10='Flujo de Pagos'!$E186,10,9999)</f>
        <v>9999</v>
      </c>
      <c r="AE186" s="0" t="n">
        <f aca="false">IF(Presupuesto!$B$11='Flujo de Pagos'!$E186,11,9999)</f>
        <v>9999</v>
      </c>
      <c r="AF186" s="0" t="n">
        <f aca="false">IF(Presupuesto!$B$12='Flujo de Pagos'!$E186,12,9999)</f>
        <v>12</v>
      </c>
      <c r="AG186" s="0" t="n">
        <f aca="false">IF(Presupuesto!$B$13='Flujo de Pagos'!$E186,13,9999)</f>
        <v>13</v>
      </c>
      <c r="AH186" s="0" t="n">
        <f aca="false">IF(Presupuesto!$B$14='Flujo de Pagos'!$E186,14,9999)</f>
        <v>14</v>
      </c>
      <c r="AI186" s="0" t="n">
        <f aca="false">IF(Presupuesto!$B$15='Flujo de Pagos'!$E186,15,9999)</f>
        <v>15</v>
      </c>
      <c r="AJ186" s="0" t="n">
        <f aca="false">IF(Presupuesto!$B$16='Flujo de Pagos'!$E186,16,9999)</f>
        <v>16</v>
      </c>
      <c r="AK186" s="0" t="n">
        <f aca="false">IF(Presupuesto!$B$17='Flujo de Pagos'!$E186,17,9999)</f>
        <v>17</v>
      </c>
      <c r="AL186" s="0" t="n">
        <f aca="false">IF(Presupuesto!$B$18='Flujo de Pagos'!$E186,18,9999)</f>
        <v>18</v>
      </c>
      <c r="AM186" s="0" t="n">
        <f aca="false">IF(Presupuesto!$B$19='Flujo de Pagos'!$E186,19,9999)</f>
        <v>19</v>
      </c>
      <c r="AN186" s="0" t="n">
        <f aca="false">IF(Presupuesto!$B$20='Flujo de Pagos'!$E186,20,9999)</f>
        <v>20</v>
      </c>
      <c r="AO186" s="0" t="n">
        <f aca="false">IF(Presupuesto!$B$21='Flujo de Pagos'!$E186,21,9999)</f>
        <v>21</v>
      </c>
      <c r="AP186" s="0" t="n">
        <f aca="false">IF(Presupuesto!$B$22='Flujo de Pagos'!$E186,22,9999)</f>
        <v>22</v>
      </c>
      <c r="AQ186" s="0" t="n">
        <f aca="false">IF(Presupuesto!$B$23='Flujo de Pagos'!$E186,23,9999)</f>
        <v>23</v>
      </c>
      <c r="AR186" s="0" t="n">
        <f aca="false">IF(Presupuesto!$B$24='Flujo de Pagos'!$E186,24,9999)</f>
        <v>24</v>
      </c>
      <c r="AS186" s="0" t="n">
        <f aca="false">IF(Presupuesto!$B$25='Flujo de Pagos'!$E186,25,9999)</f>
        <v>25</v>
      </c>
      <c r="AT186" s="0" t="n">
        <f aca="false">IF(Presupuesto!$B$26='Flujo de Pagos'!$E186,26,9999)</f>
        <v>26</v>
      </c>
      <c r="AU186" s="0" t="n">
        <f aca="false">IF(Presupuesto!$B$27='Flujo de Pagos'!$E186,27,9999)</f>
        <v>27</v>
      </c>
      <c r="AV186" s="0" t="n">
        <f aca="false">IF(Presupuesto!$B$28='Flujo de Pagos'!$E186,28,9999)</f>
        <v>28</v>
      </c>
      <c r="AW186" s="0" t="n">
        <f aca="false">IF(Presupuesto!$B$29='Flujo de Pagos'!$E186,29,9999)</f>
        <v>29</v>
      </c>
      <c r="AX186" s="0" t="n">
        <f aca="false">IF(Presupuesto!$B$30='Flujo de Pagos'!$E186,30,9999)</f>
        <v>30</v>
      </c>
      <c r="AY186" s="0" t="n">
        <f aca="false">IF(Presupuesto!$B$31='Flujo de Pagos'!$E186,31,9999)</f>
        <v>31</v>
      </c>
      <c r="AZ186" s="0" t="n">
        <f aca="false">IF(Presupuesto!$B$32='Flujo de Pagos'!$E186,32,9999)</f>
        <v>32</v>
      </c>
      <c r="BA186" s="0" t="n">
        <f aca="false">IF(Presupuesto!$B$33='Flujo de Pagos'!$E186,33,9999)</f>
        <v>33</v>
      </c>
      <c r="BB186" s="0" t="n">
        <f aca="false">IF(Presupuesto!$B$34='Flujo de Pagos'!$E186,34,9999)</f>
        <v>34</v>
      </c>
      <c r="BC186" s="0" t="n">
        <f aca="false">IF(Presupuesto!$B$35='Flujo de Pagos'!$E186,35,9999)</f>
        <v>35</v>
      </c>
      <c r="BD186" s="0" t="n">
        <f aca="false">IF(Presupuesto!$B$36='Flujo de Pagos'!$E186,36,9999)</f>
        <v>36</v>
      </c>
      <c r="BE186" s="0" t="n">
        <f aca="false">IF(Presupuesto!$B$37='Flujo de Pagos'!$E186,37,9999)</f>
        <v>37</v>
      </c>
      <c r="BF186" s="0" t="n">
        <f aca="false">IF(Presupuesto!$B$38='Flujo de Pagos'!$E186,38,9999)</f>
        <v>38</v>
      </c>
      <c r="BG186" s="0" t="n">
        <f aca="false">IF(Presupuesto!$B$39='Flujo de Pagos'!$E186,39,9999)</f>
        <v>39</v>
      </c>
      <c r="BH186" s="0" t="n">
        <f aca="false">IF(Presupuesto!$B$40='Flujo de Pagos'!$E186,40,9999)</f>
        <v>40</v>
      </c>
      <c r="BI186" s="0" t="n">
        <f aca="false">IF(Presupuesto!$B$41='Flujo de Pagos'!$E186,41,9999)</f>
        <v>41</v>
      </c>
      <c r="BJ186" s="0" t="n">
        <f aca="false">IF(Presupuesto!$B$42='Flujo de Pagos'!$E186,42,9999)</f>
        <v>42</v>
      </c>
      <c r="BK186" s="0" t="n">
        <f aca="false">IF(Presupuesto!$B$43='Flujo de Pagos'!$E186,43,9999)</f>
        <v>43</v>
      </c>
      <c r="BL186" s="0" t="n">
        <f aca="false">IF(Presupuesto!$B$44='Flujo de Pagos'!$E186,44,9999)</f>
        <v>44</v>
      </c>
      <c r="BM186" s="0" t="n">
        <f aca="false">IF(Presupuesto!$B$45='Flujo de Pagos'!$E186,45,9999)</f>
        <v>45</v>
      </c>
      <c r="BN186" s="0" t="n">
        <f aca="false">IF(Presupuesto!$B$46='Flujo de Pagos'!$E186,46,9999)</f>
        <v>46</v>
      </c>
      <c r="BO186" s="0" t="n">
        <f aca="false">IF(Presupuesto!$B$47='Flujo de Pagos'!$E186,47,9999)</f>
        <v>47</v>
      </c>
      <c r="BP186" s="0" t="n">
        <f aca="false">IF(Presupuesto!$B$48='Flujo de Pagos'!$E186,48,9999)</f>
        <v>48</v>
      </c>
      <c r="BQ186" s="0" t="n">
        <f aca="false">IF(Presupuesto!$B$49='Flujo de Pagos'!$E186,49,9999)</f>
        <v>49</v>
      </c>
      <c r="BR186" s="0" t="n">
        <f aca="false">IF(Presupuesto!$B$50='Flujo de Pagos'!$E186,50,9999)</f>
        <v>50</v>
      </c>
      <c r="BS186" s="0" t="n">
        <f aca="false">IF(Presupuesto!$B$51='Flujo de Pagos'!$E186,51,9999)</f>
        <v>51</v>
      </c>
      <c r="BT186" s="0" t="n">
        <f aca="false">IF(Presupuesto!$B$52='Flujo de Pagos'!$E186,52,9999)</f>
        <v>52</v>
      </c>
      <c r="BU186" s="0" t="n">
        <f aca="false">IF(Presupuesto!$B$53='Flujo de Pagos'!$E186,53,9999)</f>
        <v>53</v>
      </c>
      <c r="BV186" s="0" t="n">
        <f aca="false">IF(Presupuesto!$B$54='Flujo de Pagos'!$E186,54,9999)</f>
        <v>54</v>
      </c>
      <c r="BW186" s="0" t="n">
        <f aca="false">IF(Presupuesto!$B$55='Flujo de Pagos'!$E186,55,9999)</f>
        <v>55</v>
      </c>
      <c r="BX186" s="0" t="n">
        <f aca="false">IF(Presupuesto!$B$56='Flujo de Pagos'!$E186,56,9999)</f>
        <v>56</v>
      </c>
      <c r="BY186" s="0" t="n">
        <f aca="false">IF(Presupuesto!$B$57='Flujo de Pagos'!$E186,57,9999)</f>
        <v>57</v>
      </c>
      <c r="BZ186" s="0" t="n">
        <f aca="false">IF(Presupuesto!$B$58='Flujo de Pagos'!$E186,58,9999)</f>
        <v>58</v>
      </c>
      <c r="CA186" s="0" t="n">
        <f aca="false">IF(Presupuesto!$B$59='Flujo de Pagos'!$E186,59,9999)</f>
        <v>59</v>
      </c>
      <c r="CB186" s="0" t="n">
        <f aca="false">IF(Presupuesto!$B$60='Flujo de Pagos'!$E186,60,9999)</f>
        <v>60</v>
      </c>
      <c r="CC186" s="0" t="n">
        <f aca="false">IF(Presupuesto!$B$61='Flujo de Pagos'!$E186,61,9999)</f>
        <v>61</v>
      </c>
      <c r="CD186" s="0" t="n">
        <f aca="false">IF(Presupuesto!$B$62='Flujo de Pagos'!$E186,62,9999)</f>
        <v>62</v>
      </c>
      <c r="CE186" s="0" t="n">
        <f aca="false">IF(Presupuesto!$B$63='Flujo de Pagos'!$E186,63,9999)</f>
        <v>63</v>
      </c>
      <c r="CF186" s="0" t="n">
        <f aca="false">IF(Presupuesto!$B$64='Flujo de Pagos'!$E186,64,9999)</f>
        <v>64</v>
      </c>
      <c r="CG186" s="0" t="n">
        <f aca="false">IF(Presupuesto!$B$65='Flujo de Pagos'!$E186,65,9999)</f>
        <v>65</v>
      </c>
      <c r="CH186" s="0" t="n">
        <f aca="false">IF(Presupuesto!$B$66='Flujo de Pagos'!$E186,66,9999)</f>
        <v>66</v>
      </c>
    </row>
    <row r="187" customFormat="false" ht="15" hidden="false" customHeight="true" outlineLevel="0" collapsed="false">
      <c r="B187" s="1" t="n">
        <f aca="false">IF(AND('Flujo de Pagos'!E192=Carátula!$B$2,'Flujo de Pagos'!F192=Carátula!$B$4,'Flujo de Pagos'!H192&lt;&gt;""),192,99999)</f>
        <v>99999</v>
      </c>
      <c r="H187" s="1" t="n">
        <f aca="false">IF(SMALL($AA187:$CH187,1)&gt;=9999,"",INDEX(Presupuesto!$C:$C,SMALL($AA187:$CH187,1)))</f>
        <v>0</v>
      </c>
      <c r="I187" s="1" t="n">
        <f aca="false">IF(SMALL($AA187:$CH187,2)&gt;=9999,"",INDEX(Presupuesto!$C:$C,SMALL($AA187:$CH187,2)))</f>
        <v>0</v>
      </c>
      <c r="J187" s="1" t="n">
        <f aca="false">IF(SMALL($AA187:$CH187,3)&gt;=9999,"",INDEX(Presupuesto!$C:$C,SMALL($AA187:$CH187,3)))</f>
        <v>0</v>
      </c>
      <c r="K187" s="1" t="n">
        <f aca="false">IF(SMALL($AA187:$CH187,4)&gt;=9999,"",INDEX(Presupuesto!$C:$C,SMALL($AA187:$CH187,4)))</f>
        <v>0</v>
      </c>
      <c r="L187" s="1" t="n">
        <f aca="false">IF(SMALL($AA187:$CH187,5)&gt;=9999,"",INDEX(Presupuesto!$C:$C,SMALL($AA187:$CH187,5)))</f>
        <v>0</v>
      </c>
      <c r="M187" s="1" t="n">
        <f aca="false">IF(SMALL($AA187:$CH187,6)&gt;=9999,"",INDEX(Presupuesto!$C:$C,SMALL($AA187:$CH187,6)))</f>
        <v>0</v>
      </c>
      <c r="N187" s="1" t="n">
        <f aca="false">IF(SMALL($AA187:$CH187,7)&gt;=9999,"",INDEX(Presupuesto!$C:$C,SMALL($AA187:$CH187,7)))</f>
        <v>0</v>
      </c>
      <c r="O187" s="1" t="n">
        <f aca="false">IF(SMALL($AA187:$CH187,8)&gt;=9999,"",INDEX(Presupuesto!$C:$C,SMALL($AA187:$CH187,8)))</f>
        <v>0</v>
      </c>
      <c r="P187" s="1" t="n">
        <f aca="false">IF(SMALL($AA187:$CH187,9)&gt;=9999,"",INDEX(Presupuesto!$C:$C,SMALL($AA187:$CH187,9)))</f>
        <v>0</v>
      </c>
      <c r="Q187" s="1" t="n">
        <f aca="false">IF(SMALL($AA187:$CH187,10)&gt;=9999,"",INDEX(Presupuesto!$C:$C,SMALL($AA187:$CH187,10)))</f>
        <v>0</v>
      </c>
      <c r="AA187" s="0" t="n">
        <f aca="false">IF(Presupuesto!$B$7='Flujo de Pagos'!$E187,7,9999)</f>
        <v>9999</v>
      </c>
      <c r="AB187" s="0" t="n">
        <f aca="false">IF(Presupuesto!$B$8='Flujo de Pagos'!$E187,8,9999)</f>
        <v>9999</v>
      </c>
      <c r="AC187" s="0" t="n">
        <f aca="false">IF(Presupuesto!$B$9='Flujo de Pagos'!$E187,9,9999)</f>
        <v>9999</v>
      </c>
      <c r="AD187" s="0" t="n">
        <f aca="false">IF(Presupuesto!$B$10='Flujo de Pagos'!$E187,10,9999)</f>
        <v>9999</v>
      </c>
      <c r="AE187" s="0" t="n">
        <f aca="false">IF(Presupuesto!$B$11='Flujo de Pagos'!$E187,11,9999)</f>
        <v>9999</v>
      </c>
      <c r="AF187" s="0" t="n">
        <f aca="false">IF(Presupuesto!$B$12='Flujo de Pagos'!$E187,12,9999)</f>
        <v>12</v>
      </c>
      <c r="AG187" s="0" t="n">
        <f aca="false">IF(Presupuesto!$B$13='Flujo de Pagos'!$E187,13,9999)</f>
        <v>13</v>
      </c>
      <c r="AH187" s="0" t="n">
        <f aca="false">IF(Presupuesto!$B$14='Flujo de Pagos'!$E187,14,9999)</f>
        <v>14</v>
      </c>
      <c r="AI187" s="0" t="n">
        <f aca="false">IF(Presupuesto!$B$15='Flujo de Pagos'!$E187,15,9999)</f>
        <v>15</v>
      </c>
      <c r="AJ187" s="0" t="n">
        <f aca="false">IF(Presupuesto!$B$16='Flujo de Pagos'!$E187,16,9999)</f>
        <v>16</v>
      </c>
      <c r="AK187" s="0" t="n">
        <f aca="false">IF(Presupuesto!$B$17='Flujo de Pagos'!$E187,17,9999)</f>
        <v>17</v>
      </c>
      <c r="AL187" s="0" t="n">
        <f aca="false">IF(Presupuesto!$B$18='Flujo de Pagos'!$E187,18,9999)</f>
        <v>18</v>
      </c>
      <c r="AM187" s="0" t="n">
        <f aca="false">IF(Presupuesto!$B$19='Flujo de Pagos'!$E187,19,9999)</f>
        <v>19</v>
      </c>
      <c r="AN187" s="0" t="n">
        <f aca="false">IF(Presupuesto!$B$20='Flujo de Pagos'!$E187,20,9999)</f>
        <v>20</v>
      </c>
      <c r="AO187" s="0" t="n">
        <f aca="false">IF(Presupuesto!$B$21='Flujo de Pagos'!$E187,21,9999)</f>
        <v>21</v>
      </c>
      <c r="AP187" s="0" t="n">
        <f aca="false">IF(Presupuesto!$B$22='Flujo de Pagos'!$E187,22,9999)</f>
        <v>22</v>
      </c>
      <c r="AQ187" s="0" t="n">
        <f aca="false">IF(Presupuesto!$B$23='Flujo de Pagos'!$E187,23,9999)</f>
        <v>23</v>
      </c>
      <c r="AR187" s="0" t="n">
        <f aca="false">IF(Presupuesto!$B$24='Flujo de Pagos'!$E187,24,9999)</f>
        <v>24</v>
      </c>
      <c r="AS187" s="0" t="n">
        <f aca="false">IF(Presupuesto!$B$25='Flujo de Pagos'!$E187,25,9999)</f>
        <v>25</v>
      </c>
      <c r="AT187" s="0" t="n">
        <f aca="false">IF(Presupuesto!$B$26='Flujo de Pagos'!$E187,26,9999)</f>
        <v>26</v>
      </c>
      <c r="AU187" s="0" t="n">
        <f aca="false">IF(Presupuesto!$B$27='Flujo de Pagos'!$E187,27,9999)</f>
        <v>27</v>
      </c>
      <c r="AV187" s="0" t="n">
        <f aca="false">IF(Presupuesto!$B$28='Flujo de Pagos'!$E187,28,9999)</f>
        <v>28</v>
      </c>
      <c r="AW187" s="0" t="n">
        <f aca="false">IF(Presupuesto!$B$29='Flujo de Pagos'!$E187,29,9999)</f>
        <v>29</v>
      </c>
      <c r="AX187" s="0" t="n">
        <f aca="false">IF(Presupuesto!$B$30='Flujo de Pagos'!$E187,30,9999)</f>
        <v>30</v>
      </c>
      <c r="AY187" s="0" t="n">
        <f aca="false">IF(Presupuesto!$B$31='Flujo de Pagos'!$E187,31,9999)</f>
        <v>31</v>
      </c>
      <c r="AZ187" s="0" t="n">
        <f aca="false">IF(Presupuesto!$B$32='Flujo de Pagos'!$E187,32,9999)</f>
        <v>32</v>
      </c>
      <c r="BA187" s="0" t="n">
        <f aca="false">IF(Presupuesto!$B$33='Flujo de Pagos'!$E187,33,9999)</f>
        <v>33</v>
      </c>
      <c r="BB187" s="0" t="n">
        <f aca="false">IF(Presupuesto!$B$34='Flujo de Pagos'!$E187,34,9999)</f>
        <v>34</v>
      </c>
      <c r="BC187" s="0" t="n">
        <f aca="false">IF(Presupuesto!$B$35='Flujo de Pagos'!$E187,35,9999)</f>
        <v>35</v>
      </c>
      <c r="BD187" s="0" t="n">
        <f aca="false">IF(Presupuesto!$B$36='Flujo de Pagos'!$E187,36,9999)</f>
        <v>36</v>
      </c>
      <c r="BE187" s="0" t="n">
        <f aca="false">IF(Presupuesto!$B$37='Flujo de Pagos'!$E187,37,9999)</f>
        <v>37</v>
      </c>
      <c r="BF187" s="0" t="n">
        <f aca="false">IF(Presupuesto!$B$38='Flujo de Pagos'!$E187,38,9999)</f>
        <v>38</v>
      </c>
      <c r="BG187" s="0" t="n">
        <f aca="false">IF(Presupuesto!$B$39='Flujo de Pagos'!$E187,39,9999)</f>
        <v>39</v>
      </c>
      <c r="BH187" s="0" t="n">
        <f aca="false">IF(Presupuesto!$B$40='Flujo de Pagos'!$E187,40,9999)</f>
        <v>40</v>
      </c>
      <c r="BI187" s="0" t="n">
        <f aca="false">IF(Presupuesto!$B$41='Flujo de Pagos'!$E187,41,9999)</f>
        <v>41</v>
      </c>
      <c r="BJ187" s="0" t="n">
        <f aca="false">IF(Presupuesto!$B$42='Flujo de Pagos'!$E187,42,9999)</f>
        <v>42</v>
      </c>
      <c r="BK187" s="0" t="n">
        <f aca="false">IF(Presupuesto!$B$43='Flujo de Pagos'!$E187,43,9999)</f>
        <v>43</v>
      </c>
      <c r="BL187" s="0" t="n">
        <f aca="false">IF(Presupuesto!$B$44='Flujo de Pagos'!$E187,44,9999)</f>
        <v>44</v>
      </c>
      <c r="BM187" s="0" t="n">
        <f aca="false">IF(Presupuesto!$B$45='Flujo de Pagos'!$E187,45,9999)</f>
        <v>45</v>
      </c>
      <c r="BN187" s="0" t="n">
        <f aca="false">IF(Presupuesto!$B$46='Flujo de Pagos'!$E187,46,9999)</f>
        <v>46</v>
      </c>
      <c r="BO187" s="0" t="n">
        <f aca="false">IF(Presupuesto!$B$47='Flujo de Pagos'!$E187,47,9999)</f>
        <v>47</v>
      </c>
      <c r="BP187" s="0" t="n">
        <f aca="false">IF(Presupuesto!$B$48='Flujo de Pagos'!$E187,48,9999)</f>
        <v>48</v>
      </c>
      <c r="BQ187" s="0" t="n">
        <f aca="false">IF(Presupuesto!$B$49='Flujo de Pagos'!$E187,49,9999)</f>
        <v>49</v>
      </c>
      <c r="BR187" s="0" t="n">
        <f aca="false">IF(Presupuesto!$B$50='Flujo de Pagos'!$E187,50,9999)</f>
        <v>50</v>
      </c>
      <c r="BS187" s="0" t="n">
        <f aca="false">IF(Presupuesto!$B$51='Flujo de Pagos'!$E187,51,9999)</f>
        <v>51</v>
      </c>
      <c r="BT187" s="0" t="n">
        <f aca="false">IF(Presupuesto!$B$52='Flujo de Pagos'!$E187,52,9999)</f>
        <v>52</v>
      </c>
      <c r="BU187" s="0" t="n">
        <f aca="false">IF(Presupuesto!$B$53='Flujo de Pagos'!$E187,53,9999)</f>
        <v>53</v>
      </c>
      <c r="BV187" s="0" t="n">
        <f aca="false">IF(Presupuesto!$B$54='Flujo de Pagos'!$E187,54,9999)</f>
        <v>54</v>
      </c>
      <c r="BW187" s="0" t="n">
        <f aca="false">IF(Presupuesto!$B$55='Flujo de Pagos'!$E187,55,9999)</f>
        <v>55</v>
      </c>
      <c r="BX187" s="0" t="n">
        <f aca="false">IF(Presupuesto!$B$56='Flujo de Pagos'!$E187,56,9999)</f>
        <v>56</v>
      </c>
      <c r="BY187" s="0" t="n">
        <f aca="false">IF(Presupuesto!$B$57='Flujo de Pagos'!$E187,57,9999)</f>
        <v>57</v>
      </c>
      <c r="BZ187" s="0" t="n">
        <f aca="false">IF(Presupuesto!$B$58='Flujo de Pagos'!$E187,58,9999)</f>
        <v>58</v>
      </c>
      <c r="CA187" s="0" t="n">
        <f aca="false">IF(Presupuesto!$B$59='Flujo de Pagos'!$E187,59,9999)</f>
        <v>59</v>
      </c>
      <c r="CB187" s="0" t="n">
        <f aca="false">IF(Presupuesto!$B$60='Flujo de Pagos'!$E187,60,9999)</f>
        <v>60</v>
      </c>
      <c r="CC187" s="0" t="n">
        <f aca="false">IF(Presupuesto!$B$61='Flujo de Pagos'!$E187,61,9999)</f>
        <v>61</v>
      </c>
      <c r="CD187" s="0" t="n">
        <f aca="false">IF(Presupuesto!$B$62='Flujo de Pagos'!$E187,62,9999)</f>
        <v>62</v>
      </c>
      <c r="CE187" s="0" t="n">
        <f aca="false">IF(Presupuesto!$B$63='Flujo de Pagos'!$E187,63,9999)</f>
        <v>63</v>
      </c>
      <c r="CF187" s="0" t="n">
        <f aca="false">IF(Presupuesto!$B$64='Flujo de Pagos'!$E187,64,9999)</f>
        <v>64</v>
      </c>
      <c r="CG187" s="0" t="n">
        <f aca="false">IF(Presupuesto!$B$65='Flujo de Pagos'!$E187,65,9999)</f>
        <v>65</v>
      </c>
      <c r="CH187" s="0" t="n">
        <f aca="false">IF(Presupuesto!$B$66='Flujo de Pagos'!$E187,66,9999)</f>
        <v>66</v>
      </c>
    </row>
    <row r="188" customFormat="false" ht="15" hidden="false" customHeight="true" outlineLevel="0" collapsed="false">
      <c r="B188" s="1" t="n">
        <f aca="false">IF(AND('Flujo de Pagos'!E193=Carátula!$B$2,'Flujo de Pagos'!F193=Carátula!$B$4,'Flujo de Pagos'!H193&lt;&gt;""),193,99999)</f>
        <v>99999</v>
      </c>
      <c r="H188" s="1" t="n">
        <f aca="false">IF(SMALL($AA188:$CH188,1)&gt;=9999,"",INDEX(Presupuesto!$C:$C,SMALL($AA188:$CH188,1)))</f>
        <v>0</v>
      </c>
      <c r="I188" s="1" t="n">
        <f aca="false">IF(SMALL($AA188:$CH188,2)&gt;=9999,"",INDEX(Presupuesto!$C:$C,SMALL($AA188:$CH188,2)))</f>
        <v>0</v>
      </c>
      <c r="J188" s="1" t="n">
        <f aca="false">IF(SMALL($AA188:$CH188,3)&gt;=9999,"",INDEX(Presupuesto!$C:$C,SMALL($AA188:$CH188,3)))</f>
        <v>0</v>
      </c>
      <c r="K188" s="1" t="n">
        <f aca="false">IF(SMALL($AA188:$CH188,4)&gt;=9999,"",INDEX(Presupuesto!$C:$C,SMALL($AA188:$CH188,4)))</f>
        <v>0</v>
      </c>
      <c r="L188" s="1" t="n">
        <f aca="false">IF(SMALL($AA188:$CH188,5)&gt;=9999,"",INDEX(Presupuesto!$C:$C,SMALL($AA188:$CH188,5)))</f>
        <v>0</v>
      </c>
      <c r="M188" s="1" t="n">
        <f aca="false">IF(SMALL($AA188:$CH188,6)&gt;=9999,"",INDEX(Presupuesto!$C:$C,SMALL($AA188:$CH188,6)))</f>
        <v>0</v>
      </c>
      <c r="N188" s="1" t="n">
        <f aca="false">IF(SMALL($AA188:$CH188,7)&gt;=9999,"",INDEX(Presupuesto!$C:$C,SMALL($AA188:$CH188,7)))</f>
        <v>0</v>
      </c>
      <c r="O188" s="1" t="n">
        <f aca="false">IF(SMALL($AA188:$CH188,8)&gt;=9999,"",INDEX(Presupuesto!$C:$C,SMALL($AA188:$CH188,8)))</f>
        <v>0</v>
      </c>
      <c r="P188" s="1" t="n">
        <f aca="false">IF(SMALL($AA188:$CH188,9)&gt;=9999,"",INDEX(Presupuesto!$C:$C,SMALL($AA188:$CH188,9)))</f>
        <v>0</v>
      </c>
      <c r="Q188" s="1" t="n">
        <f aca="false">IF(SMALL($AA188:$CH188,10)&gt;=9999,"",INDEX(Presupuesto!$C:$C,SMALL($AA188:$CH188,10)))</f>
        <v>0</v>
      </c>
      <c r="AA188" s="0" t="n">
        <f aca="false">IF(Presupuesto!$B$7='Flujo de Pagos'!$E188,7,9999)</f>
        <v>9999</v>
      </c>
      <c r="AB188" s="0" t="n">
        <f aca="false">IF(Presupuesto!$B$8='Flujo de Pagos'!$E188,8,9999)</f>
        <v>9999</v>
      </c>
      <c r="AC188" s="0" t="n">
        <f aca="false">IF(Presupuesto!$B$9='Flujo de Pagos'!$E188,9,9999)</f>
        <v>9999</v>
      </c>
      <c r="AD188" s="0" t="n">
        <f aca="false">IF(Presupuesto!$B$10='Flujo de Pagos'!$E188,10,9999)</f>
        <v>9999</v>
      </c>
      <c r="AE188" s="0" t="n">
        <f aca="false">IF(Presupuesto!$B$11='Flujo de Pagos'!$E188,11,9999)</f>
        <v>9999</v>
      </c>
      <c r="AF188" s="0" t="n">
        <f aca="false">IF(Presupuesto!$B$12='Flujo de Pagos'!$E188,12,9999)</f>
        <v>12</v>
      </c>
      <c r="AG188" s="0" t="n">
        <f aca="false">IF(Presupuesto!$B$13='Flujo de Pagos'!$E188,13,9999)</f>
        <v>13</v>
      </c>
      <c r="AH188" s="0" t="n">
        <f aca="false">IF(Presupuesto!$B$14='Flujo de Pagos'!$E188,14,9999)</f>
        <v>14</v>
      </c>
      <c r="AI188" s="0" t="n">
        <f aca="false">IF(Presupuesto!$B$15='Flujo de Pagos'!$E188,15,9999)</f>
        <v>15</v>
      </c>
      <c r="AJ188" s="0" t="n">
        <f aca="false">IF(Presupuesto!$B$16='Flujo de Pagos'!$E188,16,9999)</f>
        <v>16</v>
      </c>
      <c r="AK188" s="0" t="n">
        <f aca="false">IF(Presupuesto!$B$17='Flujo de Pagos'!$E188,17,9999)</f>
        <v>17</v>
      </c>
      <c r="AL188" s="0" t="n">
        <f aca="false">IF(Presupuesto!$B$18='Flujo de Pagos'!$E188,18,9999)</f>
        <v>18</v>
      </c>
      <c r="AM188" s="0" t="n">
        <f aca="false">IF(Presupuesto!$B$19='Flujo de Pagos'!$E188,19,9999)</f>
        <v>19</v>
      </c>
      <c r="AN188" s="0" t="n">
        <f aca="false">IF(Presupuesto!$B$20='Flujo de Pagos'!$E188,20,9999)</f>
        <v>20</v>
      </c>
      <c r="AO188" s="0" t="n">
        <f aca="false">IF(Presupuesto!$B$21='Flujo de Pagos'!$E188,21,9999)</f>
        <v>21</v>
      </c>
      <c r="AP188" s="0" t="n">
        <f aca="false">IF(Presupuesto!$B$22='Flujo de Pagos'!$E188,22,9999)</f>
        <v>22</v>
      </c>
      <c r="AQ188" s="0" t="n">
        <f aca="false">IF(Presupuesto!$B$23='Flujo de Pagos'!$E188,23,9999)</f>
        <v>23</v>
      </c>
      <c r="AR188" s="0" t="n">
        <f aca="false">IF(Presupuesto!$B$24='Flujo de Pagos'!$E188,24,9999)</f>
        <v>24</v>
      </c>
      <c r="AS188" s="0" t="n">
        <f aca="false">IF(Presupuesto!$B$25='Flujo de Pagos'!$E188,25,9999)</f>
        <v>25</v>
      </c>
      <c r="AT188" s="0" t="n">
        <f aca="false">IF(Presupuesto!$B$26='Flujo de Pagos'!$E188,26,9999)</f>
        <v>26</v>
      </c>
      <c r="AU188" s="0" t="n">
        <f aca="false">IF(Presupuesto!$B$27='Flujo de Pagos'!$E188,27,9999)</f>
        <v>27</v>
      </c>
      <c r="AV188" s="0" t="n">
        <f aca="false">IF(Presupuesto!$B$28='Flujo de Pagos'!$E188,28,9999)</f>
        <v>28</v>
      </c>
      <c r="AW188" s="0" t="n">
        <f aca="false">IF(Presupuesto!$B$29='Flujo de Pagos'!$E188,29,9999)</f>
        <v>29</v>
      </c>
      <c r="AX188" s="0" t="n">
        <f aca="false">IF(Presupuesto!$B$30='Flujo de Pagos'!$E188,30,9999)</f>
        <v>30</v>
      </c>
      <c r="AY188" s="0" t="n">
        <f aca="false">IF(Presupuesto!$B$31='Flujo de Pagos'!$E188,31,9999)</f>
        <v>31</v>
      </c>
      <c r="AZ188" s="0" t="n">
        <f aca="false">IF(Presupuesto!$B$32='Flujo de Pagos'!$E188,32,9999)</f>
        <v>32</v>
      </c>
      <c r="BA188" s="0" t="n">
        <f aca="false">IF(Presupuesto!$B$33='Flujo de Pagos'!$E188,33,9999)</f>
        <v>33</v>
      </c>
      <c r="BB188" s="0" t="n">
        <f aca="false">IF(Presupuesto!$B$34='Flujo de Pagos'!$E188,34,9999)</f>
        <v>34</v>
      </c>
      <c r="BC188" s="0" t="n">
        <f aca="false">IF(Presupuesto!$B$35='Flujo de Pagos'!$E188,35,9999)</f>
        <v>35</v>
      </c>
      <c r="BD188" s="0" t="n">
        <f aca="false">IF(Presupuesto!$B$36='Flujo de Pagos'!$E188,36,9999)</f>
        <v>36</v>
      </c>
      <c r="BE188" s="0" t="n">
        <f aca="false">IF(Presupuesto!$B$37='Flujo de Pagos'!$E188,37,9999)</f>
        <v>37</v>
      </c>
      <c r="BF188" s="0" t="n">
        <f aca="false">IF(Presupuesto!$B$38='Flujo de Pagos'!$E188,38,9999)</f>
        <v>38</v>
      </c>
      <c r="BG188" s="0" t="n">
        <f aca="false">IF(Presupuesto!$B$39='Flujo de Pagos'!$E188,39,9999)</f>
        <v>39</v>
      </c>
      <c r="BH188" s="0" t="n">
        <f aca="false">IF(Presupuesto!$B$40='Flujo de Pagos'!$E188,40,9999)</f>
        <v>40</v>
      </c>
      <c r="BI188" s="0" t="n">
        <f aca="false">IF(Presupuesto!$B$41='Flujo de Pagos'!$E188,41,9999)</f>
        <v>41</v>
      </c>
      <c r="BJ188" s="0" t="n">
        <f aca="false">IF(Presupuesto!$B$42='Flujo de Pagos'!$E188,42,9999)</f>
        <v>42</v>
      </c>
      <c r="BK188" s="0" t="n">
        <f aca="false">IF(Presupuesto!$B$43='Flujo de Pagos'!$E188,43,9999)</f>
        <v>43</v>
      </c>
      <c r="BL188" s="0" t="n">
        <f aca="false">IF(Presupuesto!$B$44='Flujo de Pagos'!$E188,44,9999)</f>
        <v>44</v>
      </c>
      <c r="BM188" s="0" t="n">
        <f aca="false">IF(Presupuesto!$B$45='Flujo de Pagos'!$E188,45,9999)</f>
        <v>45</v>
      </c>
      <c r="BN188" s="0" t="n">
        <f aca="false">IF(Presupuesto!$B$46='Flujo de Pagos'!$E188,46,9999)</f>
        <v>46</v>
      </c>
      <c r="BO188" s="0" t="n">
        <f aca="false">IF(Presupuesto!$B$47='Flujo de Pagos'!$E188,47,9999)</f>
        <v>47</v>
      </c>
      <c r="BP188" s="0" t="n">
        <f aca="false">IF(Presupuesto!$B$48='Flujo de Pagos'!$E188,48,9999)</f>
        <v>48</v>
      </c>
      <c r="BQ188" s="0" t="n">
        <f aca="false">IF(Presupuesto!$B$49='Flujo de Pagos'!$E188,49,9999)</f>
        <v>49</v>
      </c>
      <c r="BR188" s="0" t="n">
        <f aca="false">IF(Presupuesto!$B$50='Flujo de Pagos'!$E188,50,9999)</f>
        <v>50</v>
      </c>
      <c r="BS188" s="0" t="n">
        <f aca="false">IF(Presupuesto!$B$51='Flujo de Pagos'!$E188,51,9999)</f>
        <v>51</v>
      </c>
      <c r="BT188" s="0" t="n">
        <f aca="false">IF(Presupuesto!$B$52='Flujo de Pagos'!$E188,52,9999)</f>
        <v>52</v>
      </c>
      <c r="BU188" s="0" t="n">
        <f aca="false">IF(Presupuesto!$B$53='Flujo de Pagos'!$E188,53,9999)</f>
        <v>53</v>
      </c>
      <c r="BV188" s="0" t="n">
        <f aca="false">IF(Presupuesto!$B$54='Flujo de Pagos'!$E188,54,9999)</f>
        <v>54</v>
      </c>
      <c r="BW188" s="0" t="n">
        <f aca="false">IF(Presupuesto!$B$55='Flujo de Pagos'!$E188,55,9999)</f>
        <v>55</v>
      </c>
      <c r="BX188" s="0" t="n">
        <f aca="false">IF(Presupuesto!$B$56='Flujo de Pagos'!$E188,56,9999)</f>
        <v>56</v>
      </c>
      <c r="BY188" s="0" t="n">
        <f aca="false">IF(Presupuesto!$B$57='Flujo de Pagos'!$E188,57,9999)</f>
        <v>57</v>
      </c>
      <c r="BZ188" s="0" t="n">
        <f aca="false">IF(Presupuesto!$B$58='Flujo de Pagos'!$E188,58,9999)</f>
        <v>58</v>
      </c>
      <c r="CA188" s="0" t="n">
        <f aca="false">IF(Presupuesto!$B$59='Flujo de Pagos'!$E188,59,9999)</f>
        <v>59</v>
      </c>
      <c r="CB188" s="0" t="n">
        <f aca="false">IF(Presupuesto!$B$60='Flujo de Pagos'!$E188,60,9999)</f>
        <v>60</v>
      </c>
      <c r="CC188" s="0" t="n">
        <f aca="false">IF(Presupuesto!$B$61='Flujo de Pagos'!$E188,61,9999)</f>
        <v>61</v>
      </c>
      <c r="CD188" s="0" t="n">
        <f aca="false">IF(Presupuesto!$B$62='Flujo de Pagos'!$E188,62,9999)</f>
        <v>62</v>
      </c>
      <c r="CE188" s="0" t="n">
        <f aca="false">IF(Presupuesto!$B$63='Flujo de Pagos'!$E188,63,9999)</f>
        <v>63</v>
      </c>
      <c r="CF188" s="0" t="n">
        <f aca="false">IF(Presupuesto!$B$64='Flujo de Pagos'!$E188,64,9999)</f>
        <v>64</v>
      </c>
      <c r="CG188" s="0" t="n">
        <f aca="false">IF(Presupuesto!$B$65='Flujo de Pagos'!$E188,65,9999)</f>
        <v>65</v>
      </c>
      <c r="CH188" s="0" t="n">
        <f aca="false">IF(Presupuesto!$B$66='Flujo de Pagos'!$E188,66,9999)</f>
        <v>66</v>
      </c>
    </row>
    <row r="189" customFormat="false" ht="15" hidden="false" customHeight="true" outlineLevel="0" collapsed="false">
      <c r="B189" s="1" t="n">
        <f aca="false">IF(AND('Flujo de Pagos'!E194=Carátula!$B$2,'Flujo de Pagos'!F194=Carátula!$B$4,'Flujo de Pagos'!H194&lt;&gt;""),194,99999)</f>
        <v>99999</v>
      </c>
      <c r="H189" s="1" t="n">
        <f aca="false">IF(SMALL($AA189:$CH189,1)&gt;=9999,"",INDEX(Presupuesto!$C:$C,SMALL($AA189:$CH189,1)))</f>
        <v>0</v>
      </c>
      <c r="I189" s="1" t="n">
        <f aca="false">IF(SMALL($AA189:$CH189,2)&gt;=9999,"",INDEX(Presupuesto!$C:$C,SMALL($AA189:$CH189,2)))</f>
        <v>0</v>
      </c>
      <c r="J189" s="1" t="n">
        <f aca="false">IF(SMALL($AA189:$CH189,3)&gt;=9999,"",INDEX(Presupuesto!$C:$C,SMALL($AA189:$CH189,3)))</f>
        <v>0</v>
      </c>
      <c r="K189" s="1" t="n">
        <f aca="false">IF(SMALL($AA189:$CH189,4)&gt;=9999,"",INDEX(Presupuesto!$C:$C,SMALL($AA189:$CH189,4)))</f>
        <v>0</v>
      </c>
      <c r="L189" s="1" t="n">
        <f aca="false">IF(SMALL($AA189:$CH189,5)&gt;=9999,"",INDEX(Presupuesto!$C:$C,SMALL($AA189:$CH189,5)))</f>
        <v>0</v>
      </c>
      <c r="M189" s="1" t="n">
        <f aca="false">IF(SMALL($AA189:$CH189,6)&gt;=9999,"",INDEX(Presupuesto!$C:$C,SMALL($AA189:$CH189,6)))</f>
        <v>0</v>
      </c>
      <c r="N189" s="1" t="n">
        <f aca="false">IF(SMALL($AA189:$CH189,7)&gt;=9999,"",INDEX(Presupuesto!$C:$C,SMALL($AA189:$CH189,7)))</f>
        <v>0</v>
      </c>
      <c r="O189" s="1" t="n">
        <f aca="false">IF(SMALL($AA189:$CH189,8)&gt;=9999,"",INDEX(Presupuesto!$C:$C,SMALL($AA189:$CH189,8)))</f>
        <v>0</v>
      </c>
      <c r="P189" s="1" t="n">
        <f aca="false">IF(SMALL($AA189:$CH189,9)&gt;=9999,"",INDEX(Presupuesto!$C:$C,SMALL($AA189:$CH189,9)))</f>
        <v>0</v>
      </c>
      <c r="Q189" s="1" t="n">
        <f aca="false">IF(SMALL($AA189:$CH189,10)&gt;=9999,"",INDEX(Presupuesto!$C:$C,SMALL($AA189:$CH189,10)))</f>
        <v>0</v>
      </c>
      <c r="AA189" s="0" t="n">
        <f aca="false">IF(Presupuesto!$B$7='Flujo de Pagos'!$E189,7,9999)</f>
        <v>9999</v>
      </c>
      <c r="AB189" s="0" t="n">
        <f aca="false">IF(Presupuesto!$B$8='Flujo de Pagos'!$E189,8,9999)</f>
        <v>9999</v>
      </c>
      <c r="AC189" s="0" t="n">
        <f aca="false">IF(Presupuesto!$B$9='Flujo de Pagos'!$E189,9,9999)</f>
        <v>9999</v>
      </c>
      <c r="AD189" s="0" t="n">
        <f aca="false">IF(Presupuesto!$B$10='Flujo de Pagos'!$E189,10,9999)</f>
        <v>9999</v>
      </c>
      <c r="AE189" s="0" t="n">
        <f aca="false">IF(Presupuesto!$B$11='Flujo de Pagos'!$E189,11,9999)</f>
        <v>9999</v>
      </c>
      <c r="AF189" s="0" t="n">
        <f aca="false">IF(Presupuesto!$B$12='Flujo de Pagos'!$E189,12,9999)</f>
        <v>12</v>
      </c>
      <c r="AG189" s="0" t="n">
        <f aca="false">IF(Presupuesto!$B$13='Flujo de Pagos'!$E189,13,9999)</f>
        <v>13</v>
      </c>
      <c r="AH189" s="0" t="n">
        <f aca="false">IF(Presupuesto!$B$14='Flujo de Pagos'!$E189,14,9999)</f>
        <v>14</v>
      </c>
      <c r="AI189" s="0" t="n">
        <f aca="false">IF(Presupuesto!$B$15='Flujo de Pagos'!$E189,15,9999)</f>
        <v>15</v>
      </c>
      <c r="AJ189" s="0" t="n">
        <f aca="false">IF(Presupuesto!$B$16='Flujo de Pagos'!$E189,16,9999)</f>
        <v>16</v>
      </c>
      <c r="AK189" s="0" t="n">
        <f aca="false">IF(Presupuesto!$B$17='Flujo de Pagos'!$E189,17,9999)</f>
        <v>17</v>
      </c>
      <c r="AL189" s="0" t="n">
        <f aca="false">IF(Presupuesto!$B$18='Flujo de Pagos'!$E189,18,9999)</f>
        <v>18</v>
      </c>
      <c r="AM189" s="0" t="n">
        <f aca="false">IF(Presupuesto!$B$19='Flujo de Pagos'!$E189,19,9999)</f>
        <v>19</v>
      </c>
      <c r="AN189" s="0" t="n">
        <f aca="false">IF(Presupuesto!$B$20='Flujo de Pagos'!$E189,20,9999)</f>
        <v>20</v>
      </c>
      <c r="AO189" s="0" t="n">
        <f aca="false">IF(Presupuesto!$B$21='Flujo de Pagos'!$E189,21,9999)</f>
        <v>21</v>
      </c>
      <c r="AP189" s="0" t="n">
        <f aca="false">IF(Presupuesto!$B$22='Flujo de Pagos'!$E189,22,9999)</f>
        <v>22</v>
      </c>
      <c r="AQ189" s="0" t="n">
        <f aca="false">IF(Presupuesto!$B$23='Flujo de Pagos'!$E189,23,9999)</f>
        <v>23</v>
      </c>
      <c r="AR189" s="0" t="n">
        <f aca="false">IF(Presupuesto!$B$24='Flujo de Pagos'!$E189,24,9999)</f>
        <v>24</v>
      </c>
      <c r="AS189" s="0" t="n">
        <f aca="false">IF(Presupuesto!$B$25='Flujo de Pagos'!$E189,25,9999)</f>
        <v>25</v>
      </c>
      <c r="AT189" s="0" t="n">
        <f aca="false">IF(Presupuesto!$B$26='Flujo de Pagos'!$E189,26,9999)</f>
        <v>26</v>
      </c>
      <c r="AU189" s="0" t="n">
        <f aca="false">IF(Presupuesto!$B$27='Flujo de Pagos'!$E189,27,9999)</f>
        <v>27</v>
      </c>
      <c r="AV189" s="0" t="n">
        <f aca="false">IF(Presupuesto!$B$28='Flujo de Pagos'!$E189,28,9999)</f>
        <v>28</v>
      </c>
      <c r="AW189" s="0" t="n">
        <f aca="false">IF(Presupuesto!$B$29='Flujo de Pagos'!$E189,29,9999)</f>
        <v>29</v>
      </c>
      <c r="AX189" s="0" t="n">
        <f aca="false">IF(Presupuesto!$B$30='Flujo de Pagos'!$E189,30,9999)</f>
        <v>30</v>
      </c>
      <c r="AY189" s="0" t="n">
        <f aca="false">IF(Presupuesto!$B$31='Flujo de Pagos'!$E189,31,9999)</f>
        <v>31</v>
      </c>
      <c r="AZ189" s="0" t="n">
        <f aca="false">IF(Presupuesto!$B$32='Flujo de Pagos'!$E189,32,9999)</f>
        <v>32</v>
      </c>
      <c r="BA189" s="0" t="n">
        <f aca="false">IF(Presupuesto!$B$33='Flujo de Pagos'!$E189,33,9999)</f>
        <v>33</v>
      </c>
      <c r="BB189" s="0" t="n">
        <f aca="false">IF(Presupuesto!$B$34='Flujo de Pagos'!$E189,34,9999)</f>
        <v>34</v>
      </c>
      <c r="BC189" s="0" t="n">
        <f aca="false">IF(Presupuesto!$B$35='Flujo de Pagos'!$E189,35,9999)</f>
        <v>35</v>
      </c>
      <c r="BD189" s="0" t="n">
        <f aca="false">IF(Presupuesto!$B$36='Flujo de Pagos'!$E189,36,9999)</f>
        <v>36</v>
      </c>
      <c r="BE189" s="0" t="n">
        <f aca="false">IF(Presupuesto!$B$37='Flujo de Pagos'!$E189,37,9999)</f>
        <v>37</v>
      </c>
      <c r="BF189" s="0" t="n">
        <f aca="false">IF(Presupuesto!$B$38='Flujo de Pagos'!$E189,38,9999)</f>
        <v>38</v>
      </c>
      <c r="BG189" s="0" t="n">
        <f aca="false">IF(Presupuesto!$B$39='Flujo de Pagos'!$E189,39,9999)</f>
        <v>39</v>
      </c>
      <c r="BH189" s="0" t="n">
        <f aca="false">IF(Presupuesto!$B$40='Flujo de Pagos'!$E189,40,9999)</f>
        <v>40</v>
      </c>
      <c r="BI189" s="0" t="n">
        <f aca="false">IF(Presupuesto!$B$41='Flujo de Pagos'!$E189,41,9999)</f>
        <v>41</v>
      </c>
      <c r="BJ189" s="0" t="n">
        <f aca="false">IF(Presupuesto!$B$42='Flujo de Pagos'!$E189,42,9999)</f>
        <v>42</v>
      </c>
      <c r="BK189" s="0" t="n">
        <f aca="false">IF(Presupuesto!$B$43='Flujo de Pagos'!$E189,43,9999)</f>
        <v>43</v>
      </c>
      <c r="BL189" s="0" t="n">
        <f aca="false">IF(Presupuesto!$B$44='Flujo de Pagos'!$E189,44,9999)</f>
        <v>44</v>
      </c>
      <c r="BM189" s="0" t="n">
        <f aca="false">IF(Presupuesto!$B$45='Flujo de Pagos'!$E189,45,9999)</f>
        <v>45</v>
      </c>
      <c r="BN189" s="0" t="n">
        <f aca="false">IF(Presupuesto!$B$46='Flujo de Pagos'!$E189,46,9999)</f>
        <v>46</v>
      </c>
      <c r="BO189" s="0" t="n">
        <f aca="false">IF(Presupuesto!$B$47='Flujo de Pagos'!$E189,47,9999)</f>
        <v>47</v>
      </c>
      <c r="BP189" s="0" t="n">
        <f aca="false">IF(Presupuesto!$B$48='Flujo de Pagos'!$E189,48,9999)</f>
        <v>48</v>
      </c>
      <c r="BQ189" s="0" t="n">
        <f aca="false">IF(Presupuesto!$B$49='Flujo de Pagos'!$E189,49,9999)</f>
        <v>49</v>
      </c>
      <c r="BR189" s="0" t="n">
        <f aca="false">IF(Presupuesto!$B$50='Flujo de Pagos'!$E189,50,9999)</f>
        <v>50</v>
      </c>
      <c r="BS189" s="0" t="n">
        <f aca="false">IF(Presupuesto!$B$51='Flujo de Pagos'!$E189,51,9999)</f>
        <v>51</v>
      </c>
      <c r="BT189" s="0" t="n">
        <f aca="false">IF(Presupuesto!$B$52='Flujo de Pagos'!$E189,52,9999)</f>
        <v>52</v>
      </c>
      <c r="BU189" s="0" t="n">
        <f aca="false">IF(Presupuesto!$B$53='Flujo de Pagos'!$E189,53,9999)</f>
        <v>53</v>
      </c>
      <c r="BV189" s="0" t="n">
        <f aca="false">IF(Presupuesto!$B$54='Flujo de Pagos'!$E189,54,9999)</f>
        <v>54</v>
      </c>
      <c r="BW189" s="0" t="n">
        <f aca="false">IF(Presupuesto!$B$55='Flujo de Pagos'!$E189,55,9999)</f>
        <v>55</v>
      </c>
      <c r="BX189" s="0" t="n">
        <f aca="false">IF(Presupuesto!$B$56='Flujo de Pagos'!$E189,56,9999)</f>
        <v>56</v>
      </c>
      <c r="BY189" s="0" t="n">
        <f aca="false">IF(Presupuesto!$B$57='Flujo de Pagos'!$E189,57,9999)</f>
        <v>57</v>
      </c>
      <c r="BZ189" s="0" t="n">
        <f aca="false">IF(Presupuesto!$B$58='Flujo de Pagos'!$E189,58,9999)</f>
        <v>58</v>
      </c>
      <c r="CA189" s="0" t="n">
        <f aca="false">IF(Presupuesto!$B$59='Flujo de Pagos'!$E189,59,9999)</f>
        <v>59</v>
      </c>
      <c r="CB189" s="0" t="n">
        <f aca="false">IF(Presupuesto!$B$60='Flujo de Pagos'!$E189,60,9999)</f>
        <v>60</v>
      </c>
      <c r="CC189" s="0" t="n">
        <f aca="false">IF(Presupuesto!$B$61='Flujo de Pagos'!$E189,61,9999)</f>
        <v>61</v>
      </c>
      <c r="CD189" s="0" t="n">
        <f aca="false">IF(Presupuesto!$B$62='Flujo de Pagos'!$E189,62,9999)</f>
        <v>62</v>
      </c>
      <c r="CE189" s="0" t="n">
        <f aca="false">IF(Presupuesto!$B$63='Flujo de Pagos'!$E189,63,9999)</f>
        <v>63</v>
      </c>
      <c r="CF189" s="0" t="n">
        <f aca="false">IF(Presupuesto!$B$64='Flujo de Pagos'!$E189,64,9999)</f>
        <v>64</v>
      </c>
      <c r="CG189" s="0" t="n">
        <f aca="false">IF(Presupuesto!$B$65='Flujo de Pagos'!$E189,65,9999)</f>
        <v>65</v>
      </c>
      <c r="CH189" s="0" t="n">
        <f aca="false">IF(Presupuesto!$B$66='Flujo de Pagos'!$E189,66,9999)</f>
        <v>66</v>
      </c>
    </row>
    <row r="190" customFormat="false" ht="15" hidden="false" customHeight="true" outlineLevel="0" collapsed="false">
      <c r="B190" s="1" t="n">
        <f aca="false">IF(AND('Flujo de Pagos'!E195=Carátula!$B$2,'Flujo de Pagos'!F195=Carátula!$B$4,'Flujo de Pagos'!H195&lt;&gt;""),195,99999)</f>
        <v>99999</v>
      </c>
      <c r="H190" s="1" t="n">
        <f aca="false">IF(SMALL($AA190:$CH190,1)&gt;=9999,"",INDEX(Presupuesto!$C:$C,SMALL($AA190:$CH190,1)))</f>
        <v>0</v>
      </c>
      <c r="I190" s="1" t="n">
        <f aca="false">IF(SMALL($AA190:$CH190,2)&gt;=9999,"",INDEX(Presupuesto!$C:$C,SMALL($AA190:$CH190,2)))</f>
        <v>0</v>
      </c>
      <c r="J190" s="1" t="n">
        <f aca="false">IF(SMALL($AA190:$CH190,3)&gt;=9999,"",INDEX(Presupuesto!$C:$C,SMALL($AA190:$CH190,3)))</f>
        <v>0</v>
      </c>
      <c r="K190" s="1" t="n">
        <f aca="false">IF(SMALL($AA190:$CH190,4)&gt;=9999,"",INDEX(Presupuesto!$C:$C,SMALL($AA190:$CH190,4)))</f>
        <v>0</v>
      </c>
      <c r="L190" s="1" t="n">
        <f aca="false">IF(SMALL($AA190:$CH190,5)&gt;=9999,"",INDEX(Presupuesto!$C:$C,SMALL($AA190:$CH190,5)))</f>
        <v>0</v>
      </c>
      <c r="M190" s="1" t="n">
        <f aca="false">IF(SMALL($AA190:$CH190,6)&gt;=9999,"",INDEX(Presupuesto!$C:$C,SMALL($AA190:$CH190,6)))</f>
        <v>0</v>
      </c>
      <c r="N190" s="1" t="n">
        <f aca="false">IF(SMALL($AA190:$CH190,7)&gt;=9999,"",INDEX(Presupuesto!$C:$C,SMALL($AA190:$CH190,7)))</f>
        <v>0</v>
      </c>
      <c r="O190" s="1" t="n">
        <f aca="false">IF(SMALL($AA190:$CH190,8)&gt;=9999,"",INDEX(Presupuesto!$C:$C,SMALL($AA190:$CH190,8)))</f>
        <v>0</v>
      </c>
      <c r="P190" s="1" t="n">
        <f aca="false">IF(SMALL($AA190:$CH190,9)&gt;=9999,"",INDEX(Presupuesto!$C:$C,SMALL($AA190:$CH190,9)))</f>
        <v>0</v>
      </c>
      <c r="Q190" s="1" t="n">
        <f aca="false">IF(SMALL($AA190:$CH190,10)&gt;=9999,"",INDEX(Presupuesto!$C:$C,SMALL($AA190:$CH190,10)))</f>
        <v>0</v>
      </c>
      <c r="AA190" s="0" t="n">
        <f aca="false">IF(Presupuesto!$B$7='Flujo de Pagos'!$E190,7,9999)</f>
        <v>9999</v>
      </c>
      <c r="AB190" s="0" t="n">
        <f aca="false">IF(Presupuesto!$B$8='Flujo de Pagos'!$E190,8,9999)</f>
        <v>9999</v>
      </c>
      <c r="AC190" s="0" t="n">
        <f aca="false">IF(Presupuesto!$B$9='Flujo de Pagos'!$E190,9,9999)</f>
        <v>9999</v>
      </c>
      <c r="AD190" s="0" t="n">
        <f aca="false">IF(Presupuesto!$B$10='Flujo de Pagos'!$E190,10,9999)</f>
        <v>9999</v>
      </c>
      <c r="AE190" s="0" t="n">
        <f aca="false">IF(Presupuesto!$B$11='Flujo de Pagos'!$E190,11,9999)</f>
        <v>9999</v>
      </c>
      <c r="AF190" s="0" t="n">
        <f aca="false">IF(Presupuesto!$B$12='Flujo de Pagos'!$E190,12,9999)</f>
        <v>12</v>
      </c>
      <c r="AG190" s="0" t="n">
        <f aca="false">IF(Presupuesto!$B$13='Flujo de Pagos'!$E190,13,9999)</f>
        <v>13</v>
      </c>
      <c r="AH190" s="0" t="n">
        <f aca="false">IF(Presupuesto!$B$14='Flujo de Pagos'!$E190,14,9999)</f>
        <v>14</v>
      </c>
      <c r="AI190" s="0" t="n">
        <f aca="false">IF(Presupuesto!$B$15='Flujo de Pagos'!$E190,15,9999)</f>
        <v>15</v>
      </c>
      <c r="AJ190" s="0" t="n">
        <f aca="false">IF(Presupuesto!$B$16='Flujo de Pagos'!$E190,16,9999)</f>
        <v>16</v>
      </c>
      <c r="AK190" s="0" t="n">
        <f aca="false">IF(Presupuesto!$B$17='Flujo de Pagos'!$E190,17,9999)</f>
        <v>17</v>
      </c>
      <c r="AL190" s="0" t="n">
        <f aca="false">IF(Presupuesto!$B$18='Flujo de Pagos'!$E190,18,9999)</f>
        <v>18</v>
      </c>
      <c r="AM190" s="0" t="n">
        <f aca="false">IF(Presupuesto!$B$19='Flujo de Pagos'!$E190,19,9999)</f>
        <v>19</v>
      </c>
      <c r="AN190" s="0" t="n">
        <f aca="false">IF(Presupuesto!$B$20='Flujo de Pagos'!$E190,20,9999)</f>
        <v>20</v>
      </c>
      <c r="AO190" s="0" t="n">
        <f aca="false">IF(Presupuesto!$B$21='Flujo de Pagos'!$E190,21,9999)</f>
        <v>21</v>
      </c>
      <c r="AP190" s="0" t="n">
        <f aca="false">IF(Presupuesto!$B$22='Flujo de Pagos'!$E190,22,9999)</f>
        <v>22</v>
      </c>
      <c r="AQ190" s="0" t="n">
        <f aca="false">IF(Presupuesto!$B$23='Flujo de Pagos'!$E190,23,9999)</f>
        <v>23</v>
      </c>
      <c r="AR190" s="0" t="n">
        <f aca="false">IF(Presupuesto!$B$24='Flujo de Pagos'!$E190,24,9999)</f>
        <v>24</v>
      </c>
      <c r="AS190" s="0" t="n">
        <f aca="false">IF(Presupuesto!$B$25='Flujo de Pagos'!$E190,25,9999)</f>
        <v>25</v>
      </c>
      <c r="AT190" s="0" t="n">
        <f aca="false">IF(Presupuesto!$B$26='Flujo de Pagos'!$E190,26,9999)</f>
        <v>26</v>
      </c>
      <c r="AU190" s="0" t="n">
        <f aca="false">IF(Presupuesto!$B$27='Flujo de Pagos'!$E190,27,9999)</f>
        <v>27</v>
      </c>
      <c r="AV190" s="0" t="n">
        <f aca="false">IF(Presupuesto!$B$28='Flujo de Pagos'!$E190,28,9999)</f>
        <v>28</v>
      </c>
      <c r="AW190" s="0" t="n">
        <f aca="false">IF(Presupuesto!$B$29='Flujo de Pagos'!$E190,29,9999)</f>
        <v>29</v>
      </c>
      <c r="AX190" s="0" t="n">
        <f aca="false">IF(Presupuesto!$B$30='Flujo de Pagos'!$E190,30,9999)</f>
        <v>30</v>
      </c>
      <c r="AY190" s="0" t="n">
        <f aca="false">IF(Presupuesto!$B$31='Flujo de Pagos'!$E190,31,9999)</f>
        <v>31</v>
      </c>
      <c r="AZ190" s="0" t="n">
        <f aca="false">IF(Presupuesto!$B$32='Flujo de Pagos'!$E190,32,9999)</f>
        <v>32</v>
      </c>
      <c r="BA190" s="0" t="n">
        <f aca="false">IF(Presupuesto!$B$33='Flujo de Pagos'!$E190,33,9999)</f>
        <v>33</v>
      </c>
      <c r="BB190" s="0" t="n">
        <f aca="false">IF(Presupuesto!$B$34='Flujo de Pagos'!$E190,34,9999)</f>
        <v>34</v>
      </c>
      <c r="BC190" s="0" t="n">
        <f aca="false">IF(Presupuesto!$B$35='Flujo de Pagos'!$E190,35,9999)</f>
        <v>35</v>
      </c>
      <c r="BD190" s="0" t="n">
        <f aca="false">IF(Presupuesto!$B$36='Flujo de Pagos'!$E190,36,9999)</f>
        <v>36</v>
      </c>
      <c r="BE190" s="0" t="n">
        <f aca="false">IF(Presupuesto!$B$37='Flujo de Pagos'!$E190,37,9999)</f>
        <v>37</v>
      </c>
      <c r="BF190" s="0" t="n">
        <f aca="false">IF(Presupuesto!$B$38='Flujo de Pagos'!$E190,38,9999)</f>
        <v>38</v>
      </c>
      <c r="BG190" s="0" t="n">
        <f aca="false">IF(Presupuesto!$B$39='Flujo de Pagos'!$E190,39,9999)</f>
        <v>39</v>
      </c>
      <c r="BH190" s="0" t="n">
        <f aca="false">IF(Presupuesto!$B$40='Flujo de Pagos'!$E190,40,9999)</f>
        <v>40</v>
      </c>
      <c r="BI190" s="0" t="n">
        <f aca="false">IF(Presupuesto!$B$41='Flujo de Pagos'!$E190,41,9999)</f>
        <v>41</v>
      </c>
      <c r="BJ190" s="0" t="n">
        <f aca="false">IF(Presupuesto!$B$42='Flujo de Pagos'!$E190,42,9999)</f>
        <v>42</v>
      </c>
      <c r="BK190" s="0" t="n">
        <f aca="false">IF(Presupuesto!$B$43='Flujo de Pagos'!$E190,43,9999)</f>
        <v>43</v>
      </c>
      <c r="BL190" s="0" t="n">
        <f aca="false">IF(Presupuesto!$B$44='Flujo de Pagos'!$E190,44,9999)</f>
        <v>44</v>
      </c>
      <c r="BM190" s="0" t="n">
        <f aca="false">IF(Presupuesto!$B$45='Flujo de Pagos'!$E190,45,9999)</f>
        <v>45</v>
      </c>
      <c r="BN190" s="0" t="n">
        <f aca="false">IF(Presupuesto!$B$46='Flujo de Pagos'!$E190,46,9999)</f>
        <v>46</v>
      </c>
      <c r="BO190" s="0" t="n">
        <f aca="false">IF(Presupuesto!$B$47='Flujo de Pagos'!$E190,47,9999)</f>
        <v>47</v>
      </c>
      <c r="BP190" s="0" t="n">
        <f aca="false">IF(Presupuesto!$B$48='Flujo de Pagos'!$E190,48,9999)</f>
        <v>48</v>
      </c>
      <c r="BQ190" s="0" t="n">
        <f aca="false">IF(Presupuesto!$B$49='Flujo de Pagos'!$E190,49,9999)</f>
        <v>49</v>
      </c>
      <c r="BR190" s="0" t="n">
        <f aca="false">IF(Presupuesto!$B$50='Flujo de Pagos'!$E190,50,9999)</f>
        <v>50</v>
      </c>
      <c r="BS190" s="0" t="n">
        <f aca="false">IF(Presupuesto!$B$51='Flujo de Pagos'!$E190,51,9999)</f>
        <v>51</v>
      </c>
      <c r="BT190" s="0" t="n">
        <f aca="false">IF(Presupuesto!$B$52='Flujo de Pagos'!$E190,52,9999)</f>
        <v>52</v>
      </c>
      <c r="BU190" s="0" t="n">
        <f aca="false">IF(Presupuesto!$B$53='Flujo de Pagos'!$E190,53,9999)</f>
        <v>53</v>
      </c>
      <c r="BV190" s="0" t="n">
        <f aca="false">IF(Presupuesto!$B$54='Flujo de Pagos'!$E190,54,9999)</f>
        <v>54</v>
      </c>
      <c r="BW190" s="0" t="n">
        <f aca="false">IF(Presupuesto!$B$55='Flujo de Pagos'!$E190,55,9999)</f>
        <v>55</v>
      </c>
      <c r="BX190" s="0" t="n">
        <f aca="false">IF(Presupuesto!$B$56='Flujo de Pagos'!$E190,56,9999)</f>
        <v>56</v>
      </c>
      <c r="BY190" s="0" t="n">
        <f aca="false">IF(Presupuesto!$B$57='Flujo de Pagos'!$E190,57,9999)</f>
        <v>57</v>
      </c>
      <c r="BZ190" s="0" t="n">
        <f aca="false">IF(Presupuesto!$B$58='Flujo de Pagos'!$E190,58,9999)</f>
        <v>58</v>
      </c>
      <c r="CA190" s="0" t="n">
        <f aca="false">IF(Presupuesto!$B$59='Flujo de Pagos'!$E190,59,9999)</f>
        <v>59</v>
      </c>
      <c r="CB190" s="0" t="n">
        <f aca="false">IF(Presupuesto!$B$60='Flujo de Pagos'!$E190,60,9999)</f>
        <v>60</v>
      </c>
      <c r="CC190" s="0" t="n">
        <f aca="false">IF(Presupuesto!$B$61='Flujo de Pagos'!$E190,61,9999)</f>
        <v>61</v>
      </c>
      <c r="CD190" s="0" t="n">
        <f aca="false">IF(Presupuesto!$B$62='Flujo de Pagos'!$E190,62,9999)</f>
        <v>62</v>
      </c>
      <c r="CE190" s="0" t="n">
        <f aca="false">IF(Presupuesto!$B$63='Flujo de Pagos'!$E190,63,9999)</f>
        <v>63</v>
      </c>
      <c r="CF190" s="0" t="n">
        <f aca="false">IF(Presupuesto!$B$64='Flujo de Pagos'!$E190,64,9999)</f>
        <v>64</v>
      </c>
      <c r="CG190" s="0" t="n">
        <f aca="false">IF(Presupuesto!$B$65='Flujo de Pagos'!$E190,65,9999)</f>
        <v>65</v>
      </c>
      <c r="CH190" s="0" t="n">
        <f aca="false">IF(Presupuesto!$B$66='Flujo de Pagos'!$E190,66,9999)</f>
        <v>66</v>
      </c>
    </row>
    <row r="191" customFormat="false" ht="15" hidden="false" customHeight="true" outlineLevel="0" collapsed="false">
      <c r="B191" s="1" t="n">
        <f aca="false">IF(AND('Flujo de Pagos'!E196=Carátula!$B$2,'Flujo de Pagos'!F196=Carátula!$B$4,'Flujo de Pagos'!H196&lt;&gt;""),196,99999)</f>
        <v>99999</v>
      </c>
      <c r="H191" s="1" t="n">
        <f aca="false">IF(SMALL($AA191:$CH191,1)&gt;=9999,"",INDEX(Presupuesto!$C:$C,SMALL($AA191:$CH191,1)))</f>
        <v>0</v>
      </c>
      <c r="I191" s="1" t="n">
        <f aca="false">IF(SMALL($AA191:$CH191,2)&gt;=9999,"",INDEX(Presupuesto!$C:$C,SMALL($AA191:$CH191,2)))</f>
        <v>0</v>
      </c>
      <c r="J191" s="1" t="n">
        <f aca="false">IF(SMALL($AA191:$CH191,3)&gt;=9999,"",INDEX(Presupuesto!$C:$C,SMALL($AA191:$CH191,3)))</f>
        <v>0</v>
      </c>
      <c r="K191" s="1" t="n">
        <f aca="false">IF(SMALL($AA191:$CH191,4)&gt;=9999,"",INDEX(Presupuesto!$C:$C,SMALL($AA191:$CH191,4)))</f>
        <v>0</v>
      </c>
      <c r="L191" s="1" t="n">
        <f aca="false">IF(SMALL($AA191:$CH191,5)&gt;=9999,"",INDEX(Presupuesto!$C:$C,SMALL($AA191:$CH191,5)))</f>
        <v>0</v>
      </c>
      <c r="M191" s="1" t="n">
        <f aca="false">IF(SMALL($AA191:$CH191,6)&gt;=9999,"",INDEX(Presupuesto!$C:$C,SMALL($AA191:$CH191,6)))</f>
        <v>0</v>
      </c>
      <c r="N191" s="1" t="n">
        <f aca="false">IF(SMALL($AA191:$CH191,7)&gt;=9999,"",INDEX(Presupuesto!$C:$C,SMALL($AA191:$CH191,7)))</f>
        <v>0</v>
      </c>
      <c r="O191" s="1" t="n">
        <f aca="false">IF(SMALL($AA191:$CH191,8)&gt;=9999,"",INDEX(Presupuesto!$C:$C,SMALL($AA191:$CH191,8)))</f>
        <v>0</v>
      </c>
      <c r="P191" s="1" t="n">
        <f aca="false">IF(SMALL($AA191:$CH191,9)&gt;=9999,"",INDEX(Presupuesto!$C:$C,SMALL($AA191:$CH191,9)))</f>
        <v>0</v>
      </c>
      <c r="Q191" s="1" t="n">
        <f aca="false">IF(SMALL($AA191:$CH191,10)&gt;=9999,"",INDEX(Presupuesto!$C:$C,SMALL($AA191:$CH191,10)))</f>
        <v>0</v>
      </c>
      <c r="AA191" s="0" t="n">
        <f aca="false">IF(Presupuesto!$B$7='Flujo de Pagos'!$E191,7,9999)</f>
        <v>9999</v>
      </c>
      <c r="AB191" s="0" t="n">
        <f aca="false">IF(Presupuesto!$B$8='Flujo de Pagos'!$E191,8,9999)</f>
        <v>9999</v>
      </c>
      <c r="AC191" s="0" t="n">
        <f aca="false">IF(Presupuesto!$B$9='Flujo de Pagos'!$E191,9,9999)</f>
        <v>9999</v>
      </c>
      <c r="AD191" s="0" t="n">
        <f aca="false">IF(Presupuesto!$B$10='Flujo de Pagos'!$E191,10,9999)</f>
        <v>9999</v>
      </c>
      <c r="AE191" s="0" t="n">
        <f aca="false">IF(Presupuesto!$B$11='Flujo de Pagos'!$E191,11,9999)</f>
        <v>9999</v>
      </c>
      <c r="AF191" s="0" t="n">
        <f aca="false">IF(Presupuesto!$B$12='Flujo de Pagos'!$E191,12,9999)</f>
        <v>12</v>
      </c>
      <c r="AG191" s="0" t="n">
        <f aca="false">IF(Presupuesto!$B$13='Flujo de Pagos'!$E191,13,9999)</f>
        <v>13</v>
      </c>
      <c r="AH191" s="0" t="n">
        <f aca="false">IF(Presupuesto!$B$14='Flujo de Pagos'!$E191,14,9999)</f>
        <v>14</v>
      </c>
      <c r="AI191" s="0" t="n">
        <f aca="false">IF(Presupuesto!$B$15='Flujo de Pagos'!$E191,15,9999)</f>
        <v>15</v>
      </c>
      <c r="AJ191" s="0" t="n">
        <f aca="false">IF(Presupuesto!$B$16='Flujo de Pagos'!$E191,16,9999)</f>
        <v>16</v>
      </c>
      <c r="AK191" s="0" t="n">
        <f aca="false">IF(Presupuesto!$B$17='Flujo de Pagos'!$E191,17,9999)</f>
        <v>17</v>
      </c>
      <c r="AL191" s="0" t="n">
        <f aca="false">IF(Presupuesto!$B$18='Flujo de Pagos'!$E191,18,9999)</f>
        <v>18</v>
      </c>
      <c r="AM191" s="0" t="n">
        <f aca="false">IF(Presupuesto!$B$19='Flujo de Pagos'!$E191,19,9999)</f>
        <v>19</v>
      </c>
      <c r="AN191" s="0" t="n">
        <f aca="false">IF(Presupuesto!$B$20='Flujo de Pagos'!$E191,20,9999)</f>
        <v>20</v>
      </c>
      <c r="AO191" s="0" t="n">
        <f aca="false">IF(Presupuesto!$B$21='Flujo de Pagos'!$E191,21,9999)</f>
        <v>21</v>
      </c>
      <c r="AP191" s="0" t="n">
        <f aca="false">IF(Presupuesto!$B$22='Flujo de Pagos'!$E191,22,9999)</f>
        <v>22</v>
      </c>
      <c r="AQ191" s="0" t="n">
        <f aca="false">IF(Presupuesto!$B$23='Flujo de Pagos'!$E191,23,9999)</f>
        <v>23</v>
      </c>
      <c r="AR191" s="0" t="n">
        <f aca="false">IF(Presupuesto!$B$24='Flujo de Pagos'!$E191,24,9999)</f>
        <v>24</v>
      </c>
      <c r="AS191" s="0" t="n">
        <f aca="false">IF(Presupuesto!$B$25='Flujo de Pagos'!$E191,25,9999)</f>
        <v>25</v>
      </c>
      <c r="AT191" s="0" t="n">
        <f aca="false">IF(Presupuesto!$B$26='Flujo de Pagos'!$E191,26,9999)</f>
        <v>26</v>
      </c>
      <c r="AU191" s="0" t="n">
        <f aca="false">IF(Presupuesto!$B$27='Flujo de Pagos'!$E191,27,9999)</f>
        <v>27</v>
      </c>
      <c r="AV191" s="0" t="n">
        <f aca="false">IF(Presupuesto!$B$28='Flujo de Pagos'!$E191,28,9999)</f>
        <v>28</v>
      </c>
      <c r="AW191" s="0" t="n">
        <f aca="false">IF(Presupuesto!$B$29='Flujo de Pagos'!$E191,29,9999)</f>
        <v>29</v>
      </c>
      <c r="AX191" s="0" t="n">
        <f aca="false">IF(Presupuesto!$B$30='Flujo de Pagos'!$E191,30,9999)</f>
        <v>30</v>
      </c>
      <c r="AY191" s="0" t="n">
        <f aca="false">IF(Presupuesto!$B$31='Flujo de Pagos'!$E191,31,9999)</f>
        <v>31</v>
      </c>
      <c r="AZ191" s="0" t="n">
        <f aca="false">IF(Presupuesto!$B$32='Flujo de Pagos'!$E191,32,9999)</f>
        <v>32</v>
      </c>
      <c r="BA191" s="0" t="n">
        <f aca="false">IF(Presupuesto!$B$33='Flujo de Pagos'!$E191,33,9999)</f>
        <v>33</v>
      </c>
      <c r="BB191" s="0" t="n">
        <f aca="false">IF(Presupuesto!$B$34='Flujo de Pagos'!$E191,34,9999)</f>
        <v>34</v>
      </c>
      <c r="BC191" s="0" t="n">
        <f aca="false">IF(Presupuesto!$B$35='Flujo de Pagos'!$E191,35,9999)</f>
        <v>35</v>
      </c>
      <c r="BD191" s="0" t="n">
        <f aca="false">IF(Presupuesto!$B$36='Flujo de Pagos'!$E191,36,9999)</f>
        <v>36</v>
      </c>
      <c r="BE191" s="0" t="n">
        <f aca="false">IF(Presupuesto!$B$37='Flujo de Pagos'!$E191,37,9999)</f>
        <v>37</v>
      </c>
      <c r="BF191" s="0" t="n">
        <f aca="false">IF(Presupuesto!$B$38='Flujo de Pagos'!$E191,38,9999)</f>
        <v>38</v>
      </c>
      <c r="BG191" s="0" t="n">
        <f aca="false">IF(Presupuesto!$B$39='Flujo de Pagos'!$E191,39,9999)</f>
        <v>39</v>
      </c>
      <c r="BH191" s="0" t="n">
        <f aca="false">IF(Presupuesto!$B$40='Flujo de Pagos'!$E191,40,9999)</f>
        <v>40</v>
      </c>
      <c r="BI191" s="0" t="n">
        <f aca="false">IF(Presupuesto!$B$41='Flujo de Pagos'!$E191,41,9999)</f>
        <v>41</v>
      </c>
      <c r="BJ191" s="0" t="n">
        <f aca="false">IF(Presupuesto!$B$42='Flujo de Pagos'!$E191,42,9999)</f>
        <v>42</v>
      </c>
      <c r="BK191" s="0" t="n">
        <f aca="false">IF(Presupuesto!$B$43='Flujo de Pagos'!$E191,43,9999)</f>
        <v>43</v>
      </c>
      <c r="BL191" s="0" t="n">
        <f aca="false">IF(Presupuesto!$B$44='Flujo de Pagos'!$E191,44,9999)</f>
        <v>44</v>
      </c>
      <c r="BM191" s="0" t="n">
        <f aca="false">IF(Presupuesto!$B$45='Flujo de Pagos'!$E191,45,9999)</f>
        <v>45</v>
      </c>
      <c r="BN191" s="0" t="n">
        <f aca="false">IF(Presupuesto!$B$46='Flujo de Pagos'!$E191,46,9999)</f>
        <v>46</v>
      </c>
      <c r="BO191" s="0" t="n">
        <f aca="false">IF(Presupuesto!$B$47='Flujo de Pagos'!$E191,47,9999)</f>
        <v>47</v>
      </c>
      <c r="BP191" s="0" t="n">
        <f aca="false">IF(Presupuesto!$B$48='Flujo de Pagos'!$E191,48,9999)</f>
        <v>48</v>
      </c>
      <c r="BQ191" s="0" t="n">
        <f aca="false">IF(Presupuesto!$B$49='Flujo de Pagos'!$E191,49,9999)</f>
        <v>49</v>
      </c>
      <c r="BR191" s="0" t="n">
        <f aca="false">IF(Presupuesto!$B$50='Flujo de Pagos'!$E191,50,9999)</f>
        <v>50</v>
      </c>
      <c r="BS191" s="0" t="n">
        <f aca="false">IF(Presupuesto!$B$51='Flujo de Pagos'!$E191,51,9999)</f>
        <v>51</v>
      </c>
      <c r="BT191" s="0" t="n">
        <f aca="false">IF(Presupuesto!$B$52='Flujo de Pagos'!$E191,52,9999)</f>
        <v>52</v>
      </c>
      <c r="BU191" s="0" t="n">
        <f aca="false">IF(Presupuesto!$B$53='Flujo de Pagos'!$E191,53,9999)</f>
        <v>53</v>
      </c>
      <c r="BV191" s="0" t="n">
        <f aca="false">IF(Presupuesto!$B$54='Flujo de Pagos'!$E191,54,9999)</f>
        <v>54</v>
      </c>
      <c r="BW191" s="0" t="n">
        <f aca="false">IF(Presupuesto!$B$55='Flujo de Pagos'!$E191,55,9999)</f>
        <v>55</v>
      </c>
      <c r="BX191" s="0" t="n">
        <f aca="false">IF(Presupuesto!$B$56='Flujo de Pagos'!$E191,56,9999)</f>
        <v>56</v>
      </c>
      <c r="BY191" s="0" t="n">
        <f aca="false">IF(Presupuesto!$B$57='Flujo de Pagos'!$E191,57,9999)</f>
        <v>57</v>
      </c>
      <c r="BZ191" s="0" t="n">
        <f aca="false">IF(Presupuesto!$B$58='Flujo de Pagos'!$E191,58,9999)</f>
        <v>58</v>
      </c>
      <c r="CA191" s="0" t="n">
        <f aca="false">IF(Presupuesto!$B$59='Flujo de Pagos'!$E191,59,9999)</f>
        <v>59</v>
      </c>
      <c r="CB191" s="0" t="n">
        <f aca="false">IF(Presupuesto!$B$60='Flujo de Pagos'!$E191,60,9999)</f>
        <v>60</v>
      </c>
      <c r="CC191" s="0" t="n">
        <f aca="false">IF(Presupuesto!$B$61='Flujo de Pagos'!$E191,61,9999)</f>
        <v>61</v>
      </c>
      <c r="CD191" s="0" t="n">
        <f aca="false">IF(Presupuesto!$B$62='Flujo de Pagos'!$E191,62,9999)</f>
        <v>62</v>
      </c>
      <c r="CE191" s="0" t="n">
        <f aca="false">IF(Presupuesto!$B$63='Flujo de Pagos'!$E191,63,9999)</f>
        <v>63</v>
      </c>
      <c r="CF191" s="0" t="n">
        <f aca="false">IF(Presupuesto!$B$64='Flujo de Pagos'!$E191,64,9999)</f>
        <v>64</v>
      </c>
      <c r="CG191" s="0" t="n">
        <f aca="false">IF(Presupuesto!$B$65='Flujo de Pagos'!$E191,65,9999)</f>
        <v>65</v>
      </c>
      <c r="CH191" s="0" t="n">
        <f aca="false">IF(Presupuesto!$B$66='Flujo de Pagos'!$E191,66,9999)</f>
        <v>66</v>
      </c>
    </row>
    <row r="192" customFormat="false" ht="15" hidden="false" customHeight="true" outlineLevel="0" collapsed="false">
      <c r="B192" s="1" t="n">
        <f aca="false">IF(AND('Flujo de Pagos'!E197=Carátula!$B$2,'Flujo de Pagos'!F197=Carátula!$B$4,'Flujo de Pagos'!H197&lt;&gt;""),197,99999)</f>
        <v>99999</v>
      </c>
      <c r="H192" s="1" t="n">
        <f aca="false">IF(SMALL($AA192:$CH192,1)&gt;=9999,"",INDEX(Presupuesto!$C:$C,SMALL($AA192:$CH192,1)))</f>
        <v>0</v>
      </c>
      <c r="I192" s="1" t="n">
        <f aca="false">IF(SMALL($AA192:$CH192,2)&gt;=9999,"",INDEX(Presupuesto!$C:$C,SMALL($AA192:$CH192,2)))</f>
        <v>0</v>
      </c>
      <c r="J192" s="1" t="n">
        <f aca="false">IF(SMALL($AA192:$CH192,3)&gt;=9999,"",INDEX(Presupuesto!$C:$C,SMALL($AA192:$CH192,3)))</f>
        <v>0</v>
      </c>
      <c r="K192" s="1" t="n">
        <f aca="false">IF(SMALL($AA192:$CH192,4)&gt;=9999,"",INDEX(Presupuesto!$C:$C,SMALL($AA192:$CH192,4)))</f>
        <v>0</v>
      </c>
      <c r="L192" s="1" t="n">
        <f aca="false">IF(SMALL($AA192:$CH192,5)&gt;=9999,"",INDEX(Presupuesto!$C:$C,SMALL($AA192:$CH192,5)))</f>
        <v>0</v>
      </c>
      <c r="M192" s="1" t="n">
        <f aca="false">IF(SMALL($AA192:$CH192,6)&gt;=9999,"",INDEX(Presupuesto!$C:$C,SMALL($AA192:$CH192,6)))</f>
        <v>0</v>
      </c>
      <c r="N192" s="1" t="n">
        <f aca="false">IF(SMALL($AA192:$CH192,7)&gt;=9999,"",INDEX(Presupuesto!$C:$C,SMALL($AA192:$CH192,7)))</f>
        <v>0</v>
      </c>
      <c r="O192" s="1" t="n">
        <f aca="false">IF(SMALL($AA192:$CH192,8)&gt;=9999,"",INDEX(Presupuesto!$C:$C,SMALL($AA192:$CH192,8)))</f>
        <v>0</v>
      </c>
      <c r="P192" s="1" t="n">
        <f aca="false">IF(SMALL($AA192:$CH192,9)&gt;=9999,"",INDEX(Presupuesto!$C:$C,SMALL($AA192:$CH192,9)))</f>
        <v>0</v>
      </c>
      <c r="Q192" s="1" t="n">
        <f aca="false">IF(SMALL($AA192:$CH192,10)&gt;=9999,"",INDEX(Presupuesto!$C:$C,SMALL($AA192:$CH192,10)))</f>
        <v>0</v>
      </c>
      <c r="AA192" s="0" t="n">
        <f aca="false">IF(Presupuesto!$B$7='Flujo de Pagos'!$E192,7,9999)</f>
        <v>9999</v>
      </c>
      <c r="AB192" s="0" t="n">
        <f aca="false">IF(Presupuesto!$B$8='Flujo de Pagos'!$E192,8,9999)</f>
        <v>9999</v>
      </c>
      <c r="AC192" s="0" t="n">
        <f aca="false">IF(Presupuesto!$B$9='Flujo de Pagos'!$E192,9,9999)</f>
        <v>9999</v>
      </c>
      <c r="AD192" s="0" t="n">
        <f aca="false">IF(Presupuesto!$B$10='Flujo de Pagos'!$E192,10,9999)</f>
        <v>9999</v>
      </c>
      <c r="AE192" s="0" t="n">
        <f aca="false">IF(Presupuesto!$B$11='Flujo de Pagos'!$E192,11,9999)</f>
        <v>9999</v>
      </c>
      <c r="AF192" s="0" t="n">
        <f aca="false">IF(Presupuesto!$B$12='Flujo de Pagos'!$E192,12,9999)</f>
        <v>12</v>
      </c>
      <c r="AG192" s="0" t="n">
        <f aca="false">IF(Presupuesto!$B$13='Flujo de Pagos'!$E192,13,9999)</f>
        <v>13</v>
      </c>
      <c r="AH192" s="0" t="n">
        <f aca="false">IF(Presupuesto!$B$14='Flujo de Pagos'!$E192,14,9999)</f>
        <v>14</v>
      </c>
      <c r="AI192" s="0" t="n">
        <f aca="false">IF(Presupuesto!$B$15='Flujo de Pagos'!$E192,15,9999)</f>
        <v>15</v>
      </c>
      <c r="AJ192" s="0" t="n">
        <f aca="false">IF(Presupuesto!$B$16='Flujo de Pagos'!$E192,16,9999)</f>
        <v>16</v>
      </c>
      <c r="AK192" s="0" t="n">
        <f aca="false">IF(Presupuesto!$B$17='Flujo de Pagos'!$E192,17,9999)</f>
        <v>17</v>
      </c>
      <c r="AL192" s="0" t="n">
        <f aca="false">IF(Presupuesto!$B$18='Flujo de Pagos'!$E192,18,9999)</f>
        <v>18</v>
      </c>
      <c r="AM192" s="0" t="n">
        <f aca="false">IF(Presupuesto!$B$19='Flujo de Pagos'!$E192,19,9999)</f>
        <v>19</v>
      </c>
      <c r="AN192" s="0" t="n">
        <f aca="false">IF(Presupuesto!$B$20='Flujo de Pagos'!$E192,20,9999)</f>
        <v>20</v>
      </c>
      <c r="AO192" s="0" t="n">
        <f aca="false">IF(Presupuesto!$B$21='Flujo de Pagos'!$E192,21,9999)</f>
        <v>21</v>
      </c>
      <c r="AP192" s="0" t="n">
        <f aca="false">IF(Presupuesto!$B$22='Flujo de Pagos'!$E192,22,9999)</f>
        <v>22</v>
      </c>
      <c r="AQ192" s="0" t="n">
        <f aca="false">IF(Presupuesto!$B$23='Flujo de Pagos'!$E192,23,9999)</f>
        <v>23</v>
      </c>
      <c r="AR192" s="0" t="n">
        <f aca="false">IF(Presupuesto!$B$24='Flujo de Pagos'!$E192,24,9999)</f>
        <v>24</v>
      </c>
      <c r="AS192" s="0" t="n">
        <f aca="false">IF(Presupuesto!$B$25='Flujo de Pagos'!$E192,25,9999)</f>
        <v>25</v>
      </c>
      <c r="AT192" s="0" t="n">
        <f aca="false">IF(Presupuesto!$B$26='Flujo de Pagos'!$E192,26,9999)</f>
        <v>26</v>
      </c>
      <c r="AU192" s="0" t="n">
        <f aca="false">IF(Presupuesto!$B$27='Flujo de Pagos'!$E192,27,9999)</f>
        <v>27</v>
      </c>
      <c r="AV192" s="0" t="n">
        <f aca="false">IF(Presupuesto!$B$28='Flujo de Pagos'!$E192,28,9999)</f>
        <v>28</v>
      </c>
      <c r="AW192" s="0" t="n">
        <f aca="false">IF(Presupuesto!$B$29='Flujo de Pagos'!$E192,29,9999)</f>
        <v>29</v>
      </c>
      <c r="AX192" s="0" t="n">
        <f aca="false">IF(Presupuesto!$B$30='Flujo de Pagos'!$E192,30,9999)</f>
        <v>30</v>
      </c>
      <c r="AY192" s="0" t="n">
        <f aca="false">IF(Presupuesto!$B$31='Flujo de Pagos'!$E192,31,9999)</f>
        <v>31</v>
      </c>
      <c r="AZ192" s="0" t="n">
        <f aca="false">IF(Presupuesto!$B$32='Flujo de Pagos'!$E192,32,9999)</f>
        <v>32</v>
      </c>
      <c r="BA192" s="0" t="n">
        <f aca="false">IF(Presupuesto!$B$33='Flujo de Pagos'!$E192,33,9999)</f>
        <v>33</v>
      </c>
      <c r="BB192" s="0" t="n">
        <f aca="false">IF(Presupuesto!$B$34='Flujo de Pagos'!$E192,34,9999)</f>
        <v>34</v>
      </c>
      <c r="BC192" s="0" t="n">
        <f aca="false">IF(Presupuesto!$B$35='Flujo de Pagos'!$E192,35,9999)</f>
        <v>35</v>
      </c>
      <c r="BD192" s="0" t="n">
        <f aca="false">IF(Presupuesto!$B$36='Flujo de Pagos'!$E192,36,9999)</f>
        <v>36</v>
      </c>
      <c r="BE192" s="0" t="n">
        <f aca="false">IF(Presupuesto!$B$37='Flujo de Pagos'!$E192,37,9999)</f>
        <v>37</v>
      </c>
      <c r="BF192" s="0" t="n">
        <f aca="false">IF(Presupuesto!$B$38='Flujo de Pagos'!$E192,38,9999)</f>
        <v>38</v>
      </c>
      <c r="BG192" s="0" t="n">
        <f aca="false">IF(Presupuesto!$B$39='Flujo de Pagos'!$E192,39,9999)</f>
        <v>39</v>
      </c>
      <c r="BH192" s="0" t="n">
        <f aca="false">IF(Presupuesto!$B$40='Flujo de Pagos'!$E192,40,9999)</f>
        <v>40</v>
      </c>
      <c r="BI192" s="0" t="n">
        <f aca="false">IF(Presupuesto!$B$41='Flujo de Pagos'!$E192,41,9999)</f>
        <v>41</v>
      </c>
      <c r="BJ192" s="0" t="n">
        <f aca="false">IF(Presupuesto!$B$42='Flujo de Pagos'!$E192,42,9999)</f>
        <v>42</v>
      </c>
      <c r="BK192" s="0" t="n">
        <f aca="false">IF(Presupuesto!$B$43='Flujo de Pagos'!$E192,43,9999)</f>
        <v>43</v>
      </c>
      <c r="BL192" s="0" t="n">
        <f aca="false">IF(Presupuesto!$B$44='Flujo de Pagos'!$E192,44,9999)</f>
        <v>44</v>
      </c>
      <c r="BM192" s="0" t="n">
        <f aca="false">IF(Presupuesto!$B$45='Flujo de Pagos'!$E192,45,9999)</f>
        <v>45</v>
      </c>
      <c r="BN192" s="0" t="n">
        <f aca="false">IF(Presupuesto!$B$46='Flujo de Pagos'!$E192,46,9999)</f>
        <v>46</v>
      </c>
      <c r="BO192" s="0" t="n">
        <f aca="false">IF(Presupuesto!$B$47='Flujo de Pagos'!$E192,47,9999)</f>
        <v>47</v>
      </c>
      <c r="BP192" s="0" t="n">
        <f aca="false">IF(Presupuesto!$B$48='Flujo de Pagos'!$E192,48,9999)</f>
        <v>48</v>
      </c>
      <c r="BQ192" s="0" t="n">
        <f aca="false">IF(Presupuesto!$B$49='Flujo de Pagos'!$E192,49,9999)</f>
        <v>49</v>
      </c>
      <c r="BR192" s="0" t="n">
        <f aca="false">IF(Presupuesto!$B$50='Flujo de Pagos'!$E192,50,9999)</f>
        <v>50</v>
      </c>
      <c r="BS192" s="0" t="n">
        <f aca="false">IF(Presupuesto!$B$51='Flujo de Pagos'!$E192,51,9999)</f>
        <v>51</v>
      </c>
      <c r="BT192" s="0" t="n">
        <f aca="false">IF(Presupuesto!$B$52='Flujo de Pagos'!$E192,52,9999)</f>
        <v>52</v>
      </c>
      <c r="BU192" s="0" t="n">
        <f aca="false">IF(Presupuesto!$B$53='Flujo de Pagos'!$E192,53,9999)</f>
        <v>53</v>
      </c>
      <c r="BV192" s="0" t="n">
        <f aca="false">IF(Presupuesto!$B$54='Flujo de Pagos'!$E192,54,9999)</f>
        <v>54</v>
      </c>
      <c r="BW192" s="0" t="n">
        <f aca="false">IF(Presupuesto!$B$55='Flujo de Pagos'!$E192,55,9999)</f>
        <v>55</v>
      </c>
      <c r="BX192" s="0" t="n">
        <f aca="false">IF(Presupuesto!$B$56='Flujo de Pagos'!$E192,56,9999)</f>
        <v>56</v>
      </c>
      <c r="BY192" s="0" t="n">
        <f aca="false">IF(Presupuesto!$B$57='Flujo de Pagos'!$E192,57,9999)</f>
        <v>57</v>
      </c>
      <c r="BZ192" s="0" t="n">
        <f aca="false">IF(Presupuesto!$B$58='Flujo de Pagos'!$E192,58,9999)</f>
        <v>58</v>
      </c>
      <c r="CA192" s="0" t="n">
        <f aca="false">IF(Presupuesto!$B$59='Flujo de Pagos'!$E192,59,9999)</f>
        <v>59</v>
      </c>
      <c r="CB192" s="0" t="n">
        <f aca="false">IF(Presupuesto!$B$60='Flujo de Pagos'!$E192,60,9999)</f>
        <v>60</v>
      </c>
      <c r="CC192" s="0" t="n">
        <f aca="false">IF(Presupuesto!$B$61='Flujo de Pagos'!$E192,61,9999)</f>
        <v>61</v>
      </c>
      <c r="CD192" s="0" t="n">
        <f aca="false">IF(Presupuesto!$B$62='Flujo de Pagos'!$E192,62,9999)</f>
        <v>62</v>
      </c>
      <c r="CE192" s="0" t="n">
        <f aca="false">IF(Presupuesto!$B$63='Flujo de Pagos'!$E192,63,9999)</f>
        <v>63</v>
      </c>
      <c r="CF192" s="0" t="n">
        <f aca="false">IF(Presupuesto!$B$64='Flujo de Pagos'!$E192,64,9999)</f>
        <v>64</v>
      </c>
      <c r="CG192" s="0" t="n">
        <f aca="false">IF(Presupuesto!$B$65='Flujo de Pagos'!$E192,65,9999)</f>
        <v>65</v>
      </c>
      <c r="CH192" s="0" t="n">
        <f aca="false">IF(Presupuesto!$B$66='Flujo de Pagos'!$E192,66,9999)</f>
        <v>66</v>
      </c>
    </row>
    <row r="193" customFormat="false" ht="15" hidden="false" customHeight="true" outlineLevel="0" collapsed="false">
      <c r="B193" s="1" t="n">
        <f aca="false">IF(AND('Flujo de Pagos'!E198=Carátula!$B$2,'Flujo de Pagos'!F198=Carátula!$B$4,'Flujo de Pagos'!H198&lt;&gt;""),198,99999)</f>
        <v>99999</v>
      </c>
      <c r="H193" s="1" t="n">
        <f aca="false">IF(SMALL($AA193:$CH193,1)&gt;=9999,"",INDEX(Presupuesto!$C:$C,SMALL($AA193:$CH193,1)))</f>
        <v>0</v>
      </c>
      <c r="I193" s="1" t="n">
        <f aca="false">IF(SMALL($AA193:$CH193,2)&gt;=9999,"",INDEX(Presupuesto!$C:$C,SMALL($AA193:$CH193,2)))</f>
        <v>0</v>
      </c>
      <c r="J193" s="1" t="n">
        <f aca="false">IF(SMALL($AA193:$CH193,3)&gt;=9999,"",INDEX(Presupuesto!$C:$C,SMALL($AA193:$CH193,3)))</f>
        <v>0</v>
      </c>
      <c r="K193" s="1" t="n">
        <f aca="false">IF(SMALL($AA193:$CH193,4)&gt;=9999,"",INDEX(Presupuesto!$C:$C,SMALL($AA193:$CH193,4)))</f>
        <v>0</v>
      </c>
      <c r="L193" s="1" t="n">
        <f aca="false">IF(SMALL($AA193:$CH193,5)&gt;=9999,"",INDEX(Presupuesto!$C:$C,SMALL($AA193:$CH193,5)))</f>
        <v>0</v>
      </c>
      <c r="M193" s="1" t="n">
        <f aca="false">IF(SMALL($AA193:$CH193,6)&gt;=9999,"",INDEX(Presupuesto!$C:$C,SMALL($AA193:$CH193,6)))</f>
        <v>0</v>
      </c>
      <c r="N193" s="1" t="n">
        <f aca="false">IF(SMALL($AA193:$CH193,7)&gt;=9999,"",INDEX(Presupuesto!$C:$C,SMALL($AA193:$CH193,7)))</f>
        <v>0</v>
      </c>
      <c r="O193" s="1" t="n">
        <f aca="false">IF(SMALL($AA193:$CH193,8)&gt;=9999,"",INDEX(Presupuesto!$C:$C,SMALL($AA193:$CH193,8)))</f>
        <v>0</v>
      </c>
      <c r="P193" s="1" t="n">
        <f aca="false">IF(SMALL($AA193:$CH193,9)&gt;=9999,"",INDEX(Presupuesto!$C:$C,SMALL($AA193:$CH193,9)))</f>
        <v>0</v>
      </c>
      <c r="Q193" s="1" t="n">
        <f aca="false">IF(SMALL($AA193:$CH193,10)&gt;=9999,"",INDEX(Presupuesto!$C:$C,SMALL($AA193:$CH193,10)))</f>
        <v>0</v>
      </c>
      <c r="AA193" s="0" t="n">
        <f aca="false">IF(Presupuesto!$B$7='Flujo de Pagos'!$E193,7,9999)</f>
        <v>9999</v>
      </c>
      <c r="AB193" s="0" t="n">
        <f aca="false">IF(Presupuesto!$B$8='Flujo de Pagos'!$E193,8,9999)</f>
        <v>9999</v>
      </c>
      <c r="AC193" s="0" t="n">
        <f aca="false">IF(Presupuesto!$B$9='Flujo de Pagos'!$E193,9,9999)</f>
        <v>9999</v>
      </c>
      <c r="AD193" s="0" t="n">
        <f aca="false">IF(Presupuesto!$B$10='Flujo de Pagos'!$E193,10,9999)</f>
        <v>9999</v>
      </c>
      <c r="AE193" s="0" t="n">
        <f aca="false">IF(Presupuesto!$B$11='Flujo de Pagos'!$E193,11,9999)</f>
        <v>9999</v>
      </c>
      <c r="AF193" s="0" t="n">
        <f aca="false">IF(Presupuesto!$B$12='Flujo de Pagos'!$E193,12,9999)</f>
        <v>12</v>
      </c>
      <c r="AG193" s="0" t="n">
        <f aca="false">IF(Presupuesto!$B$13='Flujo de Pagos'!$E193,13,9999)</f>
        <v>13</v>
      </c>
      <c r="AH193" s="0" t="n">
        <f aca="false">IF(Presupuesto!$B$14='Flujo de Pagos'!$E193,14,9999)</f>
        <v>14</v>
      </c>
      <c r="AI193" s="0" t="n">
        <f aca="false">IF(Presupuesto!$B$15='Flujo de Pagos'!$E193,15,9999)</f>
        <v>15</v>
      </c>
      <c r="AJ193" s="0" t="n">
        <f aca="false">IF(Presupuesto!$B$16='Flujo de Pagos'!$E193,16,9999)</f>
        <v>16</v>
      </c>
      <c r="AK193" s="0" t="n">
        <f aca="false">IF(Presupuesto!$B$17='Flujo de Pagos'!$E193,17,9999)</f>
        <v>17</v>
      </c>
      <c r="AL193" s="0" t="n">
        <f aca="false">IF(Presupuesto!$B$18='Flujo de Pagos'!$E193,18,9999)</f>
        <v>18</v>
      </c>
      <c r="AM193" s="0" t="n">
        <f aca="false">IF(Presupuesto!$B$19='Flujo de Pagos'!$E193,19,9999)</f>
        <v>19</v>
      </c>
      <c r="AN193" s="0" t="n">
        <f aca="false">IF(Presupuesto!$B$20='Flujo de Pagos'!$E193,20,9999)</f>
        <v>20</v>
      </c>
      <c r="AO193" s="0" t="n">
        <f aca="false">IF(Presupuesto!$B$21='Flujo de Pagos'!$E193,21,9999)</f>
        <v>21</v>
      </c>
      <c r="AP193" s="0" t="n">
        <f aca="false">IF(Presupuesto!$B$22='Flujo de Pagos'!$E193,22,9999)</f>
        <v>22</v>
      </c>
      <c r="AQ193" s="0" t="n">
        <f aca="false">IF(Presupuesto!$B$23='Flujo de Pagos'!$E193,23,9999)</f>
        <v>23</v>
      </c>
      <c r="AR193" s="0" t="n">
        <f aca="false">IF(Presupuesto!$B$24='Flujo de Pagos'!$E193,24,9999)</f>
        <v>24</v>
      </c>
      <c r="AS193" s="0" t="n">
        <f aca="false">IF(Presupuesto!$B$25='Flujo de Pagos'!$E193,25,9999)</f>
        <v>25</v>
      </c>
      <c r="AT193" s="0" t="n">
        <f aca="false">IF(Presupuesto!$B$26='Flujo de Pagos'!$E193,26,9999)</f>
        <v>26</v>
      </c>
      <c r="AU193" s="0" t="n">
        <f aca="false">IF(Presupuesto!$B$27='Flujo de Pagos'!$E193,27,9999)</f>
        <v>27</v>
      </c>
      <c r="AV193" s="0" t="n">
        <f aca="false">IF(Presupuesto!$B$28='Flujo de Pagos'!$E193,28,9999)</f>
        <v>28</v>
      </c>
      <c r="AW193" s="0" t="n">
        <f aca="false">IF(Presupuesto!$B$29='Flujo de Pagos'!$E193,29,9999)</f>
        <v>29</v>
      </c>
      <c r="AX193" s="0" t="n">
        <f aca="false">IF(Presupuesto!$B$30='Flujo de Pagos'!$E193,30,9999)</f>
        <v>30</v>
      </c>
      <c r="AY193" s="0" t="n">
        <f aca="false">IF(Presupuesto!$B$31='Flujo de Pagos'!$E193,31,9999)</f>
        <v>31</v>
      </c>
      <c r="AZ193" s="0" t="n">
        <f aca="false">IF(Presupuesto!$B$32='Flujo de Pagos'!$E193,32,9999)</f>
        <v>32</v>
      </c>
      <c r="BA193" s="0" t="n">
        <f aca="false">IF(Presupuesto!$B$33='Flujo de Pagos'!$E193,33,9999)</f>
        <v>33</v>
      </c>
      <c r="BB193" s="0" t="n">
        <f aca="false">IF(Presupuesto!$B$34='Flujo de Pagos'!$E193,34,9999)</f>
        <v>34</v>
      </c>
      <c r="BC193" s="0" t="n">
        <f aca="false">IF(Presupuesto!$B$35='Flujo de Pagos'!$E193,35,9999)</f>
        <v>35</v>
      </c>
      <c r="BD193" s="0" t="n">
        <f aca="false">IF(Presupuesto!$B$36='Flujo de Pagos'!$E193,36,9999)</f>
        <v>36</v>
      </c>
      <c r="BE193" s="0" t="n">
        <f aca="false">IF(Presupuesto!$B$37='Flujo de Pagos'!$E193,37,9999)</f>
        <v>37</v>
      </c>
      <c r="BF193" s="0" t="n">
        <f aca="false">IF(Presupuesto!$B$38='Flujo de Pagos'!$E193,38,9999)</f>
        <v>38</v>
      </c>
      <c r="BG193" s="0" t="n">
        <f aca="false">IF(Presupuesto!$B$39='Flujo de Pagos'!$E193,39,9999)</f>
        <v>39</v>
      </c>
      <c r="BH193" s="0" t="n">
        <f aca="false">IF(Presupuesto!$B$40='Flujo de Pagos'!$E193,40,9999)</f>
        <v>40</v>
      </c>
      <c r="BI193" s="0" t="n">
        <f aca="false">IF(Presupuesto!$B$41='Flujo de Pagos'!$E193,41,9999)</f>
        <v>41</v>
      </c>
      <c r="BJ193" s="0" t="n">
        <f aca="false">IF(Presupuesto!$B$42='Flujo de Pagos'!$E193,42,9999)</f>
        <v>42</v>
      </c>
      <c r="BK193" s="0" t="n">
        <f aca="false">IF(Presupuesto!$B$43='Flujo de Pagos'!$E193,43,9999)</f>
        <v>43</v>
      </c>
      <c r="BL193" s="0" t="n">
        <f aca="false">IF(Presupuesto!$B$44='Flujo de Pagos'!$E193,44,9999)</f>
        <v>44</v>
      </c>
      <c r="BM193" s="0" t="n">
        <f aca="false">IF(Presupuesto!$B$45='Flujo de Pagos'!$E193,45,9999)</f>
        <v>45</v>
      </c>
      <c r="BN193" s="0" t="n">
        <f aca="false">IF(Presupuesto!$B$46='Flujo de Pagos'!$E193,46,9999)</f>
        <v>46</v>
      </c>
      <c r="BO193" s="0" t="n">
        <f aca="false">IF(Presupuesto!$B$47='Flujo de Pagos'!$E193,47,9999)</f>
        <v>47</v>
      </c>
      <c r="BP193" s="0" t="n">
        <f aca="false">IF(Presupuesto!$B$48='Flujo de Pagos'!$E193,48,9999)</f>
        <v>48</v>
      </c>
      <c r="BQ193" s="0" t="n">
        <f aca="false">IF(Presupuesto!$B$49='Flujo de Pagos'!$E193,49,9999)</f>
        <v>49</v>
      </c>
      <c r="BR193" s="0" t="n">
        <f aca="false">IF(Presupuesto!$B$50='Flujo de Pagos'!$E193,50,9999)</f>
        <v>50</v>
      </c>
      <c r="BS193" s="0" t="n">
        <f aca="false">IF(Presupuesto!$B$51='Flujo de Pagos'!$E193,51,9999)</f>
        <v>51</v>
      </c>
      <c r="BT193" s="0" t="n">
        <f aca="false">IF(Presupuesto!$B$52='Flujo de Pagos'!$E193,52,9999)</f>
        <v>52</v>
      </c>
      <c r="BU193" s="0" t="n">
        <f aca="false">IF(Presupuesto!$B$53='Flujo de Pagos'!$E193,53,9999)</f>
        <v>53</v>
      </c>
      <c r="BV193" s="0" t="n">
        <f aca="false">IF(Presupuesto!$B$54='Flujo de Pagos'!$E193,54,9999)</f>
        <v>54</v>
      </c>
      <c r="BW193" s="0" t="n">
        <f aca="false">IF(Presupuesto!$B$55='Flujo de Pagos'!$E193,55,9999)</f>
        <v>55</v>
      </c>
      <c r="BX193" s="0" t="n">
        <f aca="false">IF(Presupuesto!$B$56='Flujo de Pagos'!$E193,56,9999)</f>
        <v>56</v>
      </c>
      <c r="BY193" s="0" t="n">
        <f aca="false">IF(Presupuesto!$B$57='Flujo de Pagos'!$E193,57,9999)</f>
        <v>57</v>
      </c>
      <c r="BZ193" s="0" t="n">
        <f aca="false">IF(Presupuesto!$B$58='Flujo de Pagos'!$E193,58,9999)</f>
        <v>58</v>
      </c>
      <c r="CA193" s="0" t="n">
        <f aca="false">IF(Presupuesto!$B$59='Flujo de Pagos'!$E193,59,9999)</f>
        <v>59</v>
      </c>
      <c r="CB193" s="0" t="n">
        <f aca="false">IF(Presupuesto!$B$60='Flujo de Pagos'!$E193,60,9999)</f>
        <v>60</v>
      </c>
      <c r="CC193" s="0" t="n">
        <f aca="false">IF(Presupuesto!$B$61='Flujo de Pagos'!$E193,61,9999)</f>
        <v>61</v>
      </c>
      <c r="CD193" s="0" t="n">
        <f aca="false">IF(Presupuesto!$B$62='Flujo de Pagos'!$E193,62,9999)</f>
        <v>62</v>
      </c>
      <c r="CE193" s="0" t="n">
        <f aca="false">IF(Presupuesto!$B$63='Flujo de Pagos'!$E193,63,9999)</f>
        <v>63</v>
      </c>
      <c r="CF193" s="0" t="n">
        <f aca="false">IF(Presupuesto!$B$64='Flujo de Pagos'!$E193,64,9999)</f>
        <v>64</v>
      </c>
      <c r="CG193" s="0" t="n">
        <f aca="false">IF(Presupuesto!$B$65='Flujo de Pagos'!$E193,65,9999)</f>
        <v>65</v>
      </c>
      <c r="CH193" s="0" t="n">
        <f aca="false">IF(Presupuesto!$B$66='Flujo de Pagos'!$E193,66,9999)</f>
        <v>66</v>
      </c>
    </row>
    <row r="194" customFormat="false" ht="15" hidden="false" customHeight="true" outlineLevel="0" collapsed="false">
      <c r="B194" s="1" t="n">
        <f aca="false">IF(AND('Flujo de Pagos'!E199=Carátula!$B$2,'Flujo de Pagos'!F199=Carátula!$B$4,'Flujo de Pagos'!H199&lt;&gt;""),199,99999)</f>
        <v>99999</v>
      </c>
      <c r="H194" s="1" t="n">
        <f aca="false">IF(SMALL($AA194:$CH194,1)&gt;=9999,"",INDEX(Presupuesto!$C:$C,SMALL($AA194:$CH194,1)))</f>
        <v>0</v>
      </c>
      <c r="I194" s="1" t="n">
        <f aca="false">IF(SMALL($AA194:$CH194,2)&gt;=9999,"",INDEX(Presupuesto!$C:$C,SMALL($AA194:$CH194,2)))</f>
        <v>0</v>
      </c>
      <c r="J194" s="1" t="n">
        <f aca="false">IF(SMALL($AA194:$CH194,3)&gt;=9999,"",INDEX(Presupuesto!$C:$C,SMALL($AA194:$CH194,3)))</f>
        <v>0</v>
      </c>
      <c r="K194" s="1" t="n">
        <f aca="false">IF(SMALL($AA194:$CH194,4)&gt;=9999,"",INDEX(Presupuesto!$C:$C,SMALL($AA194:$CH194,4)))</f>
        <v>0</v>
      </c>
      <c r="L194" s="1" t="n">
        <f aca="false">IF(SMALL($AA194:$CH194,5)&gt;=9999,"",INDEX(Presupuesto!$C:$C,SMALL($AA194:$CH194,5)))</f>
        <v>0</v>
      </c>
      <c r="M194" s="1" t="n">
        <f aca="false">IF(SMALL($AA194:$CH194,6)&gt;=9999,"",INDEX(Presupuesto!$C:$C,SMALL($AA194:$CH194,6)))</f>
        <v>0</v>
      </c>
      <c r="N194" s="1" t="n">
        <f aca="false">IF(SMALL($AA194:$CH194,7)&gt;=9999,"",INDEX(Presupuesto!$C:$C,SMALL($AA194:$CH194,7)))</f>
        <v>0</v>
      </c>
      <c r="O194" s="1" t="n">
        <f aca="false">IF(SMALL($AA194:$CH194,8)&gt;=9999,"",INDEX(Presupuesto!$C:$C,SMALL($AA194:$CH194,8)))</f>
        <v>0</v>
      </c>
      <c r="P194" s="1" t="n">
        <f aca="false">IF(SMALL($AA194:$CH194,9)&gt;=9999,"",INDEX(Presupuesto!$C:$C,SMALL($AA194:$CH194,9)))</f>
        <v>0</v>
      </c>
      <c r="Q194" s="1" t="n">
        <f aca="false">IF(SMALL($AA194:$CH194,10)&gt;=9999,"",INDEX(Presupuesto!$C:$C,SMALL($AA194:$CH194,10)))</f>
        <v>0</v>
      </c>
      <c r="AA194" s="0" t="n">
        <f aca="false">IF(Presupuesto!$B$7='Flujo de Pagos'!$E194,7,9999)</f>
        <v>9999</v>
      </c>
      <c r="AB194" s="0" t="n">
        <f aca="false">IF(Presupuesto!$B$8='Flujo de Pagos'!$E194,8,9999)</f>
        <v>9999</v>
      </c>
      <c r="AC194" s="0" t="n">
        <f aca="false">IF(Presupuesto!$B$9='Flujo de Pagos'!$E194,9,9999)</f>
        <v>9999</v>
      </c>
      <c r="AD194" s="0" t="n">
        <f aca="false">IF(Presupuesto!$B$10='Flujo de Pagos'!$E194,10,9999)</f>
        <v>9999</v>
      </c>
      <c r="AE194" s="0" t="n">
        <f aca="false">IF(Presupuesto!$B$11='Flujo de Pagos'!$E194,11,9999)</f>
        <v>9999</v>
      </c>
      <c r="AF194" s="0" t="n">
        <f aca="false">IF(Presupuesto!$B$12='Flujo de Pagos'!$E194,12,9999)</f>
        <v>12</v>
      </c>
      <c r="AG194" s="0" t="n">
        <f aca="false">IF(Presupuesto!$B$13='Flujo de Pagos'!$E194,13,9999)</f>
        <v>13</v>
      </c>
      <c r="AH194" s="0" t="n">
        <f aca="false">IF(Presupuesto!$B$14='Flujo de Pagos'!$E194,14,9999)</f>
        <v>14</v>
      </c>
      <c r="AI194" s="0" t="n">
        <f aca="false">IF(Presupuesto!$B$15='Flujo de Pagos'!$E194,15,9999)</f>
        <v>15</v>
      </c>
      <c r="AJ194" s="0" t="n">
        <f aca="false">IF(Presupuesto!$B$16='Flujo de Pagos'!$E194,16,9999)</f>
        <v>16</v>
      </c>
      <c r="AK194" s="0" t="n">
        <f aca="false">IF(Presupuesto!$B$17='Flujo de Pagos'!$E194,17,9999)</f>
        <v>17</v>
      </c>
      <c r="AL194" s="0" t="n">
        <f aca="false">IF(Presupuesto!$B$18='Flujo de Pagos'!$E194,18,9999)</f>
        <v>18</v>
      </c>
      <c r="AM194" s="0" t="n">
        <f aca="false">IF(Presupuesto!$B$19='Flujo de Pagos'!$E194,19,9999)</f>
        <v>19</v>
      </c>
      <c r="AN194" s="0" t="n">
        <f aca="false">IF(Presupuesto!$B$20='Flujo de Pagos'!$E194,20,9999)</f>
        <v>20</v>
      </c>
      <c r="AO194" s="0" t="n">
        <f aca="false">IF(Presupuesto!$B$21='Flujo de Pagos'!$E194,21,9999)</f>
        <v>21</v>
      </c>
      <c r="AP194" s="0" t="n">
        <f aca="false">IF(Presupuesto!$B$22='Flujo de Pagos'!$E194,22,9999)</f>
        <v>22</v>
      </c>
      <c r="AQ194" s="0" t="n">
        <f aca="false">IF(Presupuesto!$B$23='Flujo de Pagos'!$E194,23,9999)</f>
        <v>23</v>
      </c>
      <c r="AR194" s="0" t="n">
        <f aca="false">IF(Presupuesto!$B$24='Flujo de Pagos'!$E194,24,9999)</f>
        <v>24</v>
      </c>
      <c r="AS194" s="0" t="n">
        <f aca="false">IF(Presupuesto!$B$25='Flujo de Pagos'!$E194,25,9999)</f>
        <v>25</v>
      </c>
      <c r="AT194" s="0" t="n">
        <f aca="false">IF(Presupuesto!$B$26='Flujo de Pagos'!$E194,26,9999)</f>
        <v>26</v>
      </c>
      <c r="AU194" s="0" t="n">
        <f aca="false">IF(Presupuesto!$B$27='Flujo de Pagos'!$E194,27,9999)</f>
        <v>27</v>
      </c>
      <c r="AV194" s="0" t="n">
        <f aca="false">IF(Presupuesto!$B$28='Flujo de Pagos'!$E194,28,9999)</f>
        <v>28</v>
      </c>
      <c r="AW194" s="0" t="n">
        <f aca="false">IF(Presupuesto!$B$29='Flujo de Pagos'!$E194,29,9999)</f>
        <v>29</v>
      </c>
      <c r="AX194" s="0" t="n">
        <f aca="false">IF(Presupuesto!$B$30='Flujo de Pagos'!$E194,30,9999)</f>
        <v>30</v>
      </c>
      <c r="AY194" s="0" t="n">
        <f aca="false">IF(Presupuesto!$B$31='Flujo de Pagos'!$E194,31,9999)</f>
        <v>31</v>
      </c>
      <c r="AZ194" s="0" t="n">
        <f aca="false">IF(Presupuesto!$B$32='Flujo de Pagos'!$E194,32,9999)</f>
        <v>32</v>
      </c>
      <c r="BA194" s="0" t="n">
        <f aca="false">IF(Presupuesto!$B$33='Flujo de Pagos'!$E194,33,9999)</f>
        <v>33</v>
      </c>
      <c r="BB194" s="0" t="n">
        <f aca="false">IF(Presupuesto!$B$34='Flujo de Pagos'!$E194,34,9999)</f>
        <v>34</v>
      </c>
      <c r="BC194" s="0" t="n">
        <f aca="false">IF(Presupuesto!$B$35='Flujo de Pagos'!$E194,35,9999)</f>
        <v>35</v>
      </c>
      <c r="BD194" s="0" t="n">
        <f aca="false">IF(Presupuesto!$B$36='Flujo de Pagos'!$E194,36,9999)</f>
        <v>36</v>
      </c>
      <c r="BE194" s="0" t="n">
        <f aca="false">IF(Presupuesto!$B$37='Flujo de Pagos'!$E194,37,9999)</f>
        <v>37</v>
      </c>
      <c r="BF194" s="0" t="n">
        <f aca="false">IF(Presupuesto!$B$38='Flujo de Pagos'!$E194,38,9999)</f>
        <v>38</v>
      </c>
      <c r="BG194" s="0" t="n">
        <f aca="false">IF(Presupuesto!$B$39='Flujo de Pagos'!$E194,39,9999)</f>
        <v>39</v>
      </c>
      <c r="BH194" s="0" t="n">
        <f aca="false">IF(Presupuesto!$B$40='Flujo de Pagos'!$E194,40,9999)</f>
        <v>40</v>
      </c>
      <c r="BI194" s="0" t="n">
        <f aca="false">IF(Presupuesto!$B$41='Flujo de Pagos'!$E194,41,9999)</f>
        <v>41</v>
      </c>
      <c r="BJ194" s="0" t="n">
        <f aca="false">IF(Presupuesto!$B$42='Flujo de Pagos'!$E194,42,9999)</f>
        <v>42</v>
      </c>
      <c r="BK194" s="0" t="n">
        <f aca="false">IF(Presupuesto!$B$43='Flujo de Pagos'!$E194,43,9999)</f>
        <v>43</v>
      </c>
      <c r="BL194" s="0" t="n">
        <f aca="false">IF(Presupuesto!$B$44='Flujo de Pagos'!$E194,44,9999)</f>
        <v>44</v>
      </c>
      <c r="BM194" s="0" t="n">
        <f aca="false">IF(Presupuesto!$B$45='Flujo de Pagos'!$E194,45,9999)</f>
        <v>45</v>
      </c>
      <c r="BN194" s="0" t="n">
        <f aca="false">IF(Presupuesto!$B$46='Flujo de Pagos'!$E194,46,9999)</f>
        <v>46</v>
      </c>
      <c r="BO194" s="0" t="n">
        <f aca="false">IF(Presupuesto!$B$47='Flujo de Pagos'!$E194,47,9999)</f>
        <v>47</v>
      </c>
      <c r="BP194" s="0" t="n">
        <f aca="false">IF(Presupuesto!$B$48='Flujo de Pagos'!$E194,48,9999)</f>
        <v>48</v>
      </c>
      <c r="BQ194" s="0" t="n">
        <f aca="false">IF(Presupuesto!$B$49='Flujo de Pagos'!$E194,49,9999)</f>
        <v>49</v>
      </c>
      <c r="BR194" s="0" t="n">
        <f aca="false">IF(Presupuesto!$B$50='Flujo de Pagos'!$E194,50,9999)</f>
        <v>50</v>
      </c>
      <c r="BS194" s="0" t="n">
        <f aca="false">IF(Presupuesto!$B$51='Flujo de Pagos'!$E194,51,9999)</f>
        <v>51</v>
      </c>
      <c r="BT194" s="0" t="n">
        <f aca="false">IF(Presupuesto!$B$52='Flujo de Pagos'!$E194,52,9999)</f>
        <v>52</v>
      </c>
      <c r="BU194" s="0" t="n">
        <f aca="false">IF(Presupuesto!$B$53='Flujo de Pagos'!$E194,53,9999)</f>
        <v>53</v>
      </c>
      <c r="BV194" s="0" t="n">
        <f aca="false">IF(Presupuesto!$B$54='Flujo de Pagos'!$E194,54,9999)</f>
        <v>54</v>
      </c>
      <c r="BW194" s="0" t="n">
        <f aca="false">IF(Presupuesto!$B$55='Flujo de Pagos'!$E194,55,9999)</f>
        <v>55</v>
      </c>
      <c r="BX194" s="0" t="n">
        <f aca="false">IF(Presupuesto!$B$56='Flujo de Pagos'!$E194,56,9999)</f>
        <v>56</v>
      </c>
      <c r="BY194" s="0" t="n">
        <f aca="false">IF(Presupuesto!$B$57='Flujo de Pagos'!$E194,57,9999)</f>
        <v>57</v>
      </c>
      <c r="BZ194" s="0" t="n">
        <f aca="false">IF(Presupuesto!$B$58='Flujo de Pagos'!$E194,58,9999)</f>
        <v>58</v>
      </c>
      <c r="CA194" s="0" t="n">
        <f aca="false">IF(Presupuesto!$B$59='Flujo de Pagos'!$E194,59,9999)</f>
        <v>59</v>
      </c>
      <c r="CB194" s="0" t="n">
        <f aca="false">IF(Presupuesto!$B$60='Flujo de Pagos'!$E194,60,9999)</f>
        <v>60</v>
      </c>
      <c r="CC194" s="0" t="n">
        <f aca="false">IF(Presupuesto!$B$61='Flujo de Pagos'!$E194,61,9999)</f>
        <v>61</v>
      </c>
      <c r="CD194" s="0" t="n">
        <f aca="false">IF(Presupuesto!$B$62='Flujo de Pagos'!$E194,62,9999)</f>
        <v>62</v>
      </c>
      <c r="CE194" s="0" t="n">
        <f aca="false">IF(Presupuesto!$B$63='Flujo de Pagos'!$E194,63,9999)</f>
        <v>63</v>
      </c>
      <c r="CF194" s="0" t="n">
        <f aca="false">IF(Presupuesto!$B$64='Flujo de Pagos'!$E194,64,9999)</f>
        <v>64</v>
      </c>
      <c r="CG194" s="0" t="n">
        <f aca="false">IF(Presupuesto!$B$65='Flujo de Pagos'!$E194,65,9999)</f>
        <v>65</v>
      </c>
      <c r="CH194" s="0" t="n">
        <f aca="false">IF(Presupuesto!$B$66='Flujo de Pagos'!$E194,66,9999)</f>
        <v>66</v>
      </c>
    </row>
    <row r="195" customFormat="false" ht="15" hidden="false" customHeight="true" outlineLevel="0" collapsed="false">
      <c r="B195" s="1" t="n">
        <f aca="false">IF(AND('Flujo de Pagos'!E200=Carátula!$B$2,'Flujo de Pagos'!F200=Carátula!$B$4,'Flujo de Pagos'!H200&lt;&gt;""),200,99999)</f>
        <v>99999</v>
      </c>
      <c r="H195" s="1" t="n">
        <f aca="false">IF(SMALL($AA195:$CH195,1)&gt;=9999,"",INDEX(Presupuesto!$C:$C,SMALL($AA195:$CH195,1)))</f>
        <v>0</v>
      </c>
      <c r="I195" s="1" t="n">
        <f aca="false">IF(SMALL($AA195:$CH195,2)&gt;=9999,"",INDEX(Presupuesto!$C:$C,SMALL($AA195:$CH195,2)))</f>
        <v>0</v>
      </c>
      <c r="J195" s="1" t="n">
        <f aca="false">IF(SMALL($AA195:$CH195,3)&gt;=9999,"",INDEX(Presupuesto!$C:$C,SMALL($AA195:$CH195,3)))</f>
        <v>0</v>
      </c>
      <c r="K195" s="1" t="n">
        <f aca="false">IF(SMALL($AA195:$CH195,4)&gt;=9999,"",INDEX(Presupuesto!$C:$C,SMALL($AA195:$CH195,4)))</f>
        <v>0</v>
      </c>
      <c r="L195" s="1" t="n">
        <f aca="false">IF(SMALL($AA195:$CH195,5)&gt;=9999,"",INDEX(Presupuesto!$C:$C,SMALL($AA195:$CH195,5)))</f>
        <v>0</v>
      </c>
      <c r="M195" s="1" t="n">
        <f aca="false">IF(SMALL($AA195:$CH195,6)&gt;=9999,"",INDEX(Presupuesto!$C:$C,SMALL($AA195:$CH195,6)))</f>
        <v>0</v>
      </c>
      <c r="N195" s="1" t="n">
        <f aca="false">IF(SMALL($AA195:$CH195,7)&gt;=9999,"",INDEX(Presupuesto!$C:$C,SMALL($AA195:$CH195,7)))</f>
        <v>0</v>
      </c>
      <c r="O195" s="1" t="n">
        <f aca="false">IF(SMALL($AA195:$CH195,8)&gt;=9999,"",INDEX(Presupuesto!$C:$C,SMALL($AA195:$CH195,8)))</f>
        <v>0</v>
      </c>
      <c r="P195" s="1" t="n">
        <f aca="false">IF(SMALL($AA195:$CH195,9)&gt;=9999,"",INDEX(Presupuesto!$C:$C,SMALL($AA195:$CH195,9)))</f>
        <v>0</v>
      </c>
      <c r="Q195" s="1" t="n">
        <f aca="false">IF(SMALL($AA195:$CH195,10)&gt;=9999,"",INDEX(Presupuesto!$C:$C,SMALL($AA195:$CH195,10)))</f>
        <v>0</v>
      </c>
      <c r="AA195" s="0" t="n">
        <f aca="false">IF(Presupuesto!$B$7='Flujo de Pagos'!$E195,7,9999)</f>
        <v>9999</v>
      </c>
      <c r="AB195" s="0" t="n">
        <f aca="false">IF(Presupuesto!$B$8='Flujo de Pagos'!$E195,8,9999)</f>
        <v>9999</v>
      </c>
      <c r="AC195" s="0" t="n">
        <f aca="false">IF(Presupuesto!$B$9='Flujo de Pagos'!$E195,9,9999)</f>
        <v>9999</v>
      </c>
      <c r="AD195" s="0" t="n">
        <f aca="false">IF(Presupuesto!$B$10='Flujo de Pagos'!$E195,10,9999)</f>
        <v>9999</v>
      </c>
      <c r="AE195" s="0" t="n">
        <f aca="false">IF(Presupuesto!$B$11='Flujo de Pagos'!$E195,11,9999)</f>
        <v>9999</v>
      </c>
      <c r="AF195" s="0" t="n">
        <f aca="false">IF(Presupuesto!$B$12='Flujo de Pagos'!$E195,12,9999)</f>
        <v>12</v>
      </c>
      <c r="AG195" s="0" t="n">
        <f aca="false">IF(Presupuesto!$B$13='Flujo de Pagos'!$E195,13,9999)</f>
        <v>13</v>
      </c>
      <c r="AH195" s="0" t="n">
        <f aca="false">IF(Presupuesto!$B$14='Flujo de Pagos'!$E195,14,9999)</f>
        <v>14</v>
      </c>
      <c r="AI195" s="0" t="n">
        <f aca="false">IF(Presupuesto!$B$15='Flujo de Pagos'!$E195,15,9999)</f>
        <v>15</v>
      </c>
      <c r="AJ195" s="0" t="n">
        <f aca="false">IF(Presupuesto!$B$16='Flujo de Pagos'!$E195,16,9999)</f>
        <v>16</v>
      </c>
      <c r="AK195" s="0" t="n">
        <f aca="false">IF(Presupuesto!$B$17='Flujo de Pagos'!$E195,17,9999)</f>
        <v>17</v>
      </c>
      <c r="AL195" s="0" t="n">
        <f aca="false">IF(Presupuesto!$B$18='Flujo de Pagos'!$E195,18,9999)</f>
        <v>18</v>
      </c>
      <c r="AM195" s="0" t="n">
        <f aca="false">IF(Presupuesto!$B$19='Flujo de Pagos'!$E195,19,9999)</f>
        <v>19</v>
      </c>
      <c r="AN195" s="0" t="n">
        <f aca="false">IF(Presupuesto!$B$20='Flujo de Pagos'!$E195,20,9999)</f>
        <v>20</v>
      </c>
      <c r="AO195" s="0" t="n">
        <f aca="false">IF(Presupuesto!$B$21='Flujo de Pagos'!$E195,21,9999)</f>
        <v>21</v>
      </c>
      <c r="AP195" s="0" t="n">
        <f aca="false">IF(Presupuesto!$B$22='Flujo de Pagos'!$E195,22,9999)</f>
        <v>22</v>
      </c>
      <c r="AQ195" s="0" t="n">
        <f aca="false">IF(Presupuesto!$B$23='Flujo de Pagos'!$E195,23,9999)</f>
        <v>23</v>
      </c>
      <c r="AR195" s="0" t="n">
        <f aca="false">IF(Presupuesto!$B$24='Flujo de Pagos'!$E195,24,9999)</f>
        <v>24</v>
      </c>
      <c r="AS195" s="0" t="n">
        <f aca="false">IF(Presupuesto!$B$25='Flujo de Pagos'!$E195,25,9999)</f>
        <v>25</v>
      </c>
      <c r="AT195" s="0" t="n">
        <f aca="false">IF(Presupuesto!$B$26='Flujo de Pagos'!$E195,26,9999)</f>
        <v>26</v>
      </c>
      <c r="AU195" s="0" t="n">
        <f aca="false">IF(Presupuesto!$B$27='Flujo de Pagos'!$E195,27,9999)</f>
        <v>27</v>
      </c>
      <c r="AV195" s="0" t="n">
        <f aca="false">IF(Presupuesto!$B$28='Flujo de Pagos'!$E195,28,9999)</f>
        <v>28</v>
      </c>
      <c r="AW195" s="0" t="n">
        <f aca="false">IF(Presupuesto!$B$29='Flujo de Pagos'!$E195,29,9999)</f>
        <v>29</v>
      </c>
      <c r="AX195" s="0" t="n">
        <f aca="false">IF(Presupuesto!$B$30='Flujo de Pagos'!$E195,30,9999)</f>
        <v>30</v>
      </c>
      <c r="AY195" s="0" t="n">
        <f aca="false">IF(Presupuesto!$B$31='Flujo de Pagos'!$E195,31,9999)</f>
        <v>31</v>
      </c>
      <c r="AZ195" s="0" t="n">
        <f aca="false">IF(Presupuesto!$B$32='Flujo de Pagos'!$E195,32,9999)</f>
        <v>32</v>
      </c>
      <c r="BA195" s="0" t="n">
        <f aca="false">IF(Presupuesto!$B$33='Flujo de Pagos'!$E195,33,9999)</f>
        <v>33</v>
      </c>
      <c r="BB195" s="0" t="n">
        <f aca="false">IF(Presupuesto!$B$34='Flujo de Pagos'!$E195,34,9999)</f>
        <v>34</v>
      </c>
      <c r="BC195" s="0" t="n">
        <f aca="false">IF(Presupuesto!$B$35='Flujo de Pagos'!$E195,35,9999)</f>
        <v>35</v>
      </c>
      <c r="BD195" s="0" t="n">
        <f aca="false">IF(Presupuesto!$B$36='Flujo de Pagos'!$E195,36,9999)</f>
        <v>36</v>
      </c>
      <c r="BE195" s="0" t="n">
        <f aca="false">IF(Presupuesto!$B$37='Flujo de Pagos'!$E195,37,9999)</f>
        <v>37</v>
      </c>
      <c r="BF195" s="0" t="n">
        <f aca="false">IF(Presupuesto!$B$38='Flujo de Pagos'!$E195,38,9999)</f>
        <v>38</v>
      </c>
      <c r="BG195" s="0" t="n">
        <f aca="false">IF(Presupuesto!$B$39='Flujo de Pagos'!$E195,39,9999)</f>
        <v>39</v>
      </c>
      <c r="BH195" s="0" t="n">
        <f aca="false">IF(Presupuesto!$B$40='Flujo de Pagos'!$E195,40,9999)</f>
        <v>40</v>
      </c>
      <c r="BI195" s="0" t="n">
        <f aca="false">IF(Presupuesto!$B$41='Flujo de Pagos'!$E195,41,9999)</f>
        <v>41</v>
      </c>
      <c r="BJ195" s="0" t="n">
        <f aca="false">IF(Presupuesto!$B$42='Flujo de Pagos'!$E195,42,9999)</f>
        <v>42</v>
      </c>
      <c r="BK195" s="0" t="n">
        <f aca="false">IF(Presupuesto!$B$43='Flujo de Pagos'!$E195,43,9999)</f>
        <v>43</v>
      </c>
      <c r="BL195" s="0" t="n">
        <f aca="false">IF(Presupuesto!$B$44='Flujo de Pagos'!$E195,44,9999)</f>
        <v>44</v>
      </c>
      <c r="BM195" s="0" t="n">
        <f aca="false">IF(Presupuesto!$B$45='Flujo de Pagos'!$E195,45,9999)</f>
        <v>45</v>
      </c>
      <c r="BN195" s="0" t="n">
        <f aca="false">IF(Presupuesto!$B$46='Flujo de Pagos'!$E195,46,9999)</f>
        <v>46</v>
      </c>
      <c r="BO195" s="0" t="n">
        <f aca="false">IF(Presupuesto!$B$47='Flujo de Pagos'!$E195,47,9999)</f>
        <v>47</v>
      </c>
      <c r="BP195" s="0" t="n">
        <f aca="false">IF(Presupuesto!$B$48='Flujo de Pagos'!$E195,48,9999)</f>
        <v>48</v>
      </c>
      <c r="BQ195" s="0" t="n">
        <f aca="false">IF(Presupuesto!$B$49='Flujo de Pagos'!$E195,49,9999)</f>
        <v>49</v>
      </c>
      <c r="BR195" s="0" t="n">
        <f aca="false">IF(Presupuesto!$B$50='Flujo de Pagos'!$E195,50,9999)</f>
        <v>50</v>
      </c>
      <c r="BS195" s="0" t="n">
        <f aca="false">IF(Presupuesto!$B$51='Flujo de Pagos'!$E195,51,9999)</f>
        <v>51</v>
      </c>
      <c r="BT195" s="0" t="n">
        <f aca="false">IF(Presupuesto!$B$52='Flujo de Pagos'!$E195,52,9999)</f>
        <v>52</v>
      </c>
      <c r="BU195" s="0" t="n">
        <f aca="false">IF(Presupuesto!$B$53='Flujo de Pagos'!$E195,53,9999)</f>
        <v>53</v>
      </c>
      <c r="BV195" s="0" t="n">
        <f aca="false">IF(Presupuesto!$B$54='Flujo de Pagos'!$E195,54,9999)</f>
        <v>54</v>
      </c>
      <c r="BW195" s="0" t="n">
        <f aca="false">IF(Presupuesto!$B$55='Flujo de Pagos'!$E195,55,9999)</f>
        <v>55</v>
      </c>
      <c r="BX195" s="0" t="n">
        <f aca="false">IF(Presupuesto!$B$56='Flujo de Pagos'!$E195,56,9999)</f>
        <v>56</v>
      </c>
      <c r="BY195" s="0" t="n">
        <f aca="false">IF(Presupuesto!$B$57='Flujo de Pagos'!$E195,57,9999)</f>
        <v>57</v>
      </c>
      <c r="BZ195" s="0" t="n">
        <f aca="false">IF(Presupuesto!$B$58='Flujo de Pagos'!$E195,58,9999)</f>
        <v>58</v>
      </c>
      <c r="CA195" s="0" t="n">
        <f aca="false">IF(Presupuesto!$B$59='Flujo de Pagos'!$E195,59,9999)</f>
        <v>59</v>
      </c>
      <c r="CB195" s="0" t="n">
        <f aca="false">IF(Presupuesto!$B$60='Flujo de Pagos'!$E195,60,9999)</f>
        <v>60</v>
      </c>
      <c r="CC195" s="0" t="n">
        <f aca="false">IF(Presupuesto!$B$61='Flujo de Pagos'!$E195,61,9999)</f>
        <v>61</v>
      </c>
      <c r="CD195" s="0" t="n">
        <f aca="false">IF(Presupuesto!$B$62='Flujo de Pagos'!$E195,62,9999)</f>
        <v>62</v>
      </c>
      <c r="CE195" s="0" t="n">
        <f aca="false">IF(Presupuesto!$B$63='Flujo de Pagos'!$E195,63,9999)</f>
        <v>63</v>
      </c>
      <c r="CF195" s="0" t="n">
        <f aca="false">IF(Presupuesto!$B$64='Flujo de Pagos'!$E195,64,9999)</f>
        <v>64</v>
      </c>
      <c r="CG195" s="0" t="n">
        <f aca="false">IF(Presupuesto!$B$65='Flujo de Pagos'!$E195,65,9999)</f>
        <v>65</v>
      </c>
      <c r="CH195" s="0" t="n">
        <f aca="false">IF(Presupuesto!$B$66='Flujo de Pagos'!$E195,66,9999)</f>
        <v>66</v>
      </c>
    </row>
    <row r="196" customFormat="false" ht="15" hidden="false" customHeight="true" outlineLevel="0" collapsed="false">
      <c r="B196" s="1" t="n">
        <f aca="false">IF(AND('Flujo de Pagos'!E201=Carátula!$B$2,'Flujo de Pagos'!F201=Carátula!$B$4,'Flujo de Pagos'!H201&lt;&gt;""),201,99999)</f>
        <v>99999</v>
      </c>
      <c r="H196" s="1" t="n">
        <f aca="false">IF(SMALL($AA196:$CH196,1)&gt;=9999,"",INDEX(Presupuesto!$C:$C,SMALL($AA196:$CH196,1)))</f>
        <v>0</v>
      </c>
      <c r="I196" s="1" t="n">
        <f aca="false">IF(SMALL($AA196:$CH196,2)&gt;=9999,"",INDEX(Presupuesto!$C:$C,SMALL($AA196:$CH196,2)))</f>
        <v>0</v>
      </c>
      <c r="J196" s="1" t="n">
        <f aca="false">IF(SMALL($AA196:$CH196,3)&gt;=9999,"",INDEX(Presupuesto!$C:$C,SMALL($AA196:$CH196,3)))</f>
        <v>0</v>
      </c>
      <c r="K196" s="1" t="n">
        <f aca="false">IF(SMALL($AA196:$CH196,4)&gt;=9999,"",INDEX(Presupuesto!$C:$C,SMALL($AA196:$CH196,4)))</f>
        <v>0</v>
      </c>
      <c r="L196" s="1" t="n">
        <f aca="false">IF(SMALL($AA196:$CH196,5)&gt;=9999,"",INDEX(Presupuesto!$C:$C,SMALL($AA196:$CH196,5)))</f>
        <v>0</v>
      </c>
      <c r="M196" s="1" t="n">
        <f aca="false">IF(SMALL($AA196:$CH196,6)&gt;=9999,"",INDEX(Presupuesto!$C:$C,SMALL($AA196:$CH196,6)))</f>
        <v>0</v>
      </c>
      <c r="N196" s="1" t="n">
        <f aca="false">IF(SMALL($AA196:$CH196,7)&gt;=9999,"",INDEX(Presupuesto!$C:$C,SMALL($AA196:$CH196,7)))</f>
        <v>0</v>
      </c>
      <c r="O196" s="1" t="n">
        <f aca="false">IF(SMALL($AA196:$CH196,8)&gt;=9999,"",INDEX(Presupuesto!$C:$C,SMALL($AA196:$CH196,8)))</f>
        <v>0</v>
      </c>
      <c r="P196" s="1" t="n">
        <f aca="false">IF(SMALL($AA196:$CH196,9)&gt;=9999,"",INDEX(Presupuesto!$C:$C,SMALL($AA196:$CH196,9)))</f>
        <v>0</v>
      </c>
      <c r="Q196" s="1" t="n">
        <f aca="false">IF(SMALL($AA196:$CH196,10)&gt;=9999,"",INDEX(Presupuesto!$C:$C,SMALL($AA196:$CH196,10)))</f>
        <v>0</v>
      </c>
      <c r="AA196" s="0" t="n">
        <f aca="false">IF(Presupuesto!$B$7='Flujo de Pagos'!$E196,7,9999)</f>
        <v>9999</v>
      </c>
      <c r="AB196" s="0" t="n">
        <f aca="false">IF(Presupuesto!$B$8='Flujo de Pagos'!$E196,8,9999)</f>
        <v>9999</v>
      </c>
      <c r="AC196" s="0" t="n">
        <f aca="false">IF(Presupuesto!$B$9='Flujo de Pagos'!$E196,9,9999)</f>
        <v>9999</v>
      </c>
      <c r="AD196" s="0" t="n">
        <f aca="false">IF(Presupuesto!$B$10='Flujo de Pagos'!$E196,10,9999)</f>
        <v>9999</v>
      </c>
      <c r="AE196" s="0" t="n">
        <f aca="false">IF(Presupuesto!$B$11='Flujo de Pagos'!$E196,11,9999)</f>
        <v>9999</v>
      </c>
      <c r="AF196" s="0" t="n">
        <f aca="false">IF(Presupuesto!$B$12='Flujo de Pagos'!$E196,12,9999)</f>
        <v>12</v>
      </c>
      <c r="AG196" s="0" t="n">
        <f aca="false">IF(Presupuesto!$B$13='Flujo de Pagos'!$E196,13,9999)</f>
        <v>13</v>
      </c>
      <c r="AH196" s="0" t="n">
        <f aca="false">IF(Presupuesto!$B$14='Flujo de Pagos'!$E196,14,9999)</f>
        <v>14</v>
      </c>
      <c r="AI196" s="0" t="n">
        <f aca="false">IF(Presupuesto!$B$15='Flujo de Pagos'!$E196,15,9999)</f>
        <v>15</v>
      </c>
      <c r="AJ196" s="0" t="n">
        <f aca="false">IF(Presupuesto!$B$16='Flujo de Pagos'!$E196,16,9999)</f>
        <v>16</v>
      </c>
      <c r="AK196" s="0" t="n">
        <f aca="false">IF(Presupuesto!$B$17='Flujo de Pagos'!$E196,17,9999)</f>
        <v>17</v>
      </c>
      <c r="AL196" s="0" t="n">
        <f aca="false">IF(Presupuesto!$B$18='Flujo de Pagos'!$E196,18,9999)</f>
        <v>18</v>
      </c>
      <c r="AM196" s="0" t="n">
        <f aca="false">IF(Presupuesto!$B$19='Flujo de Pagos'!$E196,19,9999)</f>
        <v>19</v>
      </c>
      <c r="AN196" s="0" t="n">
        <f aca="false">IF(Presupuesto!$B$20='Flujo de Pagos'!$E196,20,9999)</f>
        <v>20</v>
      </c>
      <c r="AO196" s="0" t="n">
        <f aca="false">IF(Presupuesto!$B$21='Flujo de Pagos'!$E196,21,9999)</f>
        <v>21</v>
      </c>
      <c r="AP196" s="0" t="n">
        <f aca="false">IF(Presupuesto!$B$22='Flujo de Pagos'!$E196,22,9999)</f>
        <v>22</v>
      </c>
      <c r="AQ196" s="0" t="n">
        <f aca="false">IF(Presupuesto!$B$23='Flujo de Pagos'!$E196,23,9999)</f>
        <v>23</v>
      </c>
      <c r="AR196" s="0" t="n">
        <f aca="false">IF(Presupuesto!$B$24='Flujo de Pagos'!$E196,24,9999)</f>
        <v>24</v>
      </c>
      <c r="AS196" s="0" t="n">
        <f aca="false">IF(Presupuesto!$B$25='Flujo de Pagos'!$E196,25,9999)</f>
        <v>25</v>
      </c>
      <c r="AT196" s="0" t="n">
        <f aca="false">IF(Presupuesto!$B$26='Flujo de Pagos'!$E196,26,9999)</f>
        <v>26</v>
      </c>
      <c r="AU196" s="0" t="n">
        <f aca="false">IF(Presupuesto!$B$27='Flujo de Pagos'!$E196,27,9999)</f>
        <v>27</v>
      </c>
      <c r="AV196" s="0" t="n">
        <f aca="false">IF(Presupuesto!$B$28='Flujo de Pagos'!$E196,28,9999)</f>
        <v>28</v>
      </c>
      <c r="AW196" s="0" t="n">
        <f aca="false">IF(Presupuesto!$B$29='Flujo de Pagos'!$E196,29,9999)</f>
        <v>29</v>
      </c>
      <c r="AX196" s="0" t="n">
        <f aca="false">IF(Presupuesto!$B$30='Flujo de Pagos'!$E196,30,9999)</f>
        <v>30</v>
      </c>
      <c r="AY196" s="0" t="n">
        <f aca="false">IF(Presupuesto!$B$31='Flujo de Pagos'!$E196,31,9999)</f>
        <v>31</v>
      </c>
      <c r="AZ196" s="0" t="n">
        <f aca="false">IF(Presupuesto!$B$32='Flujo de Pagos'!$E196,32,9999)</f>
        <v>32</v>
      </c>
      <c r="BA196" s="0" t="n">
        <f aca="false">IF(Presupuesto!$B$33='Flujo de Pagos'!$E196,33,9999)</f>
        <v>33</v>
      </c>
      <c r="BB196" s="0" t="n">
        <f aca="false">IF(Presupuesto!$B$34='Flujo de Pagos'!$E196,34,9999)</f>
        <v>34</v>
      </c>
      <c r="BC196" s="0" t="n">
        <f aca="false">IF(Presupuesto!$B$35='Flujo de Pagos'!$E196,35,9999)</f>
        <v>35</v>
      </c>
      <c r="BD196" s="0" t="n">
        <f aca="false">IF(Presupuesto!$B$36='Flujo de Pagos'!$E196,36,9999)</f>
        <v>36</v>
      </c>
      <c r="BE196" s="0" t="n">
        <f aca="false">IF(Presupuesto!$B$37='Flujo de Pagos'!$E196,37,9999)</f>
        <v>37</v>
      </c>
      <c r="BF196" s="0" t="n">
        <f aca="false">IF(Presupuesto!$B$38='Flujo de Pagos'!$E196,38,9999)</f>
        <v>38</v>
      </c>
      <c r="BG196" s="0" t="n">
        <f aca="false">IF(Presupuesto!$B$39='Flujo de Pagos'!$E196,39,9999)</f>
        <v>39</v>
      </c>
      <c r="BH196" s="0" t="n">
        <f aca="false">IF(Presupuesto!$B$40='Flujo de Pagos'!$E196,40,9999)</f>
        <v>40</v>
      </c>
      <c r="BI196" s="0" t="n">
        <f aca="false">IF(Presupuesto!$B$41='Flujo de Pagos'!$E196,41,9999)</f>
        <v>41</v>
      </c>
      <c r="BJ196" s="0" t="n">
        <f aca="false">IF(Presupuesto!$B$42='Flujo de Pagos'!$E196,42,9999)</f>
        <v>42</v>
      </c>
      <c r="BK196" s="0" t="n">
        <f aca="false">IF(Presupuesto!$B$43='Flujo de Pagos'!$E196,43,9999)</f>
        <v>43</v>
      </c>
      <c r="BL196" s="0" t="n">
        <f aca="false">IF(Presupuesto!$B$44='Flujo de Pagos'!$E196,44,9999)</f>
        <v>44</v>
      </c>
      <c r="BM196" s="0" t="n">
        <f aca="false">IF(Presupuesto!$B$45='Flujo de Pagos'!$E196,45,9999)</f>
        <v>45</v>
      </c>
      <c r="BN196" s="0" t="n">
        <f aca="false">IF(Presupuesto!$B$46='Flujo de Pagos'!$E196,46,9999)</f>
        <v>46</v>
      </c>
      <c r="BO196" s="0" t="n">
        <f aca="false">IF(Presupuesto!$B$47='Flujo de Pagos'!$E196,47,9999)</f>
        <v>47</v>
      </c>
      <c r="BP196" s="0" t="n">
        <f aca="false">IF(Presupuesto!$B$48='Flujo de Pagos'!$E196,48,9999)</f>
        <v>48</v>
      </c>
      <c r="BQ196" s="0" t="n">
        <f aca="false">IF(Presupuesto!$B$49='Flujo de Pagos'!$E196,49,9999)</f>
        <v>49</v>
      </c>
      <c r="BR196" s="0" t="n">
        <f aca="false">IF(Presupuesto!$B$50='Flujo de Pagos'!$E196,50,9999)</f>
        <v>50</v>
      </c>
      <c r="BS196" s="0" t="n">
        <f aca="false">IF(Presupuesto!$B$51='Flujo de Pagos'!$E196,51,9999)</f>
        <v>51</v>
      </c>
      <c r="BT196" s="0" t="n">
        <f aca="false">IF(Presupuesto!$B$52='Flujo de Pagos'!$E196,52,9999)</f>
        <v>52</v>
      </c>
      <c r="BU196" s="0" t="n">
        <f aca="false">IF(Presupuesto!$B$53='Flujo de Pagos'!$E196,53,9999)</f>
        <v>53</v>
      </c>
      <c r="BV196" s="0" t="n">
        <f aca="false">IF(Presupuesto!$B$54='Flujo de Pagos'!$E196,54,9999)</f>
        <v>54</v>
      </c>
      <c r="BW196" s="0" t="n">
        <f aca="false">IF(Presupuesto!$B$55='Flujo de Pagos'!$E196,55,9999)</f>
        <v>55</v>
      </c>
      <c r="BX196" s="0" t="n">
        <f aca="false">IF(Presupuesto!$B$56='Flujo de Pagos'!$E196,56,9999)</f>
        <v>56</v>
      </c>
      <c r="BY196" s="0" t="n">
        <f aca="false">IF(Presupuesto!$B$57='Flujo de Pagos'!$E196,57,9999)</f>
        <v>57</v>
      </c>
      <c r="BZ196" s="0" t="n">
        <f aca="false">IF(Presupuesto!$B$58='Flujo de Pagos'!$E196,58,9999)</f>
        <v>58</v>
      </c>
      <c r="CA196" s="0" t="n">
        <f aca="false">IF(Presupuesto!$B$59='Flujo de Pagos'!$E196,59,9999)</f>
        <v>59</v>
      </c>
      <c r="CB196" s="0" t="n">
        <f aca="false">IF(Presupuesto!$B$60='Flujo de Pagos'!$E196,60,9999)</f>
        <v>60</v>
      </c>
      <c r="CC196" s="0" t="n">
        <f aca="false">IF(Presupuesto!$B$61='Flujo de Pagos'!$E196,61,9999)</f>
        <v>61</v>
      </c>
      <c r="CD196" s="0" t="n">
        <f aca="false">IF(Presupuesto!$B$62='Flujo de Pagos'!$E196,62,9999)</f>
        <v>62</v>
      </c>
      <c r="CE196" s="0" t="n">
        <f aca="false">IF(Presupuesto!$B$63='Flujo de Pagos'!$E196,63,9999)</f>
        <v>63</v>
      </c>
      <c r="CF196" s="0" t="n">
        <f aca="false">IF(Presupuesto!$B$64='Flujo de Pagos'!$E196,64,9999)</f>
        <v>64</v>
      </c>
      <c r="CG196" s="0" t="n">
        <f aca="false">IF(Presupuesto!$B$65='Flujo de Pagos'!$E196,65,9999)</f>
        <v>65</v>
      </c>
      <c r="CH196" s="0" t="n">
        <f aca="false">IF(Presupuesto!$B$66='Flujo de Pagos'!$E196,66,9999)</f>
        <v>66</v>
      </c>
    </row>
    <row r="197" customFormat="false" ht="15" hidden="false" customHeight="true" outlineLevel="0" collapsed="false">
      <c r="B197" s="1" t="n">
        <f aca="false">IF(AND('Flujo de Pagos'!E202=Carátula!$B$2,'Flujo de Pagos'!F202=Carátula!$B$4,'Flujo de Pagos'!H202&lt;&gt;""),202,99999)</f>
        <v>99999</v>
      </c>
      <c r="H197" s="1" t="n">
        <f aca="false">IF(SMALL($AA197:$CH197,1)&gt;=9999,"",INDEX(Presupuesto!$C:$C,SMALL($AA197:$CH197,1)))</f>
        <v>0</v>
      </c>
      <c r="I197" s="1" t="n">
        <f aca="false">IF(SMALL($AA197:$CH197,2)&gt;=9999,"",INDEX(Presupuesto!$C:$C,SMALL($AA197:$CH197,2)))</f>
        <v>0</v>
      </c>
      <c r="J197" s="1" t="n">
        <f aca="false">IF(SMALL($AA197:$CH197,3)&gt;=9999,"",INDEX(Presupuesto!$C:$C,SMALL($AA197:$CH197,3)))</f>
        <v>0</v>
      </c>
      <c r="K197" s="1" t="n">
        <f aca="false">IF(SMALL($AA197:$CH197,4)&gt;=9999,"",INDEX(Presupuesto!$C:$C,SMALL($AA197:$CH197,4)))</f>
        <v>0</v>
      </c>
      <c r="L197" s="1" t="n">
        <f aca="false">IF(SMALL($AA197:$CH197,5)&gt;=9999,"",INDEX(Presupuesto!$C:$C,SMALL($AA197:$CH197,5)))</f>
        <v>0</v>
      </c>
      <c r="M197" s="1" t="n">
        <f aca="false">IF(SMALL($AA197:$CH197,6)&gt;=9999,"",INDEX(Presupuesto!$C:$C,SMALL($AA197:$CH197,6)))</f>
        <v>0</v>
      </c>
      <c r="N197" s="1" t="n">
        <f aca="false">IF(SMALL($AA197:$CH197,7)&gt;=9999,"",INDEX(Presupuesto!$C:$C,SMALL($AA197:$CH197,7)))</f>
        <v>0</v>
      </c>
      <c r="O197" s="1" t="n">
        <f aca="false">IF(SMALL($AA197:$CH197,8)&gt;=9999,"",INDEX(Presupuesto!$C:$C,SMALL($AA197:$CH197,8)))</f>
        <v>0</v>
      </c>
      <c r="P197" s="1" t="n">
        <f aca="false">IF(SMALL($AA197:$CH197,9)&gt;=9999,"",INDEX(Presupuesto!$C:$C,SMALL($AA197:$CH197,9)))</f>
        <v>0</v>
      </c>
      <c r="Q197" s="1" t="n">
        <f aca="false">IF(SMALL($AA197:$CH197,10)&gt;=9999,"",INDEX(Presupuesto!$C:$C,SMALL($AA197:$CH197,10)))</f>
        <v>0</v>
      </c>
      <c r="AA197" s="0" t="n">
        <f aca="false">IF(Presupuesto!$B$7='Flujo de Pagos'!$E197,7,9999)</f>
        <v>9999</v>
      </c>
      <c r="AB197" s="0" t="n">
        <f aca="false">IF(Presupuesto!$B$8='Flujo de Pagos'!$E197,8,9999)</f>
        <v>9999</v>
      </c>
      <c r="AC197" s="0" t="n">
        <f aca="false">IF(Presupuesto!$B$9='Flujo de Pagos'!$E197,9,9999)</f>
        <v>9999</v>
      </c>
      <c r="AD197" s="0" t="n">
        <f aca="false">IF(Presupuesto!$B$10='Flujo de Pagos'!$E197,10,9999)</f>
        <v>9999</v>
      </c>
      <c r="AE197" s="0" t="n">
        <f aca="false">IF(Presupuesto!$B$11='Flujo de Pagos'!$E197,11,9999)</f>
        <v>9999</v>
      </c>
      <c r="AF197" s="0" t="n">
        <f aca="false">IF(Presupuesto!$B$12='Flujo de Pagos'!$E197,12,9999)</f>
        <v>12</v>
      </c>
      <c r="AG197" s="0" t="n">
        <f aca="false">IF(Presupuesto!$B$13='Flujo de Pagos'!$E197,13,9999)</f>
        <v>13</v>
      </c>
      <c r="AH197" s="0" t="n">
        <f aca="false">IF(Presupuesto!$B$14='Flujo de Pagos'!$E197,14,9999)</f>
        <v>14</v>
      </c>
      <c r="AI197" s="0" t="n">
        <f aca="false">IF(Presupuesto!$B$15='Flujo de Pagos'!$E197,15,9999)</f>
        <v>15</v>
      </c>
      <c r="AJ197" s="0" t="n">
        <f aca="false">IF(Presupuesto!$B$16='Flujo de Pagos'!$E197,16,9999)</f>
        <v>16</v>
      </c>
      <c r="AK197" s="0" t="n">
        <f aca="false">IF(Presupuesto!$B$17='Flujo de Pagos'!$E197,17,9999)</f>
        <v>17</v>
      </c>
      <c r="AL197" s="0" t="n">
        <f aca="false">IF(Presupuesto!$B$18='Flujo de Pagos'!$E197,18,9999)</f>
        <v>18</v>
      </c>
      <c r="AM197" s="0" t="n">
        <f aca="false">IF(Presupuesto!$B$19='Flujo de Pagos'!$E197,19,9999)</f>
        <v>19</v>
      </c>
      <c r="AN197" s="0" t="n">
        <f aca="false">IF(Presupuesto!$B$20='Flujo de Pagos'!$E197,20,9999)</f>
        <v>20</v>
      </c>
      <c r="AO197" s="0" t="n">
        <f aca="false">IF(Presupuesto!$B$21='Flujo de Pagos'!$E197,21,9999)</f>
        <v>21</v>
      </c>
      <c r="AP197" s="0" t="n">
        <f aca="false">IF(Presupuesto!$B$22='Flujo de Pagos'!$E197,22,9999)</f>
        <v>22</v>
      </c>
      <c r="AQ197" s="0" t="n">
        <f aca="false">IF(Presupuesto!$B$23='Flujo de Pagos'!$E197,23,9999)</f>
        <v>23</v>
      </c>
      <c r="AR197" s="0" t="n">
        <f aca="false">IF(Presupuesto!$B$24='Flujo de Pagos'!$E197,24,9999)</f>
        <v>24</v>
      </c>
      <c r="AS197" s="0" t="n">
        <f aca="false">IF(Presupuesto!$B$25='Flujo de Pagos'!$E197,25,9999)</f>
        <v>25</v>
      </c>
      <c r="AT197" s="0" t="n">
        <f aca="false">IF(Presupuesto!$B$26='Flujo de Pagos'!$E197,26,9999)</f>
        <v>26</v>
      </c>
      <c r="AU197" s="0" t="n">
        <f aca="false">IF(Presupuesto!$B$27='Flujo de Pagos'!$E197,27,9999)</f>
        <v>27</v>
      </c>
      <c r="AV197" s="0" t="n">
        <f aca="false">IF(Presupuesto!$B$28='Flujo de Pagos'!$E197,28,9999)</f>
        <v>28</v>
      </c>
      <c r="AW197" s="0" t="n">
        <f aca="false">IF(Presupuesto!$B$29='Flujo de Pagos'!$E197,29,9999)</f>
        <v>29</v>
      </c>
      <c r="AX197" s="0" t="n">
        <f aca="false">IF(Presupuesto!$B$30='Flujo de Pagos'!$E197,30,9999)</f>
        <v>30</v>
      </c>
      <c r="AY197" s="0" t="n">
        <f aca="false">IF(Presupuesto!$B$31='Flujo de Pagos'!$E197,31,9999)</f>
        <v>31</v>
      </c>
      <c r="AZ197" s="0" t="n">
        <f aca="false">IF(Presupuesto!$B$32='Flujo de Pagos'!$E197,32,9999)</f>
        <v>32</v>
      </c>
      <c r="BA197" s="0" t="n">
        <f aca="false">IF(Presupuesto!$B$33='Flujo de Pagos'!$E197,33,9999)</f>
        <v>33</v>
      </c>
      <c r="BB197" s="0" t="n">
        <f aca="false">IF(Presupuesto!$B$34='Flujo de Pagos'!$E197,34,9999)</f>
        <v>34</v>
      </c>
      <c r="BC197" s="0" t="n">
        <f aca="false">IF(Presupuesto!$B$35='Flujo de Pagos'!$E197,35,9999)</f>
        <v>35</v>
      </c>
      <c r="BD197" s="0" t="n">
        <f aca="false">IF(Presupuesto!$B$36='Flujo de Pagos'!$E197,36,9999)</f>
        <v>36</v>
      </c>
      <c r="BE197" s="0" t="n">
        <f aca="false">IF(Presupuesto!$B$37='Flujo de Pagos'!$E197,37,9999)</f>
        <v>37</v>
      </c>
      <c r="BF197" s="0" t="n">
        <f aca="false">IF(Presupuesto!$B$38='Flujo de Pagos'!$E197,38,9999)</f>
        <v>38</v>
      </c>
      <c r="BG197" s="0" t="n">
        <f aca="false">IF(Presupuesto!$B$39='Flujo de Pagos'!$E197,39,9999)</f>
        <v>39</v>
      </c>
      <c r="BH197" s="0" t="n">
        <f aca="false">IF(Presupuesto!$B$40='Flujo de Pagos'!$E197,40,9999)</f>
        <v>40</v>
      </c>
      <c r="BI197" s="0" t="n">
        <f aca="false">IF(Presupuesto!$B$41='Flujo de Pagos'!$E197,41,9999)</f>
        <v>41</v>
      </c>
      <c r="BJ197" s="0" t="n">
        <f aca="false">IF(Presupuesto!$B$42='Flujo de Pagos'!$E197,42,9999)</f>
        <v>42</v>
      </c>
      <c r="BK197" s="0" t="n">
        <f aca="false">IF(Presupuesto!$B$43='Flujo de Pagos'!$E197,43,9999)</f>
        <v>43</v>
      </c>
      <c r="BL197" s="0" t="n">
        <f aca="false">IF(Presupuesto!$B$44='Flujo de Pagos'!$E197,44,9999)</f>
        <v>44</v>
      </c>
      <c r="BM197" s="0" t="n">
        <f aca="false">IF(Presupuesto!$B$45='Flujo de Pagos'!$E197,45,9999)</f>
        <v>45</v>
      </c>
      <c r="BN197" s="0" t="n">
        <f aca="false">IF(Presupuesto!$B$46='Flujo de Pagos'!$E197,46,9999)</f>
        <v>46</v>
      </c>
      <c r="BO197" s="0" t="n">
        <f aca="false">IF(Presupuesto!$B$47='Flujo de Pagos'!$E197,47,9999)</f>
        <v>47</v>
      </c>
      <c r="BP197" s="0" t="n">
        <f aca="false">IF(Presupuesto!$B$48='Flujo de Pagos'!$E197,48,9999)</f>
        <v>48</v>
      </c>
      <c r="BQ197" s="0" t="n">
        <f aca="false">IF(Presupuesto!$B$49='Flujo de Pagos'!$E197,49,9999)</f>
        <v>49</v>
      </c>
      <c r="BR197" s="0" t="n">
        <f aca="false">IF(Presupuesto!$B$50='Flujo de Pagos'!$E197,50,9999)</f>
        <v>50</v>
      </c>
      <c r="BS197" s="0" t="n">
        <f aca="false">IF(Presupuesto!$B$51='Flujo de Pagos'!$E197,51,9999)</f>
        <v>51</v>
      </c>
      <c r="BT197" s="0" t="n">
        <f aca="false">IF(Presupuesto!$B$52='Flujo de Pagos'!$E197,52,9999)</f>
        <v>52</v>
      </c>
      <c r="BU197" s="0" t="n">
        <f aca="false">IF(Presupuesto!$B$53='Flujo de Pagos'!$E197,53,9999)</f>
        <v>53</v>
      </c>
      <c r="BV197" s="0" t="n">
        <f aca="false">IF(Presupuesto!$B$54='Flujo de Pagos'!$E197,54,9999)</f>
        <v>54</v>
      </c>
      <c r="BW197" s="0" t="n">
        <f aca="false">IF(Presupuesto!$B$55='Flujo de Pagos'!$E197,55,9999)</f>
        <v>55</v>
      </c>
      <c r="BX197" s="0" t="n">
        <f aca="false">IF(Presupuesto!$B$56='Flujo de Pagos'!$E197,56,9999)</f>
        <v>56</v>
      </c>
      <c r="BY197" s="0" t="n">
        <f aca="false">IF(Presupuesto!$B$57='Flujo de Pagos'!$E197,57,9999)</f>
        <v>57</v>
      </c>
      <c r="BZ197" s="0" t="n">
        <f aca="false">IF(Presupuesto!$B$58='Flujo de Pagos'!$E197,58,9999)</f>
        <v>58</v>
      </c>
      <c r="CA197" s="0" t="n">
        <f aca="false">IF(Presupuesto!$B$59='Flujo de Pagos'!$E197,59,9999)</f>
        <v>59</v>
      </c>
      <c r="CB197" s="0" t="n">
        <f aca="false">IF(Presupuesto!$B$60='Flujo de Pagos'!$E197,60,9999)</f>
        <v>60</v>
      </c>
      <c r="CC197" s="0" t="n">
        <f aca="false">IF(Presupuesto!$B$61='Flujo de Pagos'!$E197,61,9999)</f>
        <v>61</v>
      </c>
      <c r="CD197" s="0" t="n">
        <f aca="false">IF(Presupuesto!$B$62='Flujo de Pagos'!$E197,62,9999)</f>
        <v>62</v>
      </c>
      <c r="CE197" s="0" t="n">
        <f aca="false">IF(Presupuesto!$B$63='Flujo de Pagos'!$E197,63,9999)</f>
        <v>63</v>
      </c>
      <c r="CF197" s="0" t="n">
        <f aca="false">IF(Presupuesto!$B$64='Flujo de Pagos'!$E197,64,9999)</f>
        <v>64</v>
      </c>
      <c r="CG197" s="0" t="n">
        <f aca="false">IF(Presupuesto!$B$65='Flujo de Pagos'!$E197,65,9999)</f>
        <v>65</v>
      </c>
      <c r="CH197" s="0" t="n">
        <f aca="false">IF(Presupuesto!$B$66='Flujo de Pagos'!$E197,66,9999)</f>
        <v>66</v>
      </c>
    </row>
    <row r="198" customFormat="false" ht="15" hidden="false" customHeight="true" outlineLevel="0" collapsed="false">
      <c r="B198" s="1" t="n">
        <f aca="false">IF(AND('Flujo de Pagos'!E203=Carátula!$B$2,'Flujo de Pagos'!F203=Carátula!$B$4,'Flujo de Pagos'!H203&lt;&gt;""),203,99999)</f>
        <v>99999</v>
      </c>
      <c r="H198" s="1" t="n">
        <f aca="false">IF(SMALL($AA198:$CH198,1)&gt;=9999,"",INDEX(Presupuesto!$C:$C,SMALL($AA198:$CH198,1)))</f>
        <v>0</v>
      </c>
      <c r="I198" s="1" t="n">
        <f aca="false">IF(SMALL($AA198:$CH198,2)&gt;=9999,"",INDEX(Presupuesto!$C:$C,SMALL($AA198:$CH198,2)))</f>
        <v>0</v>
      </c>
      <c r="J198" s="1" t="n">
        <f aca="false">IF(SMALL($AA198:$CH198,3)&gt;=9999,"",INDEX(Presupuesto!$C:$C,SMALL($AA198:$CH198,3)))</f>
        <v>0</v>
      </c>
      <c r="K198" s="1" t="n">
        <f aca="false">IF(SMALL($AA198:$CH198,4)&gt;=9999,"",INDEX(Presupuesto!$C:$C,SMALL($AA198:$CH198,4)))</f>
        <v>0</v>
      </c>
      <c r="L198" s="1" t="n">
        <f aca="false">IF(SMALL($AA198:$CH198,5)&gt;=9999,"",INDEX(Presupuesto!$C:$C,SMALL($AA198:$CH198,5)))</f>
        <v>0</v>
      </c>
      <c r="M198" s="1" t="n">
        <f aca="false">IF(SMALL($AA198:$CH198,6)&gt;=9999,"",INDEX(Presupuesto!$C:$C,SMALL($AA198:$CH198,6)))</f>
        <v>0</v>
      </c>
      <c r="N198" s="1" t="n">
        <f aca="false">IF(SMALL($AA198:$CH198,7)&gt;=9999,"",INDEX(Presupuesto!$C:$C,SMALL($AA198:$CH198,7)))</f>
        <v>0</v>
      </c>
      <c r="O198" s="1" t="n">
        <f aca="false">IF(SMALL($AA198:$CH198,8)&gt;=9999,"",INDEX(Presupuesto!$C:$C,SMALL($AA198:$CH198,8)))</f>
        <v>0</v>
      </c>
      <c r="P198" s="1" t="n">
        <f aca="false">IF(SMALL($AA198:$CH198,9)&gt;=9999,"",INDEX(Presupuesto!$C:$C,SMALL($AA198:$CH198,9)))</f>
        <v>0</v>
      </c>
      <c r="Q198" s="1" t="n">
        <f aca="false">IF(SMALL($AA198:$CH198,10)&gt;=9999,"",INDEX(Presupuesto!$C:$C,SMALL($AA198:$CH198,10)))</f>
        <v>0</v>
      </c>
      <c r="AA198" s="0" t="n">
        <f aca="false">IF(Presupuesto!$B$7='Flujo de Pagos'!$E198,7,9999)</f>
        <v>9999</v>
      </c>
      <c r="AB198" s="0" t="n">
        <f aca="false">IF(Presupuesto!$B$8='Flujo de Pagos'!$E198,8,9999)</f>
        <v>9999</v>
      </c>
      <c r="AC198" s="0" t="n">
        <f aca="false">IF(Presupuesto!$B$9='Flujo de Pagos'!$E198,9,9999)</f>
        <v>9999</v>
      </c>
      <c r="AD198" s="0" t="n">
        <f aca="false">IF(Presupuesto!$B$10='Flujo de Pagos'!$E198,10,9999)</f>
        <v>9999</v>
      </c>
      <c r="AE198" s="0" t="n">
        <f aca="false">IF(Presupuesto!$B$11='Flujo de Pagos'!$E198,11,9999)</f>
        <v>9999</v>
      </c>
      <c r="AF198" s="0" t="n">
        <f aca="false">IF(Presupuesto!$B$12='Flujo de Pagos'!$E198,12,9999)</f>
        <v>12</v>
      </c>
      <c r="AG198" s="0" t="n">
        <f aca="false">IF(Presupuesto!$B$13='Flujo de Pagos'!$E198,13,9999)</f>
        <v>13</v>
      </c>
      <c r="AH198" s="0" t="n">
        <f aca="false">IF(Presupuesto!$B$14='Flujo de Pagos'!$E198,14,9999)</f>
        <v>14</v>
      </c>
      <c r="AI198" s="0" t="n">
        <f aca="false">IF(Presupuesto!$B$15='Flujo de Pagos'!$E198,15,9999)</f>
        <v>15</v>
      </c>
      <c r="AJ198" s="0" t="n">
        <f aca="false">IF(Presupuesto!$B$16='Flujo de Pagos'!$E198,16,9999)</f>
        <v>16</v>
      </c>
      <c r="AK198" s="0" t="n">
        <f aca="false">IF(Presupuesto!$B$17='Flujo de Pagos'!$E198,17,9999)</f>
        <v>17</v>
      </c>
      <c r="AL198" s="0" t="n">
        <f aca="false">IF(Presupuesto!$B$18='Flujo de Pagos'!$E198,18,9999)</f>
        <v>18</v>
      </c>
      <c r="AM198" s="0" t="n">
        <f aca="false">IF(Presupuesto!$B$19='Flujo de Pagos'!$E198,19,9999)</f>
        <v>19</v>
      </c>
      <c r="AN198" s="0" t="n">
        <f aca="false">IF(Presupuesto!$B$20='Flujo de Pagos'!$E198,20,9999)</f>
        <v>20</v>
      </c>
      <c r="AO198" s="0" t="n">
        <f aca="false">IF(Presupuesto!$B$21='Flujo de Pagos'!$E198,21,9999)</f>
        <v>21</v>
      </c>
      <c r="AP198" s="0" t="n">
        <f aca="false">IF(Presupuesto!$B$22='Flujo de Pagos'!$E198,22,9999)</f>
        <v>22</v>
      </c>
      <c r="AQ198" s="0" t="n">
        <f aca="false">IF(Presupuesto!$B$23='Flujo de Pagos'!$E198,23,9999)</f>
        <v>23</v>
      </c>
      <c r="AR198" s="0" t="n">
        <f aca="false">IF(Presupuesto!$B$24='Flujo de Pagos'!$E198,24,9999)</f>
        <v>24</v>
      </c>
      <c r="AS198" s="0" t="n">
        <f aca="false">IF(Presupuesto!$B$25='Flujo de Pagos'!$E198,25,9999)</f>
        <v>25</v>
      </c>
      <c r="AT198" s="0" t="n">
        <f aca="false">IF(Presupuesto!$B$26='Flujo de Pagos'!$E198,26,9999)</f>
        <v>26</v>
      </c>
      <c r="AU198" s="0" t="n">
        <f aca="false">IF(Presupuesto!$B$27='Flujo de Pagos'!$E198,27,9999)</f>
        <v>27</v>
      </c>
      <c r="AV198" s="0" t="n">
        <f aca="false">IF(Presupuesto!$B$28='Flujo de Pagos'!$E198,28,9999)</f>
        <v>28</v>
      </c>
      <c r="AW198" s="0" t="n">
        <f aca="false">IF(Presupuesto!$B$29='Flujo de Pagos'!$E198,29,9999)</f>
        <v>29</v>
      </c>
      <c r="AX198" s="0" t="n">
        <f aca="false">IF(Presupuesto!$B$30='Flujo de Pagos'!$E198,30,9999)</f>
        <v>30</v>
      </c>
      <c r="AY198" s="0" t="n">
        <f aca="false">IF(Presupuesto!$B$31='Flujo de Pagos'!$E198,31,9999)</f>
        <v>31</v>
      </c>
      <c r="AZ198" s="0" t="n">
        <f aca="false">IF(Presupuesto!$B$32='Flujo de Pagos'!$E198,32,9999)</f>
        <v>32</v>
      </c>
      <c r="BA198" s="0" t="n">
        <f aca="false">IF(Presupuesto!$B$33='Flujo de Pagos'!$E198,33,9999)</f>
        <v>33</v>
      </c>
      <c r="BB198" s="0" t="n">
        <f aca="false">IF(Presupuesto!$B$34='Flujo de Pagos'!$E198,34,9999)</f>
        <v>34</v>
      </c>
      <c r="BC198" s="0" t="n">
        <f aca="false">IF(Presupuesto!$B$35='Flujo de Pagos'!$E198,35,9999)</f>
        <v>35</v>
      </c>
      <c r="BD198" s="0" t="n">
        <f aca="false">IF(Presupuesto!$B$36='Flujo de Pagos'!$E198,36,9999)</f>
        <v>36</v>
      </c>
      <c r="BE198" s="0" t="n">
        <f aca="false">IF(Presupuesto!$B$37='Flujo de Pagos'!$E198,37,9999)</f>
        <v>37</v>
      </c>
      <c r="BF198" s="0" t="n">
        <f aca="false">IF(Presupuesto!$B$38='Flujo de Pagos'!$E198,38,9999)</f>
        <v>38</v>
      </c>
      <c r="BG198" s="0" t="n">
        <f aca="false">IF(Presupuesto!$B$39='Flujo de Pagos'!$E198,39,9999)</f>
        <v>39</v>
      </c>
      <c r="BH198" s="0" t="n">
        <f aca="false">IF(Presupuesto!$B$40='Flujo de Pagos'!$E198,40,9999)</f>
        <v>40</v>
      </c>
      <c r="BI198" s="0" t="n">
        <f aca="false">IF(Presupuesto!$B$41='Flujo de Pagos'!$E198,41,9999)</f>
        <v>41</v>
      </c>
      <c r="BJ198" s="0" t="n">
        <f aca="false">IF(Presupuesto!$B$42='Flujo de Pagos'!$E198,42,9999)</f>
        <v>42</v>
      </c>
      <c r="BK198" s="0" t="n">
        <f aca="false">IF(Presupuesto!$B$43='Flujo de Pagos'!$E198,43,9999)</f>
        <v>43</v>
      </c>
      <c r="BL198" s="0" t="n">
        <f aca="false">IF(Presupuesto!$B$44='Flujo de Pagos'!$E198,44,9999)</f>
        <v>44</v>
      </c>
      <c r="BM198" s="0" t="n">
        <f aca="false">IF(Presupuesto!$B$45='Flujo de Pagos'!$E198,45,9999)</f>
        <v>45</v>
      </c>
      <c r="BN198" s="0" t="n">
        <f aca="false">IF(Presupuesto!$B$46='Flujo de Pagos'!$E198,46,9999)</f>
        <v>46</v>
      </c>
      <c r="BO198" s="0" t="n">
        <f aca="false">IF(Presupuesto!$B$47='Flujo de Pagos'!$E198,47,9999)</f>
        <v>47</v>
      </c>
      <c r="BP198" s="0" t="n">
        <f aca="false">IF(Presupuesto!$B$48='Flujo de Pagos'!$E198,48,9999)</f>
        <v>48</v>
      </c>
      <c r="BQ198" s="0" t="n">
        <f aca="false">IF(Presupuesto!$B$49='Flujo de Pagos'!$E198,49,9999)</f>
        <v>49</v>
      </c>
      <c r="BR198" s="0" t="n">
        <f aca="false">IF(Presupuesto!$B$50='Flujo de Pagos'!$E198,50,9999)</f>
        <v>50</v>
      </c>
      <c r="BS198" s="0" t="n">
        <f aca="false">IF(Presupuesto!$B$51='Flujo de Pagos'!$E198,51,9999)</f>
        <v>51</v>
      </c>
      <c r="BT198" s="0" t="n">
        <f aca="false">IF(Presupuesto!$B$52='Flujo de Pagos'!$E198,52,9999)</f>
        <v>52</v>
      </c>
      <c r="BU198" s="0" t="n">
        <f aca="false">IF(Presupuesto!$B$53='Flujo de Pagos'!$E198,53,9999)</f>
        <v>53</v>
      </c>
      <c r="BV198" s="0" t="n">
        <f aca="false">IF(Presupuesto!$B$54='Flujo de Pagos'!$E198,54,9999)</f>
        <v>54</v>
      </c>
      <c r="BW198" s="0" t="n">
        <f aca="false">IF(Presupuesto!$B$55='Flujo de Pagos'!$E198,55,9999)</f>
        <v>55</v>
      </c>
      <c r="BX198" s="0" t="n">
        <f aca="false">IF(Presupuesto!$B$56='Flujo de Pagos'!$E198,56,9999)</f>
        <v>56</v>
      </c>
      <c r="BY198" s="0" t="n">
        <f aca="false">IF(Presupuesto!$B$57='Flujo de Pagos'!$E198,57,9999)</f>
        <v>57</v>
      </c>
      <c r="BZ198" s="0" t="n">
        <f aca="false">IF(Presupuesto!$B$58='Flujo de Pagos'!$E198,58,9999)</f>
        <v>58</v>
      </c>
      <c r="CA198" s="0" t="n">
        <f aca="false">IF(Presupuesto!$B$59='Flujo de Pagos'!$E198,59,9999)</f>
        <v>59</v>
      </c>
      <c r="CB198" s="0" t="n">
        <f aca="false">IF(Presupuesto!$B$60='Flujo de Pagos'!$E198,60,9999)</f>
        <v>60</v>
      </c>
      <c r="CC198" s="0" t="n">
        <f aca="false">IF(Presupuesto!$B$61='Flujo de Pagos'!$E198,61,9999)</f>
        <v>61</v>
      </c>
      <c r="CD198" s="0" t="n">
        <f aca="false">IF(Presupuesto!$B$62='Flujo de Pagos'!$E198,62,9999)</f>
        <v>62</v>
      </c>
      <c r="CE198" s="0" t="n">
        <f aca="false">IF(Presupuesto!$B$63='Flujo de Pagos'!$E198,63,9999)</f>
        <v>63</v>
      </c>
      <c r="CF198" s="0" t="n">
        <f aca="false">IF(Presupuesto!$B$64='Flujo de Pagos'!$E198,64,9999)</f>
        <v>64</v>
      </c>
      <c r="CG198" s="0" t="n">
        <f aca="false">IF(Presupuesto!$B$65='Flujo de Pagos'!$E198,65,9999)</f>
        <v>65</v>
      </c>
      <c r="CH198" s="0" t="n">
        <f aca="false">IF(Presupuesto!$B$66='Flujo de Pagos'!$E198,66,9999)</f>
        <v>66</v>
      </c>
    </row>
    <row r="199" customFormat="false" ht="15" hidden="false" customHeight="true" outlineLevel="0" collapsed="false">
      <c r="B199" s="1" t="n">
        <f aca="false">IF(AND('Flujo de Pagos'!E204=Carátula!$B$2,'Flujo de Pagos'!F204=Carátula!$B$4,'Flujo de Pagos'!H204&lt;&gt;""),204,99999)</f>
        <v>99999</v>
      </c>
      <c r="H199" s="1" t="n">
        <f aca="false">IF(SMALL($AA199:$CH199,1)&gt;=9999,"",INDEX(Presupuesto!$C:$C,SMALL($AA199:$CH199,1)))</f>
        <v>0</v>
      </c>
      <c r="I199" s="1" t="n">
        <f aca="false">IF(SMALL($AA199:$CH199,2)&gt;=9999,"",INDEX(Presupuesto!$C:$C,SMALL($AA199:$CH199,2)))</f>
        <v>0</v>
      </c>
      <c r="J199" s="1" t="n">
        <f aca="false">IF(SMALL($AA199:$CH199,3)&gt;=9999,"",INDEX(Presupuesto!$C:$C,SMALL($AA199:$CH199,3)))</f>
        <v>0</v>
      </c>
      <c r="K199" s="1" t="n">
        <f aca="false">IF(SMALL($AA199:$CH199,4)&gt;=9999,"",INDEX(Presupuesto!$C:$C,SMALL($AA199:$CH199,4)))</f>
        <v>0</v>
      </c>
      <c r="L199" s="1" t="n">
        <f aca="false">IF(SMALL($AA199:$CH199,5)&gt;=9999,"",INDEX(Presupuesto!$C:$C,SMALL($AA199:$CH199,5)))</f>
        <v>0</v>
      </c>
      <c r="M199" s="1" t="n">
        <f aca="false">IF(SMALL($AA199:$CH199,6)&gt;=9999,"",INDEX(Presupuesto!$C:$C,SMALL($AA199:$CH199,6)))</f>
        <v>0</v>
      </c>
      <c r="N199" s="1" t="n">
        <f aca="false">IF(SMALL($AA199:$CH199,7)&gt;=9999,"",INDEX(Presupuesto!$C:$C,SMALL($AA199:$CH199,7)))</f>
        <v>0</v>
      </c>
      <c r="O199" s="1" t="n">
        <f aca="false">IF(SMALL($AA199:$CH199,8)&gt;=9999,"",INDEX(Presupuesto!$C:$C,SMALL($AA199:$CH199,8)))</f>
        <v>0</v>
      </c>
      <c r="P199" s="1" t="n">
        <f aca="false">IF(SMALL($AA199:$CH199,9)&gt;=9999,"",INDEX(Presupuesto!$C:$C,SMALL($AA199:$CH199,9)))</f>
        <v>0</v>
      </c>
      <c r="Q199" s="1" t="n">
        <f aca="false">IF(SMALL($AA199:$CH199,10)&gt;=9999,"",INDEX(Presupuesto!$C:$C,SMALL($AA199:$CH199,10)))</f>
        <v>0</v>
      </c>
      <c r="AA199" s="0" t="n">
        <f aca="false">IF(Presupuesto!$B$7='Flujo de Pagos'!$E199,7,9999)</f>
        <v>9999</v>
      </c>
      <c r="AB199" s="0" t="n">
        <f aca="false">IF(Presupuesto!$B$8='Flujo de Pagos'!$E199,8,9999)</f>
        <v>9999</v>
      </c>
      <c r="AC199" s="0" t="n">
        <f aca="false">IF(Presupuesto!$B$9='Flujo de Pagos'!$E199,9,9999)</f>
        <v>9999</v>
      </c>
      <c r="AD199" s="0" t="n">
        <f aca="false">IF(Presupuesto!$B$10='Flujo de Pagos'!$E199,10,9999)</f>
        <v>9999</v>
      </c>
      <c r="AE199" s="0" t="n">
        <f aca="false">IF(Presupuesto!$B$11='Flujo de Pagos'!$E199,11,9999)</f>
        <v>9999</v>
      </c>
      <c r="AF199" s="0" t="n">
        <f aca="false">IF(Presupuesto!$B$12='Flujo de Pagos'!$E199,12,9999)</f>
        <v>12</v>
      </c>
      <c r="AG199" s="0" t="n">
        <f aca="false">IF(Presupuesto!$B$13='Flujo de Pagos'!$E199,13,9999)</f>
        <v>13</v>
      </c>
      <c r="AH199" s="0" t="n">
        <f aca="false">IF(Presupuesto!$B$14='Flujo de Pagos'!$E199,14,9999)</f>
        <v>14</v>
      </c>
      <c r="AI199" s="0" t="n">
        <f aca="false">IF(Presupuesto!$B$15='Flujo de Pagos'!$E199,15,9999)</f>
        <v>15</v>
      </c>
      <c r="AJ199" s="0" t="n">
        <f aca="false">IF(Presupuesto!$B$16='Flujo de Pagos'!$E199,16,9999)</f>
        <v>16</v>
      </c>
      <c r="AK199" s="0" t="n">
        <f aca="false">IF(Presupuesto!$B$17='Flujo de Pagos'!$E199,17,9999)</f>
        <v>17</v>
      </c>
      <c r="AL199" s="0" t="n">
        <f aca="false">IF(Presupuesto!$B$18='Flujo de Pagos'!$E199,18,9999)</f>
        <v>18</v>
      </c>
      <c r="AM199" s="0" t="n">
        <f aca="false">IF(Presupuesto!$B$19='Flujo de Pagos'!$E199,19,9999)</f>
        <v>19</v>
      </c>
      <c r="AN199" s="0" t="n">
        <f aca="false">IF(Presupuesto!$B$20='Flujo de Pagos'!$E199,20,9999)</f>
        <v>20</v>
      </c>
      <c r="AO199" s="0" t="n">
        <f aca="false">IF(Presupuesto!$B$21='Flujo de Pagos'!$E199,21,9999)</f>
        <v>21</v>
      </c>
      <c r="AP199" s="0" t="n">
        <f aca="false">IF(Presupuesto!$B$22='Flujo de Pagos'!$E199,22,9999)</f>
        <v>22</v>
      </c>
      <c r="AQ199" s="0" t="n">
        <f aca="false">IF(Presupuesto!$B$23='Flujo de Pagos'!$E199,23,9999)</f>
        <v>23</v>
      </c>
      <c r="AR199" s="0" t="n">
        <f aca="false">IF(Presupuesto!$B$24='Flujo de Pagos'!$E199,24,9999)</f>
        <v>24</v>
      </c>
      <c r="AS199" s="0" t="n">
        <f aca="false">IF(Presupuesto!$B$25='Flujo de Pagos'!$E199,25,9999)</f>
        <v>25</v>
      </c>
      <c r="AT199" s="0" t="n">
        <f aca="false">IF(Presupuesto!$B$26='Flujo de Pagos'!$E199,26,9999)</f>
        <v>26</v>
      </c>
      <c r="AU199" s="0" t="n">
        <f aca="false">IF(Presupuesto!$B$27='Flujo de Pagos'!$E199,27,9999)</f>
        <v>27</v>
      </c>
      <c r="AV199" s="0" t="n">
        <f aca="false">IF(Presupuesto!$B$28='Flujo de Pagos'!$E199,28,9999)</f>
        <v>28</v>
      </c>
      <c r="AW199" s="0" t="n">
        <f aca="false">IF(Presupuesto!$B$29='Flujo de Pagos'!$E199,29,9999)</f>
        <v>29</v>
      </c>
      <c r="AX199" s="0" t="n">
        <f aca="false">IF(Presupuesto!$B$30='Flujo de Pagos'!$E199,30,9999)</f>
        <v>30</v>
      </c>
      <c r="AY199" s="0" t="n">
        <f aca="false">IF(Presupuesto!$B$31='Flujo de Pagos'!$E199,31,9999)</f>
        <v>31</v>
      </c>
      <c r="AZ199" s="0" t="n">
        <f aca="false">IF(Presupuesto!$B$32='Flujo de Pagos'!$E199,32,9999)</f>
        <v>32</v>
      </c>
      <c r="BA199" s="0" t="n">
        <f aca="false">IF(Presupuesto!$B$33='Flujo de Pagos'!$E199,33,9999)</f>
        <v>33</v>
      </c>
      <c r="BB199" s="0" t="n">
        <f aca="false">IF(Presupuesto!$B$34='Flujo de Pagos'!$E199,34,9999)</f>
        <v>34</v>
      </c>
      <c r="BC199" s="0" t="n">
        <f aca="false">IF(Presupuesto!$B$35='Flujo de Pagos'!$E199,35,9999)</f>
        <v>35</v>
      </c>
      <c r="BD199" s="0" t="n">
        <f aca="false">IF(Presupuesto!$B$36='Flujo de Pagos'!$E199,36,9999)</f>
        <v>36</v>
      </c>
      <c r="BE199" s="0" t="n">
        <f aca="false">IF(Presupuesto!$B$37='Flujo de Pagos'!$E199,37,9999)</f>
        <v>37</v>
      </c>
      <c r="BF199" s="0" t="n">
        <f aca="false">IF(Presupuesto!$B$38='Flujo de Pagos'!$E199,38,9999)</f>
        <v>38</v>
      </c>
      <c r="BG199" s="0" t="n">
        <f aca="false">IF(Presupuesto!$B$39='Flujo de Pagos'!$E199,39,9999)</f>
        <v>39</v>
      </c>
      <c r="BH199" s="0" t="n">
        <f aca="false">IF(Presupuesto!$B$40='Flujo de Pagos'!$E199,40,9999)</f>
        <v>40</v>
      </c>
      <c r="BI199" s="0" t="n">
        <f aca="false">IF(Presupuesto!$B$41='Flujo de Pagos'!$E199,41,9999)</f>
        <v>41</v>
      </c>
      <c r="BJ199" s="0" t="n">
        <f aca="false">IF(Presupuesto!$B$42='Flujo de Pagos'!$E199,42,9999)</f>
        <v>42</v>
      </c>
      <c r="BK199" s="0" t="n">
        <f aca="false">IF(Presupuesto!$B$43='Flujo de Pagos'!$E199,43,9999)</f>
        <v>43</v>
      </c>
      <c r="BL199" s="0" t="n">
        <f aca="false">IF(Presupuesto!$B$44='Flujo de Pagos'!$E199,44,9999)</f>
        <v>44</v>
      </c>
      <c r="BM199" s="0" t="n">
        <f aca="false">IF(Presupuesto!$B$45='Flujo de Pagos'!$E199,45,9999)</f>
        <v>45</v>
      </c>
      <c r="BN199" s="0" t="n">
        <f aca="false">IF(Presupuesto!$B$46='Flujo de Pagos'!$E199,46,9999)</f>
        <v>46</v>
      </c>
      <c r="BO199" s="0" t="n">
        <f aca="false">IF(Presupuesto!$B$47='Flujo de Pagos'!$E199,47,9999)</f>
        <v>47</v>
      </c>
      <c r="BP199" s="0" t="n">
        <f aca="false">IF(Presupuesto!$B$48='Flujo de Pagos'!$E199,48,9999)</f>
        <v>48</v>
      </c>
      <c r="BQ199" s="0" t="n">
        <f aca="false">IF(Presupuesto!$B$49='Flujo de Pagos'!$E199,49,9999)</f>
        <v>49</v>
      </c>
      <c r="BR199" s="0" t="n">
        <f aca="false">IF(Presupuesto!$B$50='Flujo de Pagos'!$E199,50,9999)</f>
        <v>50</v>
      </c>
      <c r="BS199" s="0" t="n">
        <f aca="false">IF(Presupuesto!$B$51='Flujo de Pagos'!$E199,51,9999)</f>
        <v>51</v>
      </c>
      <c r="BT199" s="0" t="n">
        <f aca="false">IF(Presupuesto!$B$52='Flujo de Pagos'!$E199,52,9999)</f>
        <v>52</v>
      </c>
      <c r="BU199" s="0" t="n">
        <f aca="false">IF(Presupuesto!$B$53='Flujo de Pagos'!$E199,53,9999)</f>
        <v>53</v>
      </c>
      <c r="BV199" s="0" t="n">
        <f aca="false">IF(Presupuesto!$B$54='Flujo de Pagos'!$E199,54,9999)</f>
        <v>54</v>
      </c>
      <c r="BW199" s="0" t="n">
        <f aca="false">IF(Presupuesto!$B$55='Flujo de Pagos'!$E199,55,9999)</f>
        <v>55</v>
      </c>
      <c r="BX199" s="0" t="n">
        <f aca="false">IF(Presupuesto!$B$56='Flujo de Pagos'!$E199,56,9999)</f>
        <v>56</v>
      </c>
      <c r="BY199" s="0" t="n">
        <f aca="false">IF(Presupuesto!$B$57='Flujo de Pagos'!$E199,57,9999)</f>
        <v>57</v>
      </c>
      <c r="BZ199" s="0" t="n">
        <f aca="false">IF(Presupuesto!$B$58='Flujo de Pagos'!$E199,58,9999)</f>
        <v>58</v>
      </c>
      <c r="CA199" s="0" t="n">
        <f aca="false">IF(Presupuesto!$B$59='Flujo de Pagos'!$E199,59,9999)</f>
        <v>59</v>
      </c>
      <c r="CB199" s="0" t="n">
        <f aca="false">IF(Presupuesto!$B$60='Flujo de Pagos'!$E199,60,9999)</f>
        <v>60</v>
      </c>
      <c r="CC199" s="0" t="n">
        <f aca="false">IF(Presupuesto!$B$61='Flujo de Pagos'!$E199,61,9999)</f>
        <v>61</v>
      </c>
      <c r="CD199" s="0" t="n">
        <f aca="false">IF(Presupuesto!$B$62='Flujo de Pagos'!$E199,62,9999)</f>
        <v>62</v>
      </c>
      <c r="CE199" s="0" t="n">
        <f aca="false">IF(Presupuesto!$B$63='Flujo de Pagos'!$E199,63,9999)</f>
        <v>63</v>
      </c>
      <c r="CF199" s="0" t="n">
        <f aca="false">IF(Presupuesto!$B$64='Flujo de Pagos'!$E199,64,9999)</f>
        <v>64</v>
      </c>
      <c r="CG199" s="0" t="n">
        <f aca="false">IF(Presupuesto!$B$65='Flujo de Pagos'!$E199,65,9999)</f>
        <v>65</v>
      </c>
      <c r="CH199" s="0" t="n">
        <f aca="false">IF(Presupuesto!$B$66='Flujo de Pagos'!$E199,66,9999)</f>
        <v>66</v>
      </c>
    </row>
    <row r="200" customFormat="false" ht="15" hidden="false" customHeight="true" outlineLevel="0" collapsed="false">
      <c r="B200" s="1" t="n">
        <f aca="false">IF(AND('Flujo de Pagos'!E205=Carátula!$B$2,'Flujo de Pagos'!F205=Carátula!$B$4,'Flujo de Pagos'!H205&lt;&gt;""),205,99999)</f>
        <v>99999</v>
      </c>
      <c r="H200" s="1" t="n">
        <f aca="false">IF(SMALL($AA200:$CH200,1)&gt;=9999,"",INDEX(Presupuesto!$C:$C,SMALL($AA200:$CH200,1)))</f>
        <v>0</v>
      </c>
      <c r="I200" s="1" t="n">
        <f aca="false">IF(SMALL($AA200:$CH200,2)&gt;=9999,"",INDEX(Presupuesto!$C:$C,SMALL($AA200:$CH200,2)))</f>
        <v>0</v>
      </c>
      <c r="J200" s="1" t="n">
        <f aca="false">IF(SMALL($AA200:$CH200,3)&gt;=9999,"",INDEX(Presupuesto!$C:$C,SMALL($AA200:$CH200,3)))</f>
        <v>0</v>
      </c>
      <c r="K200" s="1" t="n">
        <f aca="false">IF(SMALL($AA200:$CH200,4)&gt;=9999,"",INDEX(Presupuesto!$C:$C,SMALL($AA200:$CH200,4)))</f>
        <v>0</v>
      </c>
      <c r="L200" s="1" t="n">
        <f aca="false">IF(SMALL($AA200:$CH200,5)&gt;=9999,"",INDEX(Presupuesto!$C:$C,SMALL($AA200:$CH200,5)))</f>
        <v>0</v>
      </c>
      <c r="M200" s="1" t="n">
        <f aca="false">IF(SMALL($AA200:$CH200,6)&gt;=9999,"",INDEX(Presupuesto!$C:$C,SMALL($AA200:$CH200,6)))</f>
        <v>0</v>
      </c>
      <c r="N200" s="1" t="n">
        <f aca="false">IF(SMALL($AA200:$CH200,7)&gt;=9999,"",INDEX(Presupuesto!$C:$C,SMALL($AA200:$CH200,7)))</f>
        <v>0</v>
      </c>
      <c r="O200" s="1" t="n">
        <f aca="false">IF(SMALL($AA200:$CH200,8)&gt;=9999,"",INDEX(Presupuesto!$C:$C,SMALL($AA200:$CH200,8)))</f>
        <v>0</v>
      </c>
      <c r="P200" s="1" t="n">
        <f aca="false">IF(SMALL($AA200:$CH200,9)&gt;=9999,"",INDEX(Presupuesto!$C:$C,SMALL($AA200:$CH200,9)))</f>
        <v>0</v>
      </c>
      <c r="Q200" s="1" t="n">
        <f aca="false">IF(SMALL($AA200:$CH200,10)&gt;=9999,"",INDEX(Presupuesto!$C:$C,SMALL($AA200:$CH200,10)))</f>
        <v>0</v>
      </c>
      <c r="AA200" s="0" t="n">
        <f aca="false">IF(Presupuesto!$B$7='Flujo de Pagos'!$E200,7,9999)</f>
        <v>9999</v>
      </c>
      <c r="AB200" s="0" t="n">
        <f aca="false">IF(Presupuesto!$B$8='Flujo de Pagos'!$E200,8,9999)</f>
        <v>9999</v>
      </c>
      <c r="AC200" s="0" t="n">
        <f aca="false">IF(Presupuesto!$B$9='Flujo de Pagos'!$E200,9,9999)</f>
        <v>9999</v>
      </c>
      <c r="AD200" s="0" t="n">
        <f aca="false">IF(Presupuesto!$B$10='Flujo de Pagos'!$E200,10,9999)</f>
        <v>9999</v>
      </c>
      <c r="AE200" s="0" t="n">
        <f aca="false">IF(Presupuesto!$B$11='Flujo de Pagos'!$E200,11,9999)</f>
        <v>9999</v>
      </c>
      <c r="AF200" s="0" t="n">
        <f aca="false">IF(Presupuesto!$B$12='Flujo de Pagos'!$E200,12,9999)</f>
        <v>12</v>
      </c>
      <c r="AG200" s="0" t="n">
        <f aca="false">IF(Presupuesto!$B$13='Flujo de Pagos'!$E200,13,9999)</f>
        <v>13</v>
      </c>
      <c r="AH200" s="0" t="n">
        <f aca="false">IF(Presupuesto!$B$14='Flujo de Pagos'!$E200,14,9999)</f>
        <v>14</v>
      </c>
      <c r="AI200" s="0" t="n">
        <f aca="false">IF(Presupuesto!$B$15='Flujo de Pagos'!$E200,15,9999)</f>
        <v>15</v>
      </c>
      <c r="AJ200" s="0" t="n">
        <f aca="false">IF(Presupuesto!$B$16='Flujo de Pagos'!$E200,16,9999)</f>
        <v>16</v>
      </c>
      <c r="AK200" s="0" t="n">
        <f aca="false">IF(Presupuesto!$B$17='Flujo de Pagos'!$E200,17,9999)</f>
        <v>17</v>
      </c>
      <c r="AL200" s="0" t="n">
        <f aca="false">IF(Presupuesto!$B$18='Flujo de Pagos'!$E200,18,9999)</f>
        <v>18</v>
      </c>
      <c r="AM200" s="0" t="n">
        <f aca="false">IF(Presupuesto!$B$19='Flujo de Pagos'!$E200,19,9999)</f>
        <v>19</v>
      </c>
      <c r="AN200" s="0" t="n">
        <f aca="false">IF(Presupuesto!$B$20='Flujo de Pagos'!$E200,20,9999)</f>
        <v>20</v>
      </c>
      <c r="AO200" s="0" t="n">
        <f aca="false">IF(Presupuesto!$B$21='Flujo de Pagos'!$E200,21,9999)</f>
        <v>21</v>
      </c>
      <c r="AP200" s="0" t="n">
        <f aca="false">IF(Presupuesto!$B$22='Flujo de Pagos'!$E200,22,9999)</f>
        <v>22</v>
      </c>
      <c r="AQ200" s="0" t="n">
        <f aca="false">IF(Presupuesto!$B$23='Flujo de Pagos'!$E200,23,9999)</f>
        <v>23</v>
      </c>
      <c r="AR200" s="0" t="n">
        <f aca="false">IF(Presupuesto!$B$24='Flujo de Pagos'!$E200,24,9999)</f>
        <v>24</v>
      </c>
      <c r="AS200" s="0" t="n">
        <f aca="false">IF(Presupuesto!$B$25='Flujo de Pagos'!$E200,25,9999)</f>
        <v>25</v>
      </c>
      <c r="AT200" s="0" t="n">
        <f aca="false">IF(Presupuesto!$B$26='Flujo de Pagos'!$E200,26,9999)</f>
        <v>26</v>
      </c>
      <c r="AU200" s="0" t="n">
        <f aca="false">IF(Presupuesto!$B$27='Flujo de Pagos'!$E200,27,9999)</f>
        <v>27</v>
      </c>
      <c r="AV200" s="0" t="n">
        <f aca="false">IF(Presupuesto!$B$28='Flujo de Pagos'!$E200,28,9999)</f>
        <v>28</v>
      </c>
      <c r="AW200" s="0" t="n">
        <f aca="false">IF(Presupuesto!$B$29='Flujo de Pagos'!$E200,29,9999)</f>
        <v>29</v>
      </c>
      <c r="AX200" s="0" t="n">
        <f aca="false">IF(Presupuesto!$B$30='Flujo de Pagos'!$E200,30,9999)</f>
        <v>30</v>
      </c>
      <c r="AY200" s="0" t="n">
        <f aca="false">IF(Presupuesto!$B$31='Flujo de Pagos'!$E200,31,9999)</f>
        <v>31</v>
      </c>
      <c r="AZ200" s="0" t="n">
        <f aca="false">IF(Presupuesto!$B$32='Flujo de Pagos'!$E200,32,9999)</f>
        <v>32</v>
      </c>
      <c r="BA200" s="0" t="n">
        <f aca="false">IF(Presupuesto!$B$33='Flujo de Pagos'!$E200,33,9999)</f>
        <v>33</v>
      </c>
      <c r="BB200" s="0" t="n">
        <f aca="false">IF(Presupuesto!$B$34='Flujo de Pagos'!$E200,34,9999)</f>
        <v>34</v>
      </c>
      <c r="BC200" s="0" t="n">
        <f aca="false">IF(Presupuesto!$B$35='Flujo de Pagos'!$E200,35,9999)</f>
        <v>35</v>
      </c>
      <c r="BD200" s="0" t="n">
        <f aca="false">IF(Presupuesto!$B$36='Flujo de Pagos'!$E200,36,9999)</f>
        <v>36</v>
      </c>
      <c r="BE200" s="0" t="n">
        <f aca="false">IF(Presupuesto!$B$37='Flujo de Pagos'!$E200,37,9999)</f>
        <v>37</v>
      </c>
      <c r="BF200" s="0" t="n">
        <f aca="false">IF(Presupuesto!$B$38='Flujo de Pagos'!$E200,38,9999)</f>
        <v>38</v>
      </c>
      <c r="BG200" s="0" t="n">
        <f aca="false">IF(Presupuesto!$B$39='Flujo de Pagos'!$E200,39,9999)</f>
        <v>39</v>
      </c>
      <c r="BH200" s="0" t="n">
        <f aca="false">IF(Presupuesto!$B$40='Flujo de Pagos'!$E200,40,9999)</f>
        <v>40</v>
      </c>
      <c r="BI200" s="0" t="n">
        <f aca="false">IF(Presupuesto!$B$41='Flujo de Pagos'!$E200,41,9999)</f>
        <v>41</v>
      </c>
      <c r="BJ200" s="0" t="n">
        <f aca="false">IF(Presupuesto!$B$42='Flujo de Pagos'!$E200,42,9999)</f>
        <v>42</v>
      </c>
      <c r="BK200" s="0" t="n">
        <f aca="false">IF(Presupuesto!$B$43='Flujo de Pagos'!$E200,43,9999)</f>
        <v>43</v>
      </c>
      <c r="BL200" s="0" t="n">
        <f aca="false">IF(Presupuesto!$B$44='Flujo de Pagos'!$E200,44,9999)</f>
        <v>44</v>
      </c>
      <c r="BM200" s="0" t="n">
        <f aca="false">IF(Presupuesto!$B$45='Flujo de Pagos'!$E200,45,9999)</f>
        <v>45</v>
      </c>
      <c r="BN200" s="0" t="n">
        <f aca="false">IF(Presupuesto!$B$46='Flujo de Pagos'!$E200,46,9999)</f>
        <v>46</v>
      </c>
      <c r="BO200" s="0" t="n">
        <f aca="false">IF(Presupuesto!$B$47='Flujo de Pagos'!$E200,47,9999)</f>
        <v>47</v>
      </c>
      <c r="BP200" s="0" t="n">
        <f aca="false">IF(Presupuesto!$B$48='Flujo de Pagos'!$E200,48,9999)</f>
        <v>48</v>
      </c>
      <c r="BQ200" s="0" t="n">
        <f aca="false">IF(Presupuesto!$B$49='Flujo de Pagos'!$E200,49,9999)</f>
        <v>49</v>
      </c>
      <c r="BR200" s="0" t="n">
        <f aca="false">IF(Presupuesto!$B$50='Flujo de Pagos'!$E200,50,9999)</f>
        <v>50</v>
      </c>
      <c r="BS200" s="0" t="n">
        <f aca="false">IF(Presupuesto!$B$51='Flujo de Pagos'!$E200,51,9999)</f>
        <v>51</v>
      </c>
      <c r="BT200" s="0" t="n">
        <f aca="false">IF(Presupuesto!$B$52='Flujo de Pagos'!$E200,52,9999)</f>
        <v>52</v>
      </c>
      <c r="BU200" s="0" t="n">
        <f aca="false">IF(Presupuesto!$B$53='Flujo de Pagos'!$E200,53,9999)</f>
        <v>53</v>
      </c>
      <c r="BV200" s="0" t="n">
        <f aca="false">IF(Presupuesto!$B$54='Flujo de Pagos'!$E200,54,9999)</f>
        <v>54</v>
      </c>
      <c r="BW200" s="0" t="n">
        <f aca="false">IF(Presupuesto!$B$55='Flujo de Pagos'!$E200,55,9999)</f>
        <v>55</v>
      </c>
      <c r="BX200" s="0" t="n">
        <f aca="false">IF(Presupuesto!$B$56='Flujo de Pagos'!$E200,56,9999)</f>
        <v>56</v>
      </c>
      <c r="BY200" s="0" t="n">
        <f aca="false">IF(Presupuesto!$B$57='Flujo de Pagos'!$E200,57,9999)</f>
        <v>57</v>
      </c>
      <c r="BZ200" s="0" t="n">
        <f aca="false">IF(Presupuesto!$B$58='Flujo de Pagos'!$E200,58,9999)</f>
        <v>58</v>
      </c>
      <c r="CA200" s="0" t="n">
        <f aca="false">IF(Presupuesto!$B$59='Flujo de Pagos'!$E200,59,9999)</f>
        <v>59</v>
      </c>
      <c r="CB200" s="0" t="n">
        <f aca="false">IF(Presupuesto!$B$60='Flujo de Pagos'!$E200,60,9999)</f>
        <v>60</v>
      </c>
      <c r="CC200" s="0" t="n">
        <f aca="false">IF(Presupuesto!$B$61='Flujo de Pagos'!$E200,61,9999)</f>
        <v>61</v>
      </c>
      <c r="CD200" s="0" t="n">
        <f aca="false">IF(Presupuesto!$B$62='Flujo de Pagos'!$E200,62,9999)</f>
        <v>62</v>
      </c>
      <c r="CE200" s="0" t="n">
        <f aca="false">IF(Presupuesto!$B$63='Flujo de Pagos'!$E200,63,9999)</f>
        <v>63</v>
      </c>
      <c r="CF200" s="0" t="n">
        <f aca="false">IF(Presupuesto!$B$64='Flujo de Pagos'!$E200,64,9999)</f>
        <v>64</v>
      </c>
      <c r="CG200" s="0" t="n">
        <f aca="false">IF(Presupuesto!$B$65='Flujo de Pagos'!$E200,65,9999)</f>
        <v>65</v>
      </c>
      <c r="CH200" s="0" t="n">
        <f aca="false">IF(Presupuesto!$B$66='Flujo de Pagos'!$E200,66,9999)</f>
        <v>66</v>
      </c>
    </row>
    <row r="201" customFormat="false" ht="15" hidden="false" customHeight="true" outlineLevel="0" collapsed="false">
      <c r="B201" s="1" t="n">
        <f aca="false">IF(AND('Flujo de Pagos'!E206=Carátula!$B$2,'Flujo de Pagos'!F206=Carátula!$B$4,'Flujo de Pagos'!H206&lt;&gt;""),206,99999)</f>
        <v>99999</v>
      </c>
      <c r="H201" s="1" t="n">
        <f aca="false">IF(SMALL($AA201:$CH201,1)&gt;=9999,"",INDEX(Presupuesto!$C:$C,SMALL($AA201:$CH201,1)))</f>
        <v>0</v>
      </c>
      <c r="I201" s="1" t="n">
        <f aca="false">IF(SMALL($AA201:$CH201,2)&gt;=9999,"",INDEX(Presupuesto!$C:$C,SMALL($AA201:$CH201,2)))</f>
        <v>0</v>
      </c>
      <c r="J201" s="1" t="n">
        <f aca="false">IF(SMALL($AA201:$CH201,3)&gt;=9999,"",INDEX(Presupuesto!$C:$C,SMALL($AA201:$CH201,3)))</f>
        <v>0</v>
      </c>
      <c r="K201" s="1" t="n">
        <f aca="false">IF(SMALL($AA201:$CH201,4)&gt;=9999,"",INDEX(Presupuesto!$C:$C,SMALL($AA201:$CH201,4)))</f>
        <v>0</v>
      </c>
      <c r="L201" s="1" t="n">
        <f aca="false">IF(SMALL($AA201:$CH201,5)&gt;=9999,"",INDEX(Presupuesto!$C:$C,SMALL($AA201:$CH201,5)))</f>
        <v>0</v>
      </c>
      <c r="M201" s="1" t="n">
        <f aca="false">IF(SMALL($AA201:$CH201,6)&gt;=9999,"",INDEX(Presupuesto!$C:$C,SMALL($AA201:$CH201,6)))</f>
        <v>0</v>
      </c>
      <c r="N201" s="1" t="n">
        <f aca="false">IF(SMALL($AA201:$CH201,7)&gt;=9999,"",INDEX(Presupuesto!$C:$C,SMALL($AA201:$CH201,7)))</f>
        <v>0</v>
      </c>
      <c r="O201" s="1" t="n">
        <f aca="false">IF(SMALL($AA201:$CH201,8)&gt;=9999,"",INDEX(Presupuesto!$C:$C,SMALL($AA201:$CH201,8)))</f>
        <v>0</v>
      </c>
      <c r="P201" s="1" t="n">
        <f aca="false">IF(SMALL($AA201:$CH201,9)&gt;=9999,"",INDEX(Presupuesto!$C:$C,SMALL($AA201:$CH201,9)))</f>
        <v>0</v>
      </c>
      <c r="Q201" s="1" t="n">
        <f aca="false">IF(SMALL($AA201:$CH201,10)&gt;=9999,"",INDEX(Presupuesto!$C:$C,SMALL($AA201:$CH201,10)))</f>
        <v>0</v>
      </c>
      <c r="AA201" s="0" t="n">
        <f aca="false">IF(Presupuesto!$B$7='Flujo de Pagos'!$E201,7,9999)</f>
        <v>9999</v>
      </c>
      <c r="AB201" s="0" t="n">
        <f aca="false">IF(Presupuesto!$B$8='Flujo de Pagos'!$E201,8,9999)</f>
        <v>9999</v>
      </c>
      <c r="AC201" s="0" t="n">
        <f aca="false">IF(Presupuesto!$B$9='Flujo de Pagos'!$E201,9,9999)</f>
        <v>9999</v>
      </c>
      <c r="AD201" s="0" t="n">
        <f aca="false">IF(Presupuesto!$B$10='Flujo de Pagos'!$E201,10,9999)</f>
        <v>9999</v>
      </c>
      <c r="AE201" s="0" t="n">
        <f aca="false">IF(Presupuesto!$B$11='Flujo de Pagos'!$E201,11,9999)</f>
        <v>9999</v>
      </c>
      <c r="AF201" s="0" t="n">
        <f aca="false">IF(Presupuesto!$B$12='Flujo de Pagos'!$E201,12,9999)</f>
        <v>12</v>
      </c>
      <c r="AG201" s="0" t="n">
        <f aca="false">IF(Presupuesto!$B$13='Flujo de Pagos'!$E201,13,9999)</f>
        <v>13</v>
      </c>
      <c r="AH201" s="0" t="n">
        <f aca="false">IF(Presupuesto!$B$14='Flujo de Pagos'!$E201,14,9999)</f>
        <v>14</v>
      </c>
      <c r="AI201" s="0" t="n">
        <f aca="false">IF(Presupuesto!$B$15='Flujo de Pagos'!$E201,15,9999)</f>
        <v>15</v>
      </c>
      <c r="AJ201" s="0" t="n">
        <f aca="false">IF(Presupuesto!$B$16='Flujo de Pagos'!$E201,16,9999)</f>
        <v>16</v>
      </c>
      <c r="AK201" s="0" t="n">
        <f aca="false">IF(Presupuesto!$B$17='Flujo de Pagos'!$E201,17,9999)</f>
        <v>17</v>
      </c>
      <c r="AL201" s="0" t="n">
        <f aca="false">IF(Presupuesto!$B$18='Flujo de Pagos'!$E201,18,9999)</f>
        <v>18</v>
      </c>
      <c r="AM201" s="0" t="n">
        <f aca="false">IF(Presupuesto!$B$19='Flujo de Pagos'!$E201,19,9999)</f>
        <v>19</v>
      </c>
      <c r="AN201" s="0" t="n">
        <f aca="false">IF(Presupuesto!$B$20='Flujo de Pagos'!$E201,20,9999)</f>
        <v>20</v>
      </c>
      <c r="AO201" s="0" t="n">
        <f aca="false">IF(Presupuesto!$B$21='Flujo de Pagos'!$E201,21,9999)</f>
        <v>21</v>
      </c>
      <c r="AP201" s="0" t="n">
        <f aca="false">IF(Presupuesto!$B$22='Flujo de Pagos'!$E201,22,9999)</f>
        <v>22</v>
      </c>
      <c r="AQ201" s="0" t="n">
        <f aca="false">IF(Presupuesto!$B$23='Flujo de Pagos'!$E201,23,9999)</f>
        <v>23</v>
      </c>
      <c r="AR201" s="0" t="n">
        <f aca="false">IF(Presupuesto!$B$24='Flujo de Pagos'!$E201,24,9999)</f>
        <v>24</v>
      </c>
      <c r="AS201" s="0" t="n">
        <f aca="false">IF(Presupuesto!$B$25='Flujo de Pagos'!$E201,25,9999)</f>
        <v>25</v>
      </c>
      <c r="AT201" s="0" t="n">
        <f aca="false">IF(Presupuesto!$B$26='Flujo de Pagos'!$E201,26,9999)</f>
        <v>26</v>
      </c>
      <c r="AU201" s="0" t="n">
        <f aca="false">IF(Presupuesto!$B$27='Flujo de Pagos'!$E201,27,9999)</f>
        <v>27</v>
      </c>
      <c r="AV201" s="0" t="n">
        <f aca="false">IF(Presupuesto!$B$28='Flujo de Pagos'!$E201,28,9999)</f>
        <v>28</v>
      </c>
      <c r="AW201" s="0" t="n">
        <f aca="false">IF(Presupuesto!$B$29='Flujo de Pagos'!$E201,29,9999)</f>
        <v>29</v>
      </c>
      <c r="AX201" s="0" t="n">
        <f aca="false">IF(Presupuesto!$B$30='Flujo de Pagos'!$E201,30,9999)</f>
        <v>30</v>
      </c>
      <c r="AY201" s="0" t="n">
        <f aca="false">IF(Presupuesto!$B$31='Flujo de Pagos'!$E201,31,9999)</f>
        <v>31</v>
      </c>
      <c r="AZ201" s="0" t="n">
        <f aca="false">IF(Presupuesto!$B$32='Flujo de Pagos'!$E201,32,9999)</f>
        <v>32</v>
      </c>
      <c r="BA201" s="0" t="n">
        <f aca="false">IF(Presupuesto!$B$33='Flujo de Pagos'!$E201,33,9999)</f>
        <v>33</v>
      </c>
      <c r="BB201" s="0" t="n">
        <f aca="false">IF(Presupuesto!$B$34='Flujo de Pagos'!$E201,34,9999)</f>
        <v>34</v>
      </c>
      <c r="BC201" s="0" t="n">
        <f aca="false">IF(Presupuesto!$B$35='Flujo de Pagos'!$E201,35,9999)</f>
        <v>35</v>
      </c>
      <c r="BD201" s="0" t="n">
        <f aca="false">IF(Presupuesto!$B$36='Flujo de Pagos'!$E201,36,9999)</f>
        <v>36</v>
      </c>
      <c r="BE201" s="0" t="n">
        <f aca="false">IF(Presupuesto!$B$37='Flujo de Pagos'!$E201,37,9999)</f>
        <v>37</v>
      </c>
      <c r="BF201" s="0" t="n">
        <f aca="false">IF(Presupuesto!$B$38='Flujo de Pagos'!$E201,38,9999)</f>
        <v>38</v>
      </c>
      <c r="BG201" s="0" t="n">
        <f aca="false">IF(Presupuesto!$B$39='Flujo de Pagos'!$E201,39,9999)</f>
        <v>39</v>
      </c>
      <c r="BH201" s="0" t="n">
        <f aca="false">IF(Presupuesto!$B$40='Flujo de Pagos'!$E201,40,9999)</f>
        <v>40</v>
      </c>
      <c r="BI201" s="0" t="n">
        <f aca="false">IF(Presupuesto!$B$41='Flujo de Pagos'!$E201,41,9999)</f>
        <v>41</v>
      </c>
      <c r="BJ201" s="0" t="n">
        <f aca="false">IF(Presupuesto!$B$42='Flujo de Pagos'!$E201,42,9999)</f>
        <v>42</v>
      </c>
      <c r="BK201" s="0" t="n">
        <f aca="false">IF(Presupuesto!$B$43='Flujo de Pagos'!$E201,43,9999)</f>
        <v>43</v>
      </c>
      <c r="BL201" s="0" t="n">
        <f aca="false">IF(Presupuesto!$B$44='Flujo de Pagos'!$E201,44,9999)</f>
        <v>44</v>
      </c>
      <c r="BM201" s="0" t="n">
        <f aca="false">IF(Presupuesto!$B$45='Flujo de Pagos'!$E201,45,9999)</f>
        <v>45</v>
      </c>
      <c r="BN201" s="0" t="n">
        <f aca="false">IF(Presupuesto!$B$46='Flujo de Pagos'!$E201,46,9999)</f>
        <v>46</v>
      </c>
      <c r="BO201" s="0" t="n">
        <f aca="false">IF(Presupuesto!$B$47='Flujo de Pagos'!$E201,47,9999)</f>
        <v>47</v>
      </c>
      <c r="BP201" s="0" t="n">
        <f aca="false">IF(Presupuesto!$B$48='Flujo de Pagos'!$E201,48,9999)</f>
        <v>48</v>
      </c>
      <c r="BQ201" s="0" t="n">
        <f aca="false">IF(Presupuesto!$B$49='Flujo de Pagos'!$E201,49,9999)</f>
        <v>49</v>
      </c>
      <c r="BR201" s="0" t="n">
        <f aca="false">IF(Presupuesto!$B$50='Flujo de Pagos'!$E201,50,9999)</f>
        <v>50</v>
      </c>
      <c r="BS201" s="0" t="n">
        <f aca="false">IF(Presupuesto!$B$51='Flujo de Pagos'!$E201,51,9999)</f>
        <v>51</v>
      </c>
      <c r="BT201" s="0" t="n">
        <f aca="false">IF(Presupuesto!$B$52='Flujo de Pagos'!$E201,52,9999)</f>
        <v>52</v>
      </c>
      <c r="BU201" s="0" t="n">
        <f aca="false">IF(Presupuesto!$B$53='Flujo de Pagos'!$E201,53,9999)</f>
        <v>53</v>
      </c>
      <c r="BV201" s="0" t="n">
        <f aca="false">IF(Presupuesto!$B$54='Flujo de Pagos'!$E201,54,9999)</f>
        <v>54</v>
      </c>
      <c r="BW201" s="0" t="n">
        <f aca="false">IF(Presupuesto!$B$55='Flujo de Pagos'!$E201,55,9999)</f>
        <v>55</v>
      </c>
      <c r="BX201" s="0" t="n">
        <f aca="false">IF(Presupuesto!$B$56='Flujo de Pagos'!$E201,56,9999)</f>
        <v>56</v>
      </c>
      <c r="BY201" s="0" t="n">
        <f aca="false">IF(Presupuesto!$B$57='Flujo de Pagos'!$E201,57,9999)</f>
        <v>57</v>
      </c>
      <c r="BZ201" s="0" t="n">
        <f aca="false">IF(Presupuesto!$B$58='Flujo de Pagos'!$E201,58,9999)</f>
        <v>58</v>
      </c>
      <c r="CA201" s="0" t="n">
        <f aca="false">IF(Presupuesto!$B$59='Flujo de Pagos'!$E201,59,9999)</f>
        <v>59</v>
      </c>
      <c r="CB201" s="0" t="n">
        <f aca="false">IF(Presupuesto!$B$60='Flujo de Pagos'!$E201,60,9999)</f>
        <v>60</v>
      </c>
      <c r="CC201" s="0" t="n">
        <f aca="false">IF(Presupuesto!$B$61='Flujo de Pagos'!$E201,61,9999)</f>
        <v>61</v>
      </c>
      <c r="CD201" s="0" t="n">
        <f aca="false">IF(Presupuesto!$B$62='Flujo de Pagos'!$E201,62,9999)</f>
        <v>62</v>
      </c>
      <c r="CE201" s="0" t="n">
        <f aca="false">IF(Presupuesto!$B$63='Flujo de Pagos'!$E201,63,9999)</f>
        <v>63</v>
      </c>
      <c r="CF201" s="0" t="n">
        <f aca="false">IF(Presupuesto!$B$64='Flujo de Pagos'!$E201,64,9999)</f>
        <v>64</v>
      </c>
      <c r="CG201" s="0" t="n">
        <f aca="false">IF(Presupuesto!$B$65='Flujo de Pagos'!$E201,65,9999)</f>
        <v>65</v>
      </c>
      <c r="CH201" s="0" t="n">
        <f aca="false">IF(Presupuesto!$B$66='Flujo de Pagos'!$E201,66,9999)</f>
        <v>66</v>
      </c>
    </row>
    <row r="202" customFormat="false" ht="15" hidden="false" customHeight="true" outlineLevel="0" collapsed="false">
      <c r="B202" s="1" t="n">
        <f aca="false">IF(AND('Flujo de Pagos'!E207=Carátula!$B$2,'Flujo de Pagos'!F207=Carátula!$B$4,'Flujo de Pagos'!H207&lt;&gt;""),207,99999)</f>
        <v>99999</v>
      </c>
      <c r="H202" s="1" t="n">
        <f aca="false">IF(SMALL($AA202:$CH202,1)&gt;=9999,"",INDEX(Presupuesto!$C:$C,SMALL($AA202:$CH202,1)))</f>
        <v>0</v>
      </c>
      <c r="I202" s="1" t="n">
        <f aca="false">IF(SMALL($AA202:$CH202,2)&gt;=9999,"",INDEX(Presupuesto!$C:$C,SMALL($AA202:$CH202,2)))</f>
        <v>0</v>
      </c>
      <c r="J202" s="1" t="n">
        <f aca="false">IF(SMALL($AA202:$CH202,3)&gt;=9999,"",INDEX(Presupuesto!$C:$C,SMALL($AA202:$CH202,3)))</f>
        <v>0</v>
      </c>
      <c r="K202" s="1" t="n">
        <f aca="false">IF(SMALL($AA202:$CH202,4)&gt;=9999,"",INDEX(Presupuesto!$C:$C,SMALL($AA202:$CH202,4)))</f>
        <v>0</v>
      </c>
      <c r="L202" s="1" t="n">
        <f aca="false">IF(SMALL($AA202:$CH202,5)&gt;=9999,"",INDEX(Presupuesto!$C:$C,SMALL($AA202:$CH202,5)))</f>
        <v>0</v>
      </c>
      <c r="M202" s="1" t="n">
        <f aca="false">IF(SMALL($AA202:$CH202,6)&gt;=9999,"",INDEX(Presupuesto!$C:$C,SMALL($AA202:$CH202,6)))</f>
        <v>0</v>
      </c>
      <c r="N202" s="1" t="n">
        <f aca="false">IF(SMALL($AA202:$CH202,7)&gt;=9999,"",INDEX(Presupuesto!$C:$C,SMALL($AA202:$CH202,7)))</f>
        <v>0</v>
      </c>
      <c r="O202" s="1" t="n">
        <f aca="false">IF(SMALL($AA202:$CH202,8)&gt;=9999,"",INDEX(Presupuesto!$C:$C,SMALL($AA202:$CH202,8)))</f>
        <v>0</v>
      </c>
      <c r="P202" s="1" t="n">
        <f aca="false">IF(SMALL($AA202:$CH202,9)&gt;=9999,"",INDEX(Presupuesto!$C:$C,SMALL($AA202:$CH202,9)))</f>
        <v>0</v>
      </c>
      <c r="Q202" s="1" t="n">
        <f aca="false">IF(SMALL($AA202:$CH202,10)&gt;=9999,"",INDEX(Presupuesto!$C:$C,SMALL($AA202:$CH202,10)))</f>
        <v>0</v>
      </c>
      <c r="AA202" s="0" t="n">
        <f aca="false">IF(Presupuesto!$B$7='Flujo de Pagos'!$E202,7,9999)</f>
        <v>9999</v>
      </c>
      <c r="AB202" s="0" t="n">
        <f aca="false">IF(Presupuesto!$B$8='Flujo de Pagos'!$E202,8,9999)</f>
        <v>9999</v>
      </c>
      <c r="AC202" s="0" t="n">
        <f aca="false">IF(Presupuesto!$B$9='Flujo de Pagos'!$E202,9,9999)</f>
        <v>9999</v>
      </c>
      <c r="AD202" s="0" t="n">
        <f aca="false">IF(Presupuesto!$B$10='Flujo de Pagos'!$E202,10,9999)</f>
        <v>9999</v>
      </c>
      <c r="AE202" s="0" t="n">
        <f aca="false">IF(Presupuesto!$B$11='Flujo de Pagos'!$E202,11,9999)</f>
        <v>9999</v>
      </c>
      <c r="AF202" s="0" t="n">
        <f aca="false">IF(Presupuesto!$B$12='Flujo de Pagos'!$E202,12,9999)</f>
        <v>12</v>
      </c>
      <c r="AG202" s="0" t="n">
        <f aca="false">IF(Presupuesto!$B$13='Flujo de Pagos'!$E202,13,9999)</f>
        <v>13</v>
      </c>
      <c r="AH202" s="0" t="n">
        <f aca="false">IF(Presupuesto!$B$14='Flujo de Pagos'!$E202,14,9999)</f>
        <v>14</v>
      </c>
      <c r="AI202" s="0" t="n">
        <f aca="false">IF(Presupuesto!$B$15='Flujo de Pagos'!$E202,15,9999)</f>
        <v>15</v>
      </c>
      <c r="AJ202" s="0" t="n">
        <f aca="false">IF(Presupuesto!$B$16='Flujo de Pagos'!$E202,16,9999)</f>
        <v>16</v>
      </c>
      <c r="AK202" s="0" t="n">
        <f aca="false">IF(Presupuesto!$B$17='Flujo de Pagos'!$E202,17,9999)</f>
        <v>17</v>
      </c>
      <c r="AL202" s="0" t="n">
        <f aca="false">IF(Presupuesto!$B$18='Flujo de Pagos'!$E202,18,9999)</f>
        <v>18</v>
      </c>
      <c r="AM202" s="0" t="n">
        <f aca="false">IF(Presupuesto!$B$19='Flujo de Pagos'!$E202,19,9999)</f>
        <v>19</v>
      </c>
      <c r="AN202" s="0" t="n">
        <f aca="false">IF(Presupuesto!$B$20='Flujo de Pagos'!$E202,20,9999)</f>
        <v>20</v>
      </c>
      <c r="AO202" s="0" t="n">
        <f aca="false">IF(Presupuesto!$B$21='Flujo de Pagos'!$E202,21,9999)</f>
        <v>21</v>
      </c>
      <c r="AP202" s="0" t="n">
        <f aca="false">IF(Presupuesto!$B$22='Flujo de Pagos'!$E202,22,9999)</f>
        <v>22</v>
      </c>
      <c r="AQ202" s="0" t="n">
        <f aca="false">IF(Presupuesto!$B$23='Flujo de Pagos'!$E202,23,9999)</f>
        <v>23</v>
      </c>
      <c r="AR202" s="0" t="n">
        <f aca="false">IF(Presupuesto!$B$24='Flujo de Pagos'!$E202,24,9999)</f>
        <v>24</v>
      </c>
      <c r="AS202" s="0" t="n">
        <f aca="false">IF(Presupuesto!$B$25='Flujo de Pagos'!$E202,25,9999)</f>
        <v>25</v>
      </c>
      <c r="AT202" s="0" t="n">
        <f aca="false">IF(Presupuesto!$B$26='Flujo de Pagos'!$E202,26,9999)</f>
        <v>26</v>
      </c>
      <c r="AU202" s="0" t="n">
        <f aca="false">IF(Presupuesto!$B$27='Flujo de Pagos'!$E202,27,9999)</f>
        <v>27</v>
      </c>
      <c r="AV202" s="0" t="n">
        <f aca="false">IF(Presupuesto!$B$28='Flujo de Pagos'!$E202,28,9999)</f>
        <v>28</v>
      </c>
      <c r="AW202" s="0" t="n">
        <f aca="false">IF(Presupuesto!$B$29='Flujo de Pagos'!$E202,29,9999)</f>
        <v>29</v>
      </c>
      <c r="AX202" s="0" t="n">
        <f aca="false">IF(Presupuesto!$B$30='Flujo de Pagos'!$E202,30,9999)</f>
        <v>30</v>
      </c>
      <c r="AY202" s="0" t="n">
        <f aca="false">IF(Presupuesto!$B$31='Flujo de Pagos'!$E202,31,9999)</f>
        <v>31</v>
      </c>
      <c r="AZ202" s="0" t="n">
        <f aca="false">IF(Presupuesto!$B$32='Flujo de Pagos'!$E202,32,9999)</f>
        <v>32</v>
      </c>
      <c r="BA202" s="0" t="n">
        <f aca="false">IF(Presupuesto!$B$33='Flujo de Pagos'!$E202,33,9999)</f>
        <v>33</v>
      </c>
      <c r="BB202" s="0" t="n">
        <f aca="false">IF(Presupuesto!$B$34='Flujo de Pagos'!$E202,34,9999)</f>
        <v>34</v>
      </c>
      <c r="BC202" s="0" t="n">
        <f aca="false">IF(Presupuesto!$B$35='Flujo de Pagos'!$E202,35,9999)</f>
        <v>35</v>
      </c>
      <c r="BD202" s="0" t="n">
        <f aca="false">IF(Presupuesto!$B$36='Flujo de Pagos'!$E202,36,9999)</f>
        <v>36</v>
      </c>
      <c r="BE202" s="0" t="n">
        <f aca="false">IF(Presupuesto!$B$37='Flujo de Pagos'!$E202,37,9999)</f>
        <v>37</v>
      </c>
      <c r="BF202" s="0" t="n">
        <f aca="false">IF(Presupuesto!$B$38='Flujo de Pagos'!$E202,38,9999)</f>
        <v>38</v>
      </c>
      <c r="BG202" s="0" t="n">
        <f aca="false">IF(Presupuesto!$B$39='Flujo de Pagos'!$E202,39,9999)</f>
        <v>39</v>
      </c>
      <c r="BH202" s="0" t="n">
        <f aca="false">IF(Presupuesto!$B$40='Flujo de Pagos'!$E202,40,9999)</f>
        <v>40</v>
      </c>
      <c r="BI202" s="0" t="n">
        <f aca="false">IF(Presupuesto!$B$41='Flujo de Pagos'!$E202,41,9999)</f>
        <v>41</v>
      </c>
      <c r="BJ202" s="0" t="n">
        <f aca="false">IF(Presupuesto!$B$42='Flujo de Pagos'!$E202,42,9999)</f>
        <v>42</v>
      </c>
      <c r="BK202" s="0" t="n">
        <f aca="false">IF(Presupuesto!$B$43='Flujo de Pagos'!$E202,43,9999)</f>
        <v>43</v>
      </c>
      <c r="BL202" s="0" t="n">
        <f aca="false">IF(Presupuesto!$B$44='Flujo de Pagos'!$E202,44,9999)</f>
        <v>44</v>
      </c>
      <c r="BM202" s="0" t="n">
        <f aca="false">IF(Presupuesto!$B$45='Flujo de Pagos'!$E202,45,9999)</f>
        <v>45</v>
      </c>
      <c r="BN202" s="0" t="n">
        <f aca="false">IF(Presupuesto!$B$46='Flujo de Pagos'!$E202,46,9999)</f>
        <v>46</v>
      </c>
      <c r="BO202" s="0" t="n">
        <f aca="false">IF(Presupuesto!$B$47='Flujo de Pagos'!$E202,47,9999)</f>
        <v>47</v>
      </c>
      <c r="BP202" s="0" t="n">
        <f aca="false">IF(Presupuesto!$B$48='Flujo de Pagos'!$E202,48,9999)</f>
        <v>48</v>
      </c>
      <c r="BQ202" s="0" t="n">
        <f aca="false">IF(Presupuesto!$B$49='Flujo de Pagos'!$E202,49,9999)</f>
        <v>49</v>
      </c>
      <c r="BR202" s="0" t="n">
        <f aca="false">IF(Presupuesto!$B$50='Flujo de Pagos'!$E202,50,9999)</f>
        <v>50</v>
      </c>
      <c r="BS202" s="0" t="n">
        <f aca="false">IF(Presupuesto!$B$51='Flujo de Pagos'!$E202,51,9999)</f>
        <v>51</v>
      </c>
      <c r="BT202" s="0" t="n">
        <f aca="false">IF(Presupuesto!$B$52='Flujo de Pagos'!$E202,52,9999)</f>
        <v>52</v>
      </c>
      <c r="BU202" s="0" t="n">
        <f aca="false">IF(Presupuesto!$B$53='Flujo de Pagos'!$E202,53,9999)</f>
        <v>53</v>
      </c>
      <c r="BV202" s="0" t="n">
        <f aca="false">IF(Presupuesto!$B$54='Flujo de Pagos'!$E202,54,9999)</f>
        <v>54</v>
      </c>
      <c r="BW202" s="0" t="n">
        <f aca="false">IF(Presupuesto!$B$55='Flujo de Pagos'!$E202,55,9999)</f>
        <v>55</v>
      </c>
      <c r="BX202" s="0" t="n">
        <f aca="false">IF(Presupuesto!$B$56='Flujo de Pagos'!$E202,56,9999)</f>
        <v>56</v>
      </c>
      <c r="BY202" s="0" t="n">
        <f aca="false">IF(Presupuesto!$B$57='Flujo de Pagos'!$E202,57,9999)</f>
        <v>57</v>
      </c>
      <c r="BZ202" s="0" t="n">
        <f aca="false">IF(Presupuesto!$B$58='Flujo de Pagos'!$E202,58,9999)</f>
        <v>58</v>
      </c>
      <c r="CA202" s="0" t="n">
        <f aca="false">IF(Presupuesto!$B$59='Flujo de Pagos'!$E202,59,9999)</f>
        <v>59</v>
      </c>
      <c r="CB202" s="0" t="n">
        <f aca="false">IF(Presupuesto!$B$60='Flujo de Pagos'!$E202,60,9999)</f>
        <v>60</v>
      </c>
      <c r="CC202" s="0" t="n">
        <f aca="false">IF(Presupuesto!$B$61='Flujo de Pagos'!$E202,61,9999)</f>
        <v>61</v>
      </c>
      <c r="CD202" s="0" t="n">
        <f aca="false">IF(Presupuesto!$B$62='Flujo de Pagos'!$E202,62,9999)</f>
        <v>62</v>
      </c>
      <c r="CE202" s="0" t="n">
        <f aca="false">IF(Presupuesto!$B$63='Flujo de Pagos'!$E202,63,9999)</f>
        <v>63</v>
      </c>
      <c r="CF202" s="0" t="n">
        <f aca="false">IF(Presupuesto!$B$64='Flujo de Pagos'!$E202,64,9999)</f>
        <v>64</v>
      </c>
      <c r="CG202" s="0" t="n">
        <f aca="false">IF(Presupuesto!$B$65='Flujo de Pagos'!$E202,65,9999)</f>
        <v>65</v>
      </c>
      <c r="CH202" s="0" t="n">
        <f aca="false">IF(Presupuesto!$B$66='Flujo de Pagos'!$E202,66,9999)</f>
        <v>66</v>
      </c>
    </row>
    <row r="203" customFormat="false" ht="15" hidden="false" customHeight="true" outlineLevel="0" collapsed="false">
      <c r="B203" s="1" t="n">
        <f aca="false">IF(AND('Flujo de Pagos'!E208=Carátula!$B$2,'Flujo de Pagos'!F208=Carátula!$B$4,'Flujo de Pagos'!H208&lt;&gt;""),208,99999)</f>
        <v>99999</v>
      </c>
      <c r="H203" s="1" t="n">
        <f aca="false">IF(SMALL($AA203:$CH203,1)&gt;=9999,"",INDEX(Presupuesto!$C:$C,SMALL($AA203:$CH203,1)))</f>
        <v>0</v>
      </c>
      <c r="I203" s="1" t="n">
        <f aca="false">IF(SMALL($AA203:$CH203,2)&gt;=9999,"",INDEX(Presupuesto!$C:$C,SMALL($AA203:$CH203,2)))</f>
        <v>0</v>
      </c>
      <c r="J203" s="1" t="n">
        <f aca="false">IF(SMALL($AA203:$CH203,3)&gt;=9999,"",INDEX(Presupuesto!$C:$C,SMALL($AA203:$CH203,3)))</f>
        <v>0</v>
      </c>
      <c r="K203" s="1" t="n">
        <f aca="false">IF(SMALL($AA203:$CH203,4)&gt;=9999,"",INDEX(Presupuesto!$C:$C,SMALL($AA203:$CH203,4)))</f>
        <v>0</v>
      </c>
      <c r="L203" s="1" t="n">
        <f aca="false">IF(SMALL($AA203:$CH203,5)&gt;=9999,"",INDEX(Presupuesto!$C:$C,SMALL($AA203:$CH203,5)))</f>
        <v>0</v>
      </c>
      <c r="M203" s="1" t="n">
        <f aca="false">IF(SMALL($AA203:$CH203,6)&gt;=9999,"",INDEX(Presupuesto!$C:$C,SMALL($AA203:$CH203,6)))</f>
        <v>0</v>
      </c>
      <c r="N203" s="1" t="n">
        <f aca="false">IF(SMALL($AA203:$CH203,7)&gt;=9999,"",INDEX(Presupuesto!$C:$C,SMALL($AA203:$CH203,7)))</f>
        <v>0</v>
      </c>
      <c r="O203" s="1" t="n">
        <f aca="false">IF(SMALL($AA203:$CH203,8)&gt;=9999,"",INDEX(Presupuesto!$C:$C,SMALL($AA203:$CH203,8)))</f>
        <v>0</v>
      </c>
      <c r="P203" s="1" t="n">
        <f aca="false">IF(SMALL($AA203:$CH203,9)&gt;=9999,"",INDEX(Presupuesto!$C:$C,SMALL($AA203:$CH203,9)))</f>
        <v>0</v>
      </c>
      <c r="Q203" s="1" t="n">
        <f aca="false">IF(SMALL($AA203:$CH203,10)&gt;=9999,"",INDEX(Presupuesto!$C:$C,SMALL($AA203:$CH203,10)))</f>
        <v>0</v>
      </c>
      <c r="AA203" s="0" t="n">
        <f aca="false">IF(Presupuesto!$B$7='Flujo de Pagos'!$E203,7,9999)</f>
        <v>9999</v>
      </c>
      <c r="AB203" s="0" t="n">
        <f aca="false">IF(Presupuesto!$B$8='Flujo de Pagos'!$E203,8,9999)</f>
        <v>9999</v>
      </c>
      <c r="AC203" s="0" t="n">
        <f aca="false">IF(Presupuesto!$B$9='Flujo de Pagos'!$E203,9,9999)</f>
        <v>9999</v>
      </c>
      <c r="AD203" s="0" t="n">
        <f aca="false">IF(Presupuesto!$B$10='Flujo de Pagos'!$E203,10,9999)</f>
        <v>9999</v>
      </c>
      <c r="AE203" s="0" t="n">
        <f aca="false">IF(Presupuesto!$B$11='Flujo de Pagos'!$E203,11,9999)</f>
        <v>9999</v>
      </c>
      <c r="AF203" s="0" t="n">
        <f aca="false">IF(Presupuesto!$B$12='Flujo de Pagos'!$E203,12,9999)</f>
        <v>12</v>
      </c>
      <c r="AG203" s="0" t="n">
        <f aca="false">IF(Presupuesto!$B$13='Flujo de Pagos'!$E203,13,9999)</f>
        <v>13</v>
      </c>
      <c r="AH203" s="0" t="n">
        <f aca="false">IF(Presupuesto!$B$14='Flujo de Pagos'!$E203,14,9999)</f>
        <v>14</v>
      </c>
      <c r="AI203" s="0" t="n">
        <f aca="false">IF(Presupuesto!$B$15='Flujo de Pagos'!$E203,15,9999)</f>
        <v>15</v>
      </c>
      <c r="AJ203" s="0" t="n">
        <f aca="false">IF(Presupuesto!$B$16='Flujo de Pagos'!$E203,16,9999)</f>
        <v>16</v>
      </c>
      <c r="AK203" s="0" t="n">
        <f aca="false">IF(Presupuesto!$B$17='Flujo de Pagos'!$E203,17,9999)</f>
        <v>17</v>
      </c>
      <c r="AL203" s="0" t="n">
        <f aca="false">IF(Presupuesto!$B$18='Flujo de Pagos'!$E203,18,9999)</f>
        <v>18</v>
      </c>
      <c r="AM203" s="0" t="n">
        <f aca="false">IF(Presupuesto!$B$19='Flujo de Pagos'!$E203,19,9999)</f>
        <v>19</v>
      </c>
      <c r="AN203" s="0" t="n">
        <f aca="false">IF(Presupuesto!$B$20='Flujo de Pagos'!$E203,20,9999)</f>
        <v>20</v>
      </c>
      <c r="AO203" s="0" t="n">
        <f aca="false">IF(Presupuesto!$B$21='Flujo de Pagos'!$E203,21,9999)</f>
        <v>21</v>
      </c>
      <c r="AP203" s="0" t="n">
        <f aca="false">IF(Presupuesto!$B$22='Flujo de Pagos'!$E203,22,9999)</f>
        <v>22</v>
      </c>
      <c r="AQ203" s="0" t="n">
        <f aca="false">IF(Presupuesto!$B$23='Flujo de Pagos'!$E203,23,9999)</f>
        <v>23</v>
      </c>
      <c r="AR203" s="0" t="n">
        <f aca="false">IF(Presupuesto!$B$24='Flujo de Pagos'!$E203,24,9999)</f>
        <v>24</v>
      </c>
      <c r="AS203" s="0" t="n">
        <f aca="false">IF(Presupuesto!$B$25='Flujo de Pagos'!$E203,25,9999)</f>
        <v>25</v>
      </c>
      <c r="AT203" s="0" t="n">
        <f aca="false">IF(Presupuesto!$B$26='Flujo de Pagos'!$E203,26,9999)</f>
        <v>26</v>
      </c>
      <c r="AU203" s="0" t="n">
        <f aca="false">IF(Presupuesto!$B$27='Flujo de Pagos'!$E203,27,9999)</f>
        <v>27</v>
      </c>
      <c r="AV203" s="0" t="n">
        <f aca="false">IF(Presupuesto!$B$28='Flujo de Pagos'!$E203,28,9999)</f>
        <v>28</v>
      </c>
      <c r="AW203" s="0" t="n">
        <f aca="false">IF(Presupuesto!$B$29='Flujo de Pagos'!$E203,29,9999)</f>
        <v>29</v>
      </c>
      <c r="AX203" s="0" t="n">
        <f aca="false">IF(Presupuesto!$B$30='Flujo de Pagos'!$E203,30,9999)</f>
        <v>30</v>
      </c>
      <c r="AY203" s="0" t="n">
        <f aca="false">IF(Presupuesto!$B$31='Flujo de Pagos'!$E203,31,9999)</f>
        <v>31</v>
      </c>
      <c r="AZ203" s="0" t="n">
        <f aca="false">IF(Presupuesto!$B$32='Flujo de Pagos'!$E203,32,9999)</f>
        <v>32</v>
      </c>
      <c r="BA203" s="0" t="n">
        <f aca="false">IF(Presupuesto!$B$33='Flujo de Pagos'!$E203,33,9999)</f>
        <v>33</v>
      </c>
      <c r="BB203" s="0" t="n">
        <f aca="false">IF(Presupuesto!$B$34='Flujo de Pagos'!$E203,34,9999)</f>
        <v>34</v>
      </c>
      <c r="BC203" s="0" t="n">
        <f aca="false">IF(Presupuesto!$B$35='Flujo de Pagos'!$E203,35,9999)</f>
        <v>35</v>
      </c>
      <c r="BD203" s="0" t="n">
        <f aca="false">IF(Presupuesto!$B$36='Flujo de Pagos'!$E203,36,9999)</f>
        <v>36</v>
      </c>
      <c r="BE203" s="0" t="n">
        <f aca="false">IF(Presupuesto!$B$37='Flujo de Pagos'!$E203,37,9999)</f>
        <v>37</v>
      </c>
      <c r="BF203" s="0" t="n">
        <f aca="false">IF(Presupuesto!$B$38='Flujo de Pagos'!$E203,38,9999)</f>
        <v>38</v>
      </c>
      <c r="BG203" s="0" t="n">
        <f aca="false">IF(Presupuesto!$B$39='Flujo de Pagos'!$E203,39,9999)</f>
        <v>39</v>
      </c>
      <c r="BH203" s="0" t="n">
        <f aca="false">IF(Presupuesto!$B$40='Flujo de Pagos'!$E203,40,9999)</f>
        <v>40</v>
      </c>
      <c r="BI203" s="0" t="n">
        <f aca="false">IF(Presupuesto!$B$41='Flujo de Pagos'!$E203,41,9999)</f>
        <v>41</v>
      </c>
      <c r="BJ203" s="0" t="n">
        <f aca="false">IF(Presupuesto!$B$42='Flujo de Pagos'!$E203,42,9999)</f>
        <v>42</v>
      </c>
      <c r="BK203" s="0" t="n">
        <f aca="false">IF(Presupuesto!$B$43='Flujo de Pagos'!$E203,43,9999)</f>
        <v>43</v>
      </c>
      <c r="BL203" s="0" t="n">
        <f aca="false">IF(Presupuesto!$B$44='Flujo de Pagos'!$E203,44,9999)</f>
        <v>44</v>
      </c>
      <c r="BM203" s="0" t="n">
        <f aca="false">IF(Presupuesto!$B$45='Flujo de Pagos'!$E203,45,9999)</f>
        <v>45</v>
      </c>
      <c r="BN203" s="0" t="n">
        <f aca="false">IF(Presupuesto!$B$46='Flujo de Pagos'!$E203,46,9999)</f>
        <v>46</v>
      </c>
      <c r="BO203" s="0" t="n">
        <f aca="false">IF(Presupuesto!$B$47='Flujo de Pagos'!$E203,47,9999)</f>
        <v>47</v>
      </c>
      <c r="BP203" s="0" t="n">
        <f aca="false">IF(Presupuesto!$B$48='Flujo de Pagos'!$E203,48,9999)</f>
        <v>48</v>
      </c>
      <c r="BQ203" s="0" t="n">
        <f aca="false">IF(Presupuesto!$B$49='Flujo de Pagos'!$E203,49,9999)</f>
        <v>49</v>
      </c>
      <c r="BR203" s="0" t="n">
        <f aca="false">IF(Presupuesto!$B$50='Flujo de Pagos'!$E203,50,9999)</f>
        <v>50</v>
      </c>
      <c r="BS203" s="0" t="n">
        <f aca="false">IF(Presupuesto!$B$51='Flujo de Pagos'!$E203,51,9999)</f>
        <v>51</v>
      </c>
      <c r="BT203" s="0" t="n">
        <f aca="false">IF(Presupuesto!$B$52='Flujo de Pagos'!$E203,52,9999)</f>
        <v>52</v>
      </c>
      <c r="BU203" s="0" t="n">
        <f aca="false">IF(Presupuesto!$B$53='Flujo de Pagos'!$E203,53,9999)</f>
        <v>53</v>
      </c>
      <c r="BV203" s="0" t="n">
        <f aca="false">IF(Presupuesto!$B$54='Flujo de Pagos'!$E203,54,9999)</f>
        <v>54</v>
      </c>
      <c r="BW203" s="0" t="n">
        <f aca="false">IF(Presupuesto!$B$55='Flujo de Pagos'!$E203,55,9999)</f>
        <v>55</v>
      </c>
      <c r="BX203" s="0" t="n">
        <f aca="false">IF(Presupuesto!$B$56='Flujo de Pagos'!$E203,56,9999)</f>
        <v>56</v>
      </c>
      <c r="BY203" s="0" t="n">
        <f aca="false">IF(Presupuesto!$B$57='Flujo de Pagos'!$E203,57,9999)</f>
        <v>57</v>
      </c>
      <c r="BZ203" s="0" t="n">
        <f aca="false">IF(Presupuesto!$B$58='Flujo de Pagos'!$E203,58,9999)</f>
        <v>58</v>
      </c>
      <c r="CA203" s="0" t="n">
        <f aca="false">IF(Presupuesto!$B$59='Flujo de Pagos'!$E203,59,9999)</f>
        <v>59</v>
      </c>
      <c r="CB203" s="0" t="n">
        <f aca="false">IF(Presupuesto!$B$60='Flujo de Pagos'!$E203,60,9999)</f>
        <v>60</v>
      </c>
      <c r="CC203" s="0" t="n">
        <f aca="false">IF(Presupuesto!$B$61='Flujo de Pagos'!$E203,61,9999)</f>
        <v>61</v>
      </c>
      <c r="CD203" s="0" t="n">
        <f aca="false">IF(Presupuesto!$B$62='Flujo de Pagos'!$E203,62,9999)</f>
        <v>62</v>
      </c>
      <c r="CE203" s="0" t="n">
        <f aca="false">IF(Presupuesto!$B$63='Flujo de Pagos'!$E203,63,9999)</f>
        <v>63</v>
      </c>
      <c r="CF203" s="0" t="n">
        <f aca="false">IF(Presupuesto!$B$64='Flujo de Pagos'!$E203,64,9999)</f>
        <v>64</v>
      </c>
      <c r="CG203" s="0" t="n">
        <f aca="false">IF(Presupuesto!$B$65='Flujo de Pagos'!$E203,65,9999)</f>
        <v>65</v>
      </c>
      <c r="CH203" s="0" t="n">
        <f aca="false">IF(Presupuesto!$B$66='Flujo de Pagos'!$E203,66,9999)</f>
        <v>66</v>
      </c>
    </row>
    <row r="204" customFormat="false" ht="15" hidden="false" customHeight="true" outlineLevel="0" collapsed="false">
      <c r="B204" s="1" t="n">
        <f aca="false">IF(AND('Flujo de Pagos'!E209=Carátula!$B$2,'Flujo de Pagos'!F209=Carátula!$B$4,'Flujo de Pagos'!H209&lt;&gt;""),209,99999)</f>
        <v>99999</v>
      </c>
      <c r="H204" s="1" t="n">
        <f aca="false">IF(SMALL($AA204:$CH204,1)&gt;=9999,"",INDEX(Presupuesto!$C:$C,SMALL($AA204:$CH204,1)))</f>
        <v>0</v>
      </c>
      <c r="I204" s="1" t="n">
        <f aca="false">IF(SMALL($AA204:$CH204,2)&gt;=9999,"",INDEX(Presupuesto!$C:$C,SMALL($AA204:$CH204,2)))</f>
        <v>0</v>
      </c>
      <c r="J204" s="1" t="n">
        <f aca="false">IF(SMALL($AA204:$CH204,3)&gt;=9999,"",INDEX(Presupuesto!$C:$C,SMALL($AA204:$CH204,3)))</f>
        <v>0</v>
      </c>
      <c r="K204" s="1" t="n">
        <f aca="false">IF(SMALL($AA204:$CH204,4)&gt;=9999,"",INDEX(Presupuesto!$C:$C,SMALL($AA204:$CH204,4)))</f>
        <v>0</v>
      </c>
      <c r="L204" s="1" t="n">
        <f aca="false">IF(SMALL($AA204:$CH204,5)&gt;=9999,"",INDEX(Presupuesto!$C:$C,SMALL($AA204:$CH204,5)))</f>
        <v>0</v>
      </c>
      <c r="M204" s="1" t="n">
        <f aca="false">IF(SMALL($AA204:$CH204,6)&gt;=9999,"",INDEX(Presupuesto!$C:$C,SMALL($AA204:$CH204,6)))</f>
        <v>0</v>
      </c>
      <c r="N204" s="1" t="n">
        <f aca="false">IF(SMALL($AA204:$CH204,7)&gt;=9999,"",INDEX(Presupuesto!$C:$C,SMALL($AA204:$CH204,7)))</f>
        <v>0</v>
      </c>
      <c r="O204" s="1" t="n">
        <f aca="false">IF(SMALL($AA204:$CH204,8)&gt;=9999,"",INDEX(Presupuesto!$C:$C,SMALL($AA204:$CH204,8)))</f>
        <v>0</v>
      </c>
      <c r="P204" s="1" t="n">
        <f aca="false">IF(SMALL($AA204:$CH204,9)&gt;=9999,"",INDEX(Presupuesto!$C:$C,SMALL($AA204:$CH204,9)))</f>
        <v>0</v>
      </c>
      <c r="Q204" s="1" t="n">
        <f aca="false">IF(SMALL($AA204:$CH204,10)&gt;=9999,"",INDEX(Presupuesto!$C:$C,SMALL($AA204:$CH204,10)))</f>
        <v>0</v>
      </c>
      <c r="AA204" s="0" t="n">
        <f aca="false">IF(Presupuesto!$B$7='Flujo de Pagos'!$E204,7,9999)</f>
        <v>9999</v>
      </c>
      <c r="AB204" s="0" t="n">
        <f aca="false">IF(Presupuesto!$B$8='Flujo de Pagos'!$E204,8,9999)</f>
        <v>9999</v>
      </c>
      <c r="AC204" s="0" t="n">
        <f aca="false">IF(Presupuesto!$B$9='Flujo de Pagos'!$E204,9,9999)</f>
        <v>9999</v>
      </c>
      <c r="AD204" s="0" t="n">
        <f aca="false">IF(Presupuesto!$B$10='Flujo de Pagos'!$E204,10,9999)</f>
        <v>9999</v>
      </c>
      <c r="AE204" s="0" t="n">
        <f aca="false">IF(Presupuesto!$B$11='Flujo de Pagos'!$E204,11,9999)</f>
        <v>9999</v>
      </c>
      <c r="AF204" s="0" t="n">
        <f aca="false">IF(Presupuesto!$B$12='Flujo de Pagos'!$E204,12,9999)</f>
        <v>12</v>
      </c>
      <c r="AG204" s="0" t="n">
        <f aca="false">IF(Presupuesto!$B$13='Flujo de Pagos'!$E204,13,9999)</f>
        <v>13</v>
      </c>
      <c r="AH204" s="0" t="n">
        <f aca="false">IF(Presupuesto!$B$14='Flujo de Pagos'!$E204,14,9999)</f>
        <v>14</v>
      </c>
      <c r="AI204" s="0" t="n">
        <f aca="false">IF(Presupuesto!$B$15='Flujo de Pagos'!$E204,15,9999)</f>
        <v>15</v>
      </c>
      <c r="AJ204" s="0" t="n">
        <f aca="false">IF(Presupuesto!$B$16='Flujo de Pagos'!$E204,16,9999)</f>
        <v>16</v>
      </c>
      <c r="AK204" s="0" t="n">
        <f aca="false">IF(Presupuesto!$B$17='Flujo de Pagos'!$E204,17,9999)</f>
        <v>17</v>
      </c>
      <c r="AL204" s="0" t="n">
        <f aca="false">IF(Presupuesto!$B$18='Flujo de Pagos'!$E204,18,9999)</f>
        <v>18</v>
      </c>
      <c r="AM204" s="0" t="n">
        <f aca="false">IF(Presupuesto!$B$19='Flujo de Pagos'!$E204,19,9999)</f>
        <v>19</v>
      </c>
      <c r="AN204" s="0" t="n">
        <f aca="false">IF(Presupuesto!$B$20='Flujo de Pagos'!$E204,20,9999)</f>
        <v>20</v>
      </c>
      <c r="AO204" s="0" t="n">
        <f aca="false">IF(Presupuesto!$B$21='Flujo de Pagos'!$E204,21,9999)</f>
        <v>21</v>
      </c>
      <c r="AP204" s="0" t="n">
        <f aca="false">IF(Presupuesto!$B$22='Flujo de Pagos'!$E204,22,9999)</f>
        <v>22</v>
      </c>
      <c r="AQ204" s="0" t="n">
        <f aca="false">IF(Presupuesto!$B$23='Flujo de Pagos'!$E204,23,9999)</f>
        <v>23</v>
      </c>
      <c r="AR204" s="0" t="n">
        <f aca="false">IF(Presupuesto!$B$24='Flujo de Pagos'!$E204,24,9999)</f>
        <v>24</v>
      </c>
      <c r="AS204" s="0" t="n">
        <f aca="false">IF(Presupuesto!$B$25='Flujo de Pagos'!$E204,25,9999)</f>
        <v>25</v>
      </c>
      <c r="AT204" s="0" t="n">
        <f aca="false">IF(Presupuesto!$B$26='Flujo de Pagos'!$E204,26,9999)</f>
        <v>26</v>
      </c>
      <c r="AU204" s="0" t="n">
        <f aca="false">IF(Presupuesto!$B$27='Flujo de Pagos'!$E204,27,9999)</f>
        <v>27</v>
      </c>
      <c r="AV204" s="0" t="n">
        <f aca="false">IF(Presupuesto!$B$28='Flujo de Pagos'!$E204,28,9999)</f>
        <v>28</v>
      </c>
      <c r="AW204" s="0" t="n">
        <f aca="false">IF(Presupuesto!$B$29='Flujo de Pagos'!$E204,29,9999)</f>
        <v>29</v>
      </c>
      <c r="AX204" s="0" t="n">
        <f aca="false">IF(Presupuesto!$B$30='Flujo de Pagos'!$E204,30,9999)</f>
        <v>30</v>
      </c>
      <c r="AY204" s="0" t="n">
        <f aca="false">IF(Presupuesto!$B$31='Flujo de Pagos'!$E204,31,9999)</f>
        <v>31</v>
      </c>
      <c r="AZ204" s="0" t="n">
        <f aca="false">IF(Presupuesto!$B$32='Flujo de Pagos'!$E204,32,9999)</f>
        <v>32</v>
      </c>
      <c r="BA204" s="0" t="n">
        <f aca="false">IF(Presupuesto!$B$33='Flujo de Pagos'!$E204,33,9999)</f>
        <v>33</v>
      </c>
      <c r="BB204" s="0" t="n">
        <f aca="false">IF(Presupuesto!$B$34='Flujo de Pagos'!$E204,34,9999)</f>
        <v>34</v>
      </c>
      <c r="BC204" s="0" t="n">
        <f aca="false">IF(Presupuesto!$B$35='Flujo de Pagos'!$E204,35,9999)</f>
        <v>35</v>
      </c>
      <c r="BD204" s="0" t="n">
        <f aca="false">IF(Presupuesto!$B$36='Flujo de Pagos'!$E204,36,9999)</f>
        <v>36</v>
      </c>
      <c r="BE204" s="0" t="n">
        <f aca="false">IF(Presupuesto!$B$37='Flujo de Pagos'!$E204,37,9999)</f>
        <v>37</v>
      </c>
      <c r="BF204" s="0" t="n">
        <f aca="false">IF(Presupuesto!$B$38='Flujo de Pagos'!$E204,38,9999)</f>
        <v>38</v>
      </c>
      <c r="BG204" s="0" t="n">
        <f aca="false">IF(Presupuesto!$B$39='Flujo de Pagos'!$E204,39,9999)</f>
        <v>39</v>
      </c>
      <c r="BH204" s="0" t="n">
        <f aca="false">IF(Presupuesto!$B$40='Flujo de Pagos'!$E204,40,9999)</f>
        <v>40</v>
      </c>
      <c r="BI204" s="0" t="n">
        <f aca="false">IF(Presupuesto!$B$41='Flujo de Pagos'!$E204,41,9999)</f>
        <v>41</v>
      </c>
      <c r="BJ204" s="0" t="n">
        <f aca="false">IF(Presupuesto!$B$42='Flujo de Pagos'!$E204,42,9999)</f>
        <v>42</v>
      </c>
      <c r="BK204" s="0" t="n">
        <f aca="false">IF(Presupuesto!$B$43='Flujo de Pagos'!$E204,43,9999)</f>
        <v>43</v>
      </c>
      <c r="BL204" s="0" t="n">
        <f aca="false">IF(Presupuesto!$B$44='Flujo de Pagos'!$E204,44,9999)</f>
        <v>44</v>
      </c>
      <c r="BM204" s="0" t="n">
        <f aca="false">IF(Presupuesto!$B$45='Flujo de Pagos'!$E204,45,9999)</f>
        <v>45</v>
      </c>
      <c r="BN204" s="0" t="n">
        <f aca="false">IF(Presupuesto!$B$46='Flujo de Pagos'!$E204,46,9999)</f>
        <v>46</v>
      </c>
      <c r="BO204" s="0" t="n">
        <f aca="false">IF(Presupuesto!$B$47='Flujo de Pagos'!$E204,47,9999)</f>
        <v>47</v>
      </c>
      <c r="BP204" s="0" t="n">
        <f aca="false">IF(Presupuesto!$B$48='Flujo de Pagos'!$E204,48,9999)</f>
        <v>48</v>
      </c>
      <c r="BQ204" s="0" t="n">
        <f aca="false">IF(Presupuesto!$B$49='Flujo de Pagos'!$E204,49,9999)</f>
        <v>49</v>
      </c>
      <c r="BR204" s="0" t="n">
        <f aca="false">IF(Presupuesto!$B$50='Flujo de Pagos'!$E204,50,9999)</f>
        <v>50</v>
      </c>
      <c r="BS204" s="0" t="n">
        <f aca="false">IF(Presupuesto!$B$51='Flujo de Pagos'!$E204,51,9999)</f>
        <v>51</v>
      </c>
      <c r="BT204" s="0" t="n">
        <f aca="false">IF(Presupuesto!$B$52='Flujo de Pagos'!$E204,52,9999)</f>
        <v>52</v>
      </c>
      <c r="BU204" s="0" t="n">
        <f aca="false">IF(Presupuesto!$B$53='Flujo de Pagos'!$E204,53,9999)</f>
        <v>53</v>
      </c>
      <c r="BV204" s="0" t="n">
        <f aca="false">IF(Presupuesto!$B$54='Flujo de Pagos'!$E204,54,9999)</f>
        <v>54</v>
      </c>
      <c r="BW204" s="0" t="n">
        <f aca="false">IF(Presupuesto!$B$55='Flujo de Pagos'!$E204,55,9999)</f>
        <v>55</v>
      </c>
      <c r="BX204" s="0" t="n">
        <f aca="false">IF(Presupuesto!$B$56='Flujo de Pagos'!$E204,56,9999)</f>
        <v>56</v>
      </c>
      <c r="BY204" s="0" t="n">
        <f aca="false">IF(Presupuesto!$B$57='Flujo de Pagos'!$E204,57,9999)</f>
        <v>57</v>
      </c>
      <c r="BZ204" s="0" t="n">
        <f aca="false">IF(Presupuesto!$B$58='Flujo de Pagos'!$E204,58,9999)</f>
        <v>58</v>
      </c>
      <c r="CA204" s="0" t="n">
        <f aca="false">IF(Presupuesto!$B$59='Flujo de Pagos'!$E204,59,9999)</f>
        <v>59</v>
      </c>
      <c r="CB204" s="0" t="n">
        <f aca="false">IF(Presupuesto!$B$60='Flujo de Pagos'!$E204,60,9999)</f>
        <v>60</v>
      </c>
      <c r="CC204" s="0" t="n">
        <f aca="false">IF(Presupuesto!$B$61='Flujo de Pagos'!$E204,61,9999)</f>
        <v>61</v>
      </c>
      <c r="CD204" s="0" t="n">
        <f aca="false">IF(Presupuesto!$B$62='Flujo de Pagos'!$E204,62,9999)</f>
        <v>62</v>
      </c>
      <c r="CE204" s="0" t="n">
        <f aca="false">IF(Presupuesto!$B$63='Flujo de Pagos'!$E204,63,9999)</f>
        <v>63</v>
      </c>
      <c r="CF204" s="0" t="n">
        <f aca="false">IF(Presupuesto!$B$64='Flujo de Pagos'!$E204,64,9999)</f>
        <v>64</v>
      </c>
      <c r="CG204" s="0" t="n">
        <f aca="false">IF(Presupuesto!$B$65='Flujo de Pagos'!$E204,65,9999)</f>
        <v>65</v>
      </c>
      <c r="CH204" s="0" t="n">
        <f aca="false">IF(Presupuesto!$B$66='Flujo de Pagos'!$E204,66,9999)</f>
        <v>66</v>
      </c>
    </row>
    <row r="205" customFormat="false" ht="15" hidden="false" customHeight="true" outlineLevel="0" collapsed="false">
      <c r="B205" s="1" t="n">
        <f aca="false">IF(AND('Flujo de Pagos'!E210=Carátula!$B$2,'Flujo de Pagos'!F210=Carátula!$B$4,'Flujo de Pagos'!H210&lt;&gt;""),210,99999)</f>
        <v>99999</v>
      </c>
      <c r="H205" s="1" t="n">
        <f aca="false">IF(SMALL($AA205:$CH205,1)&gt;=9999,"",INDEX(Presupuesto!$C:$C,SMALL($AA205:$CH205,1)))</f>
        <v>0</v>
      </c>
      <c r="I205" s="1" t="n">
        <f aca="false">IF(SMALL($AA205:$CH205,2)&gt;=9999,"",INDEX(Presupuesto!$C:$C,SMALL($AA205:$CH205,2)))</f>
        <v>0</v>
      </c>
      <c r="J205" s="1" t="n">
        <f aca="false">IF(SMALL($AA205:$CH205,3)&gt;=9999,"",INDEX(Presupuesto!$C:$C,SMALL($AA205:$CH205,3)))</f>
        <v>0</v>
      </c>
      <c r="K205" s="1" t="n">
        <f aca="false">IF(SMALL($AA205:$CH205,4)&gt;=9999,"",INDEX(Presupuesto!$C:$C,SMALL($AA205:$CH205,4)))</f>
        <v>0</v>
      </c>
      <c r="L205" s="1" t="n">
        <f aca="false">IF(SMALL($AA205:$CH205,5)&gt;=9999,"",INDEX(Presupuesto!$C:$C,SMALL($AA205:$CH205,5)))</f>
        <v>0</v>
      </c>
      <c r="M205" s="1" t="n">
        <f aca="false">IF(SMALL($AA205:$CH205,6)&gt;=9999,"",INDEX(Presupuesto!$C:$C,SMALL($AA205:$CH205,6)))</f>
        <v>0</v>
      </c>
      <c r="N205" s="1" t="n">
        <f aca="false">IF(SMALL($AA205:$CH205,7)&gt;=9999,"",INDEX(Presupuesto!$C:$C,SMALL($AA205:$CH205,7)))</f>
        <v>0</v>
      </c>
      <c r="O205" s="1" t="n">
        <f aca="false">IF(SMALL($AA205:$CH205,8)&gt;=9999,"",INDEX(Presupuesto!$C:$C,SMALL($AA205:$CH205,8)))</f>
        <v>0</v>
      </c>
      <c r="P205" s="1" t="n">
        <f aca="false">IF(SMALL($AA205:$CH205,9)&gt;=9999,"",INDEX(Presupuesto!$C:$C,SMALL($AA205:$CH205,9)))</f>
        <v>0</v>
      </c>
      <c r="Q205" s="1" t="n">
        <f aca="false">IF(SMALL($AA205:$CH205,10)&gt;=9999,"",INDEX(Presupuesto!$C:$C,SMALL($AA205:$CH205,10)))</f>
        <v>0</v>
      </c>
      <c r="AA205" s="0" t="n">
        <f aca="false">IF(Presupuesto!$B$7='Flujo de Pagos'!$E205,7,9999)</f>
        <v>9999</v>
      </c>
      <c r="AB205" s="0" t="n">
        <f aca="false">IF(Presupuesto!$B$8='Flujo de Pagos'!$E205,8,9999)</f>
        <v>9999</v>
      </c>
      <c r="AC205" s="0" t="n">
        <f aca="false">IF(Presupuesto!$B$9='Flujo de Pagos'!$E205,9,9999)</f>
        <v>9999</v>
      </c>
      <c r="AD205" s="0" t="n">
        <f aca="false">IF(Presupuesto!$B$10='Flujo de Pagos'!$E205,10,9999)</f>
        <v>9999</v>
      </c>
      <c r="AE205" s="0" t="n">
        <f aca="false">IF(Presupuesto!$B$11='Flujo de Pagos'!$E205,11,9999)</f>
        <v>9999</v>
      </c>
      <c r="AF205" s="0" t="n">
        <f aca="false">IF(Presupuesto!$B$12='Flujo de Pagos'!$E205,12,9999)</f>
        <v>12</v>
      </c>
      <c r="AG205" s="0" t="n">
        <f aca="false">IF(Presupuesto!$B$13='Flujo de Pagos'!$E205,13,9999)</f>
        <v>13</v>
      </c>
      <c r="AH205" s="0" t="n">
        <f aca="false">IF(Presupuesto!$B$14='Flujo de Pagos'!$E205,14,9999)</f>
        <v>14</v>
      </c>
      <c r="AI205" s="0" t="n">
        <f aca="false">IF(Presupuesto!$B$15='Flujo de Pagos'!$E205,15,9999)</f>
        <v>15</v>
      </c>
      <c r="AJ205" s="0" t="n">
        <f aca="false">IF(Presupuesto!$B$16='Flujo de Pagos'!$E205,16,9999)</f>
        <v>16</v>
      </c>
      <c r="AK205" s="0" t="n">
        <f aca="false">IF(Presupuesto!$B$17='Flujo de Pagos'!$E205,17,9999)</f>
        <v>17</v>
      </c>
      <c r="AL205" s="0" t="n">
        <f aca="false">IF(Presupuesto!$B$18='Flujo de Pagos'!$E205,18,9999)</f>
        <v>18</v>
      </c>
      <c r="AM205" s="0" t="n">
        <f aca="false">IF(Presupuesto!$B$19='Flujo de Pagos'!$E205,19,9999)</f>
        <v>19</v>
      </c>
      <c r="AN205" s="0" t="n">
        <f aca="false">IF(Presupuesto!$B$20='Flujo de Pagos'!$E205,20,9999)</f>
        <v>20</v>
      </c>
      <c r="AO205" s="0" t="n">
        <f aca="false">IF(Presupuesto!$B$21='Flujo de Pagos'!$E205,21,9999)</f>
        <v>21</v>
      </c>
      <c r="AP205" s="0" t="n">
        <f aca="false">IF(Presupuesto!$B$22='Flujo de Pagos'!$E205,22,9999)</f>
        <v>22</v>
      </c>
      <c r="AQ205" s="0" t="n">
        <f aca="false">IF(Presupuesto!$B$23='Flujo de Pagos'!$E205,23,9999)</f>
        <v>23</v>
      </c>
      <c r="AR205" s="0" t="n">
        <f aca="false">IF(Presupuesto!$B$24='Flujo de Pagos'!$E205,24,9999)</f>
        <v>24</v>
      </c>
      <c r="AS205" s="0" t="n">
        <f aca="false">IF(Presupuesto!$B$25='Flujo de Pagos'!$E205,25,9999)</f>
        <v>25</v>
      </c>
      <c r="AT205" s="0" t="n">
        <f aca="false">IF(Presupuesto!$B$26='Flujo de Pagos'!$E205,26,9999)</f>
        <v>26</v>
      </c>
      <c r="AU205" s="0" t="n">
        <f aca="false">IF(Presupuesto!$B$27='Flujo de Pagos'!$E205,27,9999)</f>
        <v>27</v>
      </c>
      <c r="AV205" s="0" t="n">
        <f aca="false">IF(Presupuesto!$B$28='Flujo de Pagos'!$E205,28,9999)</f>
        <v>28</v>
      </c>
      <c r="AW205" s="0" t="n">
        <f aca="false">IF(Presupuesto!$B$29='Flujo de Pagos'!$E205,29,9999)</f>
        <v>29</v>
      </c>
      <c r="AX205" s="0" t="n">
        <f aca="false">IF(Presupuesto!$B$30='Flujo de Pagos'!$E205,30,9999)</f>
        <v>30</v>
      </c>
      <c r="AY205" s="0" t="n">
        <f aca="false">IF(Presupuesto!$B$31='Flujo de Pagos'!$E205,31,9999)</f>
        <v>31</v>
      </c>
      <c r="AZ205" s="0" t="n">
        <f aca="false">IF(Presupuesto!$B$32='Flujo de Pagos'!$E205,32,9999)</f>
        <v>32</v>
      </c>
      <c r="BA205" s="0" t="n">
        <f aca="false">IF(Presupuesto!$B$33='Flujo de Pagos'!$E205,33,9999)</f>
        <v>33</v>
      </c>
      <c r="BB205" s="0" t="n">
        <f aca="false">IF(Presupuesto!$B$34='Flujo de Pagos'!$E205,34,9999)</f>
        <v>34</v>
      </c>
      <c r="BC205" s="0" t="n">
        <f aca="false">IF(Presupuesto!$B$35='Flujo de Pagos'!$E205,35,9999)</f>
        <v>35</v>
      </c>
      <c r="BD205" s="0" t="n">
        <f aca="false">IF(Presupuesto!$B$36='Flujo de Pagos'!$E205,36,9999)</f>
        <v>36</v>
      </c>
      <c r="BE205" s="0" t="n">
        <f aca="false">IF(Presupuesto!$B$37='Flujo de Pagos'!$E205,37,9999)</f>
        <v>37</v>
      </c>
      <c r="BF205" s="0" t="n">
        <f aca="false">IF(Presupuesto!$B$38='Flujo de Pagos'!$E205,38,9999)</f>
        <v>38</v>
      </c>
      <c r="BG205" s="0" t="n">
        <f aca="false">IF(Presupuesto!$B$39='Flujo de Pagos'!$E205,39,9999)</f>
        <v>39</v>
      </c>
      <c r="BH205" s="0" t="n">
        <f aca="false">IF(Presupuesto!$B$40='Flujo de Pagos'!$E205,40,9999)</f>
        <v>40</v>
      </c>
      <c r="BI205" s="0" t="n">
        <f aca="false">IF(Presupuesto!$B$41='Flujo de Pagos'!$E205,41,9999)</f>
        <v>41</v>
      </c>
      <c r="BJ205" s="0" t="n">
        <f aca="false">IF(Presupuesto!$B$42='Flujo de Pagos'!$E205,42,9999)</f>
        <v>42</v>
      </c>
      <c r="BK205" s="0" t="n">
        <f aca="false">IF(Presupuesto!$B$43='Flujo de Pagos'!$E205,43,9999)</f>
        <v>43</v>
      </c>
      <c r="BL205" s="0" t="n">
        <f aca="false">IF(Presupuesto!$B$44='Flujo de Pagos'!$E205,44,9999)</f>
        <v>44</v>
      </c>
      <c r="BM205" s="0" t="n">
        <f aca="false">IF(Presupuesto!$B$45='Flujo de Pagos'!$E205,45,9999)</f>
        <v>45</v>
      </c>
      <c r="BN205" s="0" t="n">
        <f aca="false">IF(Presupuesto!$B$46='Flujo de Pagos'!$E205,46,9999)</f>
        <v>46</v>
      </c>
      <c r="BO205" s="0" t="n">
        <f aca="false">IF(Presupuesto!$B$47='Flujo de Pagos'!$E205,47,9999)</f>
        <v>47</v>
      </c>
      <c r="BP205" s="0" t="n">
        <f aca="false">IF(Presupuesto!$B$48='Flujo de Pagos'!$E205,48,9999)</f>
        <v>48</v>
      </c>
      <c r="BQ205" s="0" t="n">
        <f aca="false">IF(Presupuesto!$B$49='Flujo de Pagos'!$E205,49,9999)</f>
        <v>49</v>
      </c>
      <c r="BR205" s="0" t="n">
        <f aca="false">IF(Presupuesto!$B$50='Flujo de Pagos'!$E205,50,9999)</f>
        <v>50</v>
      </c>
      <c r="BS205" s="0" t="n">
        <f aca="false">IF(Presupuesto!$B$51='Flujo de Pagos'!$E205,51,9999)</f>
        <v>51</v>
      </c>
      <c r="BT205" s="0" t="n">
        <f aca="false">IF(Presupuesto!$B$52='Flujo de Pagos'!$E205,52,9999)</f>
        <v>52</v>
      </c>
      <c r="BU205" s="0" t="n">
        <f aca="false">IF(Presupuesto!$B$53='Flujo de Pagos'!$E205,53,9999)</f>
        <v>53</v>
      </c>
      <c r="BV205" s="0" t="n">
        <f aca="false">IF(Presupuesto!$B$54='Flujo de Pagos'!$E205,54,9999)</f>
        <v>54</v>
      </c>
      <c r="BW205" s="0" t="n">
        <f aca="false">IF(Presupuesto!$B$55='Flujo de Pagos'!$E205,55,9999)</f>
        <v>55</v>
      </c>
      <c r="BX205" s="0" t="n">
        <f aca="false">IF(Presupuesto!$B$56='Flujo de Pagos'!$E205,56,9999)</f>
        <v>56</v>
      </c>
      <c r="BY205" s="0" t="n">
        <f aca="false">IF(Presupuesto!$B$57='Flujo de Pagos'!$E205,57,9999)</f>
        <v>57</v>
      </c>
      <c r="BZ205" s="0" t="n">
        <f aca="false">IF(Presupuesto!$B$58='Flujo de Pagos'!$E205,58,9999)</f>
        <v>58</v>
      </c>
      <c r="CA205" s="0" t="n">
        <f aca="false">IF(Presupuesto!$B$59='Flujo de Pagos'!$E205,59,9999)</f>
        <v>59</v>
      </c>
      <c r="CB205" s="0" t="n">
        <f aca="false">IF(Presupuesto!$B$60='Flujo de Pagos'!$E205,60,9999)</f>
        <v>60</v>
      </c>
      <c r="CC205" s="0" t="n">
        <f aca="false">IF(Presupuesto!$B$61='Flujo de Pagos'!$E205,61,9999)</f>
        <v>61</v>
      </c>
      <c r="CD205" s="0" t="n">
        <f aca="false">IF(Presupuesto!$B$62='Flujo de Pagos'!$E205,62,9999)</f>
        <v>62</v>
      </c>
      <c r="CE205" s="0" t="n">
        <f aca="false">IF(Presupuesto!$B$63='Flujo de Pagos'!$E205,63,9999)</f>
        <v>63</v>
      </c>
      <c r="CF205" s="0" t="n">
        <f aca="false">IF(Presupuesto!$B$64='Flujo de Pagos'!$E205,64,9999)</f>
        <v>64</v>
      </c>
      <c r="CG205" s="0" t="n">
        <f aca="false">IF(Presupuesto!$B$65='Flujo de Pagos'!$E205,65,9999)</f>
        <v>65</v>
      </c>
      <c r="CH205" s="0" t="n">
        <f aca="false">IF(Presupuesto!$B$66='Flujo de Pagos'!$E205,66,9999)</f>
        <v>66</v>
      </c>
    </row>
    <row r="206" customFormat="false" ht="15" hidden="false" customHeight="true" outlineLevel="0" collapsed="false">
      <c r="B206" s="1" t="n">
        <f aca="false">IF(AND('Flujo de Pagos'!E211=Carátula!$B$2,'Flujo de Pagos'!F211=Carátula!$B$4,'Flujo de Pagos'!H211&lt;&gt;""),211,99999)</f>
        <v>99999</v>
      </c>
      <c r="H206" s="1" t="n">
        <f aca="false">IF(SMALL($AA206:$CH206,1)&gt;=9999,"",INDEX(Presupuesto!$C:$C,SMALL($AA206:$CH206,1)))</f>
        <v>0</v>
      </c>
      <c r="I206" s="1" t="n">
        <f aca="false">IF(SMALL($AA206:$CH206,2)&gt;=9999,"",INDEX(Presupuesto!$C:$C,SMALL($AA206:$CH206,2)))</f>
        <v>0</v>
      </c>
      <c r="J206" s="1" t="n">
        <f aca="false">IF(SMALL($AA206:$CH206,3)&gt;=9999,"",INDEX(Presupuesto!$C:$C,SMALL($AA206:$CH206,3)))</f>
        <v>0</v>
      </c>
      <c r="K206" s="1" t="n">
        <f aca="false">IF(SMALL($AA206:$CH206,4)&gt;=9999,"",INDEX(Presupuesto!$C:$C,SMALL($AA206:$CH206,4)))</f>
        <v>0</v>
      </c>
      <c r="L206" s="1" t="n">
        <f aca="false">IF(SMALL($AA206:$CH206,5)&gt;=9999,"",INDEX(Presupuesto!$C:$C,SMALL($AA206:$CH206,5)))</f>
        <v>0</v>
      </c>
      <c r="M206" s="1" t="n">
        <f aca="false">IF(SMALL($AA206:$CH206,6)&gt;=9999,"",INDEX(Presupuesto!$C:$C,SMALL($AA206:$CH206,6)))</f>
        <v>0</v>
      </c>
      <c r="N206" s="1" t="n">
        <f aca="false">IF(SMALL($AA206:$CH206,7)&gt;=9999,"",INDEX(Presupuesto!$C:$C,SMALL($AA206:$CH206,7)))</f>
        <v>0</v>
      </c>
      <c r="O206" s="1" t="n">
        <f aca="false">IF(SMALL($AA206:$CH206,8)&gt;=9999,"",INDEX(Presupuesto!$C:$C,SMALL($AA206:$CH206,8)))</f>
        <v>0</v>
      </c>
      <c r="P206" s="1" t="n">
        <f aca="false">IF(SMALL($AA206:$CH206,9)&gt;=9999,"",INDEX(Presupuesto!$C:$C,SMALL($AA206:$CH206,9)))</f>
        <v>0</v>
      </c>
      <c r="Q206" s="1" t="n">
        <f aca="false">IF(SMALL($AA206:$CH206,10)&gt;=9999,"",INDEX(Presupuesto!$C:$C,SMALL($AA206:$CH206,10)))</f>
        <v>0</v>
      </c>
      <c r="AA206" s="0" t="n">
        <f aca="false">IF(Presupuesto!$B$7='Flujo de Pagos'!$E206,7,9999)</f>
        <v>9999</v>
      </c>
      <c r="AB206" s="0" t="n">
        <f aca="false">IF(Presupuesto!$B$8='Flujo de Pagos'!$E206,8,9999)</f>
        <v>9999</v>
      </c>
      <c r="AC206" s="0" t="n">
        <f aca="false">IF(Presupuesto!$B$9='Flujo de Pagos'!$E206,9,9999)</f>
        <v>9999</v>
      </c>
      <c r="AD206" s="0" t="n">
        <f aca="false">IF(Presupuesto!$B$10='Flujo de Pagos'!$E206,10,9999)</f>
        <v>9999</v>
      </c>
      <c r="AE206" s="0" t="n">
        <f aca="false">IF(Presupuesto!$B$11='Flujo de Pagos'!$E206,11,9999)</f>
        <v>9999</v>
      </c>
      <c r="AF206" s="0" t="n">
        <f aca="false">IF(Presupuesto!$B$12='Flujo de Pagos'!$E206,12,9999)</f>
        <v>12</v>
      </c>
      <c r="AG206" s="0" t="n">
        <f aca="false">IF(Presupuesto!$B$13='Flujo de Pagos'!$E206,13,9999)</f>
        <v>13</v>
      </c>
      <c r="AH206" s="0" t="n">
        <f aca="false">IF(Presupuesto!$B$14='Flujo de Pagos'!$E206,14,9999)</f>
        <v>14</v>
      </c>
      <c r="AI206" s="0" t="n">
        <f aca="false">IF(Presupuesto!$B$15='Flujo de Pagos'!$E206,15,9999)</f>
        <v>15</v>
      </c>
      <c r="AJ206" s="0" t="n">
        <f aca="false">IF(Presupuesto!$B$16='Flujo de Pagos'!$E206,16,9999)</f>
        <v>16</v>
      </c>
      <c r="AK206" s="0" t="n">
        <f aca="false">IF(Presupuesto!$B$17='Flujo de Pagos'!$E206,17,9999)</f>
        <v>17</v>
      </c>
      <c r="AL206" s="0" t="n">
        <f aca="false">IF(Presupuesto!$B$18='Flujo de Pagos'!$E206,18,9999)</f>
        <v>18</v>
      </c>
      <c r="AM206" s="0" t="n">
        <f aca="false">IF(Presupuesto!$B$19='Flujo de Pagos'!$E206,19,9999)</f>
        <v>19</v>
      </c>
      <c r="AN206" s="0" t="n">
        <f aca="false">IF(Presupuesto!$B$20='Flujo de Pagos'!$E206,20,9999)</f>
        <v>20</v>
      </c>
      <c r="AO206" s="0" t="n">
        <f aca="false">IF(Presupuesto!$B$21='Flujo de Pagos'!$E206,21,9999)</f>
        <v>21</v>
      </c>
      <c r="AP206" s="0" t="n">
        <f aca="false">IF(Presupuesto!$B$22='Flujo de Pagos'!$E206,22,9999)</f>
        <v>22</v>
      </c>
      <c r="AQ206" s="0" t="n">
        <f aca="false">IF(Presupuesto!$B$23='Flujo de Pagos'!$E206,23,9999)</f>
        <v>23</v>
      </c>
      <c r="AR206" s="0" t="n">
        <f aca="false">IF(Presupuesto!$B$24='Flujo de Pagos'!$E206,24,9999)</f>
        <v>24</v>
      </c>
      <c r="AS206" s="0" t="n">
        <f aca="false">IF(Presupuesto!$B$25='Flujo de Pagos'!$E206,25,9999)</f>
        <v>25</v>
      </c>
      <c r="AT206" s="0" t="n">
        <f aca="false">IF(Presupuesto!$B$26='Flujo de Pagos'!$E206,26,9999)</f>
        <v>26</v>
      </c>
      <c r="AU206" s="0" t="n">
        <f aca="false">IF(Presupuesto!$B$27='Flujo de Pagos'!$E206,27,9999)</f>
        <v>27</v>
      </c>
      <c r="AV206" s="0" t="n">
        <f aca="false">IF(Presupuesto!$B$28='Flujo de Pagos'!$E206,28,9999)</f>
        <v>28</v>
      </c>
      <c r="AW206" s="0" t="n">
        <f aca="false">IF(Presupuesto!$B$29='Flujo de Pagos'!$E206,29,9999)</f>
        <v>29</v>
      </c>
      <c r="AX206" s="0" t="n">
        <f aca="false">IF(Presupuesto!$B$30='Flujo de Pagos'!$E206,30,9999)</f>
        <v>30</v>
      </c>
      <c r="AY206" s="0" t="n">
        <f aca="false">IF(Presupuesto!$B$31='Flujo de Pagos'!$E206,31,9999)</f>
        <v>31</v>
      </c>
      <c r="AZ206" s="0" t="n">
        <f aca="false">IF(Presupuesto!$B$32='Flujo de Pagos'!$E206,32,9999)</f>
        <v>32</v>
      </c>
      <c r="BA206" s="0" t="n">
        <f aca="false">IF(Presupuesto!$B$33='Flujo de Pagos'!$E206,33,9999)</f>
        <v>33</v>
      </c>
      <c r="BB206" s="0" t="n">
        <f aca="false">IF(Presupuesto!$B$34='Flujo de Pagos'!$E206,34,9999)</f>
        <v>34</v>
      </c>
      <c r="BC206" s="0" t="n">
        <f aca="false">IF(Presupuesto!$B$35='Flujo de Pagos'!$E206,35,9999)</f>
        <v>35</v>
      </c>
      <c r="BD206" s="0" t="n">
        <f aca="false">IF(Presupuesto!$B$36='Flujo de Pagos'!$E206,36,9999)</f>
        <v>36</v>
      </c>
      <c r="BE206" s="0" t="n">
        <f aca="false">IF(Presupuesto!$B$37='Flujo de Pagos'!$E206,37,9999)</f>
        <v>37</v>
      </c>
      <c r="BF206" s="0" t="n">
        <f aca="false">IF(Presupuesto!$B$38='Flujo de Pagos'!$E206,38,9999)</f>
        <v>38</v>
      </c>
      <c r="BG206" s="0" t="n">
        <f aca="false">IF(Presupuesto!$B$39='Flujo de Pagos'!$E206,39,9999)</f>
        <v>39</v>
      </c>
      <c r="BH206" s="0" t="n">
        <f aca="false">IF(Presupuesto!$B$40='Flujo de Pagos'!$E206,40,9999)</f>
        <v>40</v>
      </c>
      <c r="BI206" s="0" t="n">
        <f aca="false">IF(Presupuesto!$B$41='Flujo de Pagos'!$E206,41,9999)</f>
        <v>41</v>
      </c>
      <c r="BJ206" s="0" t="n">
        <f aca="false">IF(Presupuesto!$B$42='Flujo de Pagos'!$E206,42,9999)</f>
        <v>42</v>
      </c>
      <c r="BK206" s="0" t="n">
        <f aca="false">IF(Presupuesto!$B$43='Flujo de Pagos'!$E206,43,9999)</f>
        <v>43</v>
      </c>
      <c r="BL206" s="0" t="n">
        <f aca="false">IF(Presupuesto!$B$44='Flujo de Pagos'!$E206,44,9999)</f>
        <v>44</v>
      </c>
      <c r="BM206" s="0" t="n">
        <f aca="false">IF(Presupuesto!$B$45='Flujo de Pagos'!$E206,45,9999)</f>
        <v>45</v>
      </c>
      <c r="BN206" s="0" t="n">
        <f aca="false">IF(Presupuesto!$B$46='Flujo de Pagos'!$E206,46,9999)</f>
        <v>46</v>
      </c>
      <c r="BO206" s="0" t="n">
        <f aca="false">IF(Presupuesto!$B$47='Flujo de Pagos'!$E206,47,9999)</f>
        <v>47</v>
      </c>
      <c r="BP206" s="0" t="n">
        <f aca="false">IF(Presupuesto!$B$48='Flujo de Pagos'!$E206,48,9999)</f>
        <v>48</v>
      </c>
      <c r="BQ206" s="0" t="n">
        <f aca="false">IF(Presupuesto!$B$49='Flujo de Pagos'!$E206,49,9999)</f>
        <v>49</v>
      </c>
      <c r="BR206" s="0" t="n">
        <f aca="false">IF(Presupuesto!$B$50='Flujo de Pagos'!$E206,50,9999)</f>
        <v>50</v>
      </c>
      <c r="BS206" s="0" t="n">
        <f aca="false">IF(Presupuesto!$B$51='Flujo de Pagos'!$E206,51,9999)</f>
        <v>51</v>
      </c>
      <c r="BT206" s="0" t="n">
        <f aca="false">IF(Presupuesto!$B$52='Flujo de Pagos'!$E206,52,9999)</f>
        <v>52</v>
      </c>
      <c r="BU206" s="0" t="n">
        <f aca="false">IF(Presupuesto!$B$53='Flujo de Pagos'!$E206,53,9999)</f>
        <v>53</v>
      </c>
      <c r="BV206" s="0" t="n">
        <f aca="false">IF(Presupuesto!$B$54='Flujo de Pagos'!$E206,54,9999)</f>
        <v>54</v>
      </c>
      <c r="BW206" s="0" t="n">
        <f aca="false">IF(Presupuesto!$B$55='Flujo de Pagos'!$E206,55,9999)</f>
        <v>55</v>
      </c>
      <c r="BX206" s="0" t="n">
        <f aca="false">IF(Presupuesto!$B$56='Flujo de Pagos'!$E206,56,9999)</f>
        <v>56</v>
      </c>
      <c r="BY206" s="0" t="n">
        <f aca="false">IF(Presupuesto!$B$57='Flujo de Pagos'!$E206,57,9999)</f>
        <v>57</v>
      </c>
      <c r="BZ206" s="0" t="n">
        <f aca="false">IF(Presupuesto!$B$58='Flujo de Pagos'!$E206,58,9999)</f>
        <v>58</v>
      </c>
      <c r="CA206" s="0" t="n">
        <f aca="false">IF(Presupuesto!$B$59='Flujo de Pagos'!$E206,59,9999)</f>
        <v>59</v>
      </c>
      <c r="CB206" s="0" t="n">
        <f aca="false">IF(Presupuesto!$B$60='Flujo de Pagos'!$E206,60,9999)</f>
        <v>60</v>
      </c>
      <c r="CC206" s="0" t="n">
        <f aca="false">IF(Presupuesto!$B$61='Flujo de Pagos'!$E206,61,9999)</f>
        <v>61</v>
      </c>
      <c r="CD206" s="0" t="n">
        <f aca="false">IF(Presupuesto!$B$62='Flujo de Pagos'!$E206,62,9999)</f>
        <v>62</v>
      </c>
      <c r="CE206" s="0" t="n">
        <f aca="false">IF(Presupuesto!$B$63='Flujo de Pagos'!$E206,63,9999)</f>
        <v>63</v>
      </c>
      <c r="CF206" s="0" t="n">
        <f aca="false">IF(Presupuesto!$B$64='Flujo de Pagos'!$E206,64,9999)</f>
        <v>64</v>
      </c>
      <c r="CG206" s="0" t="n">
        <f aca="false">IF(Presupuesto!$B$65='Flujo de Pagos'!$E206,65,9999)</f>
        <v>65</v>
      </c>
      <c r="CH206" s="0" t="n">
        <f aca="false">IF(Presupuesto!$B$66='Flujo de Pagos'!$E206,66,9999)</f>
        <v>66</v>
      </c>
    </row>
    <row r="207" customFormat="false" ht="15" hidden="false" customHeight="true" outlineLevel="0" collapsed="false">
      <c r="B207" s="1" t="n">
        <f aca="false">IF(AND('Flujo de Pagos'!E212=Carátula!$B$2,'Flujo de Pagos'!F212=Carátula!$B$4,'Flujo de Pagos'!H212&lt;&gt;""),212,99999)</f>
        <v>99999</v>
      </c>
      <c r="H207" s="1" t="n">
        <f aca="false">IF(SMALL($AA207:$CH207,1)&gt;=9999,"",INDEX(Presupuesto!$C:$C,SMALL($AA207:$CH207,1)))</f>
        <v>0</v>
      </c>
      <c r="I207" s="1" t="n">
        <f aca="false">IF(SMALL($AA207:$CH207,2)&gt;=9999,"",INDEX(Presupuesto!$C:$C,SMALL($AA207:$CH207,2)))</f>
        <v>0</v>
      </c>
      <c r="J207" s="1" t="n">
        <f aca="false">IF(SMALL($AA207:$CH207,3)&gt;=9999,"",INDEX(Presupuesto!$C:$C,SMALL($AA207:$CH207,3)))</f>
        <v>0</v>
      </c>
      <c r="K207" s="1" t="n">
        <f aca="false">IF(SMALL($AA207:$CH207,4)&gt;=9999,"",INDEX(Presupuesto!$C:$C,SMALL($AA207:$CH207,4)))</f>
        <v>0</v>
      </c>
      <c r="L207" s="1" t="n">
        <f aca="false">IF(SMALL($AA207:$CH207,5)&gt;=9999,"",INDEX(Presupuesto!$C:$C,SMALL($AA207:$CH207,5)))</f>
        <v>0</v>
      </c>
      <c r="M207" s="1" t="n">
        <f aca="false">IF(SMALL($AA207:$CH207,6)&gt;=9999,"",INDEX(Presupuesto!$C:$C,SMALL($AA207:$CH207,6)))</f>
        <v>0</v>
      </c>
      <c r="N207" s="1" t="n">
        <f aca="false">IF(SMALL($AA207:$CH207,7)&gt;=9999,"",INDEX(Presupuesto!$C:$C,SMALL($AA207:$CH207,7)))</f>
        <v>0</v>
      </c>
      <c r="O207" s="1" t="n">
        <f aca="false">IF(SMALL($AA207:$CH207,8)&gt;=9999,"",INDEX(Presupuesto!$C:$C,SMALL($AA207:$CH207,8)))</f>
        <v>0</v>
      </c>
      <c r="P207" s="1" t="n">
        <f aca="false">IF(SMALL($AA207:$CH207,9)&gt;=9999,"",INDEX(Presupuesto!$C:$C,SMALL($AA207:$CH207,9)))</f>
        <v>0</v>
      </c>
      <c r="Q207" s="1" t="n">
        <f aca="false">IF(SMALL($AA207:$CH207,10)&gt;=9999,"",INDEX(Presupuesto!$C:$C,SMALL($AA207:$CH207,10)))</f>
        <v>0</v>
      </c>
      <c r="AA207" s="0" t="n">
        <f aca="false">IF(Presupuesto!$B$7='Flujo de Pagos'!$E207,7,9999)</f>
        <v>9999</v>
      </c>
      <c r="AB207" s="0" t="n">
        <f aca="false">IF(Presupuesto!$B$8='Flujo de Pagos'!$E207,8,9999)</f>
        <v>9999</v>
      </c>
      <c r="AC207" s="0" t="n">
        <f aca="false">IF(Presupuesto!$B$9='Flujo de Pagos'!$E207,9,9999)</f>
        <v>9999</v>
      </c>
      <c r="AD207" s="0" t="n">
        <f aca="false">IF(Presupuesto!$B$10='Flujo de Pagos'!$E207,10,9999)</f>
        <v>9999</v>
      </c>
      <c r="AE207" s="0" t="n">
        <f aca="false">IF(Presupuesto!$B$11='Flujo de Pagos'!$E207,11,9999)</f>
        <v>9999</v>
      </c>
      <c r="AF207" s="0" t="n">
        <f aca="false">IF(Presupuesto!$B$12='Flujo de Pagos'!$E207,12,9999)</f>
        <v>12</v>
      </c>
      <c r="AG207" s="0" t="n">
        <f aca="false">IF(Presupuesto!$B$13='Flujo de Pagos'!$E207,13,9999)</f>
        <v>13</v>
      </c>
      <c r="AH207" s="0" t="n">
        <f aca="false">IF(Presupuesto!$B$14='Flujo de Pagos'!$E207,14,9999)</f>
        <v>14</v>
      </c>
      <c r="AI207" s="0" t="n">
        <f aca="false">IF(Presupuesto!$B$15='Flujo de Pagos'!$E207,15,9999)</f>
        <v>15</v>
      </c>
      <c r="AJ207" s="0" t="n">
        <f aca="false">IF(Presupuesto!$B$16='Flujo de Pagos'!$E207,16,9999)</f>
        <v>16</v>
      </c>
      <c r="AK207" s="0" t="n">
        <f aca="false">IF(Presupuesto!$B$17='Flujo de Pagos'!$E207,17,9999)</f>
        <v>17</v>
      </c>
      <c r="AL207" s="0" t="n">
        <f aca="false">IF(Presupuesto!$B$18='Flujo de Pagos'!$E207,18,9999)</f>
        <v>18</v>
      </c>
      <c r="AM207" s="0" t="n">
        <f aca="false">IF(Presupuesto!$B$19='Flujo de Pagos'!$E207,19,9999)</f>
        <v>19</v>
      </c>
      <c r="AN207" s="0" t="n">
        <f aca="false">IF(Presupuesto!$B$20='Flujo de Pagos'!$E207,20,9999)</f>
        <v>20</v>
      </c>
      <c r="AO207" s="0" t="n">
        <f aca="false">IF(Presupuesto!$B$21='Flujo de Pagos'!$E207,21,9999)</f>
        <v>21</v>
      </c>
      <c r="AP207" s="0" t="n">
        <f aca="false">IF(Presupuesto!$B$22='Flujo de Pagos'!$E207,22,9999)</f>
        <v>22</v>
      </c>
      <c r="AQ207" s="0" t="n">
        <f aca="false">IF(Presupuesto!$B$23='Flujo de Pagos'!$E207,23,9999)</f>
        <v>23</v>
      </c>
      <c r="AR207" s="0" t="n">
        <f aca="false">IF(Presupuesto!$B$24='Flujo de Pagos'!$E207,24,9999)</f>
        <v>24</v>
      </c>
      <c r="AS207" s="0" t="n">
        <f aca="false">IF(Presupuesto!$B$25='Flujo de Pagos'!$E207,25,9999)</f>
        <v>25</v>
      </c>
      <c r="AT207" s="0" t="n">
        <f aca="false">IF(Presupuesto!$B$26='Flujo de Pagos'!$E207,26,9999)</f>
        <v>26</v>
      </c>
      <c r="AU207" s="0" t="n">
        <f aca="false">IF(Presupuesto!$B$27='Flujo de Pagos'!$E207,27,9999)</f>
        <v>27</v>
      </c>
      <c r="AV207" s="0" t="n">
        <f aca="false">IF(Presupuesto!$B$28='Flujo de Pagos'!$E207,28,9999)</f>
        <v>28</v>
      </c>
      <c r="AW207" s="0" t="n">
        <f aca="false">IF(Presupuesto!$B$29='Flujo de Pagos'!$E207,29,9999)</f>
        <v>29</v>
      </c>
      <c r="AX207" s="0" t="n">
        <f aca="false">IF(Presupuesto!$B$30='Flujo de Pagos'!$E207,30,9999)</f>
        <v>30</v>
      </c>
      <c r="AY207" s="0" t="n">
        <f aca="false">IF(Presupuesto!$B$31='Flujo de Pagos'!$E207,31,9999)</f>
        <v>31</v>
      </c>
      <c r="AZ207" s="0" t="n">
        <f aca="false">IF(Presupuesto!$B$32='Flujo de Pagos'!$E207,32,9999)</f>
        <v>32</v>
      </c>
      <c r="BA207" s="0" t="n">
        <f aca="false">IF(Presupuesto!$B$33='Flujo de Pagos'!$E207,33,9999)</f>
        <v>33</v>
      </c>
      <c r="BB207" s="0" t="n">
        <f aca="false">IF(Presupuesto!$B$34='Flujo de Pagos'!$E207,34,9999)</f>
        <v>34</v>
      </c>
      <c r="BC207" s="0" t="n">
        <f aca="false">IF(Presupuesto!$B$35='Flujo de Pagos'!$E207,35,9999)</f>
        <v>35</v>
      </c>
      <c r="BD207" s="0" t="n">
        <f aca="false">IF(Presupuesto!$B$36='Flujo de Pagos'!$E207,36,9999)</f>
        <v>36</v>
      </c>
      <c r="BE207" s="0" t="n">
        <f aca="false">IF(Presupuesto!$B$37='Flujo de Pagos'!$E207,37,9999)</f>
        <v>37</v>
      </c>
      <c r="BF207" s="0" t="n">
        <f aca="false">IF(Presupuesto!$B$38='Flujo de Pagos'!$E207,38,9999)</f>
        <v>38</v>
      </c>
      <c r="BG207" s="0" t="n">
        <f aca="false">IF(Presupuesto!$B$39='Flujo de Pagos'!$E207,39,9999)</f>
        <v>39</v>
      </c>
      <c r="BH207" s="0" t="n">
        <f aca="false">IF(Presupuesto!$B$40='Flujo de Pagos'!$E207,40,9999)</f>
        <v>40</v>
      </c>
      <c r="BI207" s="0" t="n">
        <f aca="false">IF(Presupuesto!$B$41='Flujo de Pagos'!$E207,41,9999)</f>
        <v>41</v>
      </c>
      <c r="BJ207" s="0" t="n">
        <f aca="false">IF(Presupuesto!$B$42='Flujo de Pagos'!$E207,42,9999)</f>
        <v>42</v>
      </c>
      <c r="BK207" s="0" t="n">
        <f aca="false">IF(Presupuesto!$B$43='Flujo de Pagos'!$E207,43,9999)</f>
        <v>43</v>
      </c>
      <c r="BL207" s="0" t="n">
        <f aca="false">IF(Presupuesto!$B$44='Flujo de Pagos'!$E207,44,9999)</f>
        <v>44</v>
      </c>
      <c r="BM207" s="0" t="n">
        <f aca="false">IF(Presupuesto!$B$45='Flujo de Pagos'!$E207,45,9999)</f>
        <v>45</v>
      </c>
      <c r="BN207" s="0" t="n">
        <f aca="false">IF(Presupuesto!$B$46='Flujo de Pagos'!$E207,46,9999)</f>
        <v>46</v>
      </c>
      <c r="BO207" s="0" t="n">
        <f aca="false">IF(Presupuesto!$B$47='Flujo de Pagos'!$E207,47,9999)</f>
        <v>47</v>
      </c>
      <c r="BP207" s="0" t="n">
        <f aca="false">IF(Presupuesto!$B$48='Flujo de Pagos'!$E207,48,9999)</f>
        <v>48</v>
      </c>
      <c r="BQ207" s="0" t="n">
        <f aca="false">IF(Presupuesto!$B$49='Flujo de Pagos'!$E207,49,9999)</f>
        <v>49</v>
      </c>
      <c r="BR207" s="0" t="n">
        <f aca="false">IF(Presupuesto!$B$50='Flujo de Pagos'!$E207,50,9999)</f>
        <v>50</v>
      </c>
      <c r="BS207" s="0" t="n">
        <f aca="false">IF(Presupuesto!$B$51='Flujo de Pagos'!$E207,51,9999)</f>
        <v>51</v>
      </c>
      <c r="BT207" s="0" t="n">
        <f aca="false">IF(Presupuesto!$B$52='Flujo de Pagos'!$E207,52,9999)</f>
        <v>52</v>
      </c>
      <c r="BU207" s="0" t="n">
        <f aca="false">IF(Presupuesto!$B$53='Flujo de Pagos'!$E207,53,9999)</f>
        <v>53</v>
      </c>
      <c r="BV207" s="0" t="n">
        <f aca="false">IF(Presupuesto!$B$54='Flujo de Pagos'!$E207,54,9999)</f>
        <v>54</v>
      </c>
      <c r="BW207" s="0" t="n">
        <f aca="false">IF(Presupuesto!$B$55='Flujo de Pagos'!$E207,55,9999)</f>
        <v>55</v>
      </c>
      <c r="BX207" s="0" t="n">
        <f aca="false">IF(Presupuesto!$B$56='Flujo de Pagos'!$E207,56,9999)</f>
        <v>56</v>
      </c>
      <c r="BY207" s="0" t="n">
        <f aca="false">IF(Presupuesto!$B$57='Flujo de Pagos'!$E207,57,9999)</f>
        <v>57</v>
      </c>
      <c r="BZ207" s="0" t="n">
        <f aca="false">IF(Presupuesto!$B$58='Flujo de Pagos'!$E207,58,9999)</f>
        <v>58</v>
      </c>
      <c r="CA207" s="0" t="n">
        <f aca="false">IF(Presupuesto!$B$59='Flujo de Pagos'!$E207,59,9999)</f>
        <v>59</v>
      </c>
      <c r="CB207" s="0" t="n">
        <f aca="false">IF(Presupuesto!$B$60='Flujo de Pagos'!$E207,60,9999)</f>
        <v>60</v>
      </c>
      <c r="CC207" s="0" t="n">
        <f aca="false">IF(Presupuesto!$B$61='Flujo de Pagos'!$E207,61,9999)</f>
        <v>61</v>
      </c>
      <c r="CD207" s="0" t="n">
        <f aca="false">IF(Presupuesto!$B$62='Flujo de Pagos'!$E207,62,9999)</f>
        <v>62</v>
      </c>
      <c r="CE207" s="0" t="n">
        <f aca="false">IF(Presupuesto!$B$63='Flujo de Pagos'!$E207,63,9999)</f>
        <v>63</v>
      </c>
      <c r="CF207" s="0" t="n">
        <f aca="false">IF(Presupuesto!$B$64='Flujo de Pagos'!$E207,64,9999)</f>
        <v>64</v>
      </c>
      <c r="CG207" s="0" t="n">
        <f aca="false">IF(Presupuesto!$B$65='Flujo de Pagos'!$E207,65,9999)</f>
        <v>65</v>
      </c>
      <c r="CH207" s="0" t="n">
        <f aca="false">IF(Presupuesto!$B$66='Flujo de Pagos'!$E207,66,9999)</f>
        <v>66</v>
      </c>
    </row>
    <row r="208" customFormat="false" ht="15" hidden="false" customHeight="true" outlineLevel="0" collapsed="false">
      <c r="B208" s="1" t="n">
        <f aca="false">IF(AND('Flujo de Pagos'!E213=Carátula!$B$2,'Flujo de Pagos'!F213=Carátula!$B$4,'Flujo de Pagos'!H213&lt;&gt;""),213,99999)</f>
        <v>99999</v>
      </c>
      <c r="H208" s="1" t="n">
        <f aca="false">IF(SMALL($AA208:$CH208,1)&gt;=9999,"",INDEX(Presupuesto!$C:$C,SMALL($AA208:$CH208,1)))</f>
        <v>0</v>
      </c>
      <c r="I208" s="1" t="n">
        <f aca="false">IF(SMALL($AA208:$CH208,2)&gt;=9999,"",INDEX(Presupuesto!$C:$C,SMALL($AA208:$CH208,2)))</f>
        <v>0</v>
      </c>
      <c r="J208" s="1" t="n">
        <f aca="false">IF(SMALL($AA208:$CH208,3)&gt;=9999,"",INDEX(Presupuesto!$C:$C,SMALL($AA208:$CH208,3)))</f>
        <v>0</v>
      </c>
      <c r="K208" s="1" t="n">
        <f aca="false">IF(SMALL($AA208:$CH208,4)&gt;=9999,"",INDEX(Presupuesto!$C:$C,SMALL($AA208:$CH208,4)))</f>
        <v>0</v>
      </c>
      <c r="L208" s="1" t="n">
        <f aca="false">IF(SMALL($AA208:$CH208,5)&gt;=9999,"",INDEX(Presupuesto!$C:$C,SMALL($AA208:$CH208,5)))</f>
        <v>0</v>
      </c>
      <c r="M208" s="1" t="n">
        <f aca="false">IF(SMALL($AA208:$CH208,6)&gt;=9999,"",INDEX(Presupuesto!$C:$C,SMALL($AA208:$CH208,6)))</f>
        <v>0</v>
      </c>
      <c r="N208" s="1" t="n">
        <f aca="false">IF(SMALL($AA208:$CH208,7)&gt;=9999,"",INDEX(Presupuesto!$C:$C,SMALL($AA208:$CH208,7)))</f>
        <v>0</v>
      </c>
      <c r="O208" s="1" t="n">
        <f aca="false">IF(SMALL($AA208:$CH208,8)&gt;=9999,"",INDEX(Presupuesto!$C:$C,SMALL($AA208:$CH208,8)))</f>
        <v>0</v>
      </c>
      <c r="P208" s="1" t="n">
        <f aca="false">IF(SMALL($AA208:$CH208,9)&gt;=9999,"",INDEX(Presupuesto!$C:$C,SMALL($AA208:$CH208,9)))</f>
        <v>0</v>
      </c>
      <c r="Q208" s="1" t="n">
        <f aca="false">IF(SMALL($AA208:$CH208,10)&gt;=9999,"",INDEX(Presupuesto!$C:$C,SMALL($AA208:$CH208,10)))</f>
        <v>0</v>
      </c>
      <c r="AA208" s="0" t="n">
        <f aca="false">IF(Presupuesto!$B$7='Flujo de Pagos'!$E208,7,9999)</f>
        <v>9999</v>
      </c>
      <c r="AB208" s="0" t="n">
        <f aca="false">IF(Presupuesto!$B$8='Flujo de Pagos'!$E208,8,9999)</f>
        <v>9999</v>
      </c>
      <c r="AC208" s="0" t="n">
        <f aca="false">IF(Presupuesto!$B$9='Flujo de Pagos'!$E208,9,9999)</f>
        <v>9999</v>
      </c>
      <c r="AD208" s="0" t="n">
        <f aca="false">IF(Presupuesto!$B$10='Flujo de Pagos'!$E208,10,9999)</f>
        <v>9999</v>
      </c>
      <c r="AE208" s="0" t="n">
        <f aca="false">IF(Presupuesto!$B$11='Flujo de Pagos'!$E208,11,9999)</f>
        <v>9999</v>
      </c>
      <c r="AF208" s="0" t="n">
        <f aca="false">IF(Presupuesto!$B$12='Flujo de Pagos'!$E208,12,9999)</f>
        <v>12</v>
      </c>
      <c r="AG208" s="0" t="n">
        <f aca="false">IF(Presupuesto!$B$13='Flujo de Pagos'!$E208,13,9999)</f>
        <v>13</v>
      </c>
      <c r="AH208" s="0" t="n">
        <f aca="false">IF(Presupuesto!$B$14='Flujo de Pagos'!$E208,14,9999)</f>
        <v>14</v>
      </c>
      <c r="AI208" s="0" t="n">
        <f aca="false">IF(Presupuesto!$B$15='Flujo de Pagos'!$E208,15,9999)</f>
        <v>15</v>
      </c>
      <c r="AJ208" s="0" t="n">
        <f aca="false">IF(Presupuesto!$B$16='Flujo de Pagos'!$E208,16,9999)</f>
        <v>16</v>
      </c>
      <c r="AK208" s="0" t="n">
        <f aca="false">IF(Presupuesto!$B$17='Flujo de Pagos'!$E208,17,9999)</f>
        <v>17</v>
      </c>
      <c r="AL208" s="0" t="n">
        <f aca="false">IF(Presupuesto!$B$18='Flujo de Pagos'!$E208,18,9999)</f>
        <v>18</v>
      </c>
      <c r="AM208" s="0" t="n">
        <f aca="false">IF(Presupuesto!$B$19='Flujo de Pagos'!$E208,19,9999)</f>
        <v>19</v>
      </c>
      <c r="AN208" s="0" t="n">
        <f aca="false">IF(Presupuesto!$B$20='Flujo de Pagos'!$E208,20,9999)</f>
        <v>20</v>
      </c>
      <c r="AO208" s="0" t="n">
        <f aca="false">IF(Presupuesto!$B$21='Flujo de Pagos'!$E208,21,9999)</f>
        <v>21</v>
      </c>
      <c r="AP208" s="0" t="n">
        <f aca="false">IF(Presupuesto!$B$22='Flujo de Pagos'!$E208,22,9999)</f>
        <v>22</v>
      </c>
      <c r="AQ208" s="0" t="n">
        <f aca="false">IF(Presupuesto!$B$23='Flujo de Pagos'!$E208,23,9999)</f>
        <v>23</v>
      </c>
      <c r="AR208" s="0" t="n">
        <f aca="false">IF(Presupuesto!$B$24='Flujo de Pagos'!$E208,24,9999)</f>
        <v>24</v>
      </c>
      <c r="AS208" s="0" t="n">
        <f aca="false">IF(Presupuesto!$B$25='Flujo de Pagos'!$E208,25,9999)</f>
        <v>25</v>
      </c>
      <c r="AT208" s="0" t="n">
        <f aca="false">IF(Presupuesto!$B$26='Flujo de Pagos'!$E208,26,9999)</f>
        <v>26</v>
      </c>
      <c r="AU208" s="0" t="n">
        <f aca="false">IF(Presupuesto!$B$27='Flujo de Pagos'!$E208,27,9999)</f>
        <v>27</v>
      </c>
      <c r="AV208" s="0" t="n">
        <f aca="false">IF(Presupuesto!$B$28='Flujo de Pagos'!$E208,28,9999)</f>
        <v>28</v>
      </c>
      <c r="AW208" s="0" t="n">
        <f aca="false">IF(Presupuesto!$B$29='Flujo de Pagos'!$E208,29,9999)</f>
        <v>29</v>
      </c>
      <c r="AX208" s="0" t="n">
        <f aca="false">IF(Presupuesto!$B$30='Flujo de Pagos'!$E208,30,9999)</f>
        <v>30</v>
      </c>
      <c r="AY208" s="0" t="n">
        <f aca="false">IF(Presupuesto!$B$31='Flujo de Pagos'!$E208,31,9999)</f>
        <v>31</v>
      </c>
      <c r="AZ208" s="0" t="n">
        <f aca="false">IF(Presupuesto!$B$32='Flujo de Pagos'!$E208,32,9999)</f>
        <v>32</v>
      </c>
      <c r="BA208" s="0" t="n">
        <f aca="false">IF(Presupuesto!$B$33='Flujo de Pagos'!$E208,33,9999)</f>
        <v>33</v>
      </c>
      <c r="BB208" s="0" t="n">
        <f aca="false">IF(Presupuesto!$B$34='Flujo de Pagos'!$E208,34,9999)</f>
        <v>34</v>
      </c>
      <c r="BC208" s="0" t="n">
        <f aca="false">IF(Presupuesto!$B$35='Flujo de Pagos'!$E208,35,9999)</f>
        <v>35</v>
      </c>
      <c r="BD208" s="0" t="n">
        <f aca="false">IF(Presupuesto!$B$36='Flujo de Pagos'!$E208,36,9999)</f>
        <v>36</v>
      </c>
      <c r="BE208" s="0" t="n">
        <f aca="false">IF(Presupuesto!$B$37='Flujo de Pagos'!$E208,37,9999)</f>
        <v>37</v>
      </c>
      <c r="BF208" s="0" t="n">
        <f aca="false">IF(Presupuesto!$B$38='Flujo de Pagos'!$E208,38,9999)</f>
        <v>38</v>
      </c>
      <c r="BG208" s="0" t="n">
        <f aca="false">IF(Presupuesto!$B$39='Flujo de Pagos'!$E208,39,9999)</f>
        <v>39</v>
      </c>
      <c r="BH208" s="0" t="n">
        <f aca="false">IF(Presupuesto!$B$40='Flujo de Pagos'!$E208,40,9999)</f>
        <v>40</v>
      </c>
      <c r="BI208" s="0" t="n">
        <f aca="false">IF(Presupuesto!$B$41='Flujo de Pagos'!$E208,41,9999)</f>
        <v>41</v>
      </c>
      <c r="BJ208" s="0" t="n">
        <f aca="false">IF(Presupuesto!$B$42='Flujo de Pagos'!$E208,42,9999)</f>
        <v>42</v>
      </c>
      <c r="BK208" s="0" t="n">
        <f aca="false">IF(Presupuesto!$B$43='Flujo de Pagos'!$E208,43,9999)</f>
        <v>43</v>
      </c>
      <c r="BL208" s="0" t="n">
        <f aca="false">IF(Presupuesto!$B$44='Flujo de Pagos'!$E208,44,9999)</f>
        <v>44</v>
      </c>
      <c r="BM208" s="0" t="n">
        <f aca="false">IF(Presupuesto!$B$45='Flujo de Pagos'!$E208,45,9999)</f>
        <v>45</v>
      </c>
      <c r="BN208" s="0" t="n">
        <f aca="false">IF(Presupuesto!$B$46='Flujo de Pagos'!$E208,46,9999)</f>
        <v>46</v>
      </c>
      <c r="BO208" s="0" t="n">
        <f aca="false">IF(Presupuesto!$B$47='Flujo de Pagos'!$E208,47,9999)</f>
        <v>47</v>
      </c>
      <c r="BP208" s="0" t="n">
        <f aca="false">IF(Presupuesto!$B$48='Flujo de Pagos'!$E208,48,9999)</f>
        <v>48</v>
      </c>
      <c r="BQ208" s="0" t="n">
        <f aca="false">IF(Presupuesto!$B$49='Flujo de Pagos'!$E208,49,9999)</f>
        <v>49</v>
      </c>
      <c r="BR208" s="0" t="n">
        <f aca="false">IF(Presupuesto!$B$50='Flujo de Pagos'!$E208,50,9999)</f>
        <v>50</v>
      </c>
      <c r="BS208" s="0" t="n">
        <f aca="false">IF(Presupuesto!$B$51='Flujo de Pagos'!$E208,51,9999)</f>
        <v>51</v>
      </c>
      <c r="BT208" s="0" t="n">
        <f aca="false">IF(Presupuesto!$B$52='Flujo de Pagos'!$E208,52,9999)</f>
        <v>52</v>
      </c>
      <c r="BU208" s="0" t="n">
        <f aca="false">IF(Presupuesto!$B$53='Flujo de Pagos'!$E208,53,9999)</f>
        <v>53</v>
      </c>
      <c r="BV208" s="0" t="n">
        <f aca="false">IF(Presupuesto!$B$54='Flujo de Pagos'!$E208,54,9999)</f>
        <v>54</v>
      </c>
      <c r="BW208" s="0" t="n">
        <f aca="false">IF(Presupuesto!$B$55='Flujo de Pagos'!$E208,55,9999)</f>
        <v>55</v>
      </c>
      <c r="BX208" s="0" t="n">
        <f aca="false">IF(Presupuesto!$B$56='Flujo de Pagos'!$E208,56,9999)</f>
        <v>56</v>
      </c>
      <c r="BY208" s="0" t="n">
        <f aca="false">IF(Presupuesto!$B$57='Flujo de Pagos'!$E208,57,9999)</f>
        <v>57</v>
      </c>
      <c r="BZ208" s="0" t="n">
        <f aca="false">IF(Presupuesto!$B$58='Flujo de Pagos'!$E208,58,9999)</f>
        <v>58</v>
      </c>
      <c r="CA208" s="0" t="n">
        <f aca="false">IF(Presupuesto!$B$59='Flujo de Pagos'!$E208,59,9999)</f>
        <v>59</v>
      </c>
      <c r="CB208" s="0" t="n">
        <f aca="false">IF(Presupuesto!$B$60='Flujo de Pagos'!$E208,60,9999)</f>
        <v>60</v>
      </c>
      <c r="CC208" s="0" t="n">
        <f aca="false">IF(Presupuesto!$B$61='Flujo de Pagos'!$E208,61,9999)</f>
        <v>61</v>
      </c>
      <c r="CD208" s="0" t="n">
        <f aca="false">IF(Presupuesto!$B$62='Flujo de Pagos'!$E208,62,9999)</f>
        <v>62</v>
      </c>
      <c r="CE208" s="0" t="n">
        <f aca="false">IF(Presupuesto!$B$63='Flujo de Pagos'!$E208,63,9999)</f>
        <v>63</v>
      </c>
      <c r="CF208" s="0" t="n">
        <f aca="false">IF(Presupuesto!$B$64='Flujo de Pagos'!$E208,64,9999)</f>
        <v>64</v>
      </c>
      <c r="CG208" s="0" t="n">
        <f aca="false">IF(Presupuesto!$B$65='Flujo de Pagos'!$E208,65,9999)</f>
        <v>65</v>
      </c>
      <c r="CH208" s="0" t="n">
        <f aca="false">IF(Presupuesto!$B$66='Flujo de Pagos'!$E208,66,9999)</f>
        <v>66</v>
      </c>
    </row>
    <row r="209" customFormat="false" ht="15" hidden="false" customHeight="true" outlineLevel="0" collapsed="false">
      <c r="B209" s="1" t="n">
        <f aca="false">IF(AND('Flujo de Pagos'!E214=Carátula!$B$2,'Flujo de Pagos'!F214=Carátula!$B$4,'Flujo de Pagos'!H214&lt;&gt;""),214,99999)</f>
        <v>99999</v>
      </c>
      <c r="H209" s="1" t="n">
        <f aca="false">IF(SMALL($AA209:$CH209,1)&gt;=9999,"",INDEX(Presupuesto!$C:$C,SMALL($AA209:$CH209,1)))</f>
        <v>0</v>
      </c>
      <c r="I209" s="1" t="n">
        <f aca="false">IF(SMALL($AA209:$CH209,2)&gt;=9999,"",INDEX(Presupuesto!$C:$C,SMALL($AA209:$CH209,2)))</f>
        <v>0</v>
      </c>
      <c r="J209" s="1" t="n">
        <f aca="false">IF(SMALL($AA209:$CH209,3)&gt;=9999,"",INDEX(Presupuesto!$C:$C,SMALL($AA209:$CH209,3)))</f>
        <v>0</v>
      </c>
      <c r="K209" s="1" t="n">
        <f aca="false">IF(SMALL($AA209:$CH209,4)&gt;=9999,"",INDEX(Presupuesto!$C:$C,SMALL($AA209:$CH209,4)))</f>
        <v>0</v>
      </c>
      <c r="L209" s="1" t="n">
        <f aca="false">IF(SMALL($AA209:$CH209,5)&gt;=9999,"",INDEX(Presupuesto!$C:$C,SMALL($AA209:$CH209,5)))</f>
        <v>0</v>
      </c>
      <c r="M209" s="1" t="n">
        <f aca="false">IF(SMALL($AA209:$CH209,6)&gt;=9999,"",INDEX(Presupuesto!$C:$C,SMALL($AA209:$CH209,6)))</f>
        <v>0</v>
      </c>
      <c r="N209" s="1" t="n">
        <f aca="false">IF(SMALL($AA209:$CH209,7)&gt;=9999,"",INDEX(Presupuesto!$C:$C,SMALL($AA209:$CH209,7)))</f>
        <v>0</v>
      </c>
      <c r="O209" s="1" t="n">
        <f aca="false">IF(SMALL($AA209:$CH209,8)&gt;=9999,"",INDEX(Presupuesto!$C:$C,SMALL($AA209:$CH209,8)))</f>
        <v>0</v>
      </c>
      <c r="P209" s="1" t="n">
        <f aca="false">IF(SMALL($AA209:$CH209,9)&gt;=9999,"",INDEX(Presupuesto!$C:$C,SMALL($AA209:$CH209,9)))</f>
        <v>0</v>
      </c>
      <c r="Q209" s="1" t="n">
        <f aca="false">IF(SMALL($AA209:$CH209,10)&gt;=9999,"",INDEX(Presupuesto!$C:$C,SMALL($AA209:$CH209,10)))</f>
        <v>0</v>
      </c>
      <c r="AA209" s="0" t="n">
        <f aca="false">IF(Presupuesto!$B$7='Flujo de Pagos'!$E209,7,9999)</f>
        <v>9999</v>
      </c>
      <c r="AB209" s="0" t="n">
        <f aca="false">IF(Presupuesto!$B$8='Flujo de Pagos'!$E209,8,9999)</f>
        <v>9999</v>
      </c>
      <c r="AC209" s="0" t="n">
        <f aca="false">IF(Presupuesto!$B$9='Flujo de Pagos'!$E209,9,9999)</f>
        <v>9999</v>
      </c>
      <c r="AD209" s="0" t="n">
        <f aca="false">IF(Presupuesto!$B$10='Flujo de Pagos'!$E209,10,9999)</f>
        <v>9999</v>
      </c>
      <c r="AE209" s="0" t="n">
        <f aca="false">IF(Presupuesto!$B$11='Flujo de Pagos'!$E209,11,9999)</f>
        <v>9999</v>
      </c>
      <c r="AF209" s="0" t="n">
        <f aca="false">IF(Presupuesto!$B$12='Flujo de Pagos'!$E209,12,9999)</f>
        <v>12</v>
      </c>
      <c r="AG209" s="0" t="n">
        <f aca="false">IF(Presupuesto!$B$13='Flujo de Pagos'!$E209,13,9999)</f>
        <v>13</v>
      </c>
      <c r="AH209" s="0" t="n">
        <f aca="false">IF(Presupuesto!$B$14='Flujo de Pagos'!$E209,14,9999)</f>
        <v>14</v>
      </c>
      <c r="AI209" s="0" t="n">
        <f aca="false">IF(Presupuesto!$B$15='Flujo de Pagos'!$E209,15,9999)</f>
        <v>15</v>
      </c>
      <c r="AJ209" s="0" t="n">
        <f aca="false">IF(Presupuesto!$B$16='Flujo de Pagos'!$E209,16,9999)</f>
        <v>16</v>
      </c>
      <c r="AK209" s="0" t="n">
        <f aca="false">IF(Presupuesto!$B$17='Flujo de Pagos'!$E209,17,9999)</f>
        <v>17</v>
      </c>
      <c r="AL209" s="0" t="n">
        <f aca="false">IF(Presupuesto!$B$18='Flujo de Pagos'!$E209,18,9999)</f>
        <v>18</v>
      </c>
      <c r="AM209" s="0" t="n">
        <f aca="false">IF(Presupuesto!$B$19='Flujo de Pagos'!$E209,19,9999)</f>
        <v>19</v>
      </c>
      <c r="AN209" s="0" t="n">
        <f aca="false">IF(Presupuesto!$B$20='Flujo de Pagos'!$E209,20,9999)</f>
        <v>20</v>
      </c>
      <c r="AO209" s="0" t="n">
        <f aca="false">IF(Presupuesto!$B$21='Flujo de Pagos'!$E209,21,9999)</f>
        <v>21</v>
      </c>
      <c r="AP209" s="0" t="n">
        <f aca="false">IF(Presupuesto!$B$22='Flujo de Pagos'!$E209,22,9999)</f>
        <v>22</v>
      </c>
      <c r="AQ209" s="0" t="n">
        <f aca="false">IF(Presupuesto!$B$23='Flujo de Pagos'!$E209,23,9999)</f>
        <v>23</v>
      </c>
      <c r="AR209" s="0" t="n">
        <f aca="false">IF(Presupuesto!$B$24='Flujo de Pagos'!$E209,24,9999)</f>
        <v>24</v>
      </c>
      <c r="AS209" s="0" t="n">
        <f aca="false">IF(Presupuesto!$B$25='Flujo de Pagos'!$E209,25,9999)</f>
        <v>25</v>
      </c>
      <c r="AT209" s="0" t="n">
        <f aca="false">IF(Presupuesto!$B$26='Flujo de Pagos'!$E209,26,9999)</f>
        <v>26</v>
      </c>
      <c r="AU209" s="0" t="n">
        <f aca="false">IF(Presupuesto!$B$27='Flujo de Pagos'!$E209,27,9999)</f>
        <v>27</v>
      </c>
      <c r="AV209" s="0" t="n">
        <f aca="false">IF(Presupuesto!$B$28='Flujo de Pagos'!$E209,28,9999)</f>
        <v>28</v>
      </c>
      <c r="AW209" s="0" t="n">
        <f aca="false">IF(Presupuesto!$B$29='Flujo de Pagos'!$E209,29,9999)</f>
        <v>29</v>
      </c>
      <c r="AX209" s="0" t="n">
        <f aca="false">IF(Presupuesto!$B$30='Flujo de Pagos'!$E209,30,9999)</f>
        <v>30</v>
      </c>
      <c r="AY209" s="0" t="n">
        <f aca="false">IF(Presupuesto!$B$31='Flujo de Pagos'!$E209,31,9999)</f>
        <v>31</v>
      </c>
      <c r="AZ209" s="0" t="n">
        <f aca="false">IF(Presupuesto!$B$32='Flujo de Pagos'!$E209,32,9999)</f>
        <v>32</v>
      </c>
      <c r="BA209" s="0" t="n">
        <f aca="false">IF(Presupuesto!$B$33='Flujo de Pagos'!$E209,33,9999)</f>
        <v>33</v>
      </c>
      <c r="BB209" s="0" t="n">
        <f aca="false">IF(Presupuesto!$B$34='Flujo de Pagos'!$E209,34,9999)</f>
        <v>34</v>
      </c>
      <c r="BC209" s="0" t="n">
        <f aca="false">IF(Presupuesto!$B$35='Flujo de Pagos'!$E209,35,9999)</f>
        <v>35</v>
      </c>
      <c r="BD209" s="0" t="n">
        <f aca="false">IF(Presupuesto!$B$36='Flujo de Pagos'!$E209,36,9999)</f>
        <v>36</v>
      </c>
      <c r="BE209" s="0" t="n">
        <f aca="false">IF(Presupuesto!$B$37='Flujo de Pagos'!$E209,37,9999)</f>
        <v>37</v>
      </c>
      <c r="BF209" s="0" t="n">
        <f aca="false">IF(Presupuesto!$B$38='Flujo de Pagos'!$E209,38,9999)</f>
        <v>38</v>
      </c>
      <c r="BG209" s="0" t="n">
        <f aca="false">IF(Presupuesto!$B$39='Flujo de Pagos'!$E209,39,9999)</f>
        <v>39</v>
      </c>
      <c r="BH209" s="0" t="n">
        <f aca="false">IF(Presupuesto!$B$40='Flujo de Pagos'!$E209,40,9999)</f>
        <v>40</v>
      </c>
      <c r="BI209" s="0" t="n">
        <f aca="false">IF(Presupuesto!$B$41='Flujo de Pagos'!$E209,41,9999)</f>
        <v>41</v>
      </c>
      <c r="BJ209" s="0" t="n">
        <f aca="false">IF(Presupuesto!$B$42='Flujo de Pagos'!$E209,42,9999)</f>
        <v>42</v>
      </c>
      <c r="BK209" s="0" t="n">
        <f aca="false">IF(Presupuesto!$B$43='Flujo de Pagos'!$E209,43,9999)</f>
        <v>43</v>
      </c>
      <c r="BL209" s="0" t="n">
        <f aca="false">IF(Presupuesto!$B$44='Flujo de Pagos'!$E209,44,9999)</f>
        <v>44</v>
      </c>
      <c r="BM209" s="0" t="n">
        <f aca="false">IF(Presupuesto!$B$45='Flujo de Pagos'!$E209,45,9999)</f>
        <v>45</v>
      </c>
      <c r="BN209" s="0" t="n">
        <f aca="false">IF(Presupuesto!$B$46='Flujo de Pagos'!$E209,46,9999)</f>
        <v>46</v>
      </c>
      <c r="BO209" s="0" t="n">
        <f aca="false">IF(Presupuesto!$B$47='Flujo de Pagos'!$E209,47,9999)</f>
        <v>47</v>
      </c>
      <c r="BP209" s="0" t="n">
        <f aca="false">IF(Presupuesto!$B$48='Flujo de Pagos'!$E209,48,9999)</f>
        <v>48</v>
      </c>
      <c r="BQ209" s="0" t="n">
        <f aca="false">IF(Presupuesto!$B$49='Flujo de Pagos'!$E209,49,9999)</f>
        <v>49</v>
      </c>
      <c r="BR209" s="0" t="n">
        <f aca="false">IF(Presupuesto!$B$50='Flujo de Pagos'!$E209,50,9999)</f>
        <v>50</v>
      </c>
      <c r="BS209" s="0" t="n">
        <f aca="false">IF(Presupuesto!$B$51='Flujo de Pagos'!$E209,51,9999)</f>
        <v>51</v>
      </c>
      <c r="BT209" s="0" t="n">
        <f aca="false">IF(Presupuesto!$B$52='Flujo de Pagos'!$E209,52,9999)</f>
        <v>52</v>
      </c>
      <c r="BU209" s="0" t="n">
        <f aca="false">IF(Presupuesto!$B$53='Flujo de Pagos'!$E209,53,9999)</f>
        <v>53</v>
      </c>
      <c r="BV209" s="0" t="n">
        <f aca="false">IF(Presupuesto!$B$54='Flujo de Pagos'!$E209,54,9999)</f>
        <v>54</v>
      </c>
      <c r="BW209" s="0" t="n">
        <f aca="false">IF(Presupuesto!$B$55='Flujo de Pagos'!$E209,55,9999)</f>
        <v>55</v>
      </c>
      <c r="BX209" s="0" t="n">
        <f aca="false">IF(Presupuesto!$B$56='Flujo de Pagos'!$E209,56,9999)</f>
        <v>56</v>
      </c>
      <c r="BY209" s="0" t="n">
        <f aca="false">IF(Presupuesto!$B$57='Flujo de Pagos'!$E209,57,9999)</f>
        <v>57</v>
      </c>
      <c r="BZ209" s="0" t="n">
        <f aca="false">IF(Presupuesto!$B$58='Flujo de Pagos'!$E209,58,9999)</f>
        <v>58</v>
      </c>
      <c r="CA209" s="0" t="n">
        <f aca="false">IF(Presupuesto!$B$59='Flujo de Pagos'!$E209,59,9999)</f>
        <v>59</v>
      </c>
      <c r="CB209" s="0" t="n">
        <f aca="false">IF(Presupuesto!$B$60='Flujo de Pagos'!$E209,60,9999)</f>
        <v>60</v>
      </c>
      <c r="CC209" s="0" t="n">
        <f aca="false">IF(Presupuesto!$B$61='Flujo de Pagos'!$E209,61,9999)</f>
        <v>61</v>
      </c>
      <c r="CD209" s="0" t="n">
        <f aca="false">IF(Presupuesto!$B$62='Flujo de Pagos'!$E209,62,9999)</f>
        <v>62</v>
      </c>
      <c r="CE209" s="0" t="n">
        <f aca="false">IF(Presupuesto!$B$63='Flujo de Pagos'!$E209,63,9999)</f>
        <v>63</v>
      </c>
      <c r="CF209" s="0" t="n">
        <f aca="false">IF(Presupuesto!$B$64='Flujo de Pagos'!$E209,64,9999)</f>
        <v>64</v>
      </c>
      <c r="CG209" s="0" t="n">
        <f aca="false">IF(Presupuesto!$B$65='Flujo de Pagos'!$E209,65,9999)</f>
        <v>65</v>
      </c>
      <c r="CH209" s="0" t="n">
        <f aca="false">IF(Presupuesto!$B$66='Flujo de Pagos'!$E209,66,9999)</f>
        <v>66</v>
      </c>
    </row>
    <row r="210" customFormat="false" ht="15" hidden="false" customHeight="true" outlineLevel="0" collapsed="false">
      <c r="B210" s="1" t="n">
        <f aca="false">IF(AND('Flujo de Pagos'!E215=Carátula!$B$2,'Flujo de Pagos'!F215=Carátula!$B$4,'Flujo de Pagos'!H215&lt;&gt;""),215,99999)</f>
        <v>99999</v>
      </c>
      <c r="H210" s="1" t="n">
        <f aca="false">IF(SMALL($AA210:$CH210,1)&gt;=9999,"",INDEX(Presupuesto!$C:$C,SMALL($AA210:$CH210,1)))</f>
        <v>0</v>
      </c>
      <c r="I210" s="1" t="n">
        <f aca="false">IF(SMALL($AA210:$CH210,2)&gt;=9999,"",INDEX(Presupuesto!$C:$C,SMALL($AA210:$CH210,2)))</f>
        <v>0</v>
      </c>
      <c r="J210" s="1" t="n">
        <f aca="false">IF(SMALL($AA210:$CH210,3)&gt;=9999,"",INDEX(Presupuesto!$C:$C,SMALL($AA210:$CH210,3)))</f>
        <v>0</v>
      </c>
      <c r="K210" s="1" t="n">
        <f aca="false">IF(SMALL($AA210:$CH210,4)&gt;=9999,"",INDEX(Presupuesto!$C:$C,SMALL($AA210:$CH210,4)))</f>
        <v>0</v>
      </c>
      <c r="L210" s="1" t="n">
        <f aca="false">IF(SMALL($AA210:$CH210,5)&gt;=9999,"",INDEX(Presupuesto!$C:$C,SMALL($AA210:$CH210,5)))</f>
        <v>0</v>
      </c>
      <c r="M210" s="1" t="n">
        <f aca="false">IF(SMALL($AA210:$CH210,6)&gt;=9999,"",INDEX(Presupuesto!$C:$C,SMALL($AA210:$CH210,6)))</f>
        <v>0</v>
      </c>
      <c r="N210" s="1" t="n">
        <f aca="false">IF(SMALL($AA210:$CH210,7)&gt;=9999,"",INDEX(Presupuesto!$C:$C,SMALL($AA210:$CH210,7)))</f>
        <v>0</v>
      </c>
      <c r="O210" s="1" t="n">
        <f aca="false">IF(SMALL($AA210:$CH210,8)&gt;=9999,"",INDEX(Presupuesto!$C:$C,SMALL($AA210:$CH210,8)))</f>
        <v>0</v>
      </c>
      <c r="P210" s="1" t="n">
        <f aca="false">IF(SMALL($AA210:$CH210,9)&gt;=9999,"",INDEX(Presupuesto!$C:$C,SMALL($AA210:$CH210,9)))</f>
        <v>0</v>
      </c>
      <c r="Q210" s="1" t="n">
        <f aca="false">IF(SMALL($AA210:$CH210,10)&gt;=9999,"",INDEX(Presupuesto!$C:$C,SMALL($AA210:$CH210,10)))</f>
        <v>0</v>
      </c>
      <c r="AA210" s="0" t="n">
        <f aca="false">IF(Presupuesto!$B$7='Flujo de Pagos'!$E210,7,9999)</f>
        <v>9999</v>
      </c>
      <c r="AB210" s="0" t="n">
        <f aca="false">IF(Presupuesto!$B$8='Flujo de Pagos'!$E210,8,9999)</f>
        <v>9999</v>
      </c>
      <c r="AC210" s="0" t="n">
        <f aca="false">IF(Presupuesto!$B$9='Flujo de Pagos'!$E210,9,9999)</f>
        <v>9999</v>
      </c>
      <c r="AD210" s="0" t="n">
        <f aca="false">IF(Presupuesto!$B$10='Flujo de Pagos'!$E210,10,9999)</f>
        <v>9999</v>
      </c>
      <c r="AE210" s="0" t="n">
        <f aca="false">IF(Presupuesto!$B$11='Flujo de Pagos'!$E210,11,9999)</f>
        <v>9999</v>
      </c>
      <c r="AF210" s="0" t="n">
        <f aca="false">IF(Presupuesto!$B$12='Flujo de Pagos'!$E210,12,9999)</f>
        <v>12</v>
      </c>
      <c r="AG210" s="0" t="n">
        <f aca="false">IF(Presupuesto!$B$13='Flujo de Pagos'!$E210,13,9999)</f>
        <v>13</v>
      </c>
      <c r="AH210" s="0" t="n">
        <f aca="false">IF(Presupuesto!$B$14='Flujo de Pagos'!$E210,14,9999)</f>
        <v>14</v>
      </c>
      <c r="AI210" s="0" t="n">
        <f aca="false">IF(Presupuesto!$B$15='Flujo de Pagos'!$E210,15,9999)</f>
        <v>15</v>
      </c>
      <c r="AJ210" s="0" t="n">
        <f aca="false">IF(Presupuesto!$B$16='Flujo de Pagos'!$E210,16,9999)</f>
        <v>16</v>
      </c>
      <c r="AK210" s="0" t="n">
        <f aca="false">IF(Presupuesto!$B$17='Flujo de Pagos'!$E210,17,9999)</f>
        <v>17</v>
      </c>
      <c r="AL210" s="0" t="n">
        <f aca="false">IF(Presupuesto!$B$18='Flujo de Pagos'!$E210,18,9999)</f>
        <v>18</v>
      </c>
      <c r="AM210" s="0" t="n">
        <f aca="false">IF(Presupuesto!$B$19='Flujo de Pagos'!$E210,19,9999)</f>
        <v>19</v>
      </c>
      <c r="AN210" s="0" t="n">
        <f aca="false">IF(Presupuesto!$B$20='Flujo de Pagos'!$E210,20,9999)</f>
        <v>20</v>
      </c>
      <c r="AO210" s="0" t="n">
        <f aca="false">IF(Presupuesto!$B$21='Flujo de Pagos'!$E210,21,9999)</f>
        <v>21</v>
      </c>
      <c r="AP210" s="0" t="n">
        <f aca="false">IF(Presupuesto!$B$22='Flujo de Pagos'!$E210,22,9999)</f>
        <v>22</v>
      </c>
      <c r="AQ210" s="0" t="n">
        <f aca="false">IF(Presupuesto!$B$23='Flujo de Pagos'!$E210,23,9999)</f>
        <v>23</v>
      </c>
      <c r="AR210" s="0" t="n">
        <f aca="false">IF(Presupuesto!$B$24='Flujo de Pagos'!$E210,24,9999)</f>
        <v>24</v>
      </c>
      <c r="AS210" s="0" t="n">
        <f aca="false">IF(Presupuesto!$B$25='Flujo de Pagos'!$E210,25,9999)</f>
        <v>25</v>
      </c>
      <c r="AT210" s="0" t="n">
        <f aca="false">IF(Presupuesto!$B$26='Flujo de Pagos'!$E210,26,9999)</f>
        <v>26</v>
      </c>
      <c r="AU210" s="0" t="n">
        <f aca="false">IF(Presupuesto!$B$27='Flujo de Pagos'!$E210,27,9999)</f>
        <v>27</v>
      </c>
      <c r="AV210" s="0" t="n">
        <f aca="false">IF(Presupuesto!$B$28='Flujo de Pagos'!$E210,28,9999)</f>
        <v>28</v>
      </c>
      <c r="AW210" s="0" t="n">
        <f aca="false">IF(Presupuesto!$B$29='Flujo de Pagos'!$E210,29,9999)</f>
        <v>29</v>
      </c>
      <c r="AX210" s="0" t="n">
        <f aca="false">IF(Presupuesto!$B$30='Flujo de Pagos'!$E210,30,9999)</f>
        <v>30</v>
      </c>
      <c r="AY210" s="0" t="n">
        <f aca="false">IF(Presupuesto!$B$31='Flujo de Pagos'!$E210,31,9999)</f>
        <v>31</v>
      </c>
      <c r="AZ210" s="0" t="n">
        <f aca="false">IF(Presupuesto!$B$32='Flujo de Pagos'!$E210,32,9999)</f>
        <v>32</v>
      </c>
      <c r="BA210" s="0" t="n">
        <f aca="false">IF(Presupuesto!$B$33='Flujo de Pagos'!$E210,33,9999)</f>
        <v>33</v>
      </c>
      <c r="BB210" s="0" t="n">
        <f aca="false">IF(Presupuesto!$B$34='Flujo de Pagos'!$E210,34,9999)</f>
        <v>34</v>
      </c>
      <c r="BC210" s="0" t="n">
        <f aca="false">IF(Presupuesto!$B$35='Flujo de Pagos'!$E210,35,9999)</f>
        <v>35</v>
      </c>
      <c r="BD210" s="0" t="n">
        <f aca="false">IF(Presupuesto!$B$36='Flujo de Pagos'!$E210,36,9999)</f>
        <v>36</v>
      </c>
      <c r="BE210" s="0" t="n">
        <f aca="false">IF(Presupuesto!$B$37='Flujo de Pagos'!$E210,37,9999)</f>
        <v>37</v>
      </c>
      <c r="BF210" s="0" t="n">
        <f aca="false">IF(Presupuesto!$B$38='Flujo de Pagos'!$E210,38,9999)</f>
        <v>38</v>
      </c>
      <c r="BG210" s="0" t="n">
        <f aca="false">IF(Presupuesto!$B$39='Flujo de Pagos'!$E210,39,9999)</f>
        <v>39</v>
      </c>
      <c r="BH210" s="0" t="n">
        <f aca="false">IF(Presupuesto!$B$40='Flujo de Pagos'!$E210,40,9999)</f>
        <v>40</v>
      </c>
      <c r="BI210" s="0" t="n">
        <f aca="false">IF(Presupuesto!$B$41='Flujo de Pagos'!$E210,41,9999)</f>
        <v>41</v>
      </c>
      <c r="BJ210" s="0" t="n">
        <f aca="false">IF(Presupuesto!$B$42='Flujo de Pagos'!$E210,42,9999)</f>
        <v>42</v>
      </c>
      <c r="BK210" s="0" t="n">
        <f aca="false">IF(Presupuesto!$B$43='Flujo de Pagos'!$E210,43,9999)</f>
        <v>43</v>
      </c>
      <c r="BL210" s="0" t="n">
        <f aca="false">IF(Presupuesto!$B$44='Flujo de Pagos'!$E210,44,9999)</f>
        <v>44</v>
      </c>
      <c r="BM210" s="0" t="n">
        <f aca="false">IF(Presupuesto!$B$45='Flujo de Pagos'!$E210,45,9999)</f>
        <v>45</v>
      </c>
      <c r="BN210" s="0" t="n">
        <f aca="false">IF(Presupuesto!$B$46='Flujo de Pagos'!$E210,46,9999)</f>
        <v>46</v>
      </c>
      <c r="BO210" s="0" t="n">
        <f aca="false">IF(Presupuesto!$B$47='Flujo de Pagos'!$E210,47,9999)</f>
        <v>47</v>
      </c>
      <c r="BP210" s="0" t="n">
        <f aca="false">IF(Presupuesto!$B$48='Flujo de Pagos'!$E210,48,9999)</f>
        <v>48</v>
      </c>
      <c r="BQ210" s="0" t="n">
        <f aca="false">IF(Presupuesto!$B$49='Flujo de Pagos'!$E210,49,9999)</f>
        <v>49</v>
      </c>
      <c r="BR210" s="0" t="n">
        <f aca="false">IF(Presupuesto!$B$50='Flujo de Pagos'!$E210,50,9999)</f>
        <v>50</v>
      </c>
      <c r="BS210" s="0" t="n">
        <f aca="false">IF(Presupuesto!$B$51='Flujo de Pagos'!$E210,51,9999)</f>
        <v>51</v>
      </c>
      <c r="BT210" s="0" t="n">
        <f aca="false">IF(Presupuesto!$B$52='Flujo de Pagos'!$E210,52,9999)</f>
        <v>52</v>
      </c>
      <c r="BU210" s="0" t="n">
        <f aca="false">IF(Presupuesto!$B$53='Flujo de Pagos'!$E210,53,9999)</f>
        <v>53</v>
      </c>
      <c r="BV210" s="0" t="n">
        <f aca="false">IF(Presupuesto!$B$54='Flujo de Pagos'!$E210,54,9999)</f>
        <v>54</v>
      </c>
      <c r="BW210" s="0" t="n">
        <f aca="false">IF(Presupuesto!$B$55='Flujo de Pagos'!$E210,55,9999)</f>
        <v>55</v>
      </c>
      <c r="BX210" s="0" t="n">
        <f aca="false">IF(Presupuesto!$B$56='Flujo de Pagos'!$E210,56,9999)</f>
        <v>56</v>
      </c>
      <c r="BY210" s="0" t="n">
        <f aca="false">IF(Presupuesto!$B$57='Flujo de Pagos'!$E210,57,9999)</f>
        <v>57</v>
      </c>
      <c r="BZ210" s="0" t="n">
        <f aca="false">IF(Presupuesto!$B$58='Flujo de Pagos'!$E210,58,9999)</f>
        <v>58</v>
      </c>
      <c r="CA210" s="0" t="n">
        <f aca="false">IF(Presupuesto!$B$59='Flujo de Pagos'!$E210,59,9999)</f>
        <v>59</v>
      </c>
      <c r="CB210" s="0" t="n">
        <f aca="false">IF(Presupuesto!$B$60='Flujo de Pagos'!$E210,60,9999)</f>
        <v>60</v>
      </c>
      <c r="CC210" s="0" t="n">
        <f aca="false">IF(Presupuesto!$B$61='Flujo de Pagos'!$E210,61,9999)</f>
        <v>61</v>
      </c>
      <c r="CD210" s="0" t="n">
        <f aca="false">IF(Presupuesto!$B$62='Flujo de Pagos'!$E210,62,9999)</f>
        <v>62</v>
      </c>
      <c r="CE210" s="0" t="n">
        <f aca="false">IF(Presupuesto!$B$63='Flujo de Pagos'!$E210,63,9999)</f>
        <v>63</v>
      </c>
      <c r="CF210" s="0" t="n">
        <f aca="false">IF(Presupuesto!$B$64='Flujo de Pagos'!$E210,64,9999)</f>
        <v>64</v>
      </c>
      <c r="CG210" s="0" t="n">
        <f aca="false">IF(Presupuesto!$B$65='Flujo de Pagos'!$E210,65,9999)</f>
        <v>65</v>
      </c>
      <c r="CH210" s="0" t="n">
        <f aca="false">IF(Presupuesto!$B$66='Flujo de Pagos'!$E210,66,9999)</f>
        <v>66</v>
      </c>
    </row>
    <row r="211" customFormat="false" ht="15" hidden="false" customHeight="true" outlineLevel="0" collapsed="false">
      <c r="B211" s="1" t="n">
        <f aca="false">IF(AND('Flujo de Pagos'!E216=Carátula!$B$2,'Flujo de Pagos'!F216=Carátula!$B$4,'Flujo de Pagos'!H216&lt;&gt;""),216,99999)</f>
        <v>99999</v>
      </c>
      <c r="H211" s="1" t="n">
        <f aca="false">IF(SMALL($AA211:$CH211,1)&gt;=9999,"",INDEX(Presupuesto!$C:$C,SMALL($AA211:$CH211,1)))</f>
        <v>0</v>
      </c>
      <c r="I211" s="1" t="n">
        <f aca="false">IF(SMALL($AA211:$CH211,2)&gt;=9999,"",INDEX(Presupuesto!$C:$C,SMALL($AA211:$CH211,2)))</f>
        <v>0</v>
      </c>
      <c r="J211" s="1" t="n">
        <f aca="false">IF(SMALL($AA211:$CH211,3)&gt;=9999,"",INDEX(Presupuesto!$C:$C,SMALL($AA211:$CH211,3)))</f>
        <v>0</v>
      </c>
      <c r="K211" s="1" t="n">
        <f aca="false">IF(SMALL($AA211:$CH211,4)&gt;=9999,"",INDEX(Presupuesto!$C:$C,SMALL($AA211:$CH211,4)))</f>
        <v>0</v>
      </c>
      <c r="L211" s="1" t="n">
        <f aca="false">IF(SMALL($AA211:$CH211,5)&gt;=9999,"",INDEX(Presupuesto!$C:$C,SMALL($AA211:$CH211,5)))</f>
        <v>0</v>
      </c>
      <c r="M211" s="1" t="n">
        <f aca="false">IF(SMALL($AA211:$CH211,6)&gt;=9999,"",INDEX(Presupuesto!$C:$C,SMALL($AA211:$CH211,6)))</f>
        <v>0</v>
      </c>
      <c r="N211" s="1" t="n">
        <f aca="false">IF(SMALL($AA211:$CH211,7)&gt;=9999,"",INDEX(Presupuesto!$C:$C,SMALL($AA211:$CH211,7)))</f>
        <v>0</v>
      </c>
      <c r="O211" s="1" t="n">
        <f aca="false">IF(SMALL($AA211:$CH211,8)&gt;=9999,"",INDEX(Presupuesto!$C:$C,SMALL($AA211:$CH211,8)))</f>
        <v>0</v>
      </c>
      <c r="P211" s="1" t="n">
        <f aca="false">IF(SMALL($AA211:$CH211,9)&gt;=9999,"",INDEX(Presupuesto!$C:$C,SMALL($AA211:$CH211,9)))</f>
        <v>0</v>
      </c>
      <c r="Q211" s="1" t="n">
        <f aca="false">IF(SMALL($AA211:$CH211,10)&gt;=9999,"",INDEX(Presupuesto!$C:$C,SMALL($AA211:$CH211,10)))</f>
        <v>0</v>
      </c>
      <c r="AA211" s="0" t="n">
        <f aca="false">IF(Presupuesto!$B$7='Flujo de Pagos'!$E211,7,9999)</f>
        <v>9999</v>
      </c>
      <c r="AB211" s="0" t="n">
        <f aca="false">IF(Presupuesto!$B$8='Flujo de Pagos'!$E211,8,9999)</f>
        <v>9999</v>
      </c>
      <c r="AC211" s="0" t="n">
        <f aca="false">IF(Presupuesto!$B$9='Flujo de Pagos'!$E211,9,9999)</f>
        <v>9999</v>
      </c>
      <c r="AD211" s="0" t="n">
        <f aca="false">IF(Presupuesto!$B$10='Flujo de Pagos'!$E211,10,9999)</f>
        <v>9999</v>
      </c>
      <c r="AE211" s="0" t="n">
        <f aca="false">IF(Presupuesto!$B$11='Flujo de Pagos'!$E211,11,9999)</f>
        <v>9999</v>
      </c>
      <c r="AF211" s="0" t="n">
        <f aca="false">IF(Presupuesto!$B$12='Flujo de Pagos'!$E211,12,9999)</f>
        <v>12</v>
      </c>
      <c r="AG211" s="0" t="n">
        <f aca="false">IF(Presupuesto!$B$13='Flujo de Pagos'!$E211,13,9999)</f>
        <v>13</v>
      </c>
      <c r="AH211" s="0" t="n">
        <f aca="false">IF(Presupuesto!$B$14='Flujo de Pagos'!$E211,14,9999)</f>
        <v>14</v>
      </c>
      <c r="AI211" s="0" t="n">
        <f aca="false">IF(Presupuesto!$B$15='Flujo de Pagos'!$E211,15,9999)</f>
        <v>15</v>
      </c>
      <c r="AJ211" s="0" t="n">
        <f aca="false">IF(Presupuesto!$B$16='Flujo de Pagos'!$E211,16,9999)</f>
        <v>16</v>
      </c>
      <c r="AK211" s="0" t="n">
        <f aca="false">IF(Presupuesto!$B$17='Flujo de Pagos'!$E211,17,9999)</f>
        <v>17</v>
      </c>
      <c r="AL211" s="0" t="n">
        <f aca="false">IF(Presupuesto!$B$18='Flujo de Pagos'!$E211,18,9999)</f>
        <v>18</v>
      </c>
      <c r="AM211" s="0" t="n">
        <f aca="false">IF(Presupuesto!$B$19='Flujo de Pagos'!$E211,19,9999)</f>
        <v>19</v>
      </c>
      <c r="AN211" s="0" t="n">
        <f aca="false">IF(Presupuesto!$B$20='Flujo de Pagos'!$E211,20,9999)</f>
        <v>20</v>
      </c>
      <c r="AO211" s="0" t="n">
        <f aca="false">IF(Presupuesto!$B$21='Flujo de Pagos'!$E211,21,9999)</f>
        <v>21</v>
      </c>
      <c r="AP211" s="0" t="n">
        <f aca="false">IF(Presupuesto!$B$22='Flujo de Pagos'!$E211,22,9999)</f>
        <v>22</v>
      </c>
      <c r="AQ211" s="0" t="n">
        <f aca="false">IF(Presupuesto!$B$23='Flujo de Pagos'!$E211,23,9999)</f>
        <v>23</v>
      </c>
      <c r="AR211" s="0" t="n">
        <f aca="false">IF(Presupuesto!$B$24='Flujo de Pagos'!$E211,24,9999)</f>
        <v>24</v>
      </c>
      <c r="AS211" s="0" t="n">
        <f aca="false">IF(Presupuesto!$B$25='Flujo de Pagos'!$E211,25,9999)</f>
        <v>25</v>
      </c>
      <c r="AT211" s="0" t="n">
        <f aca="false">IF(Presupuesto!$B$26='Flujo de Pagos'!$E211,26,9999)</f>
        <v>26</v>
      </c>
      <c r="AU211" s="0" t="n">
        <f aca="false">IF(Presupuesto!$B$27='Flujo de Pagos'!$E211,27,9999)</f>
        <v>27</v>
      </c>
      <c r="AV211" s="0" t="n">
        <f aca="false">IF(Presupuesto!$B$28='Flujo de Pagos'!$E211,28,9999)</f>
        <v>28</v>
      </c>
      <c r="AW211" s="0" t="n">
        <f aca="false">IF(Presupuesto!$B$29='Flujo de Pagos'!$E211,29,9999)</f>
        <v>29</v>
      </c>
      <c r="AX211" s="0" t="n">
        <f aca="false">IF(Presupuesto!$B$30='Flujo de Pagos'!$E211,30,9999)</f>
        <v>30</v>
      </c>
      <c r="AY211" s="0" t="n">
        <f aca="false">IF(Presupuesto!$B$31='Flujo de Pagos'!$E211,31,9999)</f>
        <v>31</v>
      </c>
      <c r="AZ211" s="0" t="n">
        <f aca="false">IF(Presupuesto!$B$32='Flujo de Pagos'!$E211,32,9999)</f>
        <v>32</v>
      </c>
      <c r="BA211" s="0" t="n">
        <f aca="false">IF(Presupuesto!$B$33='Flujo de Pagos'!$E211,33,9999)</f>
        <v>33</v>
      </c>
      <c r="BB211" s="0" t="n">
        <f aca="false">IF(Presupuesto!$B$34='Flujo de Pagos'!$E211,34,9999)</f>
        <v>34</v>
      </c>
      <c r="BC211" s="0" t="n">
        <f aca="false">IF(Presupuesto!$B$35='Flujo de Pagos'!$E211,35,9999)</f>
        <v>35</v>
      </c>
      <c r="BD211" s="0" t="n">
        <f aca="false">IF(Presupuesto!$B$36='Flujo de Pagos'!$E211,36,9999)</f>
        <v>36</v>
      </c>
      <c r="BE211" s="0" t="n">
        <f aca="false">IF(Presupuesto!$B$37='Flujo de Pagos'!$E211,37,9999)</f>
        <v>37</v>
      </c>
      <c r="BF211" s="0" t="n">
        <f aca="false">IF(Presupuesto!$B$38='Flujo de Pagos'!$E211,38,9999)</f>
        <v>38</v>
      </c>
      <c r="BG211" s="0" t="n">
        <f aca="false">IF(Presupuesto!$B$39='Flujo de Pagos'!$E211,39,9999)</f>
        <v>39</v>
      </c>
      <c r="BH211" s="0" t="n">
        <f aca="false">IF(Presupuesto!$B$40='Flujo de Pagos'!$E211,40,9999)</f>
        <v>40</v>
      </c>
      <c r="BI211" s="0" t="n">
        <f aca="false">IF(Presupuesto!$B$41='Flujo de Pagos'!$E211,41,9999)</f>
        <v>41</v>
      </c>
      <c r="BJ211" s="0" t="n">
        <f aca="false">IF(Presupuesto!$B$42='Flujo de Pagos'!$E211,42,9999)</f>
        <v>42</v>
      </c>
      <c r="BK211" s="0" t="n">
        <f aca="false">IF(Presupuesto!$B$43='Flujo de Pagos'!$E211,43,9999)</f>
        <v>43</v>
      </c>
      <c r="BL211" s="0" t="n">
        <f aca="false">IF(Presupuesto!$B$44='Flujo de Pagos'!$E211,44,9999)</f>
        <v>44</v>
      </c>
      <c r="BM211" s="0" t="n">
        <f aca="false">IF(Presupuesto!$B$45='Flujo de Pagos'!$E211,45,9999)</f>
        <v>45</v>
      </c>
      <c r="BN211" s="0" t="n">
        <f aca="false">IF(Presupuesto!$B$46='Flujo de Pagos'!$E211,46,9999)</f>
        <v>46</v>
      </c>
      <c r="BO211" s="0" t="n">
        <f aca="false">IF(Presupuesto!$B$47='Flujo de Pagos'!$E211,47,9999)</f>
        <v>47</v>
      </c>
      <c r="BP211" s="0" t="n">
        <f aca="false">IF(Presupuesto!$B$48='Flujo de Pagos'!$E211,48,9999)</f>
        <v>48</v>
      </c>
      <c r="BQ211" s="0" t="n">
        <f aca="false">IF(Presupuesto!$B$49='Flujo de Pagos'!$E211,49,9999)</f>
        <v>49</v>
      </c>
      <c r="BR211" s="0" t="n">
        <f aca="false">IF(Presupuesto!$B$50='Flujo de Pagos'!$E211,50,9999)</f>
        <v>50</v>
      </c>
      <c r="BS211" s="0" t="n">
        <f aca="false">IF(Presupuesto!$B$51='Flujo de Pagos'!$E211,51,9999)</f>
        <v>51</v>
      </c>
      <c r="BT211" s="0" t="n">
        <f aca="false">IF(Presupuesto!$B$52='Flujo de Pagos'!$E211,52,9999)</f>
        <v>52</v>
      </c>
      <c r="BU211" s="0" t="n">
        <f aca="false">IF(Presupuesto!$B$53='Flujo de Pagos'!$E211,53,9999)</f>
        <v>53</v>
      </c>
      <c r="BV211" s="0" t="n">
        <f aca="false">IF(Presupuesto!$B$54='Flujo de Pagos'!$E211,54,9999)</f>
        <v>54</v>
      </c>
      <c r="BW211" s="0" t="n">
        <f aca="false">IF(Presupuesto!$B$55='Flujo de Pagos'!$E211,55,9999)</f>
        <v>55</v>
      </c>
      <c r="BX211" s="0" t="n">
        <f aca="false">IF(Presupuesto!$B$56='Flujo de Pagos'!$E211,56,9999)</f>
        <v>56</v>
      </c>
      <c r="BY211" s="0" t="n">
        <f aca="false">IF(Presupuesto!$B$57='Flujo de Pagos'!$E211,57,9999)</f>
        <v>57</v>
      </c>
      <c r="BZ211" s="0" t="n">
        <f aca="false">IF(Presupuesto!$B$58='Flujo de Pagos'!$E211,58,9999)</f>
        <v>58</v>
      </c>
      <c r="CA211" s="0" t="n">
        <f aca="false">IF(Presupuesto!$B$59='Flujo de Pagos'!$E211,59,9999)</f>
        <v>59</v>
      </c>
      <c r="CB211" s="0" t="n">
        <f aca="false">IF(Presupuesto!$B$60='Flujo de Pagos'!$E211,60,9999)</f>
        <v>60</v>
      </c>
      <c r="CC211" s="0" t="n">
        <f aca="false">IF(Presupuesto!$B$61='Flujo de Pagos'!$E211,61,9999)</f>
        <v>61</v>
      </c>
      <c r="CD211" s="0" t="n">
        <f aca="false">IF(Presupuesto!$B$62='Flujo de Pagos'!$E211,62,9999)</f>
        <v>62</v>
      </c>
      <c r="CE211" s="0" t="n">
        <f aca="false">IF(Presupuesto!$B$63='Flujo de Pagos'!$E211,63,9999)</f>
        <v>63</v>
      </c>
      <c r="CF211" s="0" t="n">
        <f aca="false">IF(Presupuesto!$B$64='Flujo de Pagos'!$E211,64,9999)</f>
        <v>64</v>
      </c>
      <c r="CG211" s="0" t="n">
        <f aca="false">IF(Presupuesto!$B$65='Flujo de Pagos'!$E211,65,9999)</f>
        <v>65</v>
      </c>
      <c r="CH211" s="0" t="n">
        <f aca="false">IF(Presupuesto!$B$66='Flujo de Pagos'!$E211,66,9999)</f>
        <v>66</v>
      </c>
    </row>
    <row r="212" customFormat="false" ht="15" hidden="false" customHeight="true" outlineLevel="0" collapsed="false">
      <c r="B212" s="1" t="n">
        <f aca="false">IF(AND('Flujo de Pagos'!E217=Carátula!$B$2,'Flujo de Pagos'!F217=Carátula!$B$4,'Flujo de Pagos'!H217&lt;&gt;""),217,99999)</f>
        <v>99999</v>
      </c>
      <c r="H212" s="1" t="n">
        <f aca="false">IF(SMALL($AA212:$CH212,1)&gt;=9999,"",INDEX(Presupuesto!$C:$C,SMALL($AA212:$CH212,1)))</f>
        <v>0</v>
      </c>
      <c r="I212" s="1" t="n">
        <f aca="false">IF(SMALL($AA212:$CH212,2)&gt;=9999,"",INDEX(Presupuesto!$C:$C,SMALL($AA212:$CH212,2)))</f>
        <v>0</v>
      </c>
      <c r="J212" s="1" t="n">
        <f aca="false">IF(SMALL($AA212:$CH212,3)&gt;=9999,"",INDEX(Presupuesto!$C:$C,SMALL($AA212:$CH212,3)))</f>
        <v>0</v>
      </c>
      <c r="K212" s="1" t="n">
        <f aca="false">IF(SMALL($AA212:$CH212,4)&gt;=9999,"",INDEX(Presupuesto!$C:$C,SMALL($AA212:$CH212,4)))</f>
        <v>0</v>
      </c>
      <c r="L212" s="1" t="n">
        <f aca="false">IF(SMALL($AA212:$CH212,5)&gt;=9999,"",INDEX(Presupuesto!$C:$C,SMALL($AA212:$CH212,5)))</f>
        <v>0</v>
      </c>
      <c r="M212" s="1" t="n">
        <f aca="false">IF(SMALL($AA212:$CH212,6)&gt;=9999,"",INDEX(Presupuesto!$C:$C,SMALL($AA212:$CH212,6)))</f>
        <v>0</v>
      </c>
      <c r="N212" s="1" t="n">
        <f aca="false">IF(SMALL($AA212:$CH212,7)&gt;=9999,"",INDEX(Presupuesto!$C:$C,SMALL($AA212:$CH212,7)))</f>
        <v>0</v>
      </c>
      <c r="O212" s="1" t="n">
        <f aca="false">IF(SMALL($AA212:$CH212,8)&gt;=9999,"",INDEX(Presupuesto!$C:$C,SMALL($AA212:$CH212,8)))</f>
        <v>0</v>
      </c>
      <c r="P212" s="1" t="n">
        <f aca="false">IF(SMALL($AA212:$CH212,9)&gt;=9999,"",INDEX(Presupuesto!$C:$C,SMALL($AA212:$CH212,9)))</f>
        <v>0</v>
      </c>
      <c r="Q212" s="1" t="n">
        <f aca="false">IF(SMALL($AA212:$CH212,10)&gt;=9999,"",INDEX(Presupuesto!$C:$C,SMALL($AA212:$CH212,10)))</f>
        <v>0</v>
      </c>
      <c r="AA212" s="0" t="n">
        <f aca="false">IF(Presupuesto!$B$7='Flujo de Pagos'!$E212,7,9999)</f>
        <v>9999</v>
      </c>
      <c r="AB212" s="0" t="n">
        <f aca="false">IF(Presupuesto!$B$8='Flujo de Pagos'!$E212,8,9999)</f>
        <v>9999</v>
      </c>
      <c r="AC212" s="0" t="n">
        <f aca="false">IF(Presupuesto!$B$9='Flujo de Pagos'!$E212,9,9999)</f>
        <v>9999</v>
      </c>
      <c r="AD212" s="0" t="n">
        <f aca="false">IF(Presupuesto!$B$10='Flujo de Pagos'!$E212,10,9999)</f>
        <v>9999</v>
      </c>
      <c r="AE212" s="0" t="n">
        <f aca="false">IF(Presupuesto!$B$11='Flujo de Pagos'!$E212,11,9999)</f>
        <v>9999</v>
      </c>
      <c r="AF212" s="0" t="n">
        <f aca="false">IF(Presupuesto!$B$12='Flujo de Pagos'!$E212,12,9999)</f>
        <v>12</v>
      </c>
      <c r="AG212" s="0" t="n">
        <f aca="false">IF(Presupuesto!$B$13='Flujo de Pagos'!$E212,13,9999)</f>
        <v>13</v>
      </c>
      <c r="AH212" s="0" t="n">
        <f aca="false">IF(Presupuesto!$B$14='Flujo de Pagos'!$E212,14,9999)</f>
        <v>14</v>
      </c>
      <c r="AI212" s="0" t="n">
        <f aca="false">IF(Presupuesto!$B$15='Flujo de Pagos'!$E212,15,9999)</f>
        <v>15</v>
      </c>
      <c r="AJ212" s="0" t="n">
        <f aca="false">IF(Presupuesto!$B$16='Flujo de Pagos'!$E212,16,9999)</f>
        <v>16</v>
      </c>
      <c r="AK212" s="0" t="n">
        <f aca="false">IF(Presupuesto!$B$17='Flujo de Pagos'!$E212,17,9999)</f>
        <v>17</v>
      </c>
      <c r="AL212" s="0" t="n">
        <f aca="false">IF(Presupuesto!$B$18='Flujo de Pagos'!$E212,18,9999)</f>
        <v>18</v>
      </c>
      <c r="AM212" s="0" t="n">
        <f aca="false">IF(Presupuesto!$B$19='Flujo de Pagos'!$E212,19,9999)</f>
        <v>19</v>
      </c>
      <c r="AN212" s="0" t="n">
        <f aca="false">IF(Presupuesto!$B$20='Flujo de Pagos'!$E212,20,9999)</f>
        <v>20</v>
      </c>
      <c r="AO212" s="0" t="n">
        <f aca="false">IF(Presupuesto!$B$21='Flujo de Pagos'!$E212,21,9999)</f>
        <v>21</v>
      </c>
      <c r="AP212" s="0" t="n">
        <f aca="false">IF(Presupuesto!$B$22='Flujo de Pagos'!$E212,22,9999)</f>
        <v>22</v>
      </c>
      <c r="AQ212" s="0" t="n">
        <f aca="false">IF(Presupuesto!$B$23='Flujo de Pagos'!$E212,23,9999)</f>
        <v>23</v>
      </c>
      <c r="AR212" s="0" t="n">
        <f aca="false">IF(Presupuesto!$B$24='Flujo de Pagos'!$E212,24,9999)</f>
        <v>24</v>
      </c>
      <c r="AS212" s="0" t="n">
        <f aca="false">IF(Presupuesto!$B$25='Flujo de Pagos'!$E212,25,9999)</f>
        <v>25</v>
      </c>
      <c r="AT212" s="0" t="n">
        <f aca="false">IF(Presupuesto!$B$26='Flujo de Pagos'!$E212,26,9999)</f>
        <v>26</v>
      </c>
      <c r="AU212" s="0" t="n">
        <f aca="false">IF(Presupuesto!$B$27='Flujo de Pagos'!$E212,27,9999)</f>
        <v>27</v>
      </c>
      <c r="AV212" s="0" t="n">
        <f aca="false">IF(Presupuesto!$B$28='Flujo de Pagos'!$E212,28,9999)</f>
        <v>28</v>
      </c>
      <c r="AW212" s="0" t="n">
        <f aca="false">IF(Presupuesto!$B$29='Flujo de Pagos'!$E212,29,9999)</f>
        <v>29</v>
      </c>
      <c r="AX212" s="0" t="n">
        <f aca="false">IF(Presupuesto!$B$30='Flujo de Pagos'!$E212,30,9999)</f>
        <v>30</v>
      </c>
      <c r="AY212" s="0" t="n">
        <f aca="false">IF(Presupuesto!$B$31='Flujo de Pagos'!$E212,31,9999)</f>
        <v>31</v>
      </c>
      <c r="AZ212" s="0" t="n">
        <f aca="false">IF(Presupuesto!$B$32='Flujo de Pagos'!$E212,32,9999)</f>
        <v>32</v>
      </c>
      <c r="BA212" s="0" t="n">
        <f aca="false">IF(Presupuesto!$B$33='Flujo de Pagos'!$E212,33,9999)</f>
        <v>33</v>
      </c>
      <c r="BB212" s="0" t="n">
        <f aca="false">IF(Presupuesto!$B$34='Flujo de Pagos'!$E212,34,9999)</f>
        <v>34</v>
      </c>
      <c r="BC212" s="0" t="n">
        <f aca="false">IF(Presupuesto!$B$35='Flujo de Pagos'!$E212,35,9999)</f>
        <v>35</v>
      </c>
      <c r="BD212" s="0" t="n">
        <f aca="false">IF(Presupuesto!$B$36='Flujo de Pagos'!$E212,36,9999)</f>
        <v>36</v>
      </c>
      <c r="BE212" s="0" t="n">
        <f aca="false">IF(Presupuesto!$B$37='Flujo de Pagos'!$E212,37,9999)</f>
        <v>37</v>
      </c>
      <c r="BF212" s="0" t="n">
        <f aca="false">IF(Presupuesto!$B$38='Flujo de Pagos'!$E212,38,9999)</f>
        <v>38</v>
      </c>
      <c r="BG212" s="0" t="n">
        <f aca="false">IF(Presupuesto!$B$39='Flujo de Pagos'!$E212,39,9999)</f>
        <v>39</v>
      </c>
      <c r="BH212" s="0" t="n">
        <f aca="false">IF(Presupuesto!$B$40='Flujo de Pagos'!$E212,40,9999)</f>
        <v>40</v>
      </c>
      <c r="BI212" s="0" t="n">
        <f aca="false">IF(Presupuesto!$B$41='Flujo de Pagos'!$E212,41,9999)</f>
        <v>41</v>
      </c>
      <c r="BJ212" s="0" t="n">
        <f aca="false">IF(Presupuesto!$B$42='Flujo de Pagos'!$E212,42,9999)</f>
        <v>42</v>
      </c>
      <c r="BK212" s="0" t="n">
        <f aca="false">IF(Presupuesto!$B$43='Flujo de Pagos'!$E212,43,9999)</f>
        <v>43</v>
      </c>
      <c r="BL212" s="0" t="n">
        <f aca="false">IF(Presupuesto!$B$44='Flujo de Pagos'!$E212,44,9999)</f>
        <v>44</v>
      </c>
      <c r="BM212" s="0" t="n">
        <f aca="false">IF(Presupuesto!$B$45='Flujo de Pagos'!$E212,45,9999)</f>
        <v>45</v>
      </c>
      <c r="BN212" s="0" t="n">
        <f aca="false">IF(Presupuesto!$B$46='Flujo de Pagos'!$E212,46,9999)</f>
        <v>46</v>
      </c>
      <c r="BO212" s="0" t="n">
        <f aca="false">IF(Presupuesto!$B$47='Flujo de Pagos'!$E212,47,9999)</f>
        <v>47</v>
      </c>
      <c r="BP212" s="0" t="n">
        <f aca="false">IF(Presupuesto!$B$48='Flujo de Pagos'!$E212,48,9999)</f>
        <v>48</v>
      </c>
      <c r="BQ212" s="0" t="n">
        <f aca="false">IF(Presupuesto!$B$49='Flujo de Pagos'!$E212,49,9999)</f>
        <v>49</v>
      </c>
      <c r="BR212" s="0" t="n">
        <f aca="false">IF(Presupuesto!$B$50='Flujo de Pagos'!$E212,50,9999)</f>
        <v>50</v>
      </c>
      <c r="BS212" s="0" t="n">
        <f aca="false">IF(Presupuesto!$B$51='Flujo de Pagos'!$E212,51,9999)</f>
        <v>51</v>
      </c>
      <c r="BT212" s="0" t="n">
        <f aca="false">IF(Presupuesto!$B$52='Flujo de Pagos'!$E212,52,9999)</f>
        <v>52</v>
      </c>
      <c r="BU212" s="0" t="n">
        <f aca="false">IF(Presupuesto!$B$53='Flujo de Pagos'!$E212,53,9999)</f>
        <v>53</v>
      </c>
      <c r="BV212" s="0" t="n">
        <f aca="false">IF(Presupuesto!$B$54='Flujo de Pagos'!$E212,54,9999)</f>
        <v>54</v>
      </c>
      <c r="BW212" s="0" t="n">
        <f aca="false">IF(Presupuesto!$B$55='Flujo de Pagos'!$E212,55,9999)</f>
        <v>55</v>
      </c>
      <c r="BX212" s="0" t="n">
        <f aca="false">IF(Presupuesto!$B$56='Flujo de Pagos'!$E212,56,9999)</f>
        <v>56</v>
      </c>
      <c r="BY212" s="0" t="n">
        <f aca="false">IF(Presupuesto!$B$57='Flujo de Pagos'!$E212,57,9999)</f>
        <v>57</v>
      </c>
      <c r="BZ212" s="0" t="n">
        <f aca="false">IF(Presupuesto!$B$58='Flujo de Pagos'!$E212,58,9999)</f>
        <v>58</v>
      </c>
      <c r="CA212" s="0" t="n">
        <f aca="false">IF(Presupuesto!$B$59='Flujo de Pagos'!$E212,59,9999)</f>
        <v>59</v>
      </c>
      <c r="CB212" s="0" t="n">
        <f aca="false">IF(Presupuesto!$B$60='Flujo de Pagos'!$E212,60,9999)</f>
        <v>60</v>
      </c>
      <c r="CC212" s="0" t="n">
        <f aca="false">IF(Presupuesto!$B$61='Flujo de Pagos'!$E212,61,9999)</f>
        <v>61</v>
      </c>
      <c r="CD212" s="0" t="n">
        <f aca="false">IF(Presupuesto!$B$62='Flujo de Pagos'!$E212,62,9999)</f>
        <v>62</v>
      </c>
      <c r="CE212" s="0" t="n">
        <f aca="false">IF(Presupuesto!$B$63='Flujo de Pagos'!$E212,63,9999)</f>
        <v>63</v>
      </c>
      <c r="CF212" s="0" t="n">
        <f aca="false">IF(Presupuesto!$B$64='Flujo de Pagos'!$E212,64,9999)</f>
        <v>64</v>
      </c>
      <c r="CG212" s="0" t="n">
        <f aca="false">IF(Presupuesto!$B$65='Flujo de Pagos'!$E212,65,9999)</f>
        <v>65</v>
      </c>
      <c r="CH212" s="0" t="n">
        <f aca="false">IF(Presupuesto!$B$66='Flujo de Pagos'!$E212,66,9999)</f>
        <v>66</v>
      </c>
    </row>
    <row r="213" customFormat="false" ht="15" hidden="false" customHeight="true" outlineLevel="0" collapsed="false">
      <c r="B213" s="1" t="n">
        <f aca="false">IF(AND('Flujo de Pagos'!E218=Carátula!$B$2,'Flujo de Pagos'!F218=Carátula!$B$4,'Flujo de Pagos'!H218&lt;&gt;""),218,99999)</f>
        <v>99999</v>
      </c>
      <c r="H213" s="1" t="n">
        <f aca="false">IF(SMALL($AA213:$CH213,1)&gt;=9999,"",INDEX(Presupuesto!$C:$C,SMALL($AA213:$CH213,1)))</f>
        <v>0</v>
      </c>
      <c r="I213" s="1" t="n">
        <f aca="false">IF(SMALL($AA213:$CH213,2)&gt;=9999,"",INDEX(Presupuesto!$C:$C,SMALL($AA213:$CH213,2)))</f>
        <v>0</v>
      </c>
      <c r="J213" s="1" t="n">
        <f aca="false">IF(SMALL($AA213:$CH213,3)&gt;=9999,"",INDEX(Presupuesto!$C:$C,SMALL($AA213:$CH213,3)))</f>
        <v>0</v>
      </c>
      <c r="K213" s="1" t="n">
        <f aca="false">IF(SMALL($AA213:$CH213,4)&gt;=9999,"",INDEX(Presupuesto!$C:$C,SMALL($AA213:$CH213,4)))</f>
        <v>0</v>
      </c>
      <c r="L213" s="1" t="n">
        <f aca="false">IF(SMALL($AA213:$CH213,5)&gt;=9999,"",INDEX(Presupuesto!$C:$C,SMALL($AA213:$CH213,5)))</f>
        <v>0</v>
      </c>
      <c r="M213" s="1" t="n">
        <f aca="false">IF(SMALL($AA213:$CH213,6)&gt;=9999,"",INDEX(Presupuesto!$C:$C,SMALL($AA213:$CH213,6)))</f>
        <v>0</v>
      </c>
      <c r="N213" s="1" t="n">
        <f aca="false">IF(SMALL($AA213:$CH213,7)&gt;=9999,"",INDEX(Presupuesto!$C:$C,SMALL($AA213:$CH213,7)))</f>
        <v>0</v>
      </c>
      <c r="O213" s="1" t="n">
        <f aca="false">IF(SMALL($AA213:$CH213,8)&gt;=9999,"",INDEX(Presupuesto!$C:$C,SMALL($AA213:$CH213,8)))</f>
        <v>0</v>
      </c>
      <c r="P213" s="1" t="n">
        <f aca="false">IF(SMALL($AA213:$CH213,9)&gt;=9999,"",INDEX(Presupuesto!$C:$C,SMALL($AA213:$CH213,9)))</f>
        <v>0</v>
      </c>
      <c r="Q213" s="1" t="n">
        <f aca="false">IF(SMALL($AA213:$CH213,10)&gt;=9999,"",INDEX(Presupuesto!$C:$C,SMALL($AA213:$CH213,10)))</f>
        <v>0</v>
      </c>
      <c r="AA213" s="0" t="n">
        <f aca="false">IF(Presupuesto!$B$7='Flujo de Pagos'!$E213,7,9999)</f>
        <v>9999</v>
      </c>
      <c r="AB213" s="0" t="n">
        <f aca="false">IF(Presupuesto!$B$8='Flujo de Pagos'!$E213,8,9999)</f>
        <v>9999</v>
      </c>
      <c r="AC213" s="0" t="n">
        <f aca="false">IF(Presupuesto!$B$9='Flujo de Pagos'!$E213,9,9999)</f>
        <v>9999</v>
      </c>
      <c r="AD213" s="0" t="n">
        <f aca="false">IF(Presupuesto!$B$10='Flujo de Pagos'!$E213,10,9999)</f>
        <v>9999</v>
      </c>
      <c r="AE213" s="0" t="n">
        <f aca="false">IF(Presupuesto!$B$11='Flujo de Pagos'!$E213,11,9999)</f>
        <v>9999</v>
      </c>
      <c r="AF213" s="0" t="n">
        <f aca="false">IF(Presupuesto!$B$12='Flujo de Pagos'!$E213,12,9999)</f>
        <v>12</v>
      </c>
      <c r="AG213" s="0" t="n">
        <f aca="false">IF(Presupuesto!$B$13='Flujo de Pagos'!$E213,13,9999)</f>
        <v>13</v>
      </c>
      <c r="AH213" s="0" t="n">
        <f aca="false">IF(Presupuesto!$B$14='Flujo de Pagos'!$E213,14,9999)</f>
        <v>14</v>
      </c>
      <c r="AI213" s="0" t="n">
        <f aca="false">IF(Presupuesto!$B$15='Flujo de Pagos'!$E213,15,9999)</f>
        <v>15</v>
      </c>
      <c r="AJ213" s="0" t="n">
        <f aca="false">IF(Presupuesto!$B$16='Flujo de Pagos'!$E213,16,9999)</f>
        <v>16</v>
      </c>
      <c r="AK213" s="0" t="n">
        <f aca="false">IF(Presupuesto!$B$17='Flujo de Pagos'!$E213,17,9999)</f>
        <v>17</v>
      </c>
      <c r="AL213" s="0" t="n">
        <f aca="false">IF(Presupuesto!$B$18='Flujo de Pagos'!$E213,18,9999)</f>
        <v>18</v>
      </c>
      <c r="AM213" s="0" t="n">
        <f aca="false">IF(Presupuesto!$B$19='Flujo de Pagos'!$E213,19,9999)</f>
        <v>19</v>
      </c>
      <c r="AN213" s="0" t="n">
        <f aca="false">IF(Presupuesto!$B$20='Flujo de Pagos'!$E213,20,9999)</f>
        <v>20</v>
      </c>
      <c r="AO213" s="0" t="n">
        <f aca="false">IF(Presupuesto!$B$21='Flujo de Pagos'!$E213,21,9999)</f>
        <v>21</v>
      </c>
      <c r="AP213" s="0" t="n">
        <f aca="false">IF(Presupuesto!$B$22='Flujo de Pagos'!$E213,22,9999)</f>
        <v>22</v>
      </c>
      <c r="AQ213" s="0" t="n">
        <f aca="false">IF(Presupuesto!$B$23='Flujo de Pagos'!$E213,23,9999)</f>
        <v>23</v>
      </c>
      <c r="AR213" s="0" t="n">
        <f aca="false">IF(Presupuesto!$B$24='Flujo de Pagos'!$E213,24,9999)</f>
        <v>24</v>
      </c>
      <c r="AS213" s="0" t="n">
        <f aca="false">IF(Presupuesto!$B$25='Flujo de Pagos'!$E213,25,9999)</f>
        <v>25</v>
      </c>
      <c r="AT213" s="0" t="n">
        <f aca="false">IF(Presupuesto!$B$26='Flujo de Pagos'!$E213,26,9999)</f>
        <v>26</v>
      </c>
      <c r="AU213" s="0" t="n">
        <f aca="false">IF(Presupuesto!$B$27='Flujo de Pagos'!$E213,27,9999)</f>
        <v>27</v>
      </c>
      <c r="AV213" s="0" t="n">
        <f aca="false">IF(Presupuesto!$B$28='Flujo de Pagos'!$E213,28,9999)</f>
        <v>28</v>
      </c>
      <c r="AW213" s="0" t="n">
        <f aca="false">IF(Presupuesto!$B$29='Flujo de Pagos'!$E213,29,9999)</f>
        <v>29</v>
      </c>
      <c r="AX213" s="0" t="n">
        <f aca="false">IF(Presupuesto!$B$30='Flujo de Pagos'!$E213,30,9999)</f>
        <v>30</v>
      </c>
      <c r="AY213" s="0" t="n">
        <f aca="false">IF(Presupuesto!$B$31='Flujo de Pagos'!$E213,31,9999)</f>
        <v>31</v>
      </c>
      <c r="AZ213" s="0" t="n">
        <f aca="false">IF(Presupuesto!$B$32='Flujo de Pagos'!$E213,32,9999)</f>
        <v>32</v>
      </c>
      <c r="BA213" s="0" t="n">
        <f aca="false">IF(Presupuesto!$B$33='Flujo de Pagos'!$E213,33,9999)</f>
        <v>33</v>
      </c>
      <c r="BB213" s="0" t="n">
        <f aca="false">IF(Presupuesto!$B$34='Flujo de Pagos'!$E213,34,9999)</f>
        <v>34</v>
      </c>
      <c r="BC213" s="0" t="n">
        <f aca="false">IF(Presupuesto!$B$35='Flujo de Pagos'!$E213,35,9999)</f>
        <v>35</v>
      </c>
      <c r="BD213" s="0" t="n">
        <f aca="false">IF(Presupuesto!$B$36='Flujo de Pagos'!$E213,36,9999)</f>
        <v>36</v>
      </c>
      <c r="BE213" s="0" t="n">
        <f aca="false">IF(Presupuesto!$B$37='Flujo de Pagos'!$E213,37,9999)</f>
        <v>37</v>
      </c>
      <c r="BF213" s="0" t="n">
        <f aca="false">IF(Presupuesto!$B$38='Flujo de Pagos'!$E213,38,9999)</f>
        <v>38</v>
      </c>
      <c r="BG213" s="0" t="n">
        <f aca="false">IF(Presupuesto!$B$39='Flujo de Pagos'!$E213,39,9999)</f>
        <v>39</v>
      </c>
      <c r="BH213" s="0" t="n">
        <f aca="false">IF(Presupuesto!$B$40='Flujo de Pagos'!$E213,40,9999)</f>
        <v>40</v>
      </c>
      <c r="BI213" s="0" t="n">
        <f aca="false">IF(Presupuesto!$B$41='Flujo de Pagos'!$E213,41,9999)</f>
        <v>41</v>
      </c>
      <c r="BJ213" s="0" t="n">
        <f aca="false">IF(Presupuesto!$B$42='Flujo de Pagos'!$E213,42,9999)</f>
        <v>42</v>
      </c>
      <c r="BK213" s="0" t="n">
        <f aca="false">IF(Presupuesto!$B$43='Flujo de Pagos'!$E213,43,9999)</f>
        <v>43</v>
      </c>
      <c r="BL213" s="0" t="n">
        <f aca="false">IF(Presupuesto!$B$44='Flujo de Pagos'!$E213,44,9999)</f>
        <v>44</v>
      </c>
      <c r="BM213" s="0" t="n">
        <f aca="false">IF(Presupuesto!$B$45='Flujo de Pagos'!$E213,45,9999)</f>
        <v>45</v>
      </c>
      <c r="BN213" s="0" t="n">
        <f aca="false">IF(Presupuesto!$B$46='Flujo de Pagos'!$E213,46,9999)</f>
        <v>46</v>
      </c>
      <c r="BO213" s="0" t="n">
        <f aca="false">IF(Presupuesto!$B$47='Flujo de Pagos'!$E213,47,9999)</f>
        <v>47</v>
      </c>
      <c r="BP213" s="0" t="n">
        <f aca="false">IF(Presupuesto!$B$48='Flujo de Pagos'!$E213,48,9999)</f>
        <v>48</v>
      </c>
      <c r="BQ213" s="0" t="n">
        <f aca="false">IF(Presupuesto!$B$49='Flujo de Pagos'!$E213,49,9999)</f>
        <v>49</v>
      </c>
      <c r="BR213" s="0" t="n">
        <f aca="false">IF(Presupuesto!$B$50='Flujo de Pagos'!$E213,50,9999)</f>
        <v>50</v>
      </c>
      <c r="BS213" s="0" t="n">
        <f aca="false">IF(Presupuesto!$B$51='Flujo de Pagos'!$E213,51,9999)</f>
        <v>51</v>
      </c>
      <c r="BT213" s="0" t="n">
        <f aca="false">IF(Presupuesto!$B$52='Flujo de Pagos'!$E213,52,9999)</f>
        <v>52</v>
      </c>
      <c r="BU213" s="0" t="n">
        <f aca="false">IF(Presupuesto!$B$53='Flujo de Pagos'!$E213,53,9999)</f>
        <v>53</v>
      </c>
      <c r="BV213" s="0" t="n">
        <f aca="false">IF(Presupuesto!$B$54='Flujo de Pagos'!$E213,54,9999)</f>
        <v>54</v>
      </c>
      <c r="BW213" s="0" t="n">
        <f aca="false">IF(Presupuesto!$B$55='Flujo de Pagos'!$E213,55,9999)</f>
        <v>55</v>
      </c>
      <c r="BX213" s="0" t="n">
        <f aca="false">IF(Presupuesto!$B$56='Flujo de Pagos'!$E213,56,9999)</f>
        <v>56</v>
      </c>
      <c r="BY213" s="0" t="n">
        <f aca="false">IF(Presupuesto!$B$57='Flujo de Pagos'!$E213,57,9999)</f>
        <v>57</v>
      </c>
      <c r="BZ213" s="0" t="n">
        <f aca="false">IF(Presupuesto!$B$58='Flujo de Pagos'!$E213,58,9999)</f>
        <v>58</v>
      </c>
      <c r="CA213" s="0" t="n">
        <f aca="false">IF(Presupuesto!$B$59='Flujo de Pagos'!$E213,59,9999)</f>
        <v>59</v>
      </c>
      <c r="CB213" s="0" t="n">
        <f aca="false">IF(Presupuesto!$B$60='Flujo de Pagos'!$E213,60,9999)</f>
        <v>60</v>
      </c>
      <c r="CC213" s="0" t="n">
        <f aca="false">IF(Presupuesto!$B$61='Flujo de Pagos'!$E213,61,9999)</f>
        <v>61</v>
      </c>
      <c r="CD213" s="0" t="n">
        <f aca="false">IF(Presupuesto!$B$62='Flujo de Pagos'!$E213,62,9999)</f>
        <v>62</v>
      </c>
      <c r="CE213" s="0" t="n">
        <f aca="false">IF(Presupuesto!$B$63='Flujo de Pagos'!$E213,63,9999)</f>
        <v>63</v>
      </c>
      <c r="CF213" s="0" t="n">
        <f aca="false">IF(Presupuesto!$B$64='Flujo de Pagos'!$E213,64,9999)</f>
        <v>64</v>
      </c>
      <c r="CG213" s="0" t="n">
        <f aca="false">IF(Presupuesto!$B$65='Flujo de Pagos'!$E213,65,9999)</f>
        <v>65</v>
      </c>
      <c r="CH213" s="0" t="n">
        <f aca="false">IF(Presupuesto!$B$66='Flujo de Pagos'!$E213,66,9999)</f>
        <v>66</v>
      </c>
    </row>
    <row r="214" customFormat="false" ht="15" hidden="false" customHeight="true" outlineLevel="0" collapsed="false">
      <c r="B214" s="1" t="n">
        <f aca="false">IF(AND('Flujo de Pagos'!E219=Carátula!$B$2,'Flujo de Pagos'!F219=Carátula!$B$4,'Flujo de Pagos'!H219&lt;&gt;""),219,99999)</f>
        <v>99999</v>
      </c>
      <c r="H214" s="1" t="n">
        <f aca="false">IF(SMALL($AA214:$CH214,1)&gt;=9999,"",INDEX(Presupuesto!$C:$C,SMALL($AA214:$CH214,1)))</f>
        <v>0</v>
      </c>
      <c r="I214" s="1" t="n">
        <f aca="false">IF(SMALL($AA214:$CH214,2)&gt;=9999,"",INDEX(Presupuesto!$C:$C,SMALL($AA214:$CH214,2)))</f>
        <v>0</v>
      </c>
      <c r="J214" s="1" t="n">
        <f aca="false">IF(SMALL($AA214:$CH214,3)&gt;=9999,"",INDEX(Presupuesto!$C:$C,SMALL($AA214:$CH214,3)))</f>
        <v>0</v>
      </c>
      <c r="K214" s="1" t="n">
        <f aca="false">IF(SMALL($AA214:$CH214,4)&gt;=9999,"",INDEX(Presupuesto!$C:$C,SMALL($AA214:$CH214,4)))</f>
        <v>0</v>
      </c>
      <c r="L214" s="1" t="n">
        <f aca="false">IF(SMALL($AA214:$CH214,5)&gt;=9999,"",INDEX(Presupuesto!$C:$C,SMALL($AA214:$CH214,5)))</f>
        <v>0</v>
      </c>
      <c r="M214" s="1" t="n">
        <f aca="false">IF(SMALL($AA214:$CH214,6)&gt;=9999,"",INDEX(Presupuesto!$C:$C,SMALL($AA214:$CH214,6)))</f>
        <v>0</v>
      </c>
      <c r="N214" s="1" t="n">
        <f aca="false">IF(SMALL($AA214:$CH214,7)&gt;=9999,"",INDEX(Presupuesto!$C:$C,SMALL($AA214:$CH214,7)))</f>
        <v>0</v>
      </c>
      <c r="O214" s="1" t="n">
        <f aca="false">IF(SMALL($AA214:$CH214,8)&gt;=9999,"",INDEX(Presupuesto!$C:$C,SMALL($AA214:$CH214,8)))</f>
        <v>0</v>
      </c>
      <c r="P214" s="1" t="n">
        <f aca="false">IF(SMALL($AA214:$CH214,9)&gt;=9999,"",INDEX(Presupuesto!$C:$C,SMALL($AA214:$CH214,9)))</f>
        <v>0</v>
      </c>
      <c r="Q214" s="1" t="n">
        <f aca="false">IF(SMALL($AA214:$CH214,10)&gt;=9999,"",INDEX(Presupuesto!$C:$C,SMALL($AA214:$CH214,10)))</f>
        <v>0</v>
      </c>
      <c r="AA214" s="0" t="n">
        <f aca="false">IF(Presupuesto!$B$7='Flujo de Pagos'!$E214,7,9999)</f>
        <v>9999</v>
      </c>
      <c r="AB214" s="0" t="n">
        <f aca="false">IF(Presupuesto!$B$8='Flujo de Pagos'!$E214,8,9999)</f>
        <v>9999</v>
      </c>
      <c r="AC214" s="0" t="n">
        <f aca="false">IF(Presupuesto!$B$9='Flujo de Pagos'!$E214,9,9999)</f>
        <v>9999</v>
      </c>
      <c r="AD214" s="0" t="n">
        <f aca="false">IF(Presupuesto!$B$10='Flujo de Pagos'!$E214,10,9999)</f>
        <v>9999</v>
      </c>
      <c r="AE214" s="0" t="n">
        <f aca="false">IF(Presupuesto!$B$11='Flujo de Pagos'!$E214,11,9999)</f>
        <v>9999</v>
      </c>
      <c r="AF214" s="0" t="n">
        <f aca="false">IF(Presupuesto!$B$12='Flujo de Pagos'!$E214,12,9999)</f>
        <v>12</v>
      </c>
      <c r="AG214" s="0" t="n">
        <f aca="false">IF(Presupuesto!$B$13='Flujo de Pagos'!$E214,13,9999)</f>
        <v>13</v>
      </c>
      <c r="AH214" s="0" t="n">
        <f aca="false">IF(Presupuesto!$B$14='Flujo de Pagos'!$E214,14,9999)</f>
        <v>14</v>
      </c>
      <c r="AI214" s="0" t="n">
        <f aca="false">IF(Presupuesto!$B$15='Flujo de Pagos'!$E214,15,9999)</f>
        <v>15</v>
      </c>
      <c r="AJ214" s="0" t="n">
        <f aca="false">IF(Presupuesto!$B$16='Flujo de Pagos'!$E214,16,9999)</f>
        <v>16</v>
      </c>
      <c r="AK214" s="0" t="n">
        <f aca="false">IF(Presupuesto!$B$17='Flujo de Pagos'!$E214,17,9999)</f>
        <v>17</v>
      </c>
      <c r="AL214" s="0" t="n">
        <f aca="false">IF(Presupuesto!$B$18='Flujo de Pagos'!$E214,18,9999)</f>
        <v>18</v>
      </c>
      <c r="AM214" s="0" t="n">
        <f aca="false">IF(Presupuesto!$B$19='Flujo de Pagos'!$E214,19,9999)</f>
        <v>19</v>
      </c>
      <c r="AN214" s="0" t="n">
        <f aca="false">IF(Presupuesto!$B$20='Flujo de Pagos'!$E214,20,9999)</f>
        <v>20</v>
      </c>
      <c r="AO214" s="0" t="n">
        <f aca="false">IF(Presupuesto!$B$21='Flujo de Pagos'!$E214,21,9999)</f>
        <v>21</v>
      </c>
      <c r="AP214" s="0" t="n">
        <f aca="false">IF(Presupuesto!$B$22='Flujo de Pagos'!$E214,22,9999)</f>
        <v>22</v>
      </c>
      <c r="AQ214" s="0" t="n">
        <f aca="false">IF(Presupuesto!$B$23='Flujo de Pagos'!$E214,23,9999)</f>
        <v>23</v>
      </c>
      <c r="AR214" s="0" t="n">
        <f aca="false">IF(Presupuesto!$B$24='Flujo de Pagos'!$E214,24,9999)</f>
        <v>24</v>
      </c>
      <c r="AS214" s="0" t="n">
        <f aca="false">IF(Presupuesto!$B$25='Flujo de Pagos'!$E214,25,9999)</f>
        <v>25</v>
      </c>
      <c r="AT214" s="0" t="n">
        <f aca="false">IF(Presupuesto!$B$26='Flujo de Pagos'!$E214,26,9999)</f>
        <v>26</v>
      </c>
      <c r="AU214" s="0" t="n">
        <f aca="false">IF(Presupuesto!$B$27='Flujo de Pagos'!$E214,27,9999)</f>
        <v>27</v>
      </c>
      <c r="AV214" s="0" t="n">
        <f aca="false">IF(Presupuesto!$B$28='Flujo de Pagos'!$E214,28,9999)</f>
        <v>28</v>
      </c>
      <c r="AW214" s="0" t="n">
        <f aca="false">IF(Presupuesto!$B$29='Flujo de Pagos'!$E214,29,9999)</f>
        <v>29</v>
      </c>
      <c r="AX214" s="0" t="n">
        <f aca="false">IF(Presupuesto!$B$30='Flujo de Pagos'!$E214,30,9999)</f>
        <v>30</v>
      </c>
      <c r="AY214" s="0" t="n">
        <f aca="false">IF(Presupuesto!$B$31='Flujo de Pagos'!$E214,31,9999)</f>
        <v>31</v>
      </c>
      <c r="AZ214" s="0" t="n">
        <f aca="false">IF(Presupuesto!$B$32='Flujo de Pagos'!$E214,32,9999)</f>
        <v>32</v>
      </c>
      <c r="BA214" s="0" t="n">
        <f aca="false">IF(Presupuesto!$B$33='Flujo de Pagos'!$E214,33,9999)</f>
        <v>33</v>
      </c>
      <c r="BB214" s="0" t="n">
        <f aca="false">IF(Presupuesto!$B$34='Flujo de Pagos'!$E214,34,9999)</f>
        <v>34</v>
      </c>
      <c r="BC214" s="0" t="n">
        <f aca="false">IF(Presupuesto!$B$35='Flujo de Pagos'!$E214,35,9999)</f>
        <v>35</v>
      </c>
      <c r="BD214" s="0" t="n">
        <f aca="false">IF(Presupuesto!$B$36='Flujo de Pagos'!$E214,36,9999)</f>
        <v>36</v>
      </c>
      <c r="BE214" s="0" t="n">
        <f aca="false">IF(Presupuesto!$B$37='Flujo de Pagos'!$E214,37,9999)</f>
        <v>37</v>
      </c>
      <c r="BF214" s="0" t="n">
        <f aca="false">IF(Presupuesto!$B$38='Flujo de Pagos'!$E214,38,9999)</f>
        <v>38</v>
      </c>
      <c r="BG214" s="0" t="n">
        <f aca="false">IF(Presupuesto!$B$39='Flujo de Pagos'!$E214,39,9999)</f>
        <v>39</v>
      </c>
      <c r="BH214" s="0" t="n">
        <f aca="false">IF(Presupuesto!$B$40='Flujo de Pagos'!$E214,40,9999)</f>
        <v>40</v>
      </c>
      <c r="BI214" s="0" t="n">
        <f aca="false">IF(Presupuesto!$B$41='Flujo de Pagos'!$E214,41,9999)</f>
        <v>41</v>
      </c>
      <c r="BJ214" s="0" t="n">
        <f aca="false">IF(Presupuesto!$B$42='Flujo de Pagos'!$E214,42,9999)</f>
        <v>42</v>
      </c>
      <c r="BK214" s="0" t="n">
        <f aca="false">IF(Presupuesto!$B$43='Flujo de Pagos'!$E214,43,9999)</f>
        <v>43</v>
      </c>
      <c r="BL214" s="0" t="n">
        <f aca="false">IF(Presupuesto!$B$44='Flujo de Pagos'!$E214,44,9999)</f>
        <v>44</v>
      </c>
      <c r="BM214" s="0" t="n">
        <f aca="false">IF(Presupuesto!$B$45='Flujo de Pagos'!$E214,45,9999)</f>
        <v>45</v>
      </c>
      <c r="BN214" s="0" t="n">
        <f aca="false">IF(Presupuesto!$B$46='Flujo de Pagos'!$E214,46,9999)</f>
        <v>46</v>
      </c>
      <c r="BO214" s="0" t="n">
        <f aca="false">IF(Presupuesto!$B$47='Flujo de Pagos'!$E214,47,9999)</f>
        <v>47</v>
      </c>
      <c r="BP214" s="0" t="n">
        <f aca="false">IF(Presupuesto!$B$48='Flujo de Pagos'!$E214,48,9999)</f>
        <v>48</v>
      </c>
      <c r="BQ214" s="0" t="n">
        <f aca="false">IF(Presupuesto!$B$49='Flujo de Pagos'!$E214,49,9999)</f>
        <v>49</v>
      </c>
      <c r="BR214" s="0" t="n">
        <f aca="false">IF(Presupuesto!$B$50='Flujo de Pagos'!$E214,50,9999)</f>
        <v>50</v>
      </c>
      <c r="BS214" s="0" t="n">
        <f aca="false">IF(Presupuesto!$B$51='Flujo de Pagos'!$E214,51,9999)</f>
        <v>51</v>
      </c>
      <c r="BT214" s="0" t="n">
        <f aca="false">IF(Presupuesto!$B$52='Flujo de Pagos'!$E214,52,9999)</f>
        <v>52</v>
      </c>
      <c r="BU214" s="0" t="n">
        <f aca="false">IF(Presupuesto!$B$53='Flujo de Pagos'!$E214,53,9999)</f>
        <v>53</v>
      </c>
      <c r="BV214" s="0" t="n">
        <f aca="false">IF(Presupuesto!$B$54='Flujo de Pagos'!$E214,54,9999)</f>
        <v>54</v>
      </c>
      <c r="BW214" s="0" t="n">
        <f aca="false">IF(Presupuesto!$B$55='Flujo de Pagos'!$E214,55,9999)</f>
        <v>55</v>
      </c>
      <c r="BX214" s="0" t="n">
        <f aca="false">IF(Presupuesto!$B$56='Flujo de Pagos'!$E214,56,9999)</f>
        <v>56</v>
      </c>
      <c r="BY214" s="0" t="n">
        <f aca="false">IF(Presupuesto!$B$57='Flujo de Pagos'!$E214,57,9999)</f>
        <v>57</v>
      </c>
      <c r="BZ214" s="0" t="n">
        <f aca="false">IF(Presupuesto!$B$58='Flujo de Pagos'!$E214,58,9999)</f>
        <v>58</v>
      </c>
      <c r="CA214" s="0" t="n">
        <f aca="false">IF(Presupuesto!$B$59='Flujo de Pagos'!$E214,59,9999)</f>
        <v>59</v>
      </c>
      <c r="CB214" s="0" t="n">
        <f aca="false">IF(Presupuesto!$B$60='Flujo de Pagos'!$E214,60,9999)</f>
        <v>60</v>
      </c>
      <c r="CC214" s="0" t="n">
        <f aca="false">IF(Presupuesto!$B$61='Flujo de Pagos'!$E214,61,9999)</f>
        <v>61</v>
      </c>
      <c r="CD214" s="0" t="n">
        <f aca="false">IF(Presupuesto!$B$62='Flujo de Pagos'!$E214,62,9999)</f>
        <v>62</v>
      </c>
      <c r="CE214" s="0" t="n">
        <f aca="false">IF(Presupuesto!$B$63='Flujo de Pagos'!$E214,63,9999)</f>
        <v>63</v>
      </c>
      <c r="CF214" s="0" t="n">
        <f aca="false">IF(Presupuesto!$B$64='Flujo de Pagos'!$E214,64,9999)</f>
        <v>64</v>
      </c>
      <c r="CG214" s="0" t="n">
        <f aca="false">IF(Presupuesto!$B$65='Flujo de Pagos'!$E214,65,9999)</f>
        <v>65</v>
      </c>
      <c r="CH214" s="0" t="n">
        <f aca="false">IF(Presupuesto!$B$66='Flujo de Pagos'!$E214,66,9999)</f>
        <v>66</v>
      </c>
    </row>
    <row r="215" customFormat="false" ht="15" hidden="false" customHeight="true" outlineLevel="0" collapsed="false">
      <c r="B215" s="1" t="n">
        <f aca="false">IF(AND('Flujo de Pagos'!E220=Carátula!$B$2,'Flujo de Pagos'!F220=Carátula!$B$4,'Flujo de Pagos'!H220&lt;&gt;""),220,99999)</f>
        <v>99999</v>
      </c>
      <c r="H215" s="1" t="n">
        <f aca="false">IF(SMALL($AA215:$CH215,1)&gt;=9999,"",INDEX(Presupuesto!$C:$C,SMALL($AA215:$CH215,1)))</f>
        <v>0</v>
      </c>
      <c r="I215" s="1" t="n">
        <f aca="false">IF(SMALL($AA215:$CH215,2)&gt;=9999,"",INDEX(Presupuesto!$C:$C,SMALL($AA215:$CH215,2)))</f>
        <v>0</v>
      </c>
      <c r="J215" s="1" t="n">
        <f aca="false">IF(SMALL($AA215:$CH215,3)&gt;=9999,"",INDEX(Presupuesto!$C:$C,SMALL($AA215:$CH215,3)))</f>
        <v>0</v>
      </c>
      <c r="K215" s="1" t="n">
        <f aca="false">IF(SMALL($AA215:$CH215,4)&gt;=9999,"",INDEX(Presupuesto!$C:$C,SMALL($AA215:$CH215,4)))</f>
        <v>0</v>
      </c>
      <c r="L215" s="1" t="n">
        <f aca="false">IF(SMALL($AA215:$CH215,5)&gt;=9999,"",INDEX(Presupuesto!$C:$C,SMALL($AA215:$CH215,5)))</f>
        <v>0</v>
      </c>
      <c r="M215" s="1" t="n">
        <f aca="false">IF(SMALL($AA215:$CH215,6)&gt;=9999,"",INDEX(Presupuesto!$C:$C,SMALL($AA215:$CH215,6)))</f>
        <v>0</v>
      </c>
      <c r="N215" s="1" t="n">
        <f aca="false">IF(SMALL($AA215:$CH215,7)&gt;=9999,"",INDEX(Presupuesto!$C:$C,SMALL($AA215:$CH215,7)))</f>
        <v>0</v>
      </c>
      <c r="O215" s="1" t="n">
        <f aca="false">IF(SMALL($AA215:$CH215,8)&gt;=9999,"",INDEX(Presupuesto!$C:$C,SMALL($AA215:$CH215,8)))</f>
        <v>0</v>
      </c>
      <c r="P215" s="1" t="n">
        <f aca="false">IF(SMALL($AA215:$CH215,9)&gt;=9999,"",INDEX(Presupuesto!$C:$C,SMALL($AA215:$CH215,9)))</f>
        <v>0</v>
      </c>
      <c r="Q215" s="1" t="n">
        <f aca="false">IF(SMALL($AA215:$CH215,10)&gt;=9999,"",INDEX(Presupuesto!$C:$C,SMALL($AA215:$CH215,10)))</f>
        <v>0</v>
      </c>
      <c r="AA215" s="0" t="n">
        <f aca="false">IF(Presupuesto!$B$7='Flujo de Pagos'!$E215,7,9999)</f>
        <v>9999</v>
      </c>
      <c r="AB215" s="0" t="n">
        <f aca="false">IF(Presupuesto!$B$8='Flujo de Pagos'!$E215,8,9999)</f>
        <v>9999</v>
      </c>
      <c r="AC215" s="0" t="n">
        <f aca="false">IF(Presupuesto!$B$9='Flujo de Pagos'!$E215,9,9999)</f>
        <v>9999</v>
      </c>
      <c r="AD215" s="0" t="n">
        <f aca="false">IF(Presupuesto!$B$10='Flujo de Pagos'!$E215,10,9999)</f>
        <v>9999</v>
      </c>
      <c r="AE215" s="0" t="n">
        <f aca="false">IF(Presupuesto!$B$11='Flujo de Pagos'!$E215,11,9999)</f>
        <v>9999</v>
      </c>
      <c r="AF215" s="0" t="n">
        <f aca="false">IF(Presupuesto!$B$12='Flujo de Pagos'!$E215,12,9999)</f>
        <v>12</v>
      </c>
      <c r="AG215" s="0" t="n">
        <f aca="false">IF(Presupuesto!$B$13='Flujo de Pagos'!$E215,13,9999)</f>
        <v>13</v>
      </c>
      <c r="AH215" s="0" t="n">
        <f aca="false">IF(Presupuesto!$B$14='Flujo de Pagos'!$E215,14,9999)</f>
        <v>14</v>
      </c>
      <c r="AI215" s="0" t="n">
        <f aca="false">IF(Presupuesto!$B$15='Flujo de Pagos'!$E215,15,9999)</f>
        <v>15</v>
      </c>
      <c r="AJ215" s="0" t="n">
        <f aca="false">IF(Presupuesto!$B$16='Flujo de Pagos'!$E215,16,9999)</f>
        <v>16</v>
      </c>
      <c r="AK215" s="0" t="n">
        <f aca="false">IF(Presupuesto!$B$17='Flujo de Pagos'!$E215,17,9999)</f>
        <v>17</v>
      </c>
      <c r="AL215" s="0" t="n">
        <f aca="false">IF(Presupuesto!$B$18='Flujo de Pagos'!$E215,18,9999)</f>
        <v>18</v>
      </c>
      <c r="AM215" s="0" t="n">
        <f aca="false">IF(Presupuesto!$B$19='Flujo de Pagos'!$E215,19,9999)</f>
        <v>19</v>
      </c>
      <c r="AN215" s="0" t="n">
        <f aca="false">IF(Presupuesto!$B$20='Flujo de Pagos'!$E215,20,9999)</f>
        <v>20</v>
      </c>
      <c r="AO215" s="0" t="n">
        <f aca="false">IF(Presupuesto!$B$21='Flujo de Pagos'!$E215,21,9999)</f>
        <v>21</v>
      </c>
      <c r="AP215" s="0" t="n">
        <f aca="false">IF(Presupuesto!$B$22='Flujo de Pagos'!$E215,22,9999)</f>
        <v>22</v>
      </c>
      <c r="AQ215" s="0" t="n">
        <f aca="false">IF(Presupuesto!$B$23='Flujo de Pagos'!$E215,23,9999)</f>
        <v>23</v>
      </c>
      <c r="AR215" s="0" t="n">
        <f aca="false">IF(Presupuesto!$B$24='Flujo de Pagos'!$E215,24,9999)</f>
        <v>24</v>
      </c>
      <c r="AS215" s="0" t="n">
        <f aca="false">IF(Presupuesto!$B$25='Flujo de Pagos'!$E215,25,9999)</f>
        <v>25</v>
      </c>
      <c r="AT215" s="0" t="n">
        <f aca="false">IF(Presupuesto!$B$26='Flujo de Pagos'!$E215,26,9999)</f>
        <v>26</v>
      </c>
      <c r="AU215" s="0" t="n">
        <f aca="false">IF(Presupuesto!$B$27='Flujo de Pagos'!$E215,27,9999)</f>
        <v>27</v>
      </c>
      <c r="AV215" s="0" t="n">
        <f aca="false">IF(Presupuesto!$B$28='Flujo de Pagos'!$E215,28,9999)</f>
        <v>28</v>
      </c>
      <c r="AW215" s="0" t="n">
        <f aca="false">IF(Presupuesto!$B$29='Flujo de Pagos'!$E215,29,9999)</f>
        <v>29</v>
      </c>
      <c r="AX215" s="0" t="n">
        <f aca="false">IF(Presupuesto!$B$30='Flujo de Pagos'!$E215,30,9999)</f>
        <v>30</v>
      </c>
      <c r="AY215" s="0" t="n">
        <f aca="false">IF(Presupuesto!$B$31='Flujo de Pagos'!$E215,31,9999)</f>
        <v>31</v>
      </c>
      <c r="AZ215" s="0" t="n">
        <f aca="false">IF(Presupuesto!$B$32='Flujo de Pagos'!$E215,32,9999)</f>
        <v>32</v>
      </c>
      <c r="BA215" s="0" t="n">
        <f aca="false">IF(Presupuesto!$B$33='Flujo de Pagos'!$E215,33,9999)</f>
        <v>33</v>
      </c>
      <c r="BB215" s="0" t="n">
        <f aca="false">IF(Presupuesto!$B$34='Flujo de Pagos'!$E215,34,9999)</f>
        <v>34</v>
      </c>
      <c r="BC215" s="0" t="n">
        <f aca="false">IF(Presupuesto!$B$35='Flujo de Pagos'!$E215,35,9999)</f>
        <v>35</v>
      </c>
      <c r="BD215" s="0" t="n">
        <f aca="false">IF(Presupuesto!$B$36='Flujo de Pagos'!$E215,36,9999)</f>
        <v>36</v>
      </c>
      <c r="BE215" s="0" t="n">
        <f aca="false">IF(Presupuesto!$B$37='Flujo de Pagos'!$E215,37,9999)</f>
        <v>37</v>
      </c>
      <c r="BF215" s="0" t="n">
        <f aca="false">IF(Presupuesto!$B$38='Flujo de Pagos'!$E215,38,9999)</f>
        <v>38</v>
      </c>
      <c r="BG215" s="0" t="n">
        <f aca="false">IF(Presupuesto!$B$39='Flujo de Pagos'!$E215,39,9999)</f>
        <v>39</v>
      </c>
      <c r="BH215" s="0" t="n">
        <f aca="false">IF(Presupuesto!$B$40='Flujo de Pagos'!$E215,40,9999)</f>
        <v>40</v>
      </c>
      <c r="BI215" s="0" t="n">
        <f aca="false">IF(Presupuesto!$B$41='Flujo de Pagos'!$E215,41,9999)</f>
        <v>41</v>
      </c>
      <c r="BJ215" s="0" t="n">
        <f aca="false">IF(Presupuesto!$B$42='Flujo de Pagos'!$E215,42,9999)</f>
        <v>42</v>
      </c>
      <c r="BK215" s="0" t="n">
        <f aca="false">IF(Presupuesto!$B$43='Flujo de Pagos'!$E215,43,9999)</f>
        <v>43</v>
      </c>
      <c r="BL215" s="0" t="n">
        <f aca="false">IF(Presupuesto!$B$44='Flujo de Pagos'!$E215,44,9999)</f>
        <v>44</v>
      </c>
      <c r="BM215" s="0" t="n">
        <f aca="false">IF(Presupuesto!$B$45='Flujo de Pagos'!$E215,45,9999)</f>
        <v>45</v>
      </c>
      <c r="BN215" s="0" t="n">
        <f aca="false">IF(Presupuesto!$B$46='Flujo de Pagos'!$E215,46,9999)</f>
        <v>46</v>
      </c>
      <c r="BO215" s="0" t="n">
        <f aca="false">IF(Presupuesto!$B$47='Flujo de Pagos'!$E215,47,9999)</f>
        <v>47</v>
      </c>
      <c r="BP215" s="0" t="n">
        <f aca="false">IF(Presupuesto!$B$48='Flujo de Pagos'!$E215,48,9999)</f>
        <v>48</v>
      </c>
      <c r="BQ215" s="0" t="n">
        <f aca="false">IF(Presupuesto!$B$49='Flujo de Pagos'!$E215,49,9999)</f>
        <v>49</v>
      </c>
      <c r="BR215" s="0" t="n">
        <f aca="false">IF(Presupuesto!$B$50='Flujo de Pagos'!$E215,50,9999)</f>
        <v>50</v>
      </c>
      <c r="BS215" s="0" t="n">
        <f aca="false">IF(Presupuesto!$B$51='Flujo de Pagos'!$E215,51,9999)</f>
        <v>51</v>
      </c>
      <c r="BT215" s="0" t="n">
        <f aca="false">IF(Presupuesto!$B$52='Flujo de Pagos'!$E215,52,9999)</f>
        <v>52</v>
      </c>
      <c r="BU215" s="0" t="n">
        <f aca="false">IF(Presupuesto!$B$53='Flujo de Pagos'!$E215,53,9999)</f>
        <v>53</v>
      </c>
      <c r="BV215" s="0" t="n">
        <f aca="false">IF(Presupuesto!$B$54='Flujo de Pagos'!$E215,54,9999)</f>
        <v>54</v>
      </c>
      <c r="BW215" s="0" t="n">
        <f aca="false">IF(Presupuesto!$B$55='Flujo de Pagos'!$E215,55,9999)</f>
        <v>55</v>
      </c>
      <c r="BX215" s="0" t="n">
        <f aca="false">IF(Presupuesto!$B$56='Flujo de Pagos'!$E215,56,9999)</f>
        <v>56</v>
      </c>
      <c r="BY215" s="0" t="n">
        <f aca="false">IF(Presupuesto!$B$57='Flujo de Pagos'!$E215,57,9999)</f>
        <v>57</v>
      </c>
      <c r="BZ215" s="0" t="n">
        <f aca="false">IF(Presupuesto!$B$58='Flujo de Pagos'!$E215,58,9999)</f>
        <v>58</v>
      </c>
      <c r="CA215" s="0" t="n">
        <f aca="false">IF(Presupuesto!$B$59='Flujo de Pagos'!$E215,59,9999)</f>
        <v>59</v>
      </c>
      <c r="CB215" s="0" t="n">
        <f aca="false">IF(Presupuesto!$B$60='Flujo de Pagos'!$E215,60,9999)</f>
        <v>60</v>
      </c>
      <c r="CC215" s="0" t="n">
        <f aca="false">IF(Presupuesto!$B$61='Flujo de Pagos'!$E215,61,9999)</f>
        <v>61</v>
      </c>
      <c r="CD215" s="0" t="n">
        <f aca="false">IF(Presupuesto!$B$62='Flujo de Pagos'!$E215,62,9999)</f>
        <v>62</v>
      </c>
      <c r="CE215" s="0" t="n">
        <f aca="false">IF(Presupuesto!$B$63='Flujo de Pagos'!$E215,63,9999)</f>
        <v>63</v>
      </c>
      <c r="CF215" s="0" t="n">
        <f aca="false">IF(Presupuesto!$B$64='Flujo de Pagos'!$E215,64,9999)</f>
        <v>64</v>
      </c>
      <c r="CG215" s="0" t="n">
        <f aca="false">IF(Presupuesto!$B$65='Flujo de Pagos'!$E215,65,9999)</f>
        <v>65</v>
      </c>
      <c r="CH215" s="0" t="n">
        <f aca="false">IF(Presupuesto!$B$66='Flujo de Pagos'!$E215,66,9999)</f>
        <v>66</v>
      </c>
    </row>
    <row r="216" customFormat="false" ht="15" hidden="false" customHeight="true" outlineLevel="0" collapsed="false">
      <c r="B216" s="1" t="n">
        <f aca="false">IF(AND('Flujo de Pagos'!E221=Carátula!$B$2,'Flujo de Pagos'!F221=Carátula!$B$4,'Flujo de Pagos'!H221&lt;&gt;""),221,99999)</f>
        <v>99999</v>
      </c>
      <c r="H216" s="1" t="n">
        <f aca="false">IF(SMALL($AA216:$CH216,1)&gt;=9999,"",INDEX(Presupuesto!$C:$C,SMALL($AA216:$CH216,1)))</f>
        <v>0</v>
      </c>
      <c r="I216" s="1" t="n">
        <f aca="false">IF(SMALL($AA216:$CH216,2)&gt;=9999,"",INDEX(Presupuesto!$C:$C,SMALL($AA216:$CH216,2)))</f>
        <v>0</v>
      </c>
      <c r="J216" s="1" t="n">
        <f aca="false">IF(SMALL($AA216:$CH216,3)&gt;=9999,"",INDEX(Presupuesto!$C:$C,SMALL($AA216:$CH216,3)))</f>
        <v>0</v>
      </c>
      <c r="K216" s="1" t="n">
        <f aca="false">IF(SMALL($AA216:$CH216,4)&gt;=9999,"",INDEX(Presupuesto!$C:$C,SMALL($AA216:$CH216,4)))</f>
        <v>0</v>
      </c>
      <c r="L216" s="1" t="n">
        <f aca="false">IF(SMALL($AA216:$CH216,5)&gt;=9999,"",INDEX(Presupuesto!$C:$C,SMALL($AA216:$CH216,5)))</f>
        <v>0</v>
      </c>
      <c r="M216" s="1" t="n">
        <f aca="false">IF(SMALL($AA216:$CH216,6)&gt;=9999,"",INDEX(Presupuesto!$C:$C,SMALL($AA216:$CH216,6)))</f>
        <v>0</v>
      </c>
      <c r="N216" s="1" t="n">
        <f aca="false">IF(SMALL($AA216:$CH216,7)&gt;=9999,"",INDEX(Presupuesto!$C:$C,SMALL($AA216:$CH216,7)))</f>
        <v>0</v>
      </c>
      <c r="O216" s="1" t="n">
        <f aca="false">IF(SMALL($AA216:$CH216,8)&gt;=9999,"",INDEX(Presupuesto!$C:$C,SMALL($AA216:$CH216,8)))</f>
        <v>0</v>
      </c>
      <c r="P216" s="1" t="n">
        <f aca="false">IF(SMALL($AA216:$CH216,9)&gt;=9999,"",INDEX(Presupuesto!$C:$C,SMALL($AA216:$CH216,9)))</f>
        <v>0</v>
      </c>
      <c r="Q216" s="1" t="n">
        <f aca="false">IF(SMALL($AA216:$CH216,10)&gt;=9999,"",INDEX(Presupuesto!$C:$C,SMALL($AA216:$CH216,10)))</f>
        <v>0</v>
      </c>
      <c r="AA216" s="0" t="n">
        <f aca="false">IF(Presupuesto!$B$7='Flujo de Pagos'!$E216,7,9999)</f>
        <v>9999</v>
      </c>
      <c r="AB216" s="0" t="n">
        <f aca="false">IF(Presupuesto!$B$8='Flujo de Pagos'!$E216,8,9999)</f>
        <v>9999</v>
      </c>
      <c r="AC216" s="0" t="n">
        <f aca="false">IF(Presupuesto!$B$9='Flujo de Pagos'!$E216,9,9999)</f>
        <v>9999</v>
      </c>
      <c r="AD216" s="0" t="n">
        <f aca="false">IF(Presupuesto!$B$10='Flujo de Pagos'!$E216,10,9999)</f>
        <v>9999</v>
      </c>
      <c r="AE216" s="0" t="n">
        <f aca="false">IF(Presupuesto!$B$11='Flujo de Pagos'!$E216,11,9999)</f>
        <v>9999</v>
      </c>
      <c r="AF216" s="0" t="n">
        <f aca="false">IF(Presupuesto!$B$12='Flujo de Pagos'!$E216,12,9999)</f>
        <v>12</v>
      </c>
      <c r="AG216" s="0" t="n">
        <f aca="false">IF(Presupuesto!$B$13='Flujo de Pagos'!$E216,13,9999)</f>
        <v>13</v>
      </c>
      <c r="AH216" s="0" t="n">
        <f aca="false">IF(Presupuesto!$B$14='Flujo de Pagos'!$E216,14,9999)</f>
        <v>14</v>
      </c>
      <c r="AI216" s="0" t="n">
        <f aca="false">IF(Presupuesto!$B$15='Flujo de Pagos'!$E216,15,9999)</f>
        <v>15</v>
      </c>
      <c r="AJ216" s="0" t="n">
        <f aca="false">IF(Presupuesto!$B$16='Flujo de Pagos'!$E216,16,9999)</f>
        <v>16</v>
      </c>
      <c r="AK216" s="0" t="n">
        <f aca="false">IF(Presupuesto!$B$17='Flujo de Pagos'!$E216,17,9999)</f>
        <v>17</v>
      </c>
      <c r="AL216" s="0" t="n">
        <f aca="false">IF(Presupuesto!$B$18='Flujo de Pagos'!$E216,18,9999)</f>
        <v>18</v>
      </c>
      <c r="AM216" s="0" t="n">
        <f aca="false">IF(Presupuesto!$B$19='Flujo de Pagos'!$E216,19,9999)</f>
        <v>19</v>
      </c>
      <c r="AN216" s="0" t="n">
        <f aca="false">IF(Presupuesto!$B$20='Flujo de Pagos'!$E216,20,9999)</f>
        <v>20</v>
      </c>
      <c r="AO216" s="0" t="n">
        <f aca="false">IF(Presupuesto!$B$21='Flujo de Pagos'!$E216,21,9999)</f>
        <v>21</v>
      </c>
      <c r="AP216" s="0" t="n">
        <f aca="false">IF(Presupuesto!$B$22='Flujo de Pagos'!$E216,22,9999)</f>
        <v>22</v>
      </c>
      <c r="AQ216" s="0" t="n">
        <f aca="false">IF(Presupuesto!$B$23='Flujo de Pagos'!$E216,23,9999)</f>
        <v>23</v>
      </c>
      <c r="AR216" s="0" t="n">
        <f aca="false">IF(Presupuesto!$B$24='Flujo de Pagos'!$E216,24,9999)</f>
        <v>24</v>
      </c>
      <c r="AS216" s="0" t="n">
        <f aca="false">IF(Presupuesto!$B$25='Flujo de Pagos'!$E216,25,9999)</f>
        <v>25</v>
      </c>
      <c r="AT216" s="0" t="n">
        <f aca="false">IF(Presupuesto!$B$26='Flujo de Pagos'!$E216,26,9999)</f>
        <v>26</v>
      </c>
      <c r="AU216" s="0" t="n">
        <f aca="false">IF(Presupuesto!$B$27='Flujo de Pagos'!$E216,27,9999)</f>
        <v>27</v>
      </c>
      <c r="AV216" s="0" t="n">
        <f aca="false">IF(Presupuesto!$B$28='Flujo de Pagos'!$E216,28,9999)</f>
        <v>28</v>
      </c>
      <c r="AW216" s="0" t="n">
        <f aca="false">IF(Presupuesto!$B$29='Flujo de Pagos'!$E216,29,9999)</f>
        <v>29</v>
      </c>
      <c r="AX216" s="0" t="n">
        <f aca="false">IF(Presupuesto!$B$30='Flujo de Pagos'!$E216,30,9999)</f>
        <v>30</v>
      </c>
      <c r="AY216" s="0" t="n">
        <f aca="false">IF(Presupuesto!$B$31='Flujo de Pagos'!$E216,31,9999)</f>
        <v>31</v>
      </c>
      <c r="AZ216" s="0" t="n">
        <f aca="false">IF(Presupuesto!$B$32='Flujo de Pagos'!$E216,32,9999)</f>
        <v>32</v>
      </c>
      <c r="BA216" s="0" t="n">
        <f aca="false">IF(Presupuesto!$B$33='Flujo de Pagos'!$E216,33,9999)</f>
        <v>33</v>
      </c>
      <c r="BB216" s="0" t="n">
        <f aca="false">IF(Presupuesto!$B$34='Flujo de Pagos'!$E216,34,9999)</f>
        <v>34</v>
      </c>
      <c r="BC216" s="0" t="n">
        <f aca="false">IF(Presupuesto!$B$35='Flujo de Pagos'!$E216,35,9999)</f>
        <v>35</v>
      </c>
      <c r="BD216" s="0" t="n">
        <f aca="false">IF(Presupuesto!$B$36='Flujo de Pagos'!$E216,36,9999)</f>
        <v>36</v>
      </c>
      <c r="BE216" s="0" t="n">
        <f aca="false">IF(Presupuesto!$B$37='Flujo de Pagos'!$E216,37,9999)</f>
        <v>37</v>
      </c>
      <c r="BF216" s="0" t="n">
        <f aca="false">IF(Presupuesto!$B$38='Flujo de Pagos'!$E216,38,9999)</f>
        <v>38</v>
      </c>
      <c r="BG216" s="0" t="n">
        <f aca="false">IF(Presupuesto!$B$39='Flujo de Pagos'!$E216,39,9999)</f>
        <v>39</v>
      </c>
      <c r="BH216" s="0" t="n">
        <f aca="false">IF(Presupuesto!$B$40='Flujo de Pagos'!$E216,40,9999)</f>
        <v>40</v>
      </c>
      <c r="BI216" s="0" t="n">
        <f aca="false">IF(Presupuesto!$B$41='Flujo de Pagos'!$E216,41,9999)</f>
        <v>41</v>
      </c>
      <c r="BJ216" s="0" t="n">
        <f aca="false">IF(Presupuesto!$B$42='Flujo de Pagos'!$E216,42,9999)</f>
        <v>42</v>
      </c>
      <c r="BK216" s="0" t="n">
        <f aca="false">IF(Presupuesto!$B$43='Flujo de Pagos'!$E216,43,9999)</f>
        <v>43</v>
      </c>
      <c r="BL216" s="0" t="n">
        <f aca="false">IF(Presupuesto!$B$44='Flujo de Pagos'!$E216,44,9999)</f>
        <v>44</v>
      </c>
      <c r="BM216" s="0" t="n">
        <f aca="false">IF(Presupuesto!$B$45='Flujo de Pagos'!$E216,45,9999)</f>
        <v>45</v>
      </c>
      <c r="BN216" s="0" t="n">
        <f aca="false">IF(Presupuesto!$B$46='Flujo de Pagos'!$E216,46,9999)</f>
        <v>46</v>
      </c>
      <c r="BO216" s="0" t="n">
        <f aca="false">IF(Presupuesto!$B$47='Flujo de Pagos'!$E216,47,9999)</f>
        <v>47</v>
      </c>
      <c r="BP216" s="0" t="n">
        <f aca="false">IF(Presupuesto!$B$48='Flujo de Pagos'!$E216,48,9999)</f>
        <v>48</v>
      </c>
      <c r="BQ216" s="0" t="n">
        <f aca="false">IF(Presupuesto!$B$49='Flujo de Pagos'!$E216,49,9999)</f>
        <v>49</v>
      </c>
      <c r="BR216" s="0" t="n">
        <f aca="false">IF(Presupuesto!$B$50='Flujo de Pagos'!$E216,50,9999)</f>
        <v>50</v>
      </c>
      <c r="BS216" s="0" t="n">
        <f aca="false">IF(Presupuesto!$B$51='Flujo de Pagos'!$E216,51,9999)</f>
        <v>51</v>
      </c>
      <c r="BT216" s="0" t="n">
        <f aca="false">IF(Presupuesto!$B$52='Flujo de Pagos'!$E216,52,9999)</f>
        <v>52</v>
      </c>
      <c r="BU216" s="0" t="n">
        <f aca="false">IF(Presupuesto!$B$53='Flujo de Pagos'!$E216,53,9999)</f>
        <v>53</v>
      </c>
      <c r="BV216" s="0" t="n">
        <f aca="false">IF(Presupuesto!$B$54='Flujo de Pagos'!$E216,54,9999)</f>
        <v>54</v>
      </c>
      <c r="BW216" s="0" t="n">
        <f aca="false">IF(Presupuesto!$B$55='Flujo de Pagos'!$E216,55,9999)</f>
        <v>55</v>
      </c>
      <c r="BX216" s="0" t="n">
        <f aca="false">IF(Presupuesto!$B$56='Flujo de Pagos'!$E216,56,9999)</f>
        <v>56</v>
      </c>
      <c r="BY216" s="0" t="n">
        <f aca="false">IF(Presupuesto!$B$57='Flujo de Pagos'!$E216,57,9999)</f>
        <v>57</v>
      </c>
      <c r="BZ216" s="0" t="n">
        <f aca="false">IF(Presupuesto!$B$58='Flujo de Pagos'!$E216,58,9999)</f>
        <v>58</v>
      </c>
      <c r="CA216" s="0" t="n">
        <f aca="false">IF(Presupuesto!$B$59='Flujo de Pagos'!$E216,59,9999)</f>
        <v>59</v>
      </c>
      <c r="CB216" s="0" t="n">
        <f aca="false">IF(Presupuesto!$B$60='Flujo de Pagos'!$E216,60,9999)</f>
        <v>60</v>
      </c>
      <c r="CC216" s="0" t="n">
        <f aca="false">IF(Presupuesto!$B$61='Flujo de Pagos'!$E216,61,9999)</f>
        <v>61</v>
      </c>
      <c r="CD216" s="0" t="n">
        <f aca="false">IF(Presupuesto!$B$62='Flujo de Pagos'!$E216,62,9999)</f>
        <v>62</v>
      </c>
      <c r="CE216" s="0" t="n">
        <f aca="false">IF(Presupuesto!$B$63='Flujo de Pagos'!$E216,63,9999)</f>
        <v>63</v>
      </c>
      <c r="CF216" s="0" t="n">
        <f aca="false">IF(Presupuesto!$B$64='Flujo de Pagos'!$E216,64,9999)</f>
        <v>64</v>
      </c>
      <c r="CG216" s="0" t="n">
        <f aca="false">IF(Presupuesto!$B$65='Flujo de Pagos'!$E216,65,9999)</f>
        <v>65</v>
      </c>
      <c r="CH216" s="0" t="n">
        <f aca="false">IF(Presupuesto!$B$66='Flujo de Pagos'!$E216,66,9999)</f>
        <v>66</v>
      </c>
    </row>
    <row r="217" customFormat="false" ht="15" hidden="false" customHeight="true" outlineLevel="0" collapsed="false">
      <c r="B217" s="1" t="n">
        <f aca="false">IF(AND('Flujo de Pagos'!E222=Carátula!$B$2,'Flujo de Pagos'!F222=Carátula!$B$4,'Flujo de Pagos'!H222&lt;&gt;""),222,99999)</f>
        <v>99999</v>
      </c>
      <c r="H217" s="1" t="n">
        <f aca="false">IF(SMALL($AA217:$CH217,1)&gt;=9999,"",INDEX(Presupuesto!$C:$C,SMALL($AA217:$CH217,1)))</f>
        <v>0</v>
      </c>
      <c r="I217" s="1" t="n">
        <f aca="false">IF(SMALL($AA217:$CH217,2)&gt;=9999,"",INDEX(Presupuesto!$C:$C,SMALL($AA217:$CH217,2)))</f>
        <v>0</v>
      </c>
      <c r="J217" s="1" t="n">
        <f aca="false">IF(SMALL($AA217:$CH217,3)&gt;=9999,"",INDEX(Presupuesto!$C:$C,SMALL($AA217:$CH217,3)))</f>
        <v>0</v>
      </c>
      <c r="K217" s="1" t="n">
        <f aca="false">IF(SMALL($AA217:$CH217,4)&gt;=9999,"",INDEX(Presupuesto!$C:$C,SMALL($AA217:$CH217,4)))</f>
        <v>0</v>
      </c>
      <c r="L217" s="1" t="n">
        <f aca="false">IF(SMALL($AA217:$CH217,5)&gt;=9999,"",INDEX(Presupuesto!$C:$C,SMALL($AA217:$CH217,5)))</f>
        <v>0</v>
      </c>
      <c r="M217" s="1" t="n">
        <f aca="false">IF(SMALL($AA217:$CH217,6)&gt;=9999,"",INDEX(Presupuesto!$C:$C,SMALL($AA217:$CH217,6)))</f>
        <v>0</v>
      </c>
      <c r="N217" s="1" t="n">
        <f aca="false">IF(SMALL($AA217:$CH217,7)&gt;=9999,"",INDEX(Presupuesto!$C:$C,SMALL($AA217:$CH217,7)))</f>
        <v>0</v>
      </c>
      <c r="O217" s="1" t="n">
        <f aca="false">IF(SMALL($AA217:$CH217,8)&gt;=9999,"",INDEX(Presupuesto!$C:$C,SMALL($AA217:$CH217,8)))</f>
        <v>0</v>
      </c>
      <c r="P217" s="1" t="n">
        <f aca="false">IF(SMALL($AA217:$CH217,9)&gt;=9999,"",INDEX(Presupuesto!$C:$C,SMALL($AA217:$CH217,9)))</f>
        <v>0</v>
      </c>
      <c r="Q217" s="1" t="n">
        <f aca="false">IF(SMALL($AA217:$CH217,10)&gt;=9999,"",INDEX(Presupuesto!$C:$C,SMALL($AA217:$CH217,10)))</f>
        <v>0</v>
      </c>
      <c r="AA217" s="0" t="n">
        <f aca="false">IF(Presupuesto!$B$7='Flujo de Pagos'!$E217,7,9999)</f>
        <v>9999</v>
      </c>
      <c r="AB217" s="0" t="n">
        <f aca="false">IF(Presupuesto!$B$8='Flujo de Pagos'!$E217,8,9999)</f>
        <v>9999</v>
      </c>
      <c r="AC217" s="0" t="n">
        <f aca="false">IF(Presupuesto!$B$9='Flujo de Pagos'!$E217,9,9999)</f>
        <v>9999</v>
      </c>
      <c r="AD217" s="0" t="n">
        <f aca="false">IF(Presupuesto!$B$10='Flujo de Pagos'!$E217,10,9999)</f>
        <v>9999</v>
      </c>
      <c r="AE217" s="0" t="n">
        <f aca="false">IF(Presupuesto!$B$11='Flujo de Pagos'!$E217,11,9999)</f>
        <v>9999</v>
      </c>
      <c r="AF217" s="0" t="n">
        <f aca="false">IF(Presupuesto!$B$12='Flujo de Pagos'!$E217,12,9999)</f>
        <v>12</v>
      </c>
      <c r="AG217" s="0" t="n">
        <f aca="false">IF(Presupuesto!$B$13='Flujo de Pagos'!$E217,13,9999)</f>
        <v>13</v>
      </c>
      <c r="AH217" s="0" t="n">
        <f aca="false">IF(Presupuesto!$B$14='Flujo de Pagos'!$E217,14,9999)</f>
        <v>14</v>
      </c>
      <c r="AI217" s="0" t="n">
        <f aca="false">IF(Presupuesto!$B$15='Flujo de Pagos'!$E217,15,9999)</f>
        <v>15</v>
      </c>
      <c r="AJ217" s="0" t="n">
        <f aca="false">IF(Presupuesto!$B$16='Flujo de Pagos'!$E217,16,9999)</f>
        <v>16</v>
      </c>
      <c r="AK217" s="0" t="n">
        <f aca="false">IF(Presupuesto!$B$17='Flujo de Pagos'!$E217,17,9999)</f>
        <v>17</v>
      </c>
      <c r="AL217" s="0" t="n">
        <f aca="false">IF(Presupuesto!$B$18='Flujo de Pagos'!$E217,18,9999)</f>
        <v>18</v>
      </c>
      <c r="AM217" s="0" t="n">
        <f aca="false">IF(Presupuesto!$B$19='Flujo de Pagos'!$E217,19,9999)</f>
        <v>19</v>
      </c>
      <c r="AN217" s="0" t="n">
        <f aca="false">IF(Presupuesto!$B$20='Flujo de Pagos'!$E217,20,9999)</f>
        <v>20</v>
      </c>
      <c r="AO217" s="0" t="n">
        <f aca="false">IF(Presupuesto!$B$21='Flujo de Pagos'!$E217,21,9999)</f>
        <v>21</v>
      </c>
      <c r="AP217" s="0" t="n">
        <f aca="false">IF(Presupuesto!$B$22='Flujo de Pagos'!$E217,22,9999)</f>
        <v>22</v>
      </c>
      <c r="AQ217" s="0" t="n">
        <f aca="false">IF(Presupuesto!$B$23='Flujo de Pagos'!$E217,23,9999)</f>
        <v>23</v>
      </c>
      <c r="AR217" s="0" t="n">
        <f aca="false">IF(Presupuesto!$B$24='Flujo de Pagos'!$E217,24,9999)</f>
        <v>24</v>
      </c>
      <c r="AS217" s="0" t="n">
        <f aca="false">IF(Presupuesto!$B$25='Flujo de Pagos'!$E217,25,9999)</f>
        <v>25</v>
      </c>
      <c r="AT217" s="0" t="n">
        <f aca="false">IF(Presupuesto!$B$26='Flujo de Pagos'!$E217,26,9999)</f>
        <v>26</v>
      </c>
      <c r="AU217" s="0" t="n">
        <f aca="false">IF(Presupuesto!$B$27='Flujo de Pagos'!$E217,27,9999)</f>
        <v>27</v>
      </c>
      <c r="AV217" s="0" t="n">
        <f aca="false">IF(Presupuesto!$B$28='Flujo de Pagos'!$E217,28,9999)</f>
        <v>28</v>
      </c>
      <c r="AW217" s="0" t="n">
        <f aca="false">IF(Presupuesto!$B$29='Flujo de Pagos'!$E217,29,9999)</f>
        <v>29</v>
      </c>
      <c r="AX217" s="0" t="n">
        <f aca="false">IF(Presupuesto!$B$30='Flujo de Pagos'!$E217,30,9999)</f>
        <v>30</v>
      </c>
      <c r="AY217" s="0" t="n">
        <f aca="false">IF(Presupuesto!$B$31='Flujo de Pagos'!$E217,31,9999)</f>
        <v>31</v>
      </c>
      <c r="AZ217" s="0" t="n">
        <f aca="false">IF(Presupuesto!$B$32='Flujo de Pagos'!$E217,32,9999)</f>
        <v>32</v>
      </c>
      <c r="BA217" s="0" t="n">
        <f aca="false">IF(Presupuesto!$B$33='Flujo de Pagos'!$E217,33,9999)</f>
        <v>33</v>
      </c>
      <c r="BB217" s="0" t="n">
        <f aca="false">IF(Presupuesto!$B$34='Flujo de Pagos'!$E217,34,9999)</f>
        <v>34</v>
      </c>
      <c r="BC217" s="0" t="n">
        <f aca="false">IF(Presupuesto!$B$35='Flujo de Pagos'!$E217,35,9999)</f>
        <v>35</v>
      </c>
      <c r="BD217" s="0" t="n">
        <f aca="false">IF(Presupuesto!$B$36='Flujo de Pagos'!$E217,36,9999)</f>
        <v>36</v>
      </c>
      <c r="BE217" s="0" t="n">
        <f aca="false">IF(Presupuesto!$B$37='Flujo de Pagos'!$E217,37,9999)</f>
        <v>37</v>
      </c>
      <c r="BF217" s="0" t="n">
        <f aca="false">IF(Presupuesto!$B$38='Flujo de Pagos'!$E217,38,9999)</f>
        <v>38</v>
      </c>
      <c r="BG217" s="0" t="n">
        <f aca="false">IF(Presupuesto!$B$39='Flujo de Pagos'!$E217,39,9999)</f>
        <v>39</v>
      </c>
      <c r="BH217" s="0" t="n">
        <f aca="false">IF(Presupuesto!$B$40='Flujo de Pagos'!$E217,40,9999)</f>
        <v>40</v>
      </c>
      <c r="BI217" s="0" t="n">
        <f aca="false">IF(Presupuesto!$B$41='Flujo de Pagos'!$E217,41,9999)</f>
        <v>41</v>
      </c>
      <c r="BJ217" s="0" t="n">
        <f aca="false">IF(Presupuesto!$B$42='Flujo de Pagos'!$E217,42,9999)</f>
        <v>42</v>
      </c>
      <c r="BK217" s="0" t="n">
        <f aca="false">IF(Presupuesto!$B$43='Flujo de Pagos'!$E217,43,9999)</f>
        <v>43</v>
      </c>
      <c r="BL217" s="0" t="n">
        <f aca="false">IF(Presupuesto!$B$44='Flujo de Pagos'!$E217,44,9999)</f>
        <v>44</v>
      </c>
      <c r="BM217" s="0" t="n">
        <f aca="false">IF(Presupuesto!$B$45='Flujo de Pagos'!$E217,45,9999)</f>
        <v>45</v>
      </c>
      <c r="BN217" s="0" t="n">
        <f aca="false">IF(Presupuesto!$B$46='Flujo de Pagos'!$E217,46,9999)</f>
        <v>46</v>
      </c>
      <c r="BO217" s="0" t="n">
        <f aca="false">IF(Presupuesto!$B$47='Flujo de Pagos'!$E217,47,9999)</f>
        <v>47</v>
      </c>
      <c r="BP217" s="0" t="n">
        <f aca="false">IF(Presupuesto!$B$48='Flujo de Pagos'!$E217,48,9999)</f>
        <v>48</v>
      </c>
      <c r="BQ217" s="0" t="n">
        <f aca="false">IF(Presupuesto!$B$49='Flujo de Pagos'!$E217,49,9999)</f>
        <v>49</v>
      </c>
      <c r="BR217" s="0" t="n">
        <f aca="false">IF(Presupuesto!$B$50='Flujo de Pagos'!$E217,50,9999)</f>
        <v>50</v>
      </c>
      <c r="BS217" s="0" t="n">
        <f aca="false">IF(Presupuesto!$B$51='Flujo de Pagos'!$E217,51,9999)</f>
        <v>51</v>
      </c>
      <c r="BT217" s="0" t="n">
        <f aca="false">IF(Presupuesto!$B$52='Flujo de Pagos'!$E217,52,9999)</f>
        <v>52</v>
      </c>
      <c r="BU217" s="0" t="n">
        <f aca="false">IF(Presupuesto!$B$53='Flujo de Pagos'!$E217,53,9999)</f>
        <v>53</v>
      </c>
      <c r="BV217" s="0" t="n">
        <f aca="false">IF(Presupuesto!$B$54='Flujo de Pagos'!$E217,54,9999)</f>
        <v>54</v>
      </c>
      <c r="BW217" s="0" t="n">
        <f aca="false">IF(Presupuesto!$B$55='Flujo de Pagos'!$E217,55,9999)</f>
        <v>55</v>
      </c>
      <c r="BX217" s="0" t="n">
        <f aca="false">IF(Presupuesto!$B$56='Flujo de Pagos'!$E217,56,9999)</f>
        <v>56</v>
      </c>
      <c r="BY217" s="0" t="n">
        <f aca="false">IF(Presupuesto!$B$57='Flujo de Pagos'!$E217,57,9999)</f>
        <v>57</v>
      </c>
      <c r="BZ217" s="0" t="n">
        <f aca="false">IF(Presupuesto!$B$58='Flujo de Pagos'!$E217,58,9999)</f>
        <v>58</v>
      </c>
      <c r="CA217" s="0" t="n">
        <f aca="false">IF(Presupuesto!$B$59='Flujo de Pagos'!$E217,59,9999)</f>
        <v>59</v>
      </c>
      <c r="CB217" s="0" t="n">
        <f aca="false">IF(Presupuesto!$B$60='Flujo de Pagos'!$E217,60,9999)</f>
        <v>60</v>
      </c>
      <c r="CC217" s="0" t="n">
        <f aca="false">IF(Presupuesto!$B$61='Flujo de Pagos'!$E217,61,9999)</f>
        <v>61</v>
      </c>
      <c r="CD217" s="0" t="n">
        <f aca="false">IF(Presupuesto!$B$62='Flujo de Pagos'!$E217,62,9999)</f>
        <v>62</v>
      </c>
      <c r="CE217" s="0" t="n">
        <f aca="false">IF(Presupuesto!$B$63='Flujo de Pagos'!$E217,63,9999)</f>
        <v>63</v>
      </c>
      <c r="CF217" s="0" t="n">
        <f aca="false">IF(Presupuesto!$B$64='Flujo de Pagos'!$E217,64,9999)</f>
        <v>64</v>
      </c>
      <c r="CG217" s="0" t="n">
        <f aca="false">IF(Presupuesto!$B$65='Flujo de Pagos'!$E217,65,9999)</f>
        <v>65</v>
      </c>
      <c r="CH217" s="0" t="n">
        <f aca="false">IF(Presupuesto!$B$66='Flujo de Pagos'!$E217,66,9999)</f>
        <v>66</v>
      </c>
    </row>
    <row r="218" customFormat="false" ht="15" hidden="false" customHeight="true" outlineLevel="0" collapsed="false">
      <c r="B218" s="1" t="n">
        <f aca="false">IF(AND('Flujo de Pagos'!E223=Carátula!$B$2,'Flujo de Pagos'!F223=Carátula!$B$4,'Flujo de Pagos'!H223&lt;&gt;""),223,99999)</f>
        <v>99999</v>
      </c>
      <c r="H218" s="1" t="n">
        <f aca="false">IF(SMALL($AA218:$CH218,1)&gt;=9999,"",INDEX(Presupuesto!$C:$C,SMALL($AA218:$CH218,1)))</f>
        <v>0</v>
      </c>
      <c r="I218" s="1" t="n">
        <f aca="false">IF(SMALL($AA218:$CH218,2)&gt;=9999,"",INDEX(Presupuesto!$C:$C,SMALL($AA218:$CH218,2)))</f>
        <v>0</v>
      </c>
      <c r="J218" s="1" t="n">
        <f aca="false">IF(SMALL($AA218:$CH218,3)&gt;=9999,"",INDEX(Presupuesto!$C:$C,SMALL($AA218:$CH218,3)))</f>
        <v>0</v>
      </c>
      <c r="K218" s="1" t="n">
        <f aca="false">IF(SMALL($AA218:$CH218,4)&gt;=9999,"",INDEX(Presupuesto!$C:$C,SMALL($AA218:$CH218,4)))</f>
        <v>0</v>
      </c>
      <c r="L218" s="1" t="n">
        <f aca="false">IF(SMALL($AA218:$CH218,5)&gt;=9999,"",INDEX(Presupuesto!$C:$C,SMALL($AA218:$CH218,5)))</f>
        <v>0</v>
      </c>
      <c r="M218" s="1" t="n">
        <f aca="false">IF(SMALL($AA218:$CH218,6)&gt;=9999,"",INDEX(Presupuesto!$C:$C,SMALL($AA218:$CH218,6)))</f>
        <v>0</v>
      </c>
      <c r="N218" s="1" t="n">
        <f aca="false">IF(SMALL($AA218:$CH218,7)&gt;=9999,"",INDEX(Presupuesto!$C:$C,SMALL($AA218:$CH218,7)))</f>
        <v>0</v>
      </c>
      <c r="O218" s="1" t="n">
        <f aca="false">IF(SMALL($AA218:$CH218,8)&gt;=9999,"",INDEX(Presupuesto!$C:$C,SMALL($AA218:$CH218,8)))</f>
        <v>0</v>
      </c>
      <c r="P218" s="1" t="n">
        <f aca="false">IF(SMALL($AA218:$CH218,9)&gt;=9999,"",INDEX(Presupuesto!$C:$C,SMALL($AA218:$CH218,9)))</f>
        <v>0</v>
      </c>
      <c r="Q218" s="1" t="n">
        <f aca="false">IF(SMALL($AA218:$CH218,10)&gt;=9999,"",INDEX(Presupuesto!$C:$C,SMALL($AA218:$CH218,10)))</f>
        <v>0</v>
      </c>
      <c r="AA218" s="0" t="n">
        <f aca="false">IF(Presupuesto!$B$7='Flujo de Pagos'!$E218,7,9999)</f>
        <v>9999</v>
      </c>
      <c r="AB218" s="0" t="n">
        <f aca="false">IF(Presupuesto!$B$8='Flujo de Pagos'!$E218,8,9999)</f>
        <v>9999</v>
      </c>
      <c r="AC218" s="0" t="n">
        <f aca="false">IF(Presupuesto!$B$9='Flujo de Pagos'!$E218,9,9999)</f>
        <v>9999</v>
      </c>
      <c r="AD218" s="0" t="n">
        <f aca="false">IF(Presupuesto!$B$10='Flujo de Pagos'!$E218,10,9999)</f>
        <v>9999</v>
      </c>
      <c r="AE218" s="0" t="n">
        <f aca="false">IF(Presupuesto!$B$11='Flujo de Pagos'!$E218,11,9999)</f>
        <v>9999</v>
      </c>
      <c r="AF218" s="0" t="n">
        <f aca="false">IF(Presupuesto!$B$12='Flujo de Pagos'!$E218,12,9999)</f>
        <v>12</v>
      </c>
      <c r="AG218" s="0" t="n">
        <f aca="false">IF(Presupuesto!$B$13='Flujo de Pagos'!$E218,13,9999)</f>
        <v>13</v>
      </c>
      <c r="AH218" s="0" t="n">
        <f aca="false">IF(Presupuesto!$B$14='Flujo de Pagos'!$E218,14,9999)</f>
        <v>14</v>
      </c>
      <c r="AI218" s="0" t="n">
        <f aca="false">IF(Presupuesto!$B$15='Flujo de Pagos'!$E218,15,9999)</f>
        <v>15</v>
      </c>
      <c r="AJ218" s="0" t="n">
        <f aca="false">IF(Presupuesto!$B$16='Flujo de Pagos'!$E218,16,9999)</f>
        <v>16</v>
      </c>
      <c r="AK218" s="0" t="n">
        <f aca="false">IF(Presupuesto!$B$17='Flujo de Pagos'!$E218,17,9999)</f>
        <v>17</v>
      </c>
      <c r="AL218" s="0" t="n">
        <f aca="false">IF(Presupuesto!$B$18='Flujo de Pagos'!$E218,18,9999)</f>
        <v>18</v>
      </c>
      <c r="AM218" s="0" t="n">
        <f aca="false">IF(Presupuesto!$B$19='Flujo de Pagos'!$E218,19,9999)</f>
        <v>19</v>
      </c>
      <c r="AN218" s="0" t="n">
        <f aca="false">IF(Presupuesto!$B$20='Flujo de Pagos'!$E218,20,9999)</f>
        <v>20</v>
      </c>
      <c r="AO218" s="0" t="n">
        <f aca="false">IF(Presupuesto!$B$21='Flujo de Pagos'!$E218,21,9999)</f>
        <v>21</v>
      </c>
      <c r="AP218" s="0" t="n">
        <f aca="false">IF(Presupuesto!$B$22='Flujo de Pagos'!$E218,22,9999)</f>
        <v>22</v>
      </c>
      <c r="AQ218" s="0" t="n">
        <f aca="false">IF(Presupuesto!$B$23='Flujo de Pagos'!$E218,23,9999)</f>
        <v>23</v>
      </c>
      <c r="AR218" s="0" t="n">
        <f aca="false">IF(Presupuesto!$B$24='Flujo de Pagos'!$E218,24,9999)</f>
        <v>24</v>
      </c>
      <c r="AS218" s="0" t="n">
        <f aca="false">IF(Presupuesto!$B$25='Flujo de Pagos'!$E218,25,9999)</f>
        <v>25</v>
      </c>
      <c r="AT218" s="0" t="n">
        <f aca="false">IF(Presupuesto!$B$26='Flujo de Pagos'!$E218,26,9999)</f>
        <v>26</v>
      </c>
      <c r="AU218" s="0" t="n">
        <f aca="false">IF(Presupuesto!$B$27='Flujo de Pagos'!$E218,27,9999)</f>
        <v>27</v>
      </c>
      <c r="AV218" s="0" t="n">
        <f aca="false">IF(Presupuesto!$B$28='Flujo de Pagos'!$E218,28,9999)</f>
        <v>28</v>
      </c>
      <c r="AW218" s="0" t="n">
        <f aca="false">IF(Presupuesto!$B$29='Flujo de Pagos'!$E218,29,9999)</f>
        <v>29</v>
      </c>
      <c r="AX218" s="0" t="n">
        <f aca="false">IF(Presupuesto!$B$30='Flujo de Pagos'!$E218,30,9999)</f>
        <v>30</v>
      </c>
      <c r="AY218" s="0" t="n">
        <f aca="false">IF(Presupuesto!$B$31='Flujo de Pagos'!$E218,31,9999)</f>
        <v>31</v>
      </c>
      <c r="AZ218" s="0" t="n">
        <f aca="false">IF(Presupuesto!$B$32='Flujo de Pagos'!$E218,32,9999)</f>
        <v>32</v>
      </c>
      <c r="BA218" s="0" t="n">
        <f aca="false">IF(Presupuesto!$B$33='Flujo de Pagos'!$E218,33,9999)</f>
        <v>33</v>
      </c>
      <c r="BB218" s="0" t="n">
        <f aca="false">IF(Presupuesto!$B$34='Flujo de Pagos'!$E218,34,9999)</f>
        <v>34</v>
      </c>
      <c r="BC218" s="0" t="n">
        <f aca="false">IF(Presupuesto!$B$35='Flujo de Pagos'!$E218,35,9999)</f>
        <v>35</v>
      </c>
      <c r="BD218" s="0" t="n">
        <f aca="false">IF(Presupuesto!$B$36='Flujo de Pagos'!$E218,36,9999)</f>
        <v>36</v>
      </c>
      <c r="BE218" s="0" t="n">
        <f aca="false">IF(Presupuesto!$B$37='Flujo de Pagos'!$E218,37,9999)</f>
        <v>37</v>
      </c>
      <c r="BF218" s="0" t="n">
        <f aca="false">IF(Presupuesto!$B$38='Flujo de Pagos'!$E218,38,9999)</f>
        <v>38</v>
      </c>
      <c r="BG218" s="0" t="n">
        <f aca="false">IF(Presupuesto!$B$39='Flujo de Pagos'!$E218,39,9999)</f>
        <v>39</v>
      </c>
      <c r="BH218" s="0" t="n">
        <f aca="false">IF(Presupuesto!$B$40='Flujo de Pagos'!$E218,40,9999)</f>
        <v>40</v>
      </c>
      <c r="BI218" s="0" t="n">
        <f aca="false">IF(Presupuesto!$B$41='Flujo de Pagos'!$E218,41,9999)</f>
        <v>41</v>
      </c>
      <c r="BJ218" s="0" t="n">
        <f aca="false">IF(Presupuesto!$B$42='Flujo de Pagos'!$E218,42,9999)</f>
        <v>42</v>
      </c>
      <c r="BK218" s="0" t="n">
        <f aca="false">IF(Presupuesto!$B$43='Flujo de Pagos'!$E218,43,9999)</f>
        <v>43</v>
      </c>
      <c r="BL218" s="0" t="n">
        <f aca="false">IF(Presupuesto!$B$44='Flujo de Pagos'!$E218,44,9999)</f>
        <v>44</v>
      </c>
      <c r="BM218" s="0" t="n">
        <f aca="false">IF(Presupuesto!$B$45='Flujo de Pagos'!$E218,45,9999)</f>
        <v>45</v>
      </c>
      <c r="BN218" s="0" t="n">
        <f aca="false">IF(Presupuesto!$B$46='Flujo de Pagos'!$E218,46,9999)</f>
        <v>46</v>
      </c>
      <c r="BO218" s="0" t="n">
        <f aca="false">IF(Presupuesto!$B$47='Flujo de Pagos'!$E218,47,9999)</f>
        <v>47</v>
      </c>
      <c r="BP218" s="0" t="n">
        <f aca="false">IF(Presupuesto!$B$48='Flujo de Pagos'!$E218,48,9999)</f>
        <v>48</v>
      </c>
      <c r="BQ218" s="0" t="n">
        <f aca="false">IF(Presupuesto!$B$49='Flujo de Pagos'!$E218,49,9999)</f>
        <v>49</v>
      </c>
      <c r="BR218" s="0" t="n">
        <f aca="false">IF(Presupuesto!$B$50='Flujo de Pagos'!$E218,50,9999)</f>
        <v>50</v>
      </c>
      <c r="BS218" s="0" t="n">
        <f aca="false">IF(Presupuesto!$B$51='Flujo de Pagos'!$E218,51,9999)</f>
        <v>51</v>
      </c>
      <c r="BT218" s="0" t="n">
        <f aca="false">IF(Presupuesto!$B$52='Flujo de Pagos'!$E218,52,9999)</f>
        <v>52</v>
      </c>
      <c r="BU218" s="0" t="n">
        <f aca="false">IF(Presupuesto!$B$53='Flujo de Pagos'!$E218,53,9999)</f>
        <v>53</v>
      </c>
      <c r="BV218" s="0" t="n">
        <f aca="false">IF(Presupuesto!$B$54='Flujo de Pagos'!$E218,54,9999)</f>
        <v>54</v>
      </c>
      <c r="BW218" s="0" t="n">
        <f aca="false">IF(Presupuesto!$B$55='Flujo de Pagos'!$E218,55,9999)</f>
        <v>55</v>
      </c>
      <c r="BX218" s="0" t="n">
        <f aca="false">IF(Presupuesto!$B$56='Flujo de Pagos'!$E218,56,9999)</f>
        <v>56</v>
      </c>
      <c r="BY218" s="0" t="n">
        <f aca="false">IF(Presupuesto!$B$57='Flujo de Pagos'!$E218,57,9999)</f>
        <v>57</v>
      </c>
      <c r="BZ218" s="0" t="n">
        <f aca="false">IF(Presupuesto!$B$58='Flujo de Pagos'!$E218,58,9999)</f>
        <v>58</v>
      </c>
      <c r="CA218" s="0" t="n">
        <f aca="false">IF(Presupuesto!$B$59='Flujo de Pagos'!$E218,59,9999)</f>
        <v>59</v>
      </c>
      <c r="CB218" s="0" t="n">
        <f aca="false">IF(Presupuesto!$B$60='Flujo de Pagos'!$E218,60,9999)</f>
        <v>60</v>
      </c>
      <c r="CC218" s="0" t="n">
        <f aca="false">IF(Presupuesto!$B$61='Flujo de Pagos'!$E218,61,9999)</f>
        <v>61</v>
      </c>
      <c r="CD218" s="0" t="n">
        <f aca="false">IF(Presupuesto!$B$62='Flujo de Pagos'!$E218,62,9999)</f>
        <v>62</v>
      </c>
      <c r="CE218" s="0" t="n">
        <f aca="false">IF(Presupuesto!$B$63='Flujo de Pagos'!$E218,63,9999)</f>
        <v>63</v>
      </c>
      <c r="CF218" s="0" t="n">
        <f aca="false">IF(Presupuesto!$B$64='Flujo de Pagos'!$E218,64,9999)</f>
        <v>64</v>
      </c>
      <c r="CG218" s="0" t="n">
        <f aca="false">IF(Presupuesto!$B$65='Flujo de Pagos'!$E218,65,9999)</f>
        <v>65</v>
      </c>
      <c r="CH218" s="0" t="n">
        <f aca="false">IF(Presupuesto!$B$66='Flujo de Pagos'!$E218,66,9999)</f>
        <v>66</v>
      </c>
    </row>
    <row r="219" customFormat="false" ht="15" hidden="false" customHeight="true" outlineLevel="0" collapsed="false">
      <c r="B219" s="1" t="n">
        <f aca="false">IF(AND('Flujo de Pagos'!E224=Carátula!$B$2,'Flujo de Pagos'!F224=Carátula!$B$4,'Flujo de Pagos'!H224&lt;&gt;""),224,99999)</f>
        <v>99999</v>
      </c>
      <c r="H219" s="1" t="n">
        <f aca="false">IF(SMALL($AA219:$CH219,1)&gt;=9999,"",INDEX(Presupuesto!$C:$C,SMALL($AA219:$CH219,1)))</f>
        <v>0</v>
      </c>
      <c r="I219" s="1" t="n">
        <f aca="false">IF(SMALL($AA219:$CH219,2)&gt;=9999,"",INDEX(Presupuesto!$C:$C,SMALL($AA219:$CH219,2)))</f>
        <v>0</v>
      </c>
      <c r="J219" s="1" t="n">
        <f aca="false">IF(SMALL($AA219:$CH219,3)&gt;=9999,"",INDEX(Presupuesto!$C:$C,SMALL($AA219:$CH219,3)))</f>
        <v>0</v>
      </c>
      <c r="K219" s="1" t="n">
        <f aca="false">IF(SMALL($AA219:$CH219,4)&gt;=9999,"",INDEX(Presupuesto!$C:$C,SMALL($AA219:$CH219,4)))</f>
        <v>0</v>
      </c>
      <c r="L219" s="1" t="n">
        <f aca="false">IF(SMALL($AA219:$CH219,5)&gt;=9999,"",INDEX(Presupuesto!$C:$C,SMALL($AA219:$CH219,5)))</f>
        <v>0</v>
      </c>
      <c r="M219" s="1" t="n">
        <f aca="false">IF(SMALL($AA219:$CH219,6)&gt;=9999,"",INDEX(Presupuesto!$C:$C,SMALL($AA219:$CH219,6)))</f>
        <v>0</v>
      </c>
      <c r="N219" s="1" t="n">
        <f aca="false">IF(SMALL($AA219:$CH219,7)&gt;=9999,"",INDEX(Presupuesto!$C:$C,SMALL($AA219:$CH219,7)))</f>
        <v>0</v>
      </c>
      <c r="O219" s="1" t="n">
        <f aca="false">IF(SMALL($AA219:$CH219,8)&gt;=9999,"",INDEX(Presupuesto!$C:$C,SMALL($AA219:$CH219,8)))</f>
        <v>0</v>
      </c>
      <c r="P219" s="1" t="n">
        <f aca="false">IF(SMALL($AA219:$CH219,9)&gt;=9999,"",INDEX(Presupuesto!$C:$C,SMALL($AA219:$CH219,9)))</f>
        <v>0</v>
      </c>
      <c r="Q219" s="1" t="n">
        <f aca="false">IF(SMALL($AA219:$CH219,10)&gt;=9999,"",INDEX(Presupuesto!$C:$C,SMALL($AA219:$CH219,10)))</f>
        <v>0</v>
      </c>
      <c r="AA219" s="0" t="n">
        <f aca="false">IF(Presupuesto!$B$7='Flujo de Pagos'!$E219,7,9999)</f>
        <v>9999</v>
      </c>
      <c r="AB219" s="0" t="n">
        <f aca="false">IF(Presupuesto!$B$8='Flujo de Pagos'!$E219,8,9999)</f>
        <v>9999</v>
      </c>
      <c r="AC219" s="0" t="n">
        <f aca="false">IF(Presupuesto!$B$9='Flujo de Pagos'!$E219,9,9999)</f>
        <v>9999</v>
      </c>
      <c r="AD219" s="0" t="n">
        <f aca="false">IF(Presupuesto!$B$10='Flujo de Pagos'!$E219,10,9999)</f>
        <v>9999</v>
      </c>
      <c r="AE219" s="0" t="n">
        <f aca="false">IF(Presupuesto!$B$11='Flujo de Pagos'!$E219,11,9999)</f>
        <v>9999</v>
      </c>
      <c r="AF219" s="0" t="n">
        <f aca="false">IF(Presupuesto!$B$12='Flujo de Pagos'!$E219,12,9999)</f>
        <v>12</v>
      </c>
      <c r="AG219" s="0" t="n">
        <f aca="false">IF(Presupuesto!$B$13='Flujo de Pagos'!$E219,13,9999)</f>
        <v>13</v>
      </c>
      <c r="AH219" s="0" t="n">
        <f aca="false">IF(Presupuesto!$B$14='Flujo de Pagos'!$E219,14,9999)</f>
        <v>14</v>
      </c>
      <c r="AI219" s="0" t="n">
        <f aca="false">IF(Presupuesto!$B$15='Flujo de Pagos'!$E219,15,9999)</f>
        <v>15</v>
      </c>
      <c r="AJ219" s="0" t="n">
        <f aca="false">IF(Presupuesto!$B$16='Flujo de Pagos'!$E219,16,9999)</f>
        <v>16</v>
      </c>
      <c r="AK219" s="0" t="n">
        <f aca="false">IF(Presupuesto!$B$17='Flujo de Pagos'!$E219,17,9999)</f>
        <v>17</v>
      </c>
      <c r="AL219" s="0" t="n">
        <f aca="false">IF(Presupuesto!$B$18='Flujo de Pagos'!$E219,18,9999)</f>
        <v>18</v>
      </c>
      <c r="AM219" s="0" t="n">
        <f aca="false">IF(Presupuesto!$B$19='Flujo de Pagos'!$E219,19,9999)</f>
        <v>19</v>
      </c>
      <c r="AN219" s="0" t="n">
        <f aca="false">IF(Presupuesto!$B$20='Flujo de Pagos'!$E219,20,9999)</f>
        <v>20</v>
      </c>
      <c r="AO219" s="0" t="n">
        <f aca="false">IF(Presupuesto!$B$21='Flujo de Pagos'!$E219,21,9999)</f>
        <v>21</v>
      </c>
      <c r="AP219" s="0" t="n">
        <f aca="false">IF(Presupuesto!$B$22='Flujo de Pagos'!$E219,22,9999)</f>
        <v>22</v>
      </c>
      <c r="AQ219" s="0" t="n">
        <f aca="false">IF(Presupuesto!$B$23='Flujo de Pagos'!$E219,23,9999)</f>
        <v>23</v>
      </c>
      <c r="AR219" s="0" t="n">
        <f aca="false">IF(Presupuesto!$B$24='Flujo de Pagos'!$E219,24,9999)</f>
        <v>24</v>
      </c>
      <c r="AS219" s="0" t="n">
        <f aca="false">IF(Presupuesto!$B$25='Flujo de Pagos'!$E219,25,9999)</f>
        <v>25</v>
      </c>
      <c r="AT219" s="0" t="n">
        <f aca="false">IF(Presupuesto!$B$26='Flujo de Pagos'!$E219,26,9999)</f>
        <v>26</v>
      </c>
      <c r="AU219" s="0" t="n">
        <f aca="false">IF(Presupuesto!$B$27='Flujo de Pagos'!$E219,27,9999)</f>
        <v>27</v>
      </c>
      <c r="AV219" s="0" t="n">
        <f aca="false">IF(Presupuesto!$B$28='Flujo de Pagos'!$E219,28,9999)</f>
        <v>28</v>
      </c>
      <c r="AW219" s="0" t="n">
        <f aca="false">IF(Presupuesto!$B$29='Flujo de Pagos'!$E219,29,9999)</f>
        <v>29</v>
      </c>
      <c r="AX219" s="0" t="n">
        <f aca="false">IF(Presupuesto!$B$30='Flujo de Pagos'!$E219,30,9999)</f>
        <v>30</v>
      </c>
      <c r="AY219" s="0" t="n">
        <f aca="false">IF(Presupuesto!$B$31='Flujo de Pagos'!$E219,31,9999)</f>
        <v>31</v>
      </c>
      <c r="AZ219" s="0" t="n">
        <f aca="false">IF(Presupuesto!$B$32='Flujo de Pagos'!$E219,32,9999)</f>
        <v>32</v>
      </c>
      <c r="BA219" s="0" t="n">
        <f aca="false">IF(Presupuesto!$B$33='Flujo de Pagos'!$E219,33,9999)</f>
        <v>33</v>
      </c>
      <c r="BB219" s="0" t="n">
        <f aca="false">IF(Presupuesto!$B$34='Flujo de Pagos'!$E219,34,9999)</f>
        <v>34</v>
      </c>
      <c r="BC219" s="0" t="n">
        <f aca="false">IF(Presupuesto!$B$35='Flujo de Pagos'!$E219,35,9999)</f>
        <v>35</v>
      </c>
      <c r="BD219" s="0" t="n">
        <f aca="false">IF(Presupuesto!$B$36='Flujo de Pagos'!$E219,36,9999)</f>
        <v>36</v>
      </c>
      <c r="BE219" s="0" t="n">
        <f aca="false">IF(Presupuesto!$B$37='Flujo de Pagos'!$E219,37,9999)</f>
        <v>37</v>
      </c>
      <c r="BF219" s="0" t="n">
        <f aca="false">IF(Presupuesto!$B$38='Flujo de Pagos'!$E219,38,9999)</f>
        <v>38</v>
      </c>
      <c r="BG219" s="0" t="n">
        <f aca="false">IF(Presupuesto!$B$39='Flujo de Pagos'!$E219,39,9999)</f>
        <v>39</v>
      </c>
      <c r="BH219" s="0" t="n">
        <f aca="false">IF(Presupuesto!$B$40='Flujo de Pagos'!$E219,40,9999)</f>
        <v>40</v>
      </c>
      <c r="BI219" s="0" t="n">
        <f aca="false">IF(Presupuesto!$B$41='Flujo de Pagos'!$E219,41,9999)</f>
        <v>41</v>
      </c>
      <c r="BJ219" s="0" t="n">
        <f aca="false">IF(Presupuesto!$B$42='Flujo de Pagos'!$E219,42,9999)</f>
        <v>42</v>
      </c>
      <c r="BK219" s="0" t="n">
        <f aca="false">IF(Presupuesto!$B$43='Flujo de Pagos'!$E219,43,9999)</f>
        <v>43</v>
      </c>
      <c r="BL219" s="0" t="n">
        <f aca="false">IF(Presupuesto!$B$44='Flujo de Pagos'!$E219,44,9999)</f>
        <v>44</v>
      </c>
      <c r="BM219" s="0" t="n">
        <f aca="false">IF(Presupuesto!$B$45='Flujo de Pagos'!$E219,45,9999)</f>
        <v>45</v>
      </c>
      <c r="BN219" s="0" t="n">
        <f aca="false">IF(Presupuesto!$B$46='Flujo de Pagos'!$E219,46,9999)</f>
        <v>46</v>
      </c>
      <c r="BO219" s="0" t="n">
        <f aca="false">IF(Presupuesto!$B$47='Flujo de Pagos'!$E219,47,9999)</f>
        <v>47</v>
      </c>
      <c r="BP219" s="0" t="n">
        <f aca="false">IF(Presupuesto!$B$48='Flujo de Pagos'!$E219,48,9999)</f>
        <v>48</v>
      </c>
      <c r="BQ219" s="0" t="n">
        <f aca="false">IF(Presupuesto!$B$49='Flujo de Pagos'!$E219,49,9999)</f>
        <v>49</v>
      </c>
      <c r="BR219" s="0" t="n">
        <f aca="false">IF(Presupuesto!$B$50='Flujo de Pagos'!$E219,50,9999)</f>
        <v>50</v>
      </c>
      <c r="BS219" s="0" t="n">
        <f aca="false">IF(Presupuesto!$B$51='Flujo de Pagos'!$E219,51,9999)</f>
        <v>51</v>
      </c>
      <c r="BT219" s="0" t="n">
        <f aca="false">IF(Presupuesto!$B$52='Flujo de Pagos'!$E219,52,9999)</f>
        <v>52</v>
      </c>
      <c r="BU219" s="0" t="n">
        <f aca="false">IF(Presupuesto!$B$53='Flujo de Pagos'!$E219,53,9999)</f>
        <v>53</v>
      </c>
      <c r="BV219" s="0" t="n">
        <f aca="false">IF(Presupuesto!$B$54='Flujo de Pagos'!$E219,54,9999)</f>
        <v>54</v>
      </c>
      <c r="BW219" s="0" t="n">
        <f aca="false">IF(Presupuesto!$B$55='Flujo de Pagos'!$E219,55,9999)</f>
        <v>55</v>
      </c>
      <c r="BX219" s="0" t="n">
        <f aca="false">IF(Presupuesto!$B$56='Flujo de Pagos'!$E219,56,9999)</f>
        <v>56</v>
      </c>
      <c r="BY219" s="0" t="n">
        <f aca="false">IF(Presupuesto!$B$57='Flujo de Pagos'!$E219,57,9999)</f>
        <v>57</v>
      </c>
      <c r="BZ219" s="0" t="n">
        <f aca="false">IF(Presupuesto!$B$58='Flujo de Pagos'!$E219,58,9999)</f>
        <v>58</v>
      </c>
      <c r="CA219" s="0" t="n">
        <f aca="false">IF(Presupuesto!$B$59='Flujo de Pagos'!$E219,59,9999)</f>
        <v>59</v>
      </c>
      <c r="CB219" s="0" t="n">
        <f aca="false">IF(Presupuesto!$B$60='Flujo de Pagos'!$E219,60,9999)</f>
        <v>60</v>
      </c>
      <c r="CC219" s="0" t="n">
        <f aca="false">IF(Presupuesto!$B$61='Flujo de Pagos'!$E219,61,9999)</f>
        <v>61</v>
      </c>
      <c r="CD219" s="0" t="n">
        <f aca="false">IF(Presupuesto!$B$62='Flujo de Pagos'!$E219,62,9999)</f>
        <v>62</v>
      </c>
      <c r="CE219" s="0" t="n">
        <f aca="false">IF(Presupuesto!$B$63='Flujo de Pagos'!$E219,63,9999)</f>
        <v>63</v>
      </c>
      <c r="CF219" s="0" t="n">
        <f aca="false">IF(Presupuesto!$B$64='Flujo de Pagos'!$E219,64,9999)</f>
        <v>64</v>
      </c>
      <c r="CG219" s="0" t="n">
        <f aca="false">IF(Presupuesto!$B$65='Flujo de Pagos'!$E219,65,9999)</f>
        <v>65</v>
      </c>
      <c r="CH219" s="0" t="n">
        <f aca="false">IF(Presupuesto!$B$66='Flujo de Pagos'!$E219,66,9999)</f>
        <v>66</v>
      </c>
    </row>
    <row r="220" customFormat="false" ht="15" hidden="false" customHeight="true" outlineLevel="0" collapsed="false">
      <c r="B220" s="1" t="n">
        <f aca="false">IF(AND('Flujo de Pagos'!E225=Carátula!$B$2,'Flujo de Pagos'!F225=Carátula!$B$4,'Flujo de Pagos'!H225&lt;&gt;""),225,99999)</f>
        <v>99999</v>
      </c>
      <c r="H220" s="1" t="n">
        <f aca="false">IF(SMALL($AA220:$CH220,1)&gt;=9999,"",INDEX(Presupuesto!$C:$C,SMALL($AA220:$CH220,1)))</f>
        <v>0</v>
      </c>
      <c r="I220" s="1" t="n">
        <f aca="false">IF(SMALL($AA220:$CH220,2)&gt;=9999,"",INDEX(Presupuesto!$C:$C,SMALL($AA220:$CH220,2)))</f>
        <v>0</v>
      </c>
      <c r="J220" s="1" t="n">
        <f aca="false">IF(SMALL($AA220:$CH220,3)&gt;=9999,"",INDEX(Presupuesto!$C:$C,SMALL($AA220:$CH220,3)))</f>
        <v>0</v>
      </c>
      <c r="K220" s="1" t="n">
        <f aca="false">IF(SMALL($AA220:$CH220,4)&gt;=9999,"",INDEX(Presupuesto!$C:$C,SMALL($AA220:$CH220,4)))</f>
        <v>0</v>
      </c>
      <c r="L220" s="1" t="n">
        <f aca="false">IF(SMALL($AA220:$CH220,5)&gt;=9999,"",INDEX(Presupuesto!$C:$C,SMALL($AA220:$CH220,5)))</f>
        <v>0</v>
      </c>
      <c r="M220" s="1" t="n">
        <f aca="false">IF(SMALL($AA220:$CH220,6)&gt;=9999,"",INDEX(Presupuesto!$C:$C,SMALL($AA220:$CH220,6)))</f>
        <v>0</v>
      </c>
      <c r="N220" s="1" t="n">
        <f aca="false">IF(SMALL($AA220:$CH220,7)&gt;=9999,"",INDEX(Presupuesto!$C:$C,SMALL($AA220:$CH220,7)))</f>
        <v>0</v>
      </c>
      <c r="O220" s="1" t="n">
        <f aca="false">IF(SMALL($AA220:$CH220,8)&gt;=9999,"",INDEX(Presupuesto!$C:$C,SMALL($AA220:$CH220,8)))</f>
        <v>0</v>
      </c>
      <c r="P220" s="1" t="n">
        <f aca="false">IF(SMALL($AA220:$CH220,9)&gt;=9999,"",INDEX(Presupuesto!$C:$C,SMALL($AA220:$CH220,9)))</f>
        <v>0</v>
      </c>
      <c r="Q220" s="1" t="n">
        <f aca="false">IF(SMALL($AA220:$CH220,10)&gt;=9999,"",INDEX(Presupuesto!$C:$C,SMALL($AA220:$CH220,10)))</f>
        <v>0</v>
      </c>
      <c r="AA220" s="0" t="n">
        <f aca="false">IF(Presupuesto!$B$7='Flujo de Pagos'!$E220,7,9999)</f>
        <v>9999</v>
      </c>
      <c r="AB220" s="0" t="n">
        <f aca="false">IF(Presupuesto!$B$8='Flujo de Pagos'!$E220,8,9999)</f>
        <v>9999</v>
      </c>
      <c r="AC220" s="0" t="n">
        <f aca="false">IF(Presupuesto!$B$9='Flujo de Pagos'!$E220,9,9999)</f>
        <v>9999</v>
      </c>
      <c r="AD220" s="0" t="n">
        <f aca="false">IF(Presupuesto!$B$10='Flujo de Pagos'!$E220,10,9999)</f>
        <v>9999</v>
      </c>
      <c r="AE220" s="0" t="n">
        <f aca="false">IF(Presupuesto!$B$11='Flujo de Pagos'!$E220,11,9999)</f>
        <v>9999</v>
      </c>
      <c r="AF220" s="0" t="n">
        <f aca="false">IF(Presupuesto!$B$12='Flujo de Pagos'!$E220,12,9999)</f>
        <v>12</v>
      </c>
      <c r="AG220" s="0" t="n">
        <f aca="false">IF(Presupuesto!$B$13='Flujo de Pagos'!$E220,13,9999)</f>
        <v>13</v>
      </c>
      <c r="AH220" s="0" t="n">
        <f aca="false">IF(Presupuesto!$B$14='Flujo de Pagos'!$E220,14,9999)</f>
        <v>14</v>
      </c>
      <c r="AI220" s="0" t="n">
        <f aca="false">IF(Presupuesto!$B$15='Flujo de Pagos'!$E220,15,9999)</f>
        <v>15</v>
      </c>
      <c r="AJ220" s="0" t="n">
        <f aca="false">IF(Presupuesto!$B$16='Flujo de Pagos'!$E220,16,9999)</f>
        <v>16</v>
      </c>
      <c r="AK220" s="0" t="n">
        <f aca="false">IF(Presupuesto!$B$17='Flujo de Pagos'!$E220,17,9999)</f>
        <v>17</v>
      </c>
      <c r="AL220" s="0" t="n">
        <f aca="false">IF(Presupuesto!$B$18='Flujo de Pagos'!$E220,18,9999)</f>
        <v>18</v>
      </c>
      <c r="AM220" s="0" t="n">
        <f aca="false">IF(Presupuesto!$B$19='Flujo de Pagos'!$E220,19,9999)</f>
        <v>19</v>
      </c>
      <c r="AN220" s="0" t="n">
        <f aca="false">IF(Presupuesto!$B$20='Flujo de Pagos'!$E220,20,9999)</f>
        <v>20</v>
      </c>
      <c r="AO220" s="0" t="n">
        <f aca="false">IF(Presupuesto!$B$21='Flujo de Pagos'!$E220,21,9999)</f>
        <v>21</v>
      </c>
      <c r="AP220" s="0" t="n">
        <f aca="false">IF(Presupuesto!$B$22='Flujo de Pagos'!$E220,22,9999)</f>
        <v>22</v>
      </c>
      <c r="AQ220" s="0" t="n">
        <f aca="false">IF(Presupuesto!$B$23='Flujo de Pagos'!$E220,23,9999)</f>
        <v>23</v>
      </c>
      <c r="AR220" s="0" t="n">
        <f aca="false">IF(Presupuesto!$B$24='Flujo de Pagos'!$E220,24,9999)</f>
        <v>24</v>
      </c>
      <c r="AS220" s="0" t="n">
        <f aca="false">IF(Presupuesto!$B$25='Flujo de Pagos'!$E220,25,9999)</f>
        <v>25</v>
      </c>
      <c r="AT220" s="0" t="n">
        <f aca="false">IF(Presupuesto!$B$26='Flujo de Pagos'!$E220,26,9999)</f>
        <v>26</v>
      </c>
      <c r="AU220" s="0" t="n">
        <f aca="false">IF(Presupuesto!$B$27='Flujo de Pagos'!$E220,27,9999)</f>
        <v>27</v>
      </c>
      <c r="AV220" s="0" t="n">
        <f aca="false">IF(Presupuesto!$B$28='Flujo de Pagos'!$E220,28,9999)</f>
        <v>28</v>
      </c>
      <c r="AW220" s="0" t="n">
        <f aca="false">IF(Presupuesto!$B$29='Flujo de Pagos'!$E220,29,9999)</f>
        <v>29</v>
      </c>
      <c r="AX220" s="0" t="n">
        <f aca="false">IF(Presupuesto!$B$30='Flujo de Pagos'!$E220,30,9999)</f>
        <v>30</v>
      </c>
      <c r="AY220" s="0" t="n">
        <f aca="false">IF(Presupuesto!$B$31='Flujo de Pagos'!$E220,31,9999)</f>
        <v>31</v>
      </c>
      <c r="AZ220" s="0" t="n">
        <f aca="false">IF(Presupuesto!$B$32='Flujo de Pagos'!$E220,32,9999)</f>
        <v>32</v>
      </c>
      <c r="BA220" s="0" t="n">
        <f aca="false">IF(Presupuesto!$B$33='Flujo de Pagos'!$E220,33,9999)</f>
        <v>33</v>
      </c>
      <c r="BB220" s="0" t="n">
        <f aca="false">IF(Presupuesto!$B$34='Flujo de Pagos'!$E220,34,9999)</f>
        <v>34</v>
      </c>
      <c r="BC220" s="0" t="n">
        <f aca="false">IF(Presupuesto!$B$35='Flujo de Pagos'!$E220,35,9999)</f>
        <v>35</v>
      </c>
      <c r="BD220" s="0" t="n">
        <f aca="false">IF(Presupuesto!$B$36='Flujo de Pagos'!$E220,36,9999)</f>
        <v>36</v>
      </c>
      <c r="BE220" s="0" t="n">
        <f aca="false">IF(Presupuesto!$B$37='Flujo de Pagos'!$E220,37,9999)</f>
        <v>37</v>
      </c>
      <c r="BF220" s="0" t="n">
        <f aca="false">IF(Presupuesto!$B$38='Flujo de Pagos'!$E220,38,9999)</f>
        <v>38</v>
      </c>
      <c r="BG220" s="0" t="n">
        <f aca="false">IF(Presupuesto!$B$39='Flujo de Pagos'!$E220,39,9999)</f>
        <v>39</v>
      </c>
      <c r="BH220" s="0" t="n">
        <f aca="false">IF(Presupuesto!$B$40='Flujo de Pagos'!$E220,40,9999)</f>
        <v>40</v>
      </c>
      <c r="BI220" s="0" t="n">
        <f aca="false">IF(Presupuesto!$B$41='Flujo de Pagos'!$E220,41,9999)</f>
        <v>41</v>
      </c>
      <c r="BJ220" s="0" t="n">
        <f aca="false">IF(Presupuesto!$B$42='Flujo de Pagos'!$E220,42,9999)</f>
        <v>42</v>
      </c>
      <c r="BK220" s="0" t="n">
        <f aca="false">IF(Presupuesto!$B$43='Flujo de Pagos'!$E220,43,9999)</f>
        <v>43</v>
      </c>
      <c r="BL220" s="0" t="n">
        <f aca="false">IF(Presupuesto!$B$44='Flujo de Pagos'!$E220,44,9999)</f>
        <v>44</v>
      </c>
      <c r="BM220" s="0" t="n">
        <f aca="false">IF(Presupuesto!$B$45='Flujo de Pagos'!$E220,45,9999)</f>
        <v>45</v>
      </c>
      <c r="BN220" s="0" t="n">
        <f aca="false">IF(Presupuesto!$B$46='Flujo de Pagos'!$E220,46,9999)</f>
        <v>46</v>
      </c>
      <c r="BO220" s="0" t="n">
        <f aca="false">IF(Presupuesto!$B$47='Flujo de Pagos'!$E220,47,9999)</f>
        <v>47</v>
      </c>
      <c r="BP220" s="0" t="n">
        <f aca="false">IF(Presupuesto!$B$48='Flujo de Pagos'!$E220,48,9999)</f>
        <v>48</v>
      </c>
      <c r="BQ220" s="0" t="n">
        <f aca="false">IF(Presupuesto!$B$49='Flujo de Pagos'!$E220,49,9999)</f>
        <v>49</v>
      </c>
      <c r="BR220" s="0" t="n">
        <f aca="false">IF(Presupuesto!$B$50='Flujo de Pagos'!$E220,50,9999)</f>
        <v>50</v>
      </c>
      <c r="BS220" s="0" t="n">
        <f aca="false">IF(Presupuesto!$B$51='Flujo de Pagos'!$E220,51,9999)</f>
        <v>51</v>
      </c>
      <c r="BT220" s="0" t="n">
        <f aca="false">IF(Presupuesto!$B$52='Flujo de Pagos'!$E220,52,9999)</f>
        <v>52</v>
      </c>
      <c r="BU220" s="0" t="n">
        <f aca="false">IF(Presupuesto!$B$53='Flujo de Pagos'!$E220,53,9999)</f>
        <v>53</v>
      </c>
      <c r="BV220" s="0" t="n">
        <f aca="false">IF(Presupuesto!$B$54='Flujo de Pagos'!$E220,54,9999)</f>
        <v>54</v>
      </c>
      <c r="BW220" s="0" t="n">
        <f aca="false">IF(Presupuesto!$B$55='Flujo de Pagos'!$E220,55,9999)</f>
        <v>55</v>
      </c>
      <c r="BX220" s="0" t="n">
        <f aca="false">IF(Presupuesto!$B$56='Flujo de Pagos'!$E220,56,9999)</f>
        <v>56</v>
      </c>
      <c r="BY220" s="0" t="n">
        <f aca="false">IF(Presupuesto!$B$57='Flujo de Pagos'!$E220,57,9999)</f>
        <v>57</v>
      </c>
      <c r="BZ220" s="0" t="n">
        <f aca="false">IF(Presupuesto!$B$58='Flujo de Pagos'!$E220,58,9999)</f>
        <v>58</v>
      </c>
      <c r="CA220" s="0" t="n">
        <f aca="false">IF(Presupuesto!$B$59='Flujo de Pagos'!$E220,59,9999)</f>
        <v>59</v>
      </c>
      <c r="CB220" s="0" t="n">
        <f aca="false">IF(Presupuesto!$B$60='Flujo de Pagos'!$E220,60,9999)</f>
        <v>60</v>
      </c>
      <c r="CC220" s="0" t="n">
        <f aca="false">IF(Presupuesto!$B$61='Flujo de Pagos'!$E220,61,9999)</f>
        <v>61</v>
      </c>
      <c r="CD220" s="0" t="n">
        <f aca="false">IF(Presupuesto!$B$62='Flujo de Pagos'!$E220,62,9999)</f>
        <v>62</v>
      </c>
      <c r="CE220" s="0" t="n">
        <f aca="false">IF(Presupuesto!$B$63='Flujo de Pagos'!$E220,63,9999)</f>
        <v>63</v>
      </c>
      <c r="CF220" s="0" t="n">
        <f aca="false">IF(Presupuesto!$B$64='Flujo de Pagos'!$E220,64,9999)</f>
        <v>64</v>
      </c>
      <c r="CG220" s="0" t="n">
        <f aca="false">IF(Presupuesto!$B$65='Flujo de Pagos'!$E220,65,9999)</f>
        <v>65</v>
      </c>
      <c r="CH220" s="0" t="n">
        <f aca="false">IF(Presupuesto!$B$66='Flujo de Pagos'!$E220,66,9999)</f>
        <v>66</v>
      </c>
    </row>
    <row r="221" customFormat="false" ht="15" hidden="false" customHeight="true" outlineLevel="0" collapsed="false">
      <c r="B221" s="1" t="n">
        <f aca="false">IF(AND('Flujo de Pagos'!E226=Carátula!$B$2,'Flujo de Pagos'!F226=Carátula!$B$4,'Flujo de Pagos'!H226&lt;&gt;""),226,99999)</f>
        <v>99999</v>
      </c>
      <c r="H221" s="1" t="n">
        <f aca="false">IF(SMALL($AA221:$CH221,1)&gt;=9999,"",INDEX(Presupuesto!$C:$C,SMALL($AA221:$CH221,1)))</f>
        <v>0</v>
      </c>
      <c r="I221" s="1" t="n">
        <f aca="false">IF(SMALL($AA221:$CH221,2)&gt;=9999,"",INDEX(Presupuesto!$C:$C,SMALL($AA221:$CH221,2)))</f>
        <v>0</v>
      </c>
      <c r="J221" s="1" t="n">
        <f aca="false">IF(SMALL($AA221:$CH221,3)&gt;=9999,"",INDEX(Presupuesto!$C:$C,SMALL($AA221:$CH221,3)))</f>
        <v>0</v>
      </c>
      <c r="K221" s="1" t="n">
        <f aca="false">IF(SMALL($AA221:$CH221,4)&gt;=9999,"",INDEX(Presupuesto!$C:$C,SMALL($AA221:$CH221,4)))</f>
        <v>0</v>
      </c>
      <c r="L221" s="1" t="n">
        <f aca="false">IF(SMALL($AA221:$CH221,5)&gt;=9999,"",INDEX(Presupuesto!$C:$C,SMALL($AA221:$CH221,5)))</f>
        <v>0</v>
      </c>
      <c r="M221" s="1" t="n">
        <f aca="false">IF(SMALL($AA221:$CH221,6)&gt;=9999,"",INDEX(Presupuesto!$C:$C,SMALL($AA221:$CH221,6)))</f>
        <v>0</v>
      </c>
      <c r="N221" s="1" t="n">
        <f aca="false">IF(SMALL($AA221:$CH221,7)&gt;=9999,"",INDEX(Presupuesto!$C:$C,SMALL($AA221:$CH221,7)))</f>
        <v>0</v>
      </c>
      <c r="O221" s="1" t="n">
        <f aca="false">IF(SMALL($AA221:$CH221,8)&gt;=9999,"",INDEX(Presupuesto!$C:$C,SMALL($AA221:$CH221,8)))</f>
        <v>0</v>
      </c>
      <c r="P221" s="1" t="n">
        <f aca="false">IF(SMALL($AA221:$CH221,9)&gt;=9999,"",INDEX(Presupuesto!$C:$C,SMALL($AA221:$CH221,9)))</f>
        <v>0</v>
      </c>
      <c r="Q221" s="1" t="n">
        <f aca="false">IF(SMALL($AA221:$CH221,10)&gt;=9999,"",INDEX(Presupuesto!$C:$C,SMALL($AA221:$CH221,10)))</f>
        <v>0</v>
      </c>
      <c r="AA221" s="0" t="n">
        <f aca="false">IF(Presupuesto!$B$7='Flujo de Pagos'!$E221,7,9999)</f>
        <v>9999</v>
      </c>
      <c r="AB221" s="0" t="n">
        <f aca="false">IF(Presupuesto!$B$8='Flujo de Pagos'!$E221,8,9999)</f>
        <v>9999</v>
      </c>
      <c r="AC221" s="0" t="n">
        <f aca="false">IF(Presupuesto!$B$9='Flujo de Pagos'!$E221,9,9999)</f>
        <v>9999</v>
      </c>
      <c r="AD221" s="0" t="n">
        <f aca="false">IF(Presupuesto!$B$10='Flujo de Pagos'!$E221,10,9999)</f>
        <v>9999</v>
      </c>
      <c r="AE221" s="0" t="n">
        <f aca="false">IF(Presupuesto!$B$11='Flujo de Pagos'!$E221,11,9999)</f>
        <v>9999</v>
      </c>
      <c r="AF221" s="0" t="n">
        <f aca="false">IF(Presupuesto!$B$12='Flujo de Pagos'!$E221,12,9999)</f>
        <v>12</v>
      </c>
      <c r="AG221" s="0" t="n">
        <f aca="false">IF(Presupuesto!$B$13='Flujo de Pagos'!$E221,13,9999)</f>
        <v>13</v>
      </c>
      <c r="AH221" s="0" t="n">
        <f aca="false">IF(Presupuesto!$B$14='Flujo de Pagos'!$E221,14,9999)</f>
        <v>14</v>
      </c>
      <c r="AI221" s="0" t="n">
        <f aca="false">IF(Presupuesto!$B$15='Flujo de Pagos'!$E221,15,9999)</f>
        <v>15</v>
      </c>
      <c r="AJ221" s="0" t="n">
        <f aca="false">IF(Presupuesto!$B$16='Flujo de Pagos'!$E221,16,9999)</f>
        <v>16</v>
      </c>
      <c r="AK221" s="0" t="n">
        <f aca="false">IF(Presupuesto!$B$17='Flujo de Pagos'!$E221,17,9999)</f>
        <v>17</v>
      </c>
      <c r="AL221" s="0" t="n">
        <f aca="false">IF(Presupuesto!$B$18='Flujo de Pagos'!$E221,18,9999)</f>
        <v>18</v>
      </c>
      <c r="AM221" s="0" t="n">
        <f aca="false">IF(Presupuesto!$B$19='Flujo de Pagos'!$E221,19,9999)</f>
        <v>19</v>
      </c>
      <c r="AN221" s="0" t="n">
        <f aca="false">IF(Presupuesto!$B$20='Flujo de Pagos'!$E221,20,9999)</f>
        <v>20</v>
      </c>
      <c r="AO221" s="0" t="n">
        <f aca="false">IF(Presupuesto!$B$21='Flujo de Pagos'!$E221,21,9999)</f>
        <v>21</v>
      </c>
      <c r="AP221" s="0" t="n">
        <f aca="false">IF(Presupuesto!$B$22='Flujo de Pagos'!$E221,22,9999)</f>
        <v>22</v>
      </c>
      <c r="AQ221" s="0" t="n">
        <f aca="false">IF(Presupuesto!$B$23='Flujo de Pagos'!$E221,23,9999)</f>
        <v>23</v>
      </c>
      <c r="AR221" s="0" t="n">
        <f aca="false">IF(Presupuesto!$B$24='Flujo de Pagos'!$E221,24,9999)</f>
        <v>24</v>
      </c>
      <c r="AS221" s="0" t="n">
        <f aca="false">IF(Presupuesto!$B$25='Flujo de Pagos'!$E221,25,9999)</f>
        <v>25</v>
      </c>
      <c r="AT221" s="0" t="n">
        <f aca="false">IF(Presupuesto!$B$26='Flujo de Pagos'!$E221,26,9999)</f>
        <v>26</v>
      </c>
      <c r="AU221" s="0" t="n">
        <f aca="false">IF(Presupuesto!$B$27='Flujo de Pagos'!$E221,27,9999)</f>
        <v>27</v>
      </c>
      <c r="AV221" s="0" t="n">
        <f aca="false">IF(Presupuesto!$B$28='Flujo de Pagos'!$E221,28,9999)</f>
        <v>28</v>
      </c>
      <c r="AW221" s="0" t="n">
        <f aca="false">IF(Presupuesto!$B$29='Flujo de Pagos'!$E221,29,9999)</f>
        <v>29</v>
      </c>
      <c r="AX221" s="0" t="n">
        <f aca="false">IF(Presupuesto!$B$30='Flujo de Pagos'!$E221,30,9999)</f>
        <v>30</v>
      </c>
      <c r="AY221" s="0" t="n">
        <f aca="false">IF(Presupuesto!$B$31='Flujo de Pagos'!$E221,31,9999)</f>
        <v>31</v>
      </c>
      <c r="AZ221" s="0" t="n">
        <f aca="false">IF(Presupuesto!$B$32='Flujo de Pagos'!$E221,32,9999)</f>
        <v>32</v>
      </c>
      <c r="BA221" s="0" t="n">
        <f aca="false">IF(Presupuesto!$B$33='Flujo de Pagos'!$E221,33,9999)</f>
        <v>33</v>
      </c>
      <c r="BB221" s="0" t="n">
        <f aca="false">IF(Presupuesto!$B$34='Flujo de Pagos'!$E221,34,9999)</f>
        <v>34</v>
      </c>
      <c r="BC221" s="0" t="n">
        <f aca="false">IF(Presupuesto!$B$35='Flujo de Pagos'!$E221,35,9999)</f>
        <v>35</v>
      </c>
      <c r="BD221" s="0" t="n">
        <f aca="false">IF(Presupuesto!$B$36='Flujo de Pagos'!$E221,36,9999)</f>
        <v>36</v>
      </c>
      <c r="BE221" s="0" t="n">
        <f aca="false">IF(Presupuesto!$B$37='Flujo de Pagos'!$E221,37,9999)</f>
        <v>37</v>
      </c>
      <c r="BF221" s="0" t="n">
        <f aca="false">IF(Presupuesto!$B$38='Flujo de Pagos'!$E221,38,9999)</f>
        <v>38</v>
      </c>
      <c r="BG221" s="0" t="n">
        <f aca="false">IF(Presupuesto!$B$39='Flujo de Pagos'!$E221,39,9999)</f>
        <v>39</v>
      </c>
      <c r="BH221" s="0" t="n">
        <f aca="false">IF(Presupuesto!$B$40='Flujo de Pagos'!$E221,40,9999)</f>
        <v>40</v>
      </c>
      <c r="BI221" s="0" t="n">
        <f aca="false">IF(Presupuesto!$B$41='Flujo de Pagos'!$E221,41,9999)</f>
        <v>41</v>
      </c>
      <c r="BJ221" s="0" t="n">
        <f aca="false">IF(Presupuesto!$B$42='Flujo de Pagos'!$E221,42,9999)</f>
        <v>42</v>
      </c>
      <c r="BK221" s="0" t="n">
        <f aca="false">IF(Presupuesto!$B$43='Flujo de Pagos'!$E221,43,9999)</f>
        <v>43</v>
      </c>
      <c r="BL221" s="0" t="n">
        <f aca="false">IF(Presupuesto!$B$44='Flujo de Pagos'!$E221,44,9999)</f>
        <v>44</v>
      </c>
      <c r="BM221" s="0" t="n">
        <f aca="false">IF(Presupuesto!$B$45='Flujo de Pagos'!$E221,45,9999)</f>
        <v>45</v>
      </c>
      <c r="BN221" s="0" t="n">
        <f aca="false">IF(Presupuesto!$B$46='Flujo de Pagos'!$E221,46,9999)</f>
        <v>46</v>
      </c>
      <c r="BO221" s="0" t="n">
        <f aca="false">IF(Presupuesto!$B$47='Flujo de Pagos'!$E221,47,9999)</f>
        <v>47</v>
      </c>
      <c r="BP221" s="0" t="n">
        <f aca="false">IF(Presupuesto!$B$48='Flujo de Pagos'!$E221,48,9999)</f>
        <v>48</v>
      </c>
      <c r="BQ221" s="0" t="n">
        <f aca="false">IF(Presupuesto!$B$49='Flujo de Pagos'!$E221,49,9999)</f>
        <v>49</v>
      </c>
      <c r="BR221" s="0" t="n">
        <f aca="false">IF(Presupuesto!$B$50='Flujo de Pagos'!$E221,50,9999)</f>
        <v>50</v>
      </c>
      <c r="BS221" s="0" t="n">
        <f aca="false">IF(Presupuesto!$B$51='Flujo de Pagos'!$E221,51,9999)</f>
        <v>51</v>
      </c>
      <c r="BT221" s="0" t="n">
        <f aca="false">IF(Presupuesto!$B$52='Flujo de Pagos'!$E221,52,9999)</f>
        <v>52</v>
      </c>
      <c r="BU221" s="0" t="n">
        <f aca="false">IF(Presupuesto!$B$53='Flujo de Pagos'!$E221,53,9999)</f>
        <v>53</v>
      </c>
      <c r="BV221" s="0" t="n">
        <f aca="false">IF(Presupuesto!$B$54='Flujo de Pagos'!$E221,54,9999)</f>
        <v>54</v>
      </c>
      <c r="BW221" s="0" t="n">
        <f aca="false">IF(Presupuesto!$B$55='Flujo de Pagos'!$E221,55,9999)</f>
        <v>55</v>
      </c>
      <c r="BX221" s="0" t="n">
        <f aca="false">IF(Presupuesto!$B$56='Flujo de Pagos'!$E221,56,9999)</f>
        <v>56</v>
      </c>
      <c r="BY221" s="0" t="n">
        <f aca="false">IF(Presupuesto!$B$57='Flujo de Pagos'!$E221,57,9999)</f>
        <v>57</v>
      </c>
      <c r="BZ221" s="0" t="n">
        <f aca="false">IF(Presupuesto!$B$58='Flujo de Pagos'!$E221,58,9999)</f>
        <v>58</v>
      </c>
      <c r="CA221" s="0" t="n">
        <f aca="false">IF(Presupuesto!$B$59='Flujo de Pagos'!$E221,59,9999)</f>
        <v>59</v>
      </c>
      <c r="CB221" s="0" t="n">
        <f aca="false">IF(Presupuesto!$B$60='Flujo de Pagos'!$E221,60,9999)</f>
        <v>60</v>
      </c>
      <c r="CC221" s="0" t="n">
        <f aca="false">IF(Presupuesto!$B$61='Flujo de Pagos'!$E221,61,9999)</f>
        <v>61</v>
      </c>
      <c r="CD221" s="0" t="n">
        <f aca="false">IF(Presupuesto!$B$62='Flujo de Pagos'!$E221,62,9999)</f>
        <v>62</v>
      </c>
      <c r="CE221" s="0" t="n">
        <f aca="false">IF(Presupuesto!$B$63='Flujo de Pagos'!$E221,63,9999)</f>
        <v>63</v>
      </c>
      <c r="CF221" s="0" t="n">
        <f aca="false">IF(Presupuesto!$B$64='Flujo de Pagos'!$E221,64,9999)</f>
        <v>64</v>
      </c>
      <c r="CG221" s="0" t="n">
        <f aca="false">IF(Presupuesto!$B$65='Flujo de Pagos'!$E221,65,9999)</f>
        <v>65</v>
      </c>
      <c r="CH221" s="0" t="n">
        <f aca="false">IF(Presupuesto!$B$66='Flujo de Pagos'!$E221,66,9999)</f>
        <v>66</v>
      </c>
    </row>
    <row r="222" customFormat="false" ht="15" hidden="false" customHeight="true" outlineLevel="0" collapsed="false">
      <c r="B222" s="1" t="n">
        <f aca="false">IF(AND('Flujo de Pagos'!E227=Carátula!$B$2,'Flujo de Pagos'!F227=Carátula!$B$4,'Flujo de Pagos'!H227&lt;&gt;""),227,99999)</f>
        <v>99999</v>
      </c>
      <c r="H222" s="1" t="n">
        <f aca="false">IF(SMALL($AA222:$CH222,1)&gt;=9999,"",INDEX(Presupuesto!$C:$C,SMALL($AA222:$CH222,1)))</f>
        <v>0</v>
      </c>
      <c r="I222" s="1" t="n">
        <f aca="false">IF(SMALL($AA222:$CH222,2)&gt;=9999,"",INDEX(Presupuesto!$C:$C,SMALL($AA222:$CH222,2)))</f>
        <v>0</v>
      </c>
      <c r="J222" s="1" t="n">
        <f aca="false">IF(SMALL($AA222:$CH222,3)&gt;=9999,"",INDEX(Presupuesto!$C:$C,SMALL($AA222:$CH222,3)))</f>
        <v>0</v>
      </c>
      <c r="K222" s="1" t="n">
        <f aca="false">IF(SMALL($AA222:$CH222,4)&gt;=9999,"",INDEX(Presupuesto!$C:$C,SMALL($AA222:$CH222,4)))</f>
        <v>0</v>
      </c>
      <c r="L222" s="1" t="n">
        <f aca="false">IF(SMALL($AA222:$CH222,5)&gt;=9999,"",INDEX(Presupuesto!$C:$C,SMALL($AA222:$CH222,5)))</f>
        <v>0</v>
      </c>
      <c r="M222" s="1" t="n">
        <f aca="false">IF(SMALL($AA222:$CH222,6)&gt;=9999,"",INDEX(Presupuesto!$C:$C,SMALL($AA222:$CH222,6)))</f>
        <v>0</v>
      </c>
      <c r="N222" s="1" t="n">
        <f aca="false">IF(SMALL($AA222:$CH222,7)&gt;=9999,"",INDEX(Presupuesto!$C:$C,SMALL($AA222:$CH222,7)))</f>
        <v>0</v>
      </c>
      <c r="O222" s="1" t="n">
        <f aca="false">IF(SMALL($AA222:$CH222,8)&gt;=9999,"",INDEX(Presupuesto!$C:$C,SMALL($AA222:$CH222,8)))</f>
        <v>0</v>
      </c>
      <c r="P222" s="1" t="n">
        <f aca="false">IF(SMALL($AA222:$CH222,9)&gt;=9999,"",INDEX(Presupuesto!$C:$C,SMALL($AA222:$CH222,9)))</f>
        <v>0</v>
      </c>
      <c r="Q222" s="1" t="n">
        <f aca="false">IF(SMALL($AA222:$CH222,10)&gt;=9999,"",INDEX(Presupuesto!$C:$C,SMALL($AA222:$CH222,10)))</f>
        <v>0</v>
      </c>
      <c r="AA222" s="0" t="n">
        <f aca="false">IF(Presupuesto!$B$7='Flujo de Pagos'!$E222,7,9999)</f>
        <v>9999</v>
      </c>
      <c r="AB222" s="0" t="n">
        <f aca="false">IF(Presupuesto!$B$8='Flujo de Pagos'!$E222,8,9999)</f>
        <v>9999</v>
      </c>
      <c r="AC222" s="0" t="n">
        <f aca="false">IF(Presupuesto!$B$9='Flujo de Pagos'!$E222,9,9999)</f>
        <v>9999</v>
      </c>
      <c r="AD222" s="0" t="n">
        <f aca="false">IF(Presupuesto!$B$10='Flujo de Pagos'!$E222,10,9999)</f>
        <v>9999</v>
      </c>
      <c r="AE222" s="0" t="n">
        <f aca="false">IF(Presupuesto!$B$11='Flujo de Pagos'!$E222,11,9999)</f>
        <v>9999</v>
      </c>
      <c r="AF222" s="0" t="n">
        <f aca="false">IF(Presupuesto!$B$12='Flujo de Pagos'!$E222,12,9999)</f>
        <v>12</v>
      </c>
      <c r="AG222" s="0" t="n">
        <f aca="false">IF(Presupuesto!$B$13='Flujo de Pagos'!$E222,13,9999)</f>
        <v>13</v>
      </c>
      <c r="AH222" s="0" t="n">
        <f aca="false">IF(Presupuesto!$B$14='Flujo de Pagos'!$E222,14,9999)</f>
        <v>14</v>
      </c>
      <c r="AI222" s="0" t="n">
        <f aca="false">IF(Presupuesto!$B$15='Flujo de Pagos'!$E222,15,9999)</f>
        <v>15</v>
      </c>
      <c r="AJ222" s="0" t="n">
        <f aca="false">IF(Presupuesto!$B$16='Flujo de Pagos'!$E222,16,9999)</f>
        <v>16</v>
      </c>
      <c r="AK222" s="0" t="n">
        <f aca="false">IF(Presupuesto!$B$17='Flujo de Pagos'!$E222,17,9999)</f>
        <v>17</v>
      </c>
      <c r="AL222" s="0" t="n">
        <f aca="false">IF(Presupuesto!$B$18='Flujo de Pagos'!$E222,18,9999)</f>
        <v>18</v>
      </c>
      <c r="AM222" s="0" t="n">
        <f aca="false">IF(Presupuesto!$B$19='Flujo de Pagos'!$E222,19,9999)</f>
        <v>19</v>
      </c>
      <c r="AN222" s="0" t="n">
        <f aca="false">IF(Presupuesto!$B$20='Flujo de Pagos'!$E222,20,9999)</f>
        <v>20</v>
      </c>
      <c r="AO222" s="0" t="n">
        <f aca="false">IF(Presupuesto!$B$21='Flujo de Pagos'!$E222,21,9999)</f>
        <v>21</v>
      </c>
      <c r="AP222" s="0" t="n">
        <f aca="false">IF(Presupuesto!$B$22='Flujo de Pagos'!$E222,22,9999)</f>
        <v>22</v>
      </c>
      <c r="AQ222" s="0" t="n">
        <f aca="false">IF(Presupuesto!$B$23='Flujo de Pagos'!$E222,23,9999)</f>
        <v>23</v>
      </c>
      <c r="AR222" s="0" t="n">
        <f aca="false">IF(Presupuesto!$B$24='Flujo de Pagos'!$E222,24,9999)</f>
        <v>24</v>
      </c>
      <c r="AS222" s="0" t="n">
        <f aca="false">IF(Presupuesto!$B$25='Flujo de Pagos'!$E222,25,9999)</f>
        <v>25</v>
      </c>
      <c r="AT222" s="0" t="n">
        <f aca="false">IF(Presupuesto!$B$26='Flujo de Pagos'!$E222,26,9999)</f>
        <v>26</v>
      </c>
      <c r="AU222" s="0" t="n">
        <f aca="false">IF(Presupuesto!$B$27='Flujo de Pagos'!$E222,27,9999)</f>
        <v>27</v>
      </c>
      <c r="AV222" s="0" t="n">
        <f aca="false">IF(Presupuesto!$B$28='Flujo de Pagos'!$E222,28,9999)</f>
        <v>28</v>
      </c>
      <c r="AW222" s="0" t="n">
        <f aca="false">IF(Presupuesto!$B$29='Flujo de Pagos'!$E222,29,9999)</f>
        <v>29</v>
      </c>
      <c r="AX222" s="0" t="n">
        <f aca="false">IF(Presupuesto!$B$30='Flujo de Pagos'!$E222,30,9999)</f>
        <v>30</v>
      </c>
      <c r="AY222" s="0" t="n">
        <f aca="false">IF(Presupuesto!$B$31='Flujo de Pagos'!$E222,31,9999)</f>
        <v>31</v>
      </c>
      <c r="AZ222" s="0" t="n">
        <f aca="false">IF(Presupuesto!$B$32='Flujo de Pagos'!$E222,32,9999)</f>
        <v>32</v>
      </c>
      <c r="BA222" s="0" t="n">
        <f aca="false">IF(Presupuesto!$B$33='Flujo de Pagos'!$E222,33,9999)</f>
        <v>33</v>
      </c>
      <c r="BB222" s="0" t="n">
        <f aca="false">IF(Presupuesto!$B$34='Flujo de Pagos'!$E222,34,9999)</f>
        <v>34</v>
      </c>
      <c r="BC222" s="0" t="n">
        <f aca="false">IF(Presupuesto!$B$35='Flujo de Pagos'!$E222,35,9999)</f>
        <v>35</v>
      </c>
      <c r="BD222" s="0" t="n">
        <f aca="false">IF(Presupuesto!$B$36='Flujo de Pagos'!$E222,36,9999)</f>
        <v>36</v>
      </c>
      <c r="BE222" s="0" t="n">
        <f aca="false">IF(Presupuesto!$B$37='Flujo de Pagos'!$E222,37,9999)</f>
        <v>37</v>
      </c>
      <c r="BF222" s="0" t="n">
        <f aca="false">IF(Presupuesto!$B$38='Flujo de Pagos'!$E222,38,9999)</f>
        <v>38</v>
      </c>
      <c r="BG222" s="0" t="n">
        <f aca="false">IF(Presupuesto!$B$39='Flujo de Pagos'!$E222,39,9999)</f>
        <v>39</v>
      </c>
      <c r="BH222" s="0" t="n">
        <f aca="false">IF(Presupuesto!$B$40='Flujo de Pagos'!$E222,40,9999)</f>
        <v>40</v>
      </c>
      <c r="BI222" s="0" t="n">
        <f aca="false">IF(Presupuesto!$B$41='Flujo de Pagos'!$E222,41,9999)</f>
        <v>41</v>
      </c>
      <c r="BJ222" s="0" t="n">
        <f aca="false">IF(Presupuesto!$B$42='Flujo de Pagos'!$E222,42,9999)</f>
        <v>42</v>
      </c>
      <c r="BK222" s="0" t="n">
        <f aca="false">IF(Presupuesto!$B$43='Flujo de Pagos'!$E222,43,9999)</f>
        <v>43</v>
      </c>
      <c r="BL222" s="0" t="n">
        <f aca="false">IF(Presupuesto!$B$44='Flujo de Pagos'!$E222,44,9999)</f>
        <v>44</v>
      </c>
      <c r="BM222" s="0" t="n">
        <f aca="false">IF(Presupuesto!$B$45='Flujo de Pagos'!$E222,45,9999)</f>
        <v>45</v>
      </c>
      <c r="BN222" s="0" t="n">
        <f aca="false">IF(Presupuesto!$B$46='Flujo de Pagos'!$E222,46,9999)</f>
        <v>46</v>
      </c>
      <c r="BO222" s="0" t="n">
        <f aca="false">IF(Presupuesto!$B$47='Flujo de Pagos'!$E222,47,9999)</f>
        <v>47</v>
      </c>
      <c r="BP222" s="0" t="n">
        <f aca="false">IF(Presupuesto!$B$48='Flujo de Pagos'!$E222,48,9999)</f>
        <v>48</v>
      </c>
      <c r="BQ222" s="0" t="n">
        <f aca="false">IF(Presupuesto!$B$49='Flujo de Pagos'!$E222,49,9999)</f>
        <v>49</v>
      </c>
      <c r="BR222" s="0" t="n">
        <f aca="false">IF(Presupuesto!$B$50='Flujo de Pagos'!$E222,50,9999)</f>
        <v>50</v>
      </c>
      <c r="BS222" s="0" t="n">
        <f aca="false">IF(Presupuesto!$B$51='Flujo de Pagos'!$E222,51,9999)</f>
        <v>51</v>
      </c>
      <c r="BT222" s="0" t="n">
        <f aca="false">IF(Presupuesto!$B$52='Flujo de Pagos'!$E222,52,9999)</f>
        <v>52</v>
      </c>
      <c r="BU222" s="0" t="n">
        <f aca="false">IF(Presupuesto!$B$53='Flujo de Pagos'!$E222,53,9999)</f>
        <v>53</v>
      </c>
      <c r="BV222" s="0" t="n">
        <f aca="false">IF(Presupuesto!$B$54='Flujo de Pagos'!$E222,54,9999)</f>
        <v>54</v>
      </c>
      <c r="BW222" s="0" t="n">
        <f aca="false">IF(Presupuesto!$B$55='Flujo de Pagos'!$E222,55,9999)</f>
        <v>55</v>
      </c>
      <c r="BX222" s="0" t="n">
        <f aca="false">IF(Presupuesto!$B$56='Flujo de Pagos'!$E222,56,9999)</f>
        <v>56</v>
      </c>
      <c r="BY222" s="0" t="n">
        <f aca="false">IF(Presupuesto!$B$57='Flujo de Pagos'!$E222,57,9999)</f>
        <v>57</v>
      </c>
      <c r="BZ222" s="0" t="n">
        <f aca="false">IF(Presupuesto!$B$58='Flujo de Pagos'!$E222,58,9999)</f>
        <v>58</v>
      </c>
      <c r="CA222" s="0" t="n">
        <f aca="false">IF(Presupuesto!$B$59='Flujo de Pagos'!$E222,59,9999)</f>
        <v>59</v>
      </c>
      <c r="CB222" s="0" t="n">
        <f aca="false">IF(Presupuesto!$B$60='Flujo de Pagos'!$E222,60,9999)</f>
        <v>60</v>
      </c>
      <c r="CC222" s="0" t="n">
        <f aca="false">IF(Presupuesto!$B$61='Flujo de Pagos'!$E222,61,9999)</f>
        <v>61</v>
      </c>
      <c r="CD222" s="0" t="n">
        <f aca="false">IF(Presupuesto!$B$62='Flujo de Pagos'!$E222,62,9999)</f>
        <v>62</v>
      </c>
      <c r="CE222" s="0" t="n">
        <f aca="false">IF(Presupuesto!$B$63='Flujo de Pagos'!$E222,63,9999)</f>
        <v>63</v>
      </c>
      <c r="CF222" s="0" t="n">
        <f aca="false">IF(Presupuesto!$B$64='Flujo de Pagos'!$E222,64,9999)</f>
        <v>64</v>
      </c>
      <c r="CG222" s="0" t="n">
        <f aca="false">IF(Presupuesto!$B$65='Flujo de Pagos'!$E222,65,9999)</f>
        <v>65</v>
      </c>
      <c r="CH222" s="0" t="n">
        <f aca="false">IF(Presupuesto!$B$66='Flujo de Pagos'!$E222,66,9999)</f>
        <v>66</v>
      </c>
    </row>
    <row r="223" customFormat="false" ht="15" hidden="false" customHeight="true" outlineLevel="0" collapsed="false">
      <c r="B223" s="1" t="n">
        <f aca="false">IF(AND('Flujo de Pagos'!E228=Carátula!$B$2,'Flujo de Pagos'!F228=Carátula!$B$4,'Flujo de Pagos'!H228&lt;&gt;""),228,99999)</f>
        <v>99999</v>
      </c>
      <c r="H223" s="1" t="n">
        <f aca="false">IF(SMALL($AA223:$CH223,1)&gt;=9999,"",INDEX(Presupuesto!$C:$C,SMALL($AA223:$CH223,1)))</f>
        <v>0</v>
      </c>
      <c r="I223" s="1" t="n">
        <f aca="false">IF(SMALL($AA223:$CH223,2)&gt;=9999,"",INDEX(Presupuesto!$C:$C,SMALL($AA223:$CH223,2)))</f>
        <v>0</v>
      </c>
      <c r="J223" s="1" t="n">
        <f aca="false">IF(SMALL($AA223:$CH223,3)&gt;=9999,"",INDEX(Presupuesto!$C:$C,SMALL($AA223:$CH223,3)))</f>
        <v>0</v>
      </c>
      <c r="K223" s="1" t="n">
        <f aca="false">IF(SMALL($AA223:$CH223,4)&gt;=9999,"",INDEX(Presupuesto!$C:$C,SMALL($AA223:$CH223,4)))</f>
        <v>0</v>
      </c>
      <c r="L223" s="1" t="n">
        <f aca="false">IF(SMALL($AA223:$CH223,5)&gt;=9999,"",INDEX(Presupuesto!$C:$C,SMALL($AA223:$CH223,5)))</f>
        <v>0</v>
      </c>
      <c r="M223" s="1" t="n">
        <f aca="false">IF(SMALL($AA223:$CH223,6)&gt;=9999,"",INDEX(Presupuesto!$C:$C,SMALL($AA223:$CH223,6)))</f>
        <v>0</v>
      </c>
      <c r="N223" s="1" t="n">
        <f aca="false">IF(SMALL($AA223:$CH223,7)&gt;=9999,"",INDEX(Presupuesto!$C:$C,SMALL($AA223:$CH223,7)))</f>
        <v>0</v>
      </c>
      <c r="O223" s="1" t="n">
        <f aca="false">IF(SMALL($AA223:$CH223,8)&gt;=9999,"",INDEX(Presupuesto!$C:$C,SMALL($AA223:$CH223,8)))</f>
        <v>0</v>
      </c>
      <c r="P223" s="1" t="n">
        <f aca="false">IF(SMALL($AA223:$CH223,9)&gt;=9999,"",INDEX(Presupuesto!$C:$C,SMALL($AA223:$CH223,9)))</f>
        <v>0</v>
      </c>
      <c r="Q223" s="1" t="n">
        <f aca="false">IF(SMALL($AA223:$CH223,10)&gt;=9999,"",INDEX(Presupuesto!$C:$C,SMALL($AA223:$CH223,10)))</f>
        <v>0</v>
      </c>
      <c r="AA223" s="0" t="n">
        <f aca="false">IF(Presupuesto!$B$7='Flujo de Pagos'!$E223,7,9999)</f>
        <v>9999</v>
      </c>
      <c r="AB223" s="0" t="n">
        <f aca="false">IF(Presupuesto!$B$8='Flujo de Pagos'!$E223,8,9999)</f>
        <v>9999</v>
      </c>
      <c r="AC223" s="0" t="n">
        <f aca="false">IF(Presupuesto!$B$9='Flujo de Pagos'!$E223,9,9999)</f>
        <v>9999</v>
      </c>
      <c r="AD223" s="0" t="n">
        <f aca="false">IF(Presupuesto!$B$10='Flujo de Pagos'!$E223,10,9999)</f>
        <v>9999</v>
      </c>
      <c r="AE223" s="0" t="n">
        <f aca="false">IF(Presupuesto!$B$11='Flujo de Pagos'!$E223,11,9999)</f>
        <v>9999</v>
      </c>
      <c r="AF223" s="0" t="n">
        <f aca="false">IF(Presupuesto!$B$12='Flujo de Pagos'!$E223,12,9999)</f>
        <v>12</v>
      </c>
      <c r="AG223" s="0" t="n">
        <f aca="false">IF(Presupuesto!$B$13='Flujo de Pagos'!$E223,13,9999)</f>
        <v>13</v>
      </c>
      <c r="AH223" s="0" t="n">
        <f aca="false">IF(Presupuesto!$B$14='Flujo de Pagos'!$E223,14,9999)</f>
        <v>14</v>
      </c>
      <c r="AI223" s="0" t="n">
        <f aca="false">IF(Presupuesto!$B$15='Flujo de Pagos'!$E223,15,9999)</f>
        <v>15</v>
      </c>
      <c r="AJ223" s="0" t="n">
        <f aca="false">IF(Presupuesto!$B$16='Flujo de Pagos'!$E223,16,9999)</f>
        <v>16</v>
      </c>
      <c r="AK223" s="0" t="n">
        <f aca="false">IF(Presupuesto!$B$17='Flujo de Pagos'!$E223,17,9999)</f>
        <v>17</v>
      </c>
      <c r="AL223" s="0" t="n">
        <f aca="false">IF(Presupuesto!$B$18='Flujo de Pagos'!$E223,18,9999)</f>
        <v>18</v>
      </c>
      <c r="AM223" s="0" t="n">
        <f aca="false">IF(Presupuesto!$B$19='Flujo de Pagos'!$E223,19,9999)</f>
        <v>19</v>
      </c>
      <c r="AN223" s="0" t="n">
        <f aca="false">IF(Presupuesto!$B$20='Flujo de Pagos'!$E223,20,9999)</f>
        <v>20</v>
      </c>
      <c r="AO223" s="0" t="n">
        <f aca="false">IF(Presupuesto!$B$21='Flujo de Pagos'!$E223,21,9999)</f>
        <v>21</v>
      </c>
      <c r="AP223" s="0" t="n">
        <f aca="false">IF(Presupuesto!$B$22='Flujo de Pagos'!$E223,22,9999)</f>
        <v>22</v>
      </c>
      <c r="AQ223" s="0" t="n">
        <f aca="false">IF(Presupuesto!$B$23='Flujo de Pagos'!$E223,23,9999)</f>
        <v>23</v>
      </c>
      <c r="AR223" s="0" t="n">
        <f aca="false">IF(Presupuesto!$B$24='Flujo de Pagos'!$E223,24,9999)</f>
        <v>24</v>
      </c>
      <c r="AS223" s="0" t="n">
        <f aca="false">IF(Presupuesto!$B$25='Flujo de Pagos'!$E223,25,9999)</f>
        <v>25</v>
      </c>
      <c r="AT223" s="0" t="n">
        <f aca="false">IF(Presupuesto!$B$26='Flujo de Pagos'!$E223,26,9999)</f>
        <v>26</v>
      </c>
      <c r="AU223" s="0" t="n">
        <f aca="false">IF(Presupuesto!$B$27='Flujo de Pagos'!$E223,27,9999)</f>
        <v>27</v>
      </c>
      <c r="AV223" s="0" t="n">
        <f aca="false">IF(Presupuesto!$B$28='Flujo de Pagos'!$E223,28,9999)</f>
        <v>28</v>
      </c>
      <c r="AW223" s="0" t="n">
        <f aca="false">IF(Presupuesto!$B$29='Flujo de Pagos'!$E223,29,9999)</f>
        <v>29</v>
      </c>
      <c r="AX223" s="0" t="n">
        <f aca="false">IF(Presupuesto!$B$30='Flujo de Pagos'!$E223,30,9999)</f>
        <v>30</v>
      </c>
      <c r="AY223" s="0" t="n">
        <f aca="false">IF(Presupuesto!$B$31='Flujo de Pagos'!$E223,31,9999)</f>
        <v>31</v>
      </c>
      <c r="AZ223" s="0" t="n">
        <f aca="false">IF(Presupuesto!$B$32='Flujo de Pagos'!$E223,32,9999)</f>
        <v>32</v>
      </c>
      <c r="BA223" s="0" t="n">
        <f aca="false">IF(Presupuesto!$B$33='Flujo de Pagos'!$E223,33,9999)</f>
        <v>33</v>
      </c>
      <c r="BB223" s="0" t="n">
        <f aca="false">IF(Presupuesto!$B$34='Flujo de Pagos'!$E223,34,9999)</f>
        <v>34</v>
      </c>
      <c r="BC223" s="0" t="n">
        <f aca="false">IF(Presupuesto!$B$35='Flujo de Pagos'!$E223,35,9999)</f>
        <v>35</v>
      </c>
      <c r="BD223" s="0" t="n">
        <f aca="false">IF(Presupuesto!$B$36='Flujo de Pagos'!$E223,36,9999)</f>
        <v>36</v>
      </c>
      <c r="BE223" s="0" t="n">
        <f aca="false">IF(Presupuesto!$B$37='Flujo de Pagos'!$E223,37,9999)</f>
        <v>37</v>
      </c>
      <c r="BF223" s="0" t="n">
        <f aca="false">IF(Presupuesto!$B$38='Flujo de Pagos'!$E223,38,9999)</f>
        <v>38</v>
      </c>
      <c r="BG223" s="0" t="n">
        <f aca="false">IF(Presupuesto!$B$39='Flujo de Pagos'!$E223,39,9999)</f>
        <v>39</v>
      </c>
      <c r="BH223" s="0" t="n">
        <f aca="false">IF(Presupuesto!$B$40='Flujo de Pagos'!$E223,40,9999)</f>
        <v>40</v>
      </c>
      <c r="BI223" s="0" t="n">
        <f aca="false">IF(Presupuesto!$B$41='Flujo de Pagos'!$E223,41,9999)</f>
        <v>41</v>
      </c>
      <c r="BJ223" s="0" t="n">
        <f aca="false">IF(Presupuesto!$B$42='Flujo de Pagos'!$E223,42,9999)</f>
        <v>42</v>
      </c>
      <c r="BK223" s="0" t="n">
        <f aca="false">IF(Presupuesto!$B$43='Flujo de Pagos'!$E223,43,9999)</f>
        <v>43</v>
      </c>
      <c r="BL223" s="0" t="n">
        <f aca="false">IF(Presupuesto!$B$44='Flujo de Pagos'!$E223,44,9999)</f>
        <v>44</v>
      </c>
      <c r="BM223" s="0" t="n">
        <f aca="false">IF(Presupuesto!$B$45='Flujo de Pagos'!$E223,45,9999)</f>
        <v>45</v>
      </c>
      <c r="BN223" s="0" t="n">
        <f aca="false">IF(Presupuesto!$B$46='Flujo de Pagos'!$E223,46,9999)</f>
        <v>46</v>
      </c>
      <c r="BO223" s="0" t="n">
        <f aca="false">IF(Presupuesto!$B$47='Flujo de Pagos'!$E223,47,9999)</f>
        <v>47</v>
      </c>
      <c r="BP223" s="0" t="n">
        <f aca="false">IF(Presupuesto!$B$48='Flujo de Pagos'!$E223,48,9999)</f>
        <v>48</v>
      </c>
      <c r="BQ223" s="0" t="n">
        <f aca="false">IF(Presupuesto!$B$49='Flujo de Pagos'!$E223,49,9999)</f>
        <v>49</v>
      </c>
      <c r="BR223" s="0" t="n">
        <f aca="false">IF(Presupuesto!$B$50='Flujo de Pagos'!$E223,50,9999)</f>
        <v>50</v>
      </c>
      <c r="BS223" s="0" t="n">
        <f aca="false">IF(Presupuesto!$B$51='Flujo de Pagos'!$E223,51,9999)</f>
        <v>51</v>
      </c>
      <c r="BT223" s="0" t="n">
        <f aca="false">IF(Presupuesto!$B$52='Flujo de Pagos'!$E223,52,9999)</f>
        <v>52</v>
      </c>
      <c r="BU223" s="0" t="n">
        <f aca="false">IF(Presupuesto!$B$53='Flujo de Pagos'!$E223,53,9999)</f>
        <v>53</v>
      </c>
      <c r="BV223" s="0" t="n">
        <f aca="false">IF(Presupuesto!$B$54='Flujo de Pagos'!$E223,54,9999)</f>
        <v>54</v>
      </c>
      <c r="BW223" s="0" t="n">
        <f aca="false">IF(Presupuesto!$B$55='Flujo de Pagos'!$E223,55,9999)</f>
        <v>55</v>
      </c>
      <c r="BX223" s="0" t="n">
        <f aca="false">IF(Presupuesto!$B$56='Flujo de Pagos'!$E223,56,9999)</f>
        <v>56</v>
      </c>
      <c r="BY223" s="0" t="n">
        <f aca="false">IF(Presupuesto!$B$57='Flujo de Pagos'!$E223,57,9999)</f>
        <v>57</v>
      </c>
      <c r="BZ223" s="0" t="n">
        <f aca="false">IF(Presupuesto!$B$58='Flujo de Pagos'!$E223,58,9999)</f>
        <v>58</v>
      </c>
      <c r="CA223" s="0" t="n">
        <f aca="false">IF(Presupuesto!$B$59='Flujo de Pagos'!$E223,59,9999)</f>
        <v>59</v>
      </c>
      <c r="CB223" s="0" t="n">
        <f aca="false">IF(Presupuesto!$B$60='Flujo de Pagos'!$E223,60,9999)</f>
        <v>60</v>
      </c>
      <c r="CC223" s="0" t="n">
        <f aca="false">IF(Presupuesto!$B$61='Flujo de Pagos'!$E223,61,9999)</f>
        <v>61</v>
      </c>
      <c r="CD223" s="0" t="n">
        <f aca="false">IF(Presupuesto!$B$62='Flujo de Pagos'!$E223,62,9999)</f>
        <v>62</v>
      </c>
      <c r="CE223" s="0" t="n">
        <f aca="false">IF(Presupuesto!$B$63='Flujo de Pagos'!$E223,63,9999)</f>
        <v>63</v>
      </c>
      <c r="CF223" s="0" t="n">
        <f aca="false">IF(Presupuesto!$B$64='Flujo de Pagos'!$E223,64,9999)</f>
        <v>64</v>
      </c>
      <c r="CG223" s="0" t="n">
        <f aca="false">IF(Presupuesto!$B$65='Flujo de Pagos'!$E223,65,9999)</f>
        <v>65</v>
      </c>
      <c r="CH223" s="0" t="n">
        <f aca="false">IF(Presupuesto!$B$66='Flujo de Pagos'!$E223,66,9999)</f>
        <v>66</v>
      </c>
    </row>
    <row r="224" customFormat="false" ht="15" hidden="false" customHeight="true" outlineLevel="0" collapsed="false">
      <c r="B224" s="1" t="n">
        <f aca="false">IF(AND('Flujo de Pagos'!E229=Carátula!$B$2,'Flujo de Pagos'!F229=Carátula!$B$4,'Flujo de Pagos'!H229&lt;&gt;""),229,99999)</f>
        <v>99999</v>
      </c>
      <c r="H224" s="1" t="n">
        <f aca="false">IF(SMALL($AA224:$CH224,1)&gt;=9999,"",INDEX(Presupuesto!$C:$C,SMALL($AA224:$CH224,1)))</f>
        <v>0</v>
      </c>
      <c r="I224" s="1" t="n">
        <f aca="false">IF(SMALL($AA224:$CH224,2)&gt;=9999,"",INDEX(Presupuesto!$C:$C,SMALL($AA224:$CH224,2)))</f>
        <v>0</v>
      </c>
      <c r="J224" s="1" t="n">
        <f aca="false">IF(SMALL($AA224:$CH224,3)&gt;=9999,"",INDEX(Presupuesto!$C:$C,SMALL($AA224:$CH224,3)))</f>
        <v>0</v>
      </c>
      <c r="K224" s="1" t="n">
        <f aca="false">IF(SMALL($AA224:$CH224,4)&gt;=9999,"",INDEX(Presupuesto!$C:$C,SMALL($AA224:$CH224,4)))</f>
        <v>0</v>
      </c>
      <c r="L224" s="1" t="n">
        <f aca="false">IF(SMALL($AA224:$CH224,5)&gt;=9999,"",INDEX(Presupuesto!$C:$C,SMALL($AA224:$CH224,5)))</f>
        <v>0</v>
      </c>
      <c r="M224" s="1" t="n">
        <f aca="false">IF(SMALL($AA224:$CH224,6)&gt;=9999,"",INDEX(Presupuesto!$C:$C,SMALL($AA224:$CH224,6)))</f>
        <v>0</v>
      </c>
      <c r="N224" s="1" t="n">
        <f aca="false">IF(SMALL($AA224:$CH224,7)&gt;=9999,"",INDEX(Presupuesto!$C:$C,SMALL($AA224:$CH224,7)))</f>
        <v>0</v>
      </c>
      <c r="O224" s="1" t="n">
        <f aca="false">IF(SMALL($AA224:$CH224,8)&gt;=9999,"",INDEX(Presupuesto!$C:$C,SMALL($AA224:$CH224,8)))</f>
        <v>0</v>
      </c>
      <c r="P224" s="1" t="n">
        <f aca="false">IF(SMALL($AA224:$CH224,9)&gt;=9999,"",INDEX(Presupuesto!$C:$C,SMALL($AA224:$CH224,9)))</f>
        <v>0</v>
      </c>
      <c r="Q224" s="1" t="n">
        <f aca="false">IF(SMALL($AA224:$CH224,10)&gt;=9999,"",INDEX(Presupuesto!$C:$C,SMALL($AA224:$CH224,10)))</f>
        <v>0</v>
      </c>
      <c r="AA224" s="0" t="n">
        <f aca="false">IF(Presupuesto!$B$7='Flujo de Pagos'!$E224,7,9999)</f>
        <v>9999</v>
      </c>
      <c r="AB224" s="0" t="n">
        <f aca="false">IF(Presupuesto!$B$8='Flujo de Pagos'!$E224,8,9999)</f>
        <v>9999</v>
      </c>
      <c r="AC224" s="0" t="n">
        <f aca="false">IF(Presupuesto!$B$9='Flujo de Pagos'!$E224,9,9999)</f>
        <v>9999</v>
      </c>
      <c r="AD224" s="0" t="n">
        <f aca="false">IF(Presupuesto!$B$10='Flujo de Pagos'!$E224,10,9999)</f>
        <v>9999</v>
      </c>
      <c r="AE224" s="0" t="n">
        <f aca="false">IF(Presupuesto!$B$11='Flujo de Pagos'!$E224,11,9999)</f>
        <v>9999</v>
      </c>
      <c r="AF224" s="0" t="n">
        <f aca="false">IF(Presupuesto!$B$12='Flujo de Pagos'!$E224,12,9999)</f>
        <v>12</v>
      </c>
      <c r="AG224" s="0" t="n">
        <f aca="false">IF(Presupuesto!$B$13='Flujo de Pagos'!$E224,13,9999)</f>
        <v>13</v>
      </c>
      <c r="AH224" s="0" t="n">
        <f aca="false">IF(Presupuesto!$B$14='Flujo de Pagos'!$E224,14,9999)</f>
        <v>14</v>
      </c>
      <c r="AI224" s="0" t="n">
        <f aca="false">IF(Presupuesto!$B$15='Flujo de Pagos'!$E224,15,9999)</f>
        <v>15</v>
      </c>
      <c r="AJ224" s="0" t="n">
        <f aca="false">IF(Presupuesto!$B$16='Flujo de Pagos'!$E224,16,9999)</f>
        <v>16</v>
      </c>
      <c r="AK224" s="0" t="n">
        <f aca="false">IF(Presupuesto!$B$17='Flujo de Pagos'!$E224,17,9999)</f>
        <v>17</v>
      </c>
      <c r="AL224" s="0" t="n">
        <f aca="false">IF(Presupuesto!$B$18='Flujo de Pagos'!$E224,18,9999)</f>
        <v>18</v>
      </c>
      <c r="AM224" s="0" t="n">
        <f aca="false">IF(Presupuesto!$B$19='Flujo de Pagos'!$E224,19,9999)</f>
        <v>19</v>
      </c>
      <c r="AN224" s="0" t="n">
        <f aca="false">IF(Presupuesto!$B$20='Flujo de Pagos'!$E224,20,9999)</f>
        <v>20</v>
      </c>
      <c r="AO224" s="0" t="n">
        <f aca="false">IF(Presupuesto!$B$21='Flujo de Pagos'!$E224,21,9999)</f>
        <v>21</v>
      </c>
      <c r="AP224" s="0" t="n">
        <f aca="false">IF(Presupuesto!$B$22='Flujo de Pagos'!$E224,22,9999)</f>
        <v>22</v>
      </c>
      <c r="AQ224" s="0" t="n">
        <f aca="false">IF(Presupuesto!$B$23='Flujo de Pagos'!$E224,23,9999)</f>
        <v>23</v>
      </c>
      <c r="AR224" s="0" t="n">
        <f aca="false">IF(Presupuesto!$B$24='Flujo de Pagos'!$E224,24,9999)</f>
        <v>24</v>
      </c>
      <c r="AS224" s="0" t="n">
        <f aca="false">IF(Presupuesto!$B$25='Flujo de Pagos'!$E224,25,9999)</f>
        <v>25</v>
      </c>
      <c r="AT224" s="0" t="n">
        <f aca="false">IF(Presupuesto!$B$26='Flujo de Pagos'!$E224,26,9999)</f>
        <v>26</v>
      </c>
      <c r="AU224" s="0" t="n">
        <f aca="false">IF(Presupuesto!$B$27='Flujo de Pagos'!$E224,27,9999)</f>
        <v>27</v>
      </c>
      <c r="AV224" s="0" t="n">
        <f aca="false">IF(Presupuesto!$B$28='Flujo de Pagos'!$E224,28,9999)</f>
        <v>28</v>
      </c>
      <c r="AW224" s="0" t="n">
        <f aca="false">IF(Presupuesto!$B$29='Flujo de Pagos'!$E224,29,9999)</f>
        <v>29</v>
      </c>
      <c r="AX224" s="0" t="n">
        <f aca="false">IF(Presupuesto!$B$30='Flujo de Pagos'!$E224,30,9999)</f>
        <v>30</v>
      </c>
      <c r="AY224" s="0" t="n">
        <f aca="false">IF(Presupuesto!$B$31='Flujo de Pagos'!$E224,31,9999)</f>
        <v>31</v>
      </c>
      <c r="AZ224" s="0" t="n">
        <f aca="false">IF(Presupuesto!$B$32='Flujo de Pagos'!$E224,32,9999)</f>
        <v>32</v>
      </c>
      <c r="BA224" s="0" t="n">
        <f aca="false">IF(Presupuesto!$B$33='Flujo de Pagos'!$E224,33,9999)</f>
        <v>33</v>
      </c>
      <c r="BB224" s="0" t="n">
        <f aca="false">IF(Presupuesto!$B$34='Flujo de Pagos'!$E224,34,9999)</f>
        <v>34</v>
      </c>
      <c r="BC224" s="0" t="n">
        <f aca="false">IF(Presupuesto!$B$35='Flujo de Pagos'!$E224,35,9999)</f>
        <v>35</v>
      </c>
      <c r="BD224" s="0" t="n">
        <f aca="false">IF(Presupuesto!$B$36='Flujo de Pagos'!$E224,36,9999)</f>
        <v>36</v>
      </c>
      <c r="BE224" s="0" t="n">
        <f aca="false">IF(Presupuesto!$B$37='Flujo de Pagos'!$E224,37,9999)</f>
        <v>37</v>
      </c>
      <c r="BF224" s="0" t="n">
        <f aca="false">IF(Presupuesto!$B$38='Flujo de Pagos'!$E224,38,9999)</f>
        <v>38</v>
      </c>
      <c r="BG224" s="0" t="n">
        <f aca="false">IF(Presupuesto!$B$39='Flujo de Pagos'!$E224,39,9999)</f>
        <v>39</v>
      </c>
      <c r="BH224" s="0" t="n">
        <f aca="false">IF(Presupuesto!$B$40='Flujo de Pagos'!$E224,40,9999)</f>
        <v>40</v>
      </c>
      <c r="BI224" s="0" t="n">
        <f aca="false">IF(Presupuesto!$B$41='Flujo de Pagos'!$E224,41,9999)</f>
        <v>41</v>
      </c>
      <c r="BJ224" s="0" t="n">
        <f aca="false">IF(Presupuesto!$B$42='Flujo de Pagos'!$E224,42,9999)</f>
        <v>42</v>
      </c>
      <c r="BK224" s="0" t="n">
        <f aca="false">IF(Presupuesto!$B$43='Flujo de Pagos'!$E224,43,9999)</f>
        <v>43</v>
      </c>
      <c r="BL224" s="0" t="n">
        <f aca="false">IF(Presupuesto!$B$44='Flujo de Pagos'!$E224,44,9999)</f>
        <v>44</v>
      </c>
      <c r="BM224" s="0" t="n">
        <f aca="false">IF(Presupuesto!$B$45='Flujo de Pagos'!$E224,45,9999)</f>
        <v>45</v>
      </c>
      <c r="BN224" s="0" t="n">
        <f aca="false">IF(Presupuesto!$B$46='Flujo de Pagos'!$E224,46,9999)</f>
        <v>46</v>
      </c>
      <c r="BO224" s="0" t="n">
        <f aca="false">IF(Presupuesto!$B$47='Flujo de Pagos'!$E224,47,9999)</f>
        <v>47</v>
      </c>
      <c r="BP224" s="0" t="n">
        <f aca="false">IF(Presupuesto!$B$48='Flujo de Pagos'!$E224,48,9999)</f>
        <v>48</v>
      </c>
      <c r="BQ224" s="0" t="n">
        <f aca="false">IF(Presupuesto!$B$49='Flujo de Pagos'!$E224,49,9999)</f>
        <v>49</v>
      </c>
      <c r="BR224" s="0" t="n">
        <f aca="false">IF(Presupuesto!$B$50='Flujo de Pagos'!$E224,50,9999)</f>
        <v>50</v>
      </c>
      <c r="BS224" s="0" t="n">
        <f aca="false">IF(Presupuesto!$B$51='Flujo de Pagos'!$E224,51,9999)</f>
        <v>51</v>
      </c>
      <c r="BT224" s="0" t="n">
        <f aca="false">IF(Presupuesto!$B$52='Flujo de Pagos'!$E224,52,9999)</f>
        <v>52</v>
      </c>
      <c r="BU224" s="0" t="n">
        <f aca="false">IF(Presupuesto!$B$53='Flujo de Pagos'!$E224,53,9999)</f>
        <v>53</v>
      </c>
      <c r="BV224" s="0" t="n">
        <f aca="false">IF(Presupuesto!$B$54='Flujo de Pagos'!$E224,54,9999)</f>
        <v>54</v>
      </c>
      <c r="BW224" s="0" t="n">
        <f aca="false">IF(Presupuesto!$B$55='Flujo de Pagos'!$E224,55,9999)</f>
        <v>55</v>
      </c>
      <c r="BX224" s="0" t="n">
        <f aca="false">IF(Presupuesto!$B$56='Flujo de Pagos'!$E224,56,9999)</f>
        <v>56</v>
      </c>
      <c r="BY224" s="0" t="n">
        <f aca="false">IF(Presupuesto!$B$57='Flujo de Pagos'!$E224,57,9999)</f>
        <v>57</v>
      </c>
      <c r="BZ224" s="0" t="n">
        <f aca="false">IF(Presupuesto!$B$58='Flujo de Pagos'!$E224,58,9999)</f>
        <v>58</v>
      </c>
      <c r="CA224" s="0" t="n">
        <f aca="false">IF(Presupuesto!$B$59='Flujo de Pagos'!$E224,59,9999)</f>
        <v>59</v>
      </c>
      <c r="CB224" s="0" t="n">
        <f aca="false">IF(Presupuesto!$B$60='Flujo de Pagos'!$E224,60,9999)</f>
        <v>60</v>
      </c>
      <c r="CC224" s="0" t="n">
        <f aca="false">IF(Presupuesto!$B$61='Flujo de Pagos'!$E224,61,9999)</f>
        <v>61</v>
      </c>
      <c r="CD224" s="0" t="n">
        <f aca="false">IF(Presupuesto!$B$62='Flujo de Pagos'!$E224,62,9999)</f>
        <v>62</v>
      </c>
      <c r="CE224" s="0" t="n">
        <f aca="false">IF(Presupuesto!$B$63='Flujo de Pagos'!$E224,63,9999)</f>
        <v>63</v>
      </c>
      <c r="CF224" s="0" t="n">
        <f aca="false">IF(Presupuesto!$B$64='Flujo de Pagos'!$E224,64,9999)</f>
        <v>64</v>
      </c>
      <c r="CG224" s="0" t="n">
        <f aca="false">IF(Presupuesto!$B$65='Flujo de Pagos'!$E224,65,9999)</f>
        <v>65</v>
      </c>
      <c r="CH224" s="0" t="n">
        <f aca="false">IF(Presupuesto!$B$66='Flujo de Pagos'!$E224,66,9999)</f>
        <v>66</v>
      </c>
    </row>
    <row r="225" customFormat="false" ht="15" hidden="false" customHeight="true" outlineLevel="0" collapsed="false">
      <c r="B225" s="1" t="n">
        <f aca="false">IF(AND('Flujo de Pagos'!E230=Carátula!$B$2,'Flujo de Pagos'!F230=Carátula!$B$4,'Flujo de Pagos'!H230&lt;&gt;""),230,99999)</f>
        <v>99999</v>
      </c>
      <c r="H225" s="1" t="n">
        <f aca="false">IF(SMALL($AA225:$CH225,1)&gt;=9999,"",INDEX(Presupuesto!$C:$C,SMALL($AA225:$CH225,1)))</f>
        <v>0</v>
      </c>
      <c r="I225" s="1" t="n">
        <f aca="false">IF(SMALL($AA225:$CH225,2)&gt;=9999,"",INDEX(Presupuesto!$C:$C,SMALL($AA225:$CH225,2)))</f>
        <v>0</v>
      </c>
      <c r="J225" s="1" t="n">
        <f aca="false">IF(SMALL($AA225:$CH225,3)&gt;=9999,"",INDEX(Presupuesto!$C:$C,SMALL($AA225:$CH225,3)))</f>
        <v>0</v>
      </c>
      <c r="K225" s="1" t="n">
        <f aca="false">IF(SMALL($AA225:$CH225,4)&gt;=9999,"",INDEX(Presupuesto!$C:$C,SMALL($AA225:$CH225,4)))</f>
        <v>0</v>
      </c>
      <c r="L225" s="1" t="n">
        <f aca="false">IF(SMALL($AA225:$CH225,5)&gt;=9999,"",INDEX(Presupuesto!$C:$C,SMALL($AA225:$CH225,5)))</f>
        <v>0</v>
      </c>
      <c r="M225" s="1" t="n">
        <f aca="false">IF(SMALL($AA225:$CH225,6)&gt;=9999,"",INDEX(Presupuesto!$C:$C,SMALL($AA225:$CH225,6)))</f>
        <v>0</v>
      </c>
      <c r="N225" s="1" t="n">
        <f aca="false">IF(SMALL($AA225:$CH225,7)&gt;=9999,"",INDEX(Presupuesto!$C:$C,SMALL($AA225:$CH225,7)))</f>
        <v>0</v>
      </c>
      <c r="O225" s="1" t="n">
        <f aca="false">IF(SMALL($AA225:$CH225,8)&gt;=9999,"",INDEX(Presupuesto!$C:$C,SMALL($AA225:$CH225,8)))</f>
        <v>0</v>
      </c>
      <c r="P225" s="1" t="n">
        <f aca="false">IF(SMALL($AA225:$CH225,9)&gt;=9999,"",INDEX(Presupuesto!$C:$C,SMALL($AA225:$CH225,9)))</f>
        <v>0</v>
      </c>
      <c r="Q225" s="1" t="n">
        <f aca="false">IF(SMALL($AA225:$CH225,10)&gt;=9999,"",INDEX(Presupuesto!$C:$C,SMALL($AA225:$CH225,10)))</f>
        <v>0</v>
      </c>
      <c r="AA225" s="0" t="n">
        <f aca="false">IF(Presupuesto!$B$7='Flujo de Pagos'!$E225,7,9999)</f>
        <v>9999</v>
      </c>
      <c r="AB225" s="0" t="n">
        <f aca="false">IF(Presupuesto!$B$8='Flujo de Pagos'!$E225,8,9999)</f>
        <v>9999</v>
      </c>
      <c r="AC225" s="0" t="n">
        <f aca="false">IF(Presupuesto!$B$9='Flujo de Pagos'!$E225,9,9999)</f>
        <v>9999</v>
      </c>
      <c r="AD225" s="0" t="n">
        <f aca="false">IF(Presupuesto!$B$10='Flujo de Pagos'!$E225,10,9999)</f>
        <v>9999</v>
      </c>
      <c r="AE225" s="0" t="n">
        <f aca="false">IF(Presupuesto!$B$11='Flujo de Pagos'!$E225,11,9999)</f>
        <v>9999</v>
      </c>
      <c r="AF225" s="0" t="n">
        <f aca="false">IF(Presupuesto!$B$12='Flujo de Pagos'!$E225,12,9999)</f>
        <v>12</v>
      </c>
      <c r="AG225" s="0" t="n">
        <f aca="false">IF(Presupuesto!$B$13='Flujo de Pagos'!$E225,13,9999)</f>
        <v>13</v>
      </c>
      <c r="AH225" s="0" t="n">
        <f aca="false">IF(Presupuesto!$B$14='Flujo de Pagos'!$E225,14,9999)</f>
        <v>14</v>
      </c>
      <c r="AI225" s="0" t="n">
        <f aca="false">IF(Presupuesto!$B$15='Flujo de Pagos'!$E225,15,9999)</f>
        <v>15</v>
      </c>
      <c r="AJ225" s="0" t="n">
        <f aca="false">IF(Presupuesto!$B$16='Flujo de Pagos'!$E225,16,9999)</f>
        <v>16</v>
      </c>
      <c r="AK225" s="0" t="n">
        <f aca="false">IF(Presupuesto!$B$17='Flujo de Pagos'!$E225,17,9999)</f>
        <v>17</v>
      </c>
      <c r="AL225" s="0" t="n">
        <f aca="false">IF(Presupuesto!$B$18='Flujo de Pagos'!$E225,18,9999)</f>
        <v>18</v>
      </c>
      <c r="AM225" s="0" t="n">
        <f aca="false">IF(Presupuesto!$B$19='Flujo de Pagos'!$E225,19,9999)</f>
        <v>19</v>
      </c>
      <c r="AN225" s="0" t="n">
        <f aca="false">IF(Presupuesto!$B$20='Flujo de Pagos'!$E225,20,9999)</f>
        <v>20</v>
      </c>
      <c r="AO225" s="0" t="n">
        <f aca="false">IF(Presupuesto!$B$21='Flujo de Pagos'!$E225,21,9999)</f>
        <v>21</v>
      </c>
      <c r="AP225" s="0" t="n">
        <f aca="false">IF(Presupuesto!$B$22='Flujo de Pagos'!$E225,22,9999)</f>
        <v>22</v>
      </c>
      <c r="AQ225" s="0" t="n">
        <f aca="false">IF(Presupuesto!$B$23='Flujo de Pagos'!$E225,23,9999)</f>
        <v>23</v>
      </c>
      <c r="AR225" s="0" t="n">
        <f aca="false">IF(Presupuesto!$B$24='Flujo de Pagos'!$E225,24,9999)</f>
        <v>24</v>
      </c>
      <c r="AS225" s="0" t="n">
        <f aca="false">IF(Presupuesto!$B$25='Flujo de Pagos'!$E225,25,9999)</f>
        <v>25</v>
      </c>
      <c r="AT225" s="0" t="n">
        <f aca="false">IF(Presupuesto!$B$26='Flujo de Pagos'!$E225,26,9999)</f>
        <v>26</v>
      </c>
      <c r="AU225" s="0" t="n">
        <f aca="false">IF(Presupuesto!$B$27='Flujo de Pagos'!$E225,27,9999)</f>
        <v>27</v>
      </c>
      <c r="AV225" s="0" t="n">
        <f aca="false">IF(Presupuesto!$B$28='Flujo de Pagos'!$E225,28,9999)</f>
        <v>28</v>
      </c>
      <c r="AW225" s="0" t="n">
        <f aca="false">IF(Presupuesto!$B$29='Flujo de Pagos'!$E225,29,9999)</f>
        <v>29</v>
      </c>
      <c r="AX225" s="0" t="n">
        <f aca="false">IF(Presupuesto!$B$30='Flujo de Pagos'!$E225,30,9999)</f>
        <v>30</v>
      </c>
      <c r="AY225" s="0" t="n">
        <f aca="false">IF(Presupuesto!$B$31='Flujo de Pagos'!$E225,31,9999)</f>
        <v>31</v>
      </c>
      <c r="AZ225" s="0" t="n">
        <f aca="false">IF(Presupuesto!$B$32='Flujo de Pagos'!$E225,32,9999)</f>
        <v>32</v>
      </c>
      <c r="BA225" s="0" t="n">
        <f aca="false">IF(Presupuesto!$B$33='Flujo de Pagos'!$E225,33,9999)</f>
        <v>33</v>
      </c>
      <c r="BB225" s="0" t="n">
        <f aca="false">IF(Presupuesto!$B$34='Flujo de Pagos'!$E225,34,9999)</f>
        <v>34</v>
      </c>
      <c r="BC225" s="0" t="n">
        <f aca="false">IF(Presupuesto!$B$35='Flujo de Pagos'!$E225,35,9999)</f>
        <v>35</v>
      </c>
      <c r="BD225" s="0" t="n">
        <f aca="false">IF(Presupuesto!$B$36='Flujo de Pagos'!$E225,36,9999)</f>
        <v>36</v>
      </c>
      <c r="BE225" s="0" t="n">
        <f aca="false">IF(Presupuesto!$B$37='Flujo de Pagos'!$E225,37,9999)</f>
        <v>37</v>
      </c>
      <c r="BF225" s="0" t="n">
        <f aca="false">IF(Presupuesto!$B$38='Flujo de Pagos'!$E225,38,9999)</f>
        <v>38</v>
      </c>
      <c r="BG225" s="0" t="n">
        <f aca="false">IF(Presupuesto!$B$39='Flujo de Pagos'!$E225,39,9999)</f>
        <v>39</v>
      </c>
      <c r="BH225" s="0" t="n">
        <f aca="false">IF(Presupuesto!$B$40='Flujo de Pagos'!$E225,40,9999)</f>
        <v>40</v>
      </c>
      <c r="BI225" s="0" t="n">
        <f aca="false">IF(Presupuesto!$B$41='Flujo de Pagos'!$E225,41,9999)</f>
        <v>41</v>
      </c>
      <c r="BJ225" s="0" t="n">
        <f aca="false">IF(Presupuesto!$B$42='Flujo de Pagos'!$E225,42,9999)</f>
        <v>42</v>
      </c>
      <c r="BK225" s="0" t="n">
        <f aca="false">IF(Presupuesto!$B$43='Flujo de Pagos'!$E225,43,9999)</f>
        <v>43</v>
      </c>
      <c r="BL225" s="0" t="n">
        <f aca="false">IF(Presupuesto!$B$44='Flujo de Pagos'!$E225,44,9999)</f>
        <v>44</v>
      </c>
      <c r="BM225" s="0" t="n">
        <f aca="false">IF(Presupuesto!$B$45='Flujo de Pagos'!$E225,45,9999)</f>
        <v>45</v>
      </c>
      <c r="BN225" s="0" t="n">
        <f aca="false">IF(Presupuesto!$B$46='Flujo de Pagos'!$E225,46,9999)</f>
        <v>46</v>
      </c>
      <c r="BO225" s="0" t="n">
        <f aca="false">IF(Presupuesto!$B$47='Flujo de Pagos'!$E225,47,9999)</f>
        <v>47</v>
      </c>
      <c r="BP225" s="0" t="n">
        <f aca="false">IF(Presupuesto!$B$48='Flujo de Pagos'!$E225,48,9999)</f>
        <v>48</v>
      </c>
      <c r="BQ225" s="0" t="n">
        <f aca="false">IF(Presupuesto!$B$49='Flujo de Pagos'!$E225,49,9999)</f>
        <v>49</v>
      </c>
      <c r="BR225" s="0" t="n">
        <f aca="false">IF(Presupuesto!$B$50='Flujo de Pagos'!$E225,50,9999)</f>
        <v>50</v>
      </c>
      <c r="BS225" s="0" t="n">
        <f aca="false">IF(Presupuesto!$B$51='Flujo de Pagos'!$E225,51,9999)</f>
        <v>51</v>
      </c>
      <c r="BT225" s="0" t="n">
        <f aca="false">IF(Presupuesto!$B$52='Flujo de Pagos'!$E225,52,9999)</f>
        <v>52</v>
      </c>
      <c r="BU225" s="0" t="n">
        <f aca="false">IF(Presupuesto!$B$53='Flujo de Pagos'!$E225,53,9999)</f>
        <v>53</v>
      </c>
      <c r="BV225" s="0" t="n">
        <f aca="false">IF(Presupuesto!$B$54='Flujo de Pagos'!$E225,54,9999)</f>
        <v>54</v>
      </c>
      <c r="BW225" s="0" t="n">
        <f aca="false">IF(Presupuesto!$B$55='Flujo de Pagos'!$E225,55,9999)</f>
        <v>55</v>
      </c>
      <c r="BX225" s="0" t="n">
        <f aca="false">IF(Presupuesto!$B$56='Flujo de Pagos'!$E225,56,9999)</f>
        <v>56</v>
      </c>
      <c r="BY225" s="0" t="n">
        <f aca="false">IF(Presupuesto!$B$57='Flujo de Pagos'!$E225,57,9999)</f>
        <v>57</v>
      </c>
      <c r="BZ225" s="0" t="n">
        <f aca="false">IF(Presupuesto!$B$58='Flujo de Pagos'!$E225,58,9999)</f>
        <v>58</v>
      </c>
      <c r="CA225" s="0" t="n">
        <f aca="false">IF(Presupuesto!$B$59='Flujo de Pagos'!$E225,59,9999)</f>
        <v>59</v>
      </c>
      <c r="CB225" s="0" t="n">
        <f aca="false">IF(Presupuesto!$B$60='Flujo de Pagos'!$E225,60,9999)</f>
        <v>60</v>
      </c>
      <c r="CC225" s="0" t="n">
        <f aca="false">IF(Presupuesto!$B$61='Flujo de Pagos'!$E225,61,9999)</f>
        <v>61</v>
      </c>
      <c r="CD225" s="0" t="n">
        <f aca="false">IF(Presupuesto!$B$62='Flujo de Pagos'!$E225,62,9999)</f>
        <v>62</v>
      </c>
      <c r="CE225" s="0" t="n">
        <f aca="false">IF(Presupuesto!$B$63='Flujo de Pagos'!$E225,63,9999)</f>
        <v>63</v>
      </c>
      <c r="CF225" s="0" t="n">
        <f aca="false">IF(Presupuesto!$B$64='Flujo de Pagos'!$E225,64,9999)</f>
        <v>64</v>
      </c>
      <c r="CG225" s="0" t="n">
        <f aca="false">IF(Presupuesto!$B$65='Flujo de Pagos'!$E225,65,9999)</f>
        <v>65</v>
      </c>
      <c r="CH225" s="0" t="n">
        <f aca="false">IF(Presupuesto!$B$66='Flujo de Pagos'!$E225,66,9999)</f>
        <v>66</v>
      </c>
    </row>
    <row r="226" customFormat="false" ht="15" hidden="false" customHeight="true" outlineLevel="0" collapsed="false">
      <c r="B226" s="1" t="n">
        <f aca="false">IF(AND('Flujo de Pagos'!E231=Carátula!$B$2,'Flujo de Pagos'!F231=Carátula!$B$4,'Flujo de Pagos'!H231&lt;&gt;""),231,99999)</f>
        <v>99999</v>
      </c>
      <c r="H226" s="1" t="n">
        <f aca="false">IF(SMALL($AA226:$CH226,1)&gt;=9999,"",INDEX(Presupuesto!$C:$C,SMALL($AA226:$CH226,1)))</f>
        <v>0</v>
      </c>
      <c r="I226" s="1" t="n">
        <f aca="false">IF(SMALL($AA226:$CH226,2)&gt;=9999,"",INDEX(Presupuesto!$C:$C,SMALL($AA226:$CH226,2)))</f>
        <v>0</v>
      </c>
      <c r="J226" s="1" t="n">
        <f aca="false">IF(SMALL($AA226:$CH226,3)&gt;=9999,"",INDEX(Presupuesto!$C:$C,SMALL($AA226:$CH226,3)))</f>
        <v>0</v>
      </c>
      <c r="K226" s="1" t="n">
        <f aca="false">IF(SMALL($AA226:$CH226,4)&gt;=9999,"",INDEX(Presupuesto!$C:$C,SMALL($AA226:$CH226,4)))</f>
        <v>0</v>
      </c>
      <c r="L226" s="1" t="n">
        <f aca="false">IF(SMALL($AA226:$CH226,5)&gt;=9999,"",INDEX(Presupuesto!$C:$C,SMALL($AA226:$CH226,5)))</f>
        <v>0</v>
      </c>
      <c r="M226" s="1" t="n">
        <f aca="false">IF(SMALL($AA226:$CH226,6)&gt;=9999,"",INDEX(Presupuesto!$C:$C,SMALL($AA226:$CH226,6)))</f>
        <v>0</v>
      </c>
      <c r="N226" s="1" t="n">
        <f aca="false">IF(SMALL($AA226:$CH226,7)&gt;=9999,"",INDEX(Presupuesto!$C:$C,SMALL($AA226:$CH226,7)))</f>
        <v>0</v>
      </c>
      <c r="O226" s="1" t="n">
        <f aca="false">IF(SMALL($AA226:$CH226,8)&gt;=9999,"",INDEX(Presupuesto!$C:$C,SMALL($AA226:$CH226,8)))</f>
        <v>0</v>
      </c>
      <c r="P226" s="1" t="n">
        <f aca="false">IF(SMALL($AA226:$CH226,9)&gt;=9999,"",INDEX(Presupuesto!$C:$C,SMALL($AA226:$CH226,9)))</f>
        <v>0</v>
      </c>
      <c r="Q226" s="1" t="n">
        <f aca="false">IF(SMALL($AA226:$CH226,10)&gt;=9999,"",INDEX(Presupuesto!$C:$C,SMALL($AA226:$CH226,10)))</f>
        <v>0</v>
      </c>
      <c r="AA226" s="0" t="n">
        <f aca="false">IF(Presupuesto!$B$7='Flujo de Pagos'!$E226,7,9999)</f>
        <v>9999</v>
      </c>
      <c r="AB226" s="0" t="n">
        <f aca="false">IF(Presupuesto!$B$8='Flujo de Pagos'!$E226,8,9999)</f>
        <v>9999</v>
      </c>
      <c r="AC226" s="0" t="n">
        <f aca="false">IF(Presupuesto!$B$9='Flujo de Pagos'!$E226,9,9999)</f>
        <v>9999</v>
      </c>
      <c r="AD226" s="0" t="n">
        <f aca="false">IF(Presupuesto!$B$10='Flujo de Pagos'!$E226,10,9999)</f>
        <v>9999</v>
      </c>
      <c r="AE226" s="0" t="n">
        <f aca="false">IF(Presupuesto!$B$11='Flujo de Pagos'!$E226,11,9999)</f>
        <v>9999</v>
      </c>
      <c r="AF226" s="0" t="n">
        <f aca="false">IF(Presupuesto!$B$12='Flujo de Pagos'!$E226,12,9999)</f>
        <v>12</v>
      </c>
      <c r="AG226" s="0" t="n">
        <f aca="false">IF(Presupuesto!$B$13='Flujo de Pagos'!$E226,13,9999)</f>
        <v>13</v>
      </c>
      <c r="AH226" s="0" t="n">
        <f aca="false">IF(Presupuesto!$B$14='Flujo de Pagos'!$E226,14,9999)</f>
        <v>14</v>
      </c>
      <c r="AI226" s="0" t="n">
        <f aca="false">IF(Presupuesto!$B$15='Flujo de Pagos'!$E226,15,9999)</f>
        <v>15</v>
      </c>
      <c r="AJ226" s="0" t="n">
        <f aca="false">IF(Presupuesto!$B$16='Flujo de Pagos'!$E226,16,9999)</f>
        <v>16</v>
      </c>
      <c r="AK226" s="0" t="n">
        <f aca="false">IF(Presupuesto!$B$17='Flujo de Pagos'!$E226,17,9999)</f>
        <v>17</v>
      </c>
      <c r="AL226" s="0" t="n">
        <f aca="false">IF(Presupuesto!$B$18='Flujo de Pagos'!$E226,18,9999)</f>
        <v>18</v>
      </c>
      <c r="AM226" s="0" t="n">
        <f aca="false">IF(Presupuesto!$B$19='Flujo de Pagos'!$E226,19,9999)</f>
        <v>19</v>
      </c>
      <c r="AN226" s="0" t="n">
        <f aca="false">IF(Presupuesto!$B$20='Flujo de Pagos'!$E226,20,9999)</f>
        <v>20</v>
      </c>
      <c r="AO226" s="0" t="n">
        <f aca="false">IF(Presupuesto!$B$21='Flujo de Pagos'!$E226,21,9999)</f>
        <v>21</v>
      </c>
      <c r="AP226" s="0" t="n">
        <f aca="false">IF(Presupuesto!$B$22='Flujo de Pagos'!$E226,22,9999)</f>
        <v>22</v>
      </c>
      <c r="AQ226" s="0" t="n">
        <f aca="false">IF(Presupuesto!$B$23='Flujo de Pagos'!$E226,23,9999)</f>
        <v>23</v>
      </c>
      <c r="AR226" s="0" t="n">
        <f aca="false">IF(Presupuesto!$B$24='Flujo de Pagos'!$E226,24,9999)</f>
        <v>24</v>
      </c>
      <c r="AS226" s="0" t="n">
        <f aca="false">IF(Presupuesto!$B$25='Flujo de Pagos'!$E226,25,9999)</f>
        <v>25</v>
      </c>
      <c r="AT226" s="0" t="n">
        <f aca="false">IF(Presupuesto!$B$26='Flujo de Pagos'!$E226,26,9999)</f>
        <v>26</v>
      </c>
      <c r="AU226" s="0" t="n">
        <f aca="false">IF(Presupuesto!$B$27='Flujo de Pagos'!$E226,27,9999)</f>
        <v>27</v>
      </c>
      <c r="AV226" s="0" t="n">
        <f aca="false">IF(Presupuesto!$B$28='Flujo de Pagos'!$E226,28,9999)</f>
        <v>28</v>
      </c>
      <c r="AW226" s="0" t="n">
        <f aca="false">IF(Presupuesto!$B$29='Flujo de Pagos'!$E226,29,9999)</f>
        <v>29</v>
      </c>
      <c r="AX226" s="0" t="n">
        <f aca="false">IF(Presupuesto!$B$30='Flujo de Pagos'!$E226,30,9999)</f>
        <v>30</v>
      </c>
      <c r="AY226" s="0" t="n">
        <f aca="false">IF(Presupuesto!$B$31='Flujo de Pagos'!$E226,31,9999)</f>
        <v>31</v>
      </c>
      <c r="AZ226" s="0" t="n">
        <f aca="false">IF(Presupuesto!$B$32='Flujo de Pagos'!$E226,32,9999)</f>
        <v>32</v>
      </c>
      <c r="BA226" s="0" t="n">
        <f aca="false">IF(Presupuesto!$B$33='Flujo de Pagos'!$E226,33,9999)</f>
        <v>33</v>
      </c>
      <c r="BB226" s="0" t="n">
        <f aca="false">IF(Presupuesto!$B$34='Flujo de Pagos'!$E226,34,9999)</f>
        <v>34</v>
      </c>
      <c r="BC226" s="0" t="n">
        <f aca="false">IF(Presupuesto!$B$35='Flujo de Pagos'!$E226,35,9999)</f>
        <v>35</v>
      </c>
      <c r="BD226" s="0" t="n">
        <f aca="false">IF(Presupuesto!$B$36='Flujo de Pagos'!$E226,36,9999)</f>
        <v>36</v>
      </c>
      <c r="BE226" s="0" t="n">
        <f aca="false">IF(Presupuesto!$B$37='Flujo de Pagos'!$E226,37,9999)</f>
        <v>37</v>
      </c>
      <c r="BF226" s="0" t="n">
        <f aca="false">IF(Presupuesto!$B$38='Flujo de Pagos'!$E226,38,9999)</f>
        <v>38</v>
      </c>
      <c r="BG226" s="0" t="n">
        <f aca="false">IF(Presupuesto!$B$39='Flujo de Pagos'!$E226,39,9999)</f>
        <v>39</v>
      </c>
      <c r="BH226" s="0" t="n">
        <f aca="false">IF(Presupuesto!$B$40='Flujo de Pagos'!$E226,40,9999)</f>
        <v>40</v>
      </c>
      <c r="BI226" s="0" t="n">
        <f aca="false">IF(Presupuesto!$B$41='Flujo de Pagos'!$E226,41,9999)</f>
        <v>41</v>
      </c>
      <c r="BJ226" s="0" t="n">
        <f aca="false">IF(Presupuesto!$B$42='Flujo de Pagos'!$E226,42,9999)</f>
        <v>42</v>
      </c>
      <c r="BK226" s="0" t="n">
        <f aca="false">IF(Presupuesto!$B$43='Flujo de Pagos'!$E226,43,9999)</f>
        <v>43</v>
      </c>
      <c r="BL226" s="0" t="n">
        <f aca="false">IF(Presupuesto!$B$44='Flujo de Pagos'!$E226,44,9999)</f>
        <v>44</v>
      </c>
      <c r="BM226" s="0" t="n">
        <f aca="false">IF(Presupuesto!$B$45='Flujo de Pagos'!$E226,45,9999)</f>
        <v>45</v>
      </c>
      <c r="BN226" s="0" t="n">
        <f aca="false">IF(Presupuesto!$B$46='Flujo de Pagos'!$E226,46,9999)</f>
        <v>46</v>
      </c>
      <c r="BO226" s="0" t="n">
        <f aca="false">IF(Presupuesto!$B$47='Flujo de Pagos'!$E226,47,9999)</f>
        <v>47</v>
      </c>
      <c r="BP226" s="0" t="n">
        <f aca="false">IF(Presupuesto!$B$48='Flujo de Pagos'!$E226,48,9999)</f>
        <v>48</v>
      </c>
      <c r="BQ226" s="0" t="n">
        <f aca="false">IF(Presupuesto!$B$49='Flujo de Pagos'!$E226,49,9999)</f>
        <v>49</v>
      </c>
      <c r="BR226" s="0" t="n">
        <f aca="false">IF(Presupuesto!$B$50='Flujo de Pagos'!$E226,50,9999)</f>
        <v>50</v>
      </c>
      <c r="BS226" s="0" t="n">
        <f aca="false">IF(Presupuesto!$B$51='Flujo de Pagos'!$E226,51,9999)</f>
        <v>51</v>
      </c>
      <c r="BT226" s="0" t="n">
        <f aca="false">IF(Presupuesto!$B$52='Flujo de Pagos'!$E226,52,9999)</f>
        <v>52</v>
      </c>
      <c r="BU226" s="0" t="n">
        <f aca="false">IF(Presupuesto!$B$53='Flujo de Pagos'!$E226,53,9999)</f>
        <v>53</v>
      </c>
      <c r="BV226" s="0" t="n">
        <f aca="false">IF(Presupuesto!$B$54='Flujo de Pagos'!$E226,54,9999)</f>
        <v>54</v>
      </c>
      <c r="BW226" s="0" t="n">
        <f aca="false">IF(Presupuesto!$B$55='Flujo de Pagos'!$E226,55,9999)</f>
        <v>55</v>
      </c>
      <c r="BX226" s="0" t="n">
        <f aca="false">IF(Presupuesto!$B$56='Flujo de Pagos'!$E226,56,9999)</f>
        <v>56</v>
      </c>
      <c r="BY226" s="0" t="n">
        <f aca="false">IF(Presupuesto!$B$57='Flujo de Pagos'!$E226,57,9999)</f>
        <v>57</v>
      </c>
      <c r="BZ226" s="0" t="n">
        <f aca="false">IF(Presupuesto!$B$58='Flujo de Pagos'!$E226,58,9999)</f>
        <v>58</v>
      </c>
      <c r="CA226" s="0" t="n">
        <f aca="false">IF(Presupuesto!$B$59='Flujo de Pagos'!$E226,59,9999)</f>
        <v>59</v>
      </c>
      <c r="CB226" s="0" t="n">
        <f aca="false">IF(Presupuesto!$B$60='Flujo de Pagos'!$E226,60,9999)</f>
        <v>60</v>
      </c>
      <c r="CC226" s="0" t="n">
        <f aca="false">IF(Presupuesto!$B$61='Flujo de Pagos'!$E226,61,9999)</f>
        <v>61</v>
      </c>
      <c r="CD226" s="0" t="n">
        <f aca="false">IF(Presupuesto!$B$62='Flujo de Pagos'!$E226,62,9999)</f>
        <v>62</v>
      </c>
      <c r="CE226" s="0" t="n">
        <f aca="false">IF(Presupuesto!$B$63='Flujo de Pagos'!$E226,63,9999)</f>
        <v>63</v>
      </c>
      <c r="CF226" s="0" t="n">
        <f aca="false">IF(Presupuesto!$B$64='Flujo de Pagos'!$E226,64,9999)</f>
        <v>64</v>
      </c>
      <c r="CG226" s="0" t="n">
        <f aca="false">IF(Presupuesto!$B$65='Flujo de Pagos'!$E226,65,9999)</f>
        <v>65</v>
      </c>
      <c r="CH226" s="0" t="n">
        <f aca="false">IF(Presupuesto!$B$66='Flujo de Pagos'!$E226,66,9999)</f>
        <v>66</v>
      </c>
    </row>
    <row r="227" customFormat="false" ht="15" hidden="false" customHeight="true" outlineLevel="0" collapsed="false">
      <c r="B227" s="1" t="n">
        <f aca="false">IF(AND('Flujo de Pagos'!E232=Carátula!$B$2,'Flujo de Pagos'!F232=Carátula!$B$4,'Flujo de Pagos'!H232&lt;&gt;""),232,99999)</f>
        <v>99999</v>
      </c>
      <c r="H227" s="1" t="n">
        <f aca="false">IF(SMALL($AA227:$CH227,1)&gt;=9999,"",INDEX(Presupuesto!$C:$C,SMALL($AA227:$CH227,1)))</f>
        <v>0</v>
      </c>
      <c r="I227" s="1" t="n">
        <f aca="false">IF(SMALL($AA227:$CH227,2)&gt;=9999,"",INDEX(Presupuesto!$C:$C,SMALL($AA227:$CH227,2)))</f>
        <v>0</v>
      </c>
      <c r="J227" s="1" t="n">
        <f aca="false">IF(SMALL($AA227:$CH227,3)&gt;=9999,"",INDEX(Presupuesto!$C:$C,SMALL($AA227:$CH227,3)))</f>
        <v>0</v>
      </c>
      <c r="K227" s="1" t="n">
        <f aca="false">IF(SMALL($AA227:$CH227,4)&gt;=9999,"",INDEX(Presupuesto!$C:$C,SMALL($AA227:$CH227,4)))</f>
        <v>0</v>
      </c>
      <c r="L227" s="1" t="n">
        <f aca="false">IF(SMALL($AA227:$CH227,5)&gt;=9999,"",INDEX(Presupuesto!$C:$C,SMALL($AA227:$CH227,5)))</f>
        <v>0</v>
      </c>
      <c r="M227" s="1" t="n">
        <f aca="false">IF(SMALL($AA227:$CH227,6)&gt;=9999,"",INDEX(Presupuesto!$C:$C,SMALL($AA227:$CH227,6)))</f>
        <v>0</v>
      </c>
      <c r="N227" s="1" t="n">
        <f aca="false">IF(SMALL($AA227:$CH227,7)&gt;=9999,"",INDEX(Presupuesto!$C:$C,SMALL($AA227:$CH227,7)))</f>
        <v>0</v>
      </c>
      <c r="O227" s="1" t="n">
        <f aca="false">IF(SMALL($AA227:$CH227,8)&gt;=9999,"",INDEX(Presupuesto!$C:$C,SMALL($AA227:$CH227,8)))</f>
        <v>0</v>
      </c>
      <c r="P227" s="1" t="n">
        <f aca="false">IF(SMALL($AA227:$CH227,9)&gt;=9999,"",INDEX(Presupuesto!$C:$C,SMALL($AA227:$CH227,9)))</f>
        <v>0</v>
      </c>
      <c r="Q227" s="1" t="n">
        <f aca="false">IF(SMALL($AA227:$CH227,10)&gt;=9999,"",INDEX(Presupuesto!$C:$C,SMALL($AA227:$CH227,10)))</f>
        <v>0</v>
      </c>
      <c r="AA227" s="0" t="n">
        <f aca="false">IF(Presupuesto!$B$7='Flujo de Pagos'!$E227,7,9999)</f>
        <v>9999</v>
      </c>
      <c r="AB227" s="0" t="n">
        <f aca="false">IF(Presupuesto!$B$8='Flujo de Pagos'!$E227,8,9999)</f>
        <v>9999</v>
      </c>
      <c r="AC227" s="0" t="n">
        <f aca="false">IF(Presupuesto!$B$9='Flujo de Pagos'!$E227,9,9999)</f>
        <v>9999</v>
      </c>
      <c r="AD227" s="0" t="n">
        <f aca="false">IF(Presupuesto!$B$10='Flujo de Pagos'!$E227,10,9999)</f>
        <v>9999</v>
      </c>
      <c r="AE227" s="0" t="n">
        <f aca="false">IF(Presupuesto!$B$11='Flujo de Pagos'!$E227,11,9999)</f>
        <v>9999</v>
      </c>
      <c r="AF227" s="0" t="n">
        <f aca="false">IF(Presupuesto!$B$12='Flujo de Pagos'!$E227,12,9999)</f>
        <v>12</v>
      </c>
      <c r="AG227" s="0" t="n">
        <f aca="false">IF(Presupuesto!$B$13='Flujo de Pagos'!$E227,13,9999)</f>
        <v>13</v>
      </c>
      <c r="AH227" s="0" t="n">
        <f aca="false">IF(Presupuesto!$B$14='Flujo de Pagos'!$E227,14,9999)</f>
        <v>14</v>
      </c>
      <c r="AI227" s="0" t="n">
        <f aca="false">IF(Presupuesto!$B$15='Flujo de Pagos'!$E227,15,9999)</f>
        <v>15</v>
      </c>
      <c r="AJ227" s="0" t="n">
        <f aca="false">IF(Presupuesto!$B$16='Flujo de Pagos'!$E227,16,9999)</f>
        <v>16</v>
      </c>
      <c r="AK227" s="0" t="n">
        <f aca="false">IF(Presupuesto!$B$17='Flujo de Pagos'!$E227,17,9999)</f>
        <v>17</v>
      </c>
      <c r="AL227" s="0" t="n">
        <f aca="false">IF(Presupuesto!$B$18='Flujo de Pagos'!$E227,18,9999)</f>
        <v>18</v>
      </c>
      <c r="AM227" s="0" t="n">
        <f aca="false">IF(Presupuesto!$B$19='Flujo de Pagos'!$E227,19,9999)</f>
        <v>19</v>
      </c>
      <c r="AN227" s="0" t="n">
        <f aca="false">IF(Presupuesto!$B$20='Flujo de Pagos'!$E227,20,9999)</f>
        <v>20</v>
      </c>
      <c r="AO227" s="0" t="n">
        <f aca="false">IF(Presupuesto!$B$21='Flujo de Pagos'!$E227,21,9999)</f>
        <v>21</v>
      </c>
      <c r="AP227" s="0" t="n">
        <f aca="false">IF(Presupuesto!$B$22='Flujo de Pagos'!$E227,22,9999)</f>
        <v>22</v>
      </c>
      <c r="AQ227" s="0" t="n">
        <f aca="false">IF(Presupuesto!$B$23='Flujo de Pagos'!$E227,23,9999)</f>
        <v>23</v>
      </c>
      <c r="AR227" s="0" t="n">
        <f aca="false">IF(Presupuesto!$B$24='Flujo de Pagos'!$E227,24,9999)</f>
        <v>24</v>
      </c>
      <c r="AS227" s="0" t="n">
        <f aca="false">IF(Presupuesto!$B$25='Flujo de Pagos'!$E227,25,9999)</f>
        <v>25</v>
      </c>
      <c r="AT227" s="0" t="n">
        <f aca="false">IF(Presupuesto!$B$26='Flujo de Pagos'!$E227,26,9999)</f>
        <v>26</v>
      </c>
      <c r="AU227" s="0" t="n">
        <f aca="false">IF(Presupuesto!$B$27='Flujo de Pagos'!$E227,27,9999)</f>
        <v>27</v>
      </c>
      <c r="AV227" s="0" t="n">
        <f aca="false">IF(Presupuesto!$B$28='Flujo de Pagos'!$E227,28,9999)</f>
        <v>28</v>
      </c>
      <c r="AW227" s="0" t="n">
        <f aca="false">IF(Presupuesto!$B$29='Flujo de Pagos'!$E227,29,9999)</f>
        <v>29</v>
      </c>
      <c r="AX227" s="0" t="n">
        <f aca="false">IF(Presupuesto!$B$30='Flujo de Pagos'!$E227,30,9999)</f>
        <v>30</v>
      </c>
      <c r="AY227" s="0" t="n">
        <f aca="false">IF(Presupuesto!$B$31='Flujo de Pagos'!$E227,31,9999)</f>
        <v>31</v>
      </c>
      <c r="AZ227" s="0" t="n">
        <f aca="false">IF(Presupuesto!$B$32='Flujo de Pagos'!$E227,32,9999)</f>
        <v>32</v>
      </c>
      <c r="BA227" s="0" t="n">
        <f aca="false">IF(Presupuesto!$B$33='Flujo de Pagos'!$E227,33,9999)</f>
        <v>33</v>
      </c>
      <c r="BB227" s="0" t="n">
        <f aca="false">IF(Presupuesto!$B$34='Flujo de Pagos'!$E227,34,9999)</f>
        <v>34</v>
      </c>
      <c r="BC227" s="0" t="n">
        <f aca="false">IF(Presupuesto!$B$35='Flujo de Pagos'!$E227,35,9999)</f>
        <v>35</v>
      </c>
      <c r="BD227" s="0" t="n">
        <f aca="false">IF(Presupuesto!$B$36='Flujo de Pagos'!$E227,36,9999)</f>
        <v>36</v>
      </c>
      <c r="BE227" s="0" t="n">
        <f aca="false">IF(Presupuesto!$B$37='Flujo de Pagos'!$E227,37,9999)</f>
        <v>37</v>
      </c>
      <c r="BF227" s="0" t="n">
        <f aca="false">IF(Presupuesto!$B$38='Flujo de Pagos'!$E227,38,9999)</f>
        <v>38</v>
      </c>
      <c r="BG227" s="0" t="n">
        <f aca="false">IF(Presupuesto!$B$39='Flujo de Pagos'!$E227,39,9999)</f>
        <v>39</v>
      </c>
      <c r="BH227" s="0" t="n">
        <f aca="false">IF(Presupuesto!$B$40='Flujo de Pagos'!$E227,40,9999)</f>
        <v>40</v>
      </c>
      <c r="BI227" s="0" t="n">
        <f aca="false">IF(Presupuesto!$B$41='Flujo de Pagos'!$E227,41,9999)</f>
        <v>41</v>
      </c>
      <c r="BJ227" s="0" t="n">
        <f aca="false">IF(Presupuesto!$B$42='Flujo de Pagos'!$E227,42,9999)</f>
        <v>42</v>
      </c>
      <c r="BK227" s="0" t="n">
        <f aca="false">IF(Presupuesto!$B$43='Flujo de Pagos'!$E227,43,9999)</f>
        <v>43</v>
      </c>
      <c r="BL227" s="0" t="n">
        <f aca="false">IF(Presupuesto!$B$44='Flujo de Pagos'!$E227,44,9999)</f>
        <v>44</v>
      </c>
      <c r="BM227" s="0" t="n">
        <f aca="false">IF(Presupuesto!$B$45='Flujo de Pagos'!$E227,45,9999)</f>
        <v>45</v>
      </c>
      <c r="BN227" s="0" t="n">
        <f aca="false">IF(Presupuesto!$B$46='Flujo de Pagos'!$E227,46,9999)</f>
        <v>46</v>
      </c>
      <c r="BO227" s="0" t="n">
        <f aca="false">IF(Presupuesto!$B$47='Flujo de Pagos'!$E227,47,9999)</f>
        <v>47</v>
      </c>
      <c r="BP227" s="0" t="n">
        <f aca="false">IF(Presupuesto!$B$48='Flujo de Pagos'!$E227,48,9999)</f>
        <v>48</v>
      </c>
      <c r="BQ227" s="0" t="n">
        <f aca="false">IF(Presupuesto!$B$49='Flujo de Pagos'!$E227,49,9999)</f>
        <v>49</v>
      </c>
      <c r="BR227" s="0" t="n">
        <f aca="false">IF(Presupuesto!$B$50='Flujo de Pagos'!$E227,50,9999)</f>
        <v>50</v>
      </c>
      <c r="BS227" s="0" t="n">
        <f aca="false">IF(Presupuesto!$B$51='Flujo de Pagos'!$E227,51,9999)</f>
        <v>51</v>
      </c>
      <c r="BT227" s="0" t="n">
        <f aca="false">IF(Presupuesto!$B$52='Flujo de Pagos'!$E227,52,9999)</f>
        <v>52</v>
      </c>
      <c r="BU227" s="0" t="n">
        <f aca="false">IF(Presupuesto!$B$53='Flujo de Pagos'!$E227,53,9999)</f>
        <v>53</v>
      </c>
      <c r="BV227" s="0" t="n">
        <f aca="false">IF(Presupuesto!$B$54='Flujo de Pagos'!$E227,54,9999)</f>
        <v>54</v>
      </c>
      <c r="BW227" s="0" t="n">
        <f aca="false">IF(Presupuesto!$B$55='Flujo de Pagos'!$E227,55,9999)</f>
        <v>55</v>
      </c>
      <c r="BX227" s="0" t="n">
        <f aca="false">IF(Presupuesto!$B$56='Flujo de Pagos'!$E227,56,9999)</f>
        <v>56</v>
      </c>
      <c r="BY227" s="0" t="n">
        <f aca="false">IF(Presupuesto!$B$57='Flujo de Pagos'!$E227,57,9999)</f>
        <v>57</v>
      </c>
      <c r="BZ227" s="0" t="n">
        <f aca="false">IF(Presupuesto!$B$58='Flujo de Pagos'!$E227,58,9999)</f>
        <v>58</v>
      </c>
      <c r="CA227" s="0" t="n">
        <f aca="false">IF(Presupuesto!$B$59='Flujo de Pagos'!$E227,59,9999)</f>
        <v>59</v>
      </c>
      <c r="CB227" s="0" t="n">
        <f aca="false">IF(Presupuesto!$B$60='Flujo de Pagos'!$E227,60,9999)</f>
        <v>60</v>
      </c>
      <c r="CC227" s="0" t="n">
        <f aca="false">IF(Presupuesto!$B$61='Flujo de Pagos'!$E227,61,9999)</f>
        <v>61</v>
      </c>
      <c r="CD227" s="0" t="n">
        <f aca="false">IF(Presupuesto!$B$62='Flujo de Pagos'!$E227,62,9999)</f>
        <v>62</v>
      </c>
      <c r="CE227" s="0" t="n">
        <f aca="false">IF(Presupuesto!$B$63='Flujo de Pagos'!$E227,63,9999)</f>
        <v>63</v>
      </c>
      <c r="CF227" s="0" t="n">
        <f aca="false">IF(Presupuesto!$B$64='Flujo de Pagos'!$E227,64,9999)</f>
        <v>64</v>
      </c>
      <c r="CG227" s="0" t="n">
        <f aca="false">IF(Presupuesto!$B$65='Flujo de Pagos'!$E227,65,9999)</f>
        <v>65</v>
      </c>
      <c r="CH227" s="0" t="n">
        <f aca="false">IF(Presupuesto!$B$66='Flujo de Pagos'!$E227,66,9999)</f>
        <v>66</v>
      </c>
    </row>
    <row r="228" customFormat="false" ht="15" hidden="false" customHeight="true" outlineLevel="0" collapsed="false">
      <c r="B228" s="1" t="n">
        <f aca="false">IF(AND('Flujo de Pagos'!E233=Carátula!$B$2,'Flujo de Pagos'!F233=Carátula!$B$4,'Flujo de Pagos'!H233&lt;&gt;""),233,99999)</f>
        <v>99999</v>
      </c>
      <c r="H228" s="1" t="n">
        <f aca="false">IF(SMALL($AA228:$CH228,1)&gt;=9999,"",INDEX(Presupuesto!$C:$C,SMALL($AA228:$CH228,1)))</f>
        <v>0</v>
      </c>
      <c r="I228" s="1" t="n">
        <f aca="false">IF(SMALL($AA228:$CH228,2)&gt;=9999,"",INDEX(Presupuesto!$C:$C,SMALL($AA228:$CH228,2)))</f>
        <v>0</v>
      </c>
      <c r="J228" s="1" t="n">
        <f aca="false">IF(SMALL($AA228:$CH228,3)&gt;=9999,"",INDEX(Presupuesto!$C:$C,SMALL($AA228:$CH228,3)))</f>
        <v>0</v>
      </c>
      <c r="K228" s="1" t="n">
        <f aca="false">IF(SMALL($AA228:$CH228,4)&gt;=9999,"",INDEX(Presupuesto!$C:$C,SMALL($AA228:$CH228,4)))</f>
        <v>0</v>
      </c>
      <c r="L228" s="1" t="n">
        <f aca="false">IF(SMALL($AA228:$CH228,5)&gt;=9999,"",INDEX(Presupuesto!$C:$C,SMALL($AA228:$CH228,5)))</f>
        <v>0</v>
      </c>
      <c r="M228" s="1" t="n">
        <f aca="false">IF(SMALL($AA228:$CH228,6)&gt;=9999,"",INDEX(Presupuesto!$C:$C,SMALL($AA228:$CH228,6)))</f>
        <v>0</v>
      </c>
      <c r="N228" s="1" t="n">
        <f aca="false">IF(SMALL($AA228:$CH228,7)&gt;=9999,"",INDEX(Presupuesto!$C:$C,SMALL($AA228:$CH228,7)))</f>
        <v>0</v>
      </c>
      <c r="O228" s="1" t="n">
        <f aca="false">IF(SMALL($AA228:$CH228,8)&gt;=9999,"",INDEX(Presupuesto!$C:$C,SMALL($AA228:$CH228,8)))</f>
        <v>0</v>
      </c>
      <c r="P228" s="1" t="n">
        <f aca="false">IF(SMALL($AA228:$CH228,9)&gt;=9999,"",INDEX(Presupuesto!$C:$C,SMALL($AA228:$CH228,9)))</f>
        <v>0</v>
      </c>
      <c r="Q228" s="1" t="n">
        <f aca="false">IF(SMALL($AA228:$CH228,10)&gt;=9999,"",INDEX(Presupuesto!$C:$C,SMALL($AA228:$CH228,10)))</f>
        <v>0</v>
      </c>
      <c r="AA228" s="0" t="n">
        <f aca="false">IF(Presupuesto!$B$7='Flujo de Pagos'!$E228,7,9999)</f>
        <v>9999</v>
      </c>
      <c r="AB228" s="0" t="n">
        <f aca="false">IF(Presupuesto!$B$8='Flujo de Pagos'!$E228,8,9999)</f>
        <v>9999</v>
      </c>
      <c r="AC228" s="0" t="n">
        <f aca="false">IF(Presupuesto!$B$9='Flujo de Pagos'!$E228,9,9999)</f>
        <v>9999</v>
      </c>
      <c r="AD228" s="0" t="n">
        <f aca="false">IF(Presupuesto!$B$10='Flujo de Pagos'!$E228,10,9999)</f>
        <v>9999</v>
      </c>
      <c r="AE228" s="0" t="n">
        <f aca="false">IF(Presupuesto!$B$11='Flujo de Pagos'!$E228,11,9999)</f>
        <v>9999</v>
      </c>
      <c r="AF228" s="0" t="n">
        <f aca="false">IF(Presupuesto!$B$12='Flujo de Pagos'!$E228,12,9999)</f>
        <v>12</v>
      </c>
      <c r="AG228" s="0" t="n">
        <f aca="false">IF(Presupuesto!$B$13='Flujo de Pagos'!$E228,13,9999)</f>
        <v>13</v>
      </c>
      <c r="AH228" s="0" t="n">
        <f aca="false">IF(Presupuesto!$B$14='Flujo de Pagos'!$E228,14,9999)</f>
        <v>14</v>
      </c>
      <c r="AI228" s="0" t="n">
        <f aca="false">IF(Presupuesto!$B$15='Flujo de Pagos'!$E228,15,9999)</f>
        <v>15</v>
      </c>
      <c r="AJ228" s="0" t="n">
        <f aca="false">IF(Presupuesto!$B$16='Flujo de Pagos'!$E228,16,9999)</f>
        <v>16</v>
      </c>
      <c r="AK228" s="0" t="n">
        <f aca="false">IF(Presupuesto!$B$17='Flujo de Pagos'!$E228,17,9999)</f>
        <v>17</v>
      </c>
      <c r="AL228" s="0" t="n">
        <f aca="false">IF(Presupuesto!$B$18='Flujo de Pagos'!$E228,18,9999)</f>
        <v>18</v>
      </c>
      <c r="AM228" s="0" t="n">
        <f aca="false">IF(Presupuesto!$B$19='Flujo de Pagos'!$E228,19,9999)</f>
        <v>19</v>
      </c>
      <c r="AN228" s="0" t="n">
        <f aca="false">IF(Presupuesto!$B$20='Flujo de Pagos'!$E228,20,9999)</f>
        <v>20</v>
      </c>
      <c r="AO228" s="0" t="n">
        <f aca="false">IF(Presupuesto!$B$21='Flujo de Pagos'!$E228,21,9999)</f>
        <v>21</v>
      </c>
      <c r="AP228" s="0" t="n">
        <f aca="false">IF(Presupuesto!$B$22='Flujo de Pagos'!$E228,22,9999)</f>
        <v>22</v>
      </c>
      <c r="AQ228" s="0" t="n">
        <f aca="false">IF(Presupuesto!$B$23='Flujo de Pagos'!$E228,23,9999)</f>
        <v>23</v>
      </c>
      <c r="AR228" s="0" t="n">
        <f aca="false">IF(Presupuesto!$B$24='Flujo de Pagos'!$E228,24,9999)</f>
        <v>24</v>
      </c>
      <c r="AS228" s="0" t="n">
        <f aca="false">IF(Presupuesto!$B$25='Flujo de Pagos'!$E228,25,9999)</f>
        <v>25</v>
      </c>
      <c r="AT228" s="0" t="n">
        <f aca="false">IF(Presupuesto!$B$26='Flujo de Pagos'!$E228,26,9999)</f>
        <v>26</v>
      </c>
      <c r="AU228" s="0" t="n">
        <f aca="false">IF(Presupuesto!$B$27='Flujo de Pagos'!$E228,27,9999)</f>
        <v>27</v>
      </c>
      <c r="AV228" s="0" t="n">
        <f aca="false">IF(Presupuesto!$B$28='Flujo de Pagos'!$E228,28,9999)</f>
        <v>28</v>
      </c>
      <c r="AW228" s="0" t="n">
        <f aca="false">IF(Presupuesto!$B$29='Flujo de Pagos'!$E228,29,9999)</f>
        <v>29</v>
      </c>
      <c r="AX228" s="0" t="n">
        <f aca="false">IF(Presupuesto!$B$30='Flujo de Pagos'!$E228,30,9999)</f>
        <v>30</v>
      </c>
      <c r="AY228" s="0" t="n">
        <f aca="false">IF(Presupuesto!$B$31='Flujo de Pagos'!$E228,31,9999)</f>
        <v>31</v>
      </c>
      <c r="AZ228" s="0" t="n">
        <f aca="false">IF(Presupuesto!$B$32='Flujo de Pagos'!$E228,32,9999)</f>
        <v>32</v>
      </c>
      <c r="BA228" s="0" t="n">
        <f aca="false">IF(Presupuesto!$B$33='Flujo de Pagos'!$E228,33,9999)</f>
        <v>33</v>
      </c>
      <c r="BB228" s="0" t="n">
        <f aca="false">IF(Presupuesto!$B$34='Flujo de Pagos'!$E228,34,9999)</f>
        <v>34</v>
      </c>
      <c r="BC228" s="0" t="n">
        <f aca="false">IF(Presupuesto!$B$35='Flujo de Pagos'!$E228,35,9999)</f>
        <v>35</v>
      </c>
      <c r="BD228" s="0" t="n">
        <f aca="false">IF(Presupuesto!$B$36='Flujo de Pagos'!$E228,36,9999)</f>
        <v>36</v>
      </c>
      <c r="BE228" s="0" t="n">
        <f aca="false">IF(Presupuesto!$B$37='Flujo de Pagos'!$E228,37,9999)</f>
        <v>37</v>
      </c>
      <c r="BF228" s="0" t="n">
        <f aca="false">IF(Presupuesto!$B$38='Flujo de Pagos'!$E228,38,9999)</f>
        <v>38</v>
      </c>
      <c r="BG228" s="0" t="n">
        <f aca="false">IF(Presupuesto!$B$39='Flujo de Pagos'!$E228,39,9999)</f>
        <v>39</v>
      </c>
      <c r="BH228" s="0" t="n">
        <f aca="false">IF(Presupuesto!$B$40='Flujo de Pagos'!$E228,40,9999)</f>
        <v>40</v>
      </c>
      <c r="BI228" s="0" t="n">
        <f aca="false">IF(Presupuesto!$B$41='Flujo de Pagos'!$E228,41,9999)</f>
        <v>41</v>
      </c>
      <c r="BJ228" s="0" t="n">
        <f aca="false">IF(Presupuesto!$B$42='Flujo de Pagos'!$E228,42,9999)</f>
        <v>42</v>
      </c>
      <c r="BK228" s="0" t="n">
        <f aca="false">IF(Presupuesto!$B$43='Flujo de Pagos'!$E228,43,9999)</f>
        <v>43</v>
      </c>
      <c r="BL228" s="0" t="n">
        <f aca="false">IF(Presupuesto!$B$44='Flujo de Pagos'!$E228,44,9999)</f>
        <v>44</v>
      </c>
      <c r="BM228" s="0" t="n">
        <f aca="false">IF(Presupuesto!$B$45='Flujo de Pagos'!$E228,45,9999)</f>
        <v>45</v>
      </c>
      <c r="BN228" s="0" t="n">
        <f aca="false">IF(Presupuesto!$B$46='Flujo de Pagos'!$E228,46,9999)</f>
        <v>46</v>
      </c>
      <c r="BO228" s="0" t="n">
        <f aca="false">IF(Presupuesto!$B$47='Flujo de Pagos'!$E228,47,9999)</f>
        <v>47</v>
      </c>
      <c r="BP228" s="0" t="n">
        <f aca="false">IF(Presupuesto!$B$48='Flujo de Pagos'!$E228,48,9999)</f>
        <v>48</v>
      </c>
      <c r="BQ228" s="0" t="n">
        <f aca="false">IF(Presupuesto!$B$49='Flujo de Pagos'!$E228,49,9999)</f>
        <v>49</v>
      </c>
      <c r="BR228" s="0" t="n">
        <f aca="false">IF(Presupuesto!$B$50='Flujo de Pagos'!$E228,50,9999)</f>
        <v>50</v>
      </c>
      <c r="BS228" s="0" t="n">
        <f aca="false">IF(Presupuesto!$B$51='Flujo de Pagos'!$E228,51,9999)</f>
        <v>51</v>
      </c>
      <c r="BT228" s="0" t="n">
        <f aca="false">IF(Presupuesto!$B$52='Flujo de Pagos'!$E228,52,9999)</f>
        <v>52</v>
      </c>
      <c r="BU228" s="0" t="n">
        <f aca="false">IF(Presupuesto!$B$53='Flujo de Pagos'!$E228,53,9999)</f>
        <v>53</v>
      </c>
      <c r="BV228" s="0" t="n">
        <f aca="false">IF(Presupuesto!$B$54='Flujo de Pagos'!$E228,54,9999)</f>
        <v>54</v>
      </c>
      <c r="BW228" s="0" t="n">
        <f aca="false">IF(Presupuesto!$B$55='Flujo de Pagos'!$E228,55,9999)</f>
        <v>55</v>
      </c>
      <c r="BX228" s="0" t="n">
        <f aca="false">IF(Presupuesto!$B$56='Flujo de Pagos'!$E228,56,9999)</f>
        <v>56</v>
      </c>
      <c r="BY228" s="0" t="n">
        <f aca="false">IF(Presupuesto!$B$57='Flujo de Pagos'!$E228,57,9999)</f>
        <v>57</v>
      </c>
      <c r="BZ228" s="0" t="n">
        <f aca="false">IF(Presupuesto!$B$58='Flujo de Pagos'!$E228,58,9999)</f>
        <v>58</v>
      </c>
      <c r="CA228" s="0" t="n">
        <f aca="false">IF(Presupuesto!$B$59='Flujo de Pagos'!$E228,59,9999)</f>
        <v>59</v>
      </c>
      <c r="CB228" s="0" t="n">
        <f aca="false">IF(Presupuesto!$B$60='Flujo de Pagos'!$E228,60,9999)</f>
        <v>60</v>
      </c>
      <c r="CC228" s="0" t="n">
        <f aca="false">IF(Presupuesto!$B$61='Flujo de Pagos'!$E228,61,9999)</f>
        <v>61</v>
      </c>
      <c r="CD228" s="0" t="n">
        <f aca="false">IF(Presupuesto!$B$62='Flujo de Pagos'!$E228,62,9999)</f>
        <v>62</v>
      </c>
      <c r="CE228" s="0" t="n">
        <f aca="false">IF(Presupuesto!$B$63='Flujo de Pagos'!$E228,63,9999)</f>
        <v>63</v>
      </c>
      <c r="CF228" s="0" t="n">
        <f aca="false">IF(Presupuesto!$B$64='Flujo de Pagos'!$E228,64,9999)</f>
        <v>64</v>
      </c>
      <c r="CG228" s="0" t="n">
        <f aca="false">IF(Presupuesto!$B$65='Flujo de Pagos'!$E228,65,9999)</f>
        <v>65</v>
      </c>
      <c r="CH228" s="0" t="n">
        <f aca="false">IF(Presupuesto!$B$66='Flujo de Pagos'!$E228,66,9999)</f>
        <v>66</v>
      </c>
    </row>
    <row r="229" customFormat="false" ht="15" hidden="false" customHeight="true" outlineLevel="0" collapsed="false">
      <c r="B229" s="1" t="n">
        <f aca="false">IF(AND('Flujo de Pagos'!E234=Carátula!$B$2,'Flujo de Pagos'!F234=Carátula!$B$4,'Flujo de Pagos'!H234&lt;&gt;""),234,99999)</f>
        <v>99999</v>
      </c>
      <c r="H229" s="1" t="n">
        <f aca="false">IF(SMALL($AA229:$CH229,1)&gt;=9999,"",INDEX(Presupuesto!$C:$C,SMALL($AA229:$CH229,1)))</f>
        <v>0</v>
      </c>
      <c r="I229" s="1" t="n">
        <f aca="false">IF(SMALL($AA229:$CH229,2)&gt;=9999,"",INDEX(Presupuesto!$C:$C,SMALL($AA229:$CH229,2)))</f>
        <v>0</v>
      </c>
      <c r="J229" s="1" t="n">
        <f aca="false">IF(SMALL($AA229:$CH229,3)&gt;=9999,"",INDEX(Presupuesto!$C:$C,SMALL($AA229:$CH229,3)))</f>
        <v>0</v>
      </c>
      <c r="K229" s="1" t="n">
        <f aca="false">IF(SMALL($AA229:$CH229,4)&gt;=9999,"",INDEX(Presupuesto!$C:$C,SMALL($AA229:$CH229,4)))</f>
        <v>0</v>
      </c>
      <c r="L229" s="1" t="n">
        <f aca="false">IF(SMALL($AA229:$CH229,5)&gt;=9999,"",INDEX(Presupuesto!$C:$C,SMALL($AA229:$CH229,5)))</f>
        <v>0</v>
      </c>
      <c r="M229" s="1" t="n">
        <f aca="false">IF(SMALL($AA229:$CH229,6)&gt;=9999,"",INDEX(Presupuesto!$C:$C,SMALL($AA229:$CH229,6)))</f>
        <v>0</v>
      </c>
      <c r="N229" s="1" t="n">
        <f aca="false">IF(SMALL($AA229:$CH229,7)&gt;=9999,"",INDEX(Presupuesto!$C:$C,SMALL($AA229:$CH229,7)))</f>
        <v>0</v>
      </c>
      <c r="O229" s="1" t="n">
        <f aca="false">IF(SMALL($AA229:$CH229,8)&gt;=9999,"",INDEX(Presupuesto!$C:$C,SMALL($AA229:$CH229,8)))</f>
        <v>0</v>
      </c>
      <c r="P229" s="1" t="n">
        <f aca="false">IF(SMALL($AA229:$CH229,9)&gt;=9999,"",INDEX(Presupuesto!$C:$C,SMALL($AA229:$CH229,9)))</f>
        <v>0</v>
      </c>
      <c r="Q229" s="1" t="n">
        <f aca="false">IF(SMALL($AA229:$CH229,10)&gt;=9999,"",INDEX(Presupuesto!$C:$C,SMALL($AA229:$CH229,10)))</f>
        <v>0</v>
      </c>
      <c r="AA229" s="0" t="n">
        <f aca="false">IF(Presupuesto!$B$7='Flujo de Pagos'!$E229,7,9999)</f>
        <v>9999</v>
      </c>
      <c r="AB229" s="0" t="n">
        <f aca="false">IF(Presupuesto!$B$8='Flujo de Pagos'!$E229,8,9999)</f>
        <v>9999</v>
      </c>
      <c r="AC229" s="0" t="n">
        <f aca="false">IF(Presupuesto!$B$9='Flujo de Pagos'!$E229,9,9999)</f>
        <v>9999</v>
      </c>
      <c r="AD229" s="0" t="n">
        <f aca="false">IF(Presupuesto!$B$10='Flujo de Pagos'!$E229,10,9999)</f>
        <v>9999</v>
      </c>
      <c r="AE229" s="0" t="n">
        <f aca="false">IF(Presupuesto!$B$11='Flujo de Pagos'!$E229,11,9999)</f>
        <v>9999</v>
      </c>
      <c r="AF229" s="0" t="n">
        <f aca="false">IF(Presupuesto!$B$12='Flujo de Pagos'!$E229,12,9999)</f>
        <v>12</v>
      </c>
      <c r="AG229" s="0" t="n">
        <f aca="false">IF(Presupuesto!$B$13='Flujo de Pagos'!$E229,13,9999)</f>
        <v>13</v>
      </c>
      <c r="AH229" s="0" t="n">
        <f aca="false">IF(Presupuesto!$B$14='Flujo de Pagos'!$E229,14,9999)</f>
        <v>14</v>
      </c>
      <c r="AI229" s="0" t="n">
        <f aca="false">IF(Presupuesto!$B$15='Flujo de Pagos'!$E229,15,9999)</f>
        <v>15</v>
      </c>
      <c r="AJ229" s="0" t="n">
        <f aca="false">IF(Presupuesto!$B$16='Flujo de Pagos'!$E229,16,9999)</f>
        <v>16</v>
      </c>
      <c r="AK229" s="0" t="n">
        <f aca="false">IF(Presupuesto!$B$17='Flujo de Pagos'!$E229,17,9999)</f>
        <v>17</v>
      </c>
      <c r="AL229" s="0" t="n">
        <f aca="false">IF(Presupuesto!$B$18='Flujo de Pagos'!$E229,18,9999)</f>
        <v>18</v>
      </c>
      <c r="AM229" s="0" t="n">
        <f aca="false">IF(Presupuesto!$B$19='Flujo de Pagos'!$E229,19,9999)</f>
        <v>19</v>
      </c>
      <c r="AN229" s="0" t="n">
        <f aca="false">IF(Presupuesto!$B$20='Flujo de Pagos'!$E229,20,9999)</f>
        <v>20</v>
      </c>
      <c r="AO229" s="0" t="n">
        <f aca="false">IF(Presupuesto!$B$21='Flujo de Pagos'!$E229,21,9999)</f>
        <v>21</v>
      </c>
      <c r="AP229" s="0" t="n">
        <f aca="false">IF(Presupuesto!$B$22='Flujo de Pagos'!$E229,22,9999)</f>
        <v>22</v>
      </c>
      <c r="AQ229" s="0" t="n">
        <f aca="false">IF(Presupuesto!$B$23='Flujo de Pagos'!$E229,23,9999)</f>
        <v>23</v>
      </c>
      <c r="AR229" s="0" t="n">
        <f aca="false">IF(Presupuesto!$B$24='Flujo de Pagos'!$E229,24,9999)</f>
        <v>24</v>
      </c>
      <c r="AS229" s="0" t="n">
        <f aca="false">IF(Presupuesto!$B$25='Flujo de Pagos'!$E229,25,9999)</f>
        <v>25</v>
      </c>
      <c r="AT229" s="0" t="n">
        <f aca="false">IF(Presupuesto!$B$26='Flujo de Pagos'!$E229,26,9999)</f>
        <v>26</v>
      </c>
      <c r="AU229" s="0" t="n">
        <f aca="false">IF(Presupuesto!$B$27='Flujo de Pagos'!$E229,27,9999)</f>
        <v>27</v>
      </c>
      <c r="AV229" s="0" t="n">
        <f aca="false">IF(Presupuesto!$B$28='Flujo de Pagos'!$E229,28,9999)</f>
        <v>28</v>
      </c>
      <c r="AW229" s="0" t="n">
        <f aca="false">IF(Presupuesto!$B$29='Flujo de Pagos'!$E229,29,9999)</f>
        <v>29</v>
      </c>
      <c r="AX229" s="0" t="n">
        <f aca="false">IF(Presupuesto!$B$30='Flujo de Pagos'!$E229,30,9999)</f>
        <v>30</v>
      </c>
      <c r="AY229" s="0" t="n">
        <f aca="false">IF(Presupuesto!$B$31='Flujo de Pagos'!$E229,31,9999)</f>
        <v>31</v>
      </c>
      <c r="AZ229" s="0" t="n">
        <f aca="false">IF(Presupuesto!$B$32='Flujo de Pagos'!$E229,32,9999)</f>
        <v>32</v>
      </c>
      <c r="BA229" s="0" t="n">
        <f aca="false">IF(Presupuesto!$B$33='Flujo de Pagos'!$E229,33,9999)</f>
        <v>33</v>
      </c>
      <c r="BB229" s="0" t="n">
        <f aca="false">IF(Presupuesto!$B$34='Flujo de Pagos'!$E229,34,9999)</f>
        <v>34</v>
      </c>
      <c r="BC229" s="0" t="n">
        <f aca="false">IF(Presupuesto!$B$35='Flujo de Pagos'!$E229,35,9999)</f>
        <v>35</v>
      </c>
      <c r="BD229" s="0" t="n">
        <f aca="false">IF(Presupuesto!$B$36='Flujo de Pagos'!$E229,36,9999)</f>
        <v>36</v>
      </c>
      <c r="BE229" s="0" t="n">
        <f aca="false">IF(Presupuesto!$B$37='Flujo de Pagos'!$E229,37,9999)</f>
        <v>37</v>
      </c>
      <c r="BF229" s="0" t="n">
        <f aca="false">IF(Presupuesto!$B$38='Flujo de Pagos'!$E229,38,9999)</f>
        <v>38</v>
      </c>
      <c r="BG229" s="0" t="n">
        <f aca="false">IF(Presupuesto!$B$39='Flujo de Pagos'!$E229,39,9999)</f>
        <v>39</v>
      </c>
      <c r="BH229" s="0" t="n">
        <f aca="false">IF(Presupuesto!$B$40='Flujo de Pagos'!$E229,40,9999)</f>
        <v>40</v>
      </c>
      <c r="BI229" s="0" t="n">
        <f aca="false">IF(Presupuesto!$B$41='Flujo de Pagos'!$E229,41,9999)</f>
        <v>41</v>
      </c>
      <c r="BJ229" s="0" t="n">
        <f aca="false">IF(Presupuesto!$B$42='Flujo de Pagos'!$E229,42,9999)</f>
        <v>42</v>
      </c>
      <c r="BK229" s="0" t="n">
        <f aca="false">IF(Presupuesto!$B$43='Flujo de Pagos'!$E229,43,9999)</f>
        <v>43</v>
      </c>
      <c r="BL229" s="0" t="n">
        <f aca="false">IF(Presupuesto!$B$44='Flujo de Pagos'!$E229,44,9999)</f>
        <v>44</v>
      </c>
      <c r="BM229" s="0" t="n">
        <f aca="false">IF(Presupuesto!$B$45='Flujo de Pagos'!$E229,45,9999)</f>
        <v>45</v>
      </c>
      <c r="BN229" s="0" t="n">
        <f aca="false">IF(Presupuesto!$B$46='Flujo de Pagos'!$E229,46,9999)</f>
        <v>46</v>
      </c>
      <c r="BO229" s="0" t="n">
        <f aca="false">IF(Presupuesto!$B$47='Flujo de Pagos'!$E229,47,9999)</f>
        <v>47</v>
      </c>
      <c r="BP229" s="0" t="n">
        <f aca="false">IF(Presupuesto!$B$48='Flujo de Pagos'!$E229,48,9999)</f>
        <v>48</v>
      </c>
      <c r="BQ229" s="0" t="n">
        <f aca="false">IF(Presupuesto!$B$49='Flujo de Pagos'!$E229,49,9999)</f>
        <v>49</v>
      </c>
      <c r="BR229" s="0" t="n">
        <f aca="false">IF(Presupuesto!$B$50='Flujo de Pagos'!$E229,50,9999)</f>
        <v>50</v>
      </c>
      <c r="BS229" s="0" t="n">
        <f aca="false">IF(Presupuesto!$B$51='Flujo de Pagos'!$E229,51,9999)</f>
        <v>51</v>
      </c>
      <c r="BT229" s="0" t="n">
        <f aca="false">IF(Presupuesto!$B$52='Flujo de Pagos'!$E229,52,9999)</f>
        <v>52</v>
      </c>
      <c r="BU229" s="0" t="n">
        <f aca="false">IF(Presupuesto!$B$53='Flujo de Pagos'!$E229,53,9999)</f>
        <v>53</v>
      </c>
      <c r="BV229" s="0" t="n">
        <f aca="false">IF(Presupuesto!$B$54='Flujo de Pagos'!$E229,54,9999)</f>
        <v>54</v>
      </c>
      <c r="BW229" s="0" t="n">
        <f aca="false">IF(Presupuesto!$B$55='Flujo de Pagos'!$E229,55,9999)</f>
        <v>55</v>
      </c>
      <c r="BX229" s="0" t="n">
        <f aca="false">IF(Presupuesto!$B$56='Flujo de Pagos'!$E229,56,9999)</f>
        <v>56</v>
      </c>
      <c r="BY229" s="0" t="n">
        <f aca="false">IF(Presupuesto!$B$57='Flujo de Pagos'!$E229,57,9999)</f>
        <v>57</v>
      </c>
      <c r="BZ229" s="0" t="n">
        <f aca="false">IF(Presupuesto!$B$58='Flujo de Pagos'!$E229,58,9999)</f>
        <v>58</v>
      </c>
      <c r="CA229" s="0" t="n">
        <f aca="false">IF(Presupuesto!$B$59='Flujo de Pagos'!$E229,59,9999)</f>
        <v>59</v>
      </c>
      <c r="CB229" s="0" t="n">
        <f aca="false">IF(Presupuesto!$B$60='Flujo de Pagos'!$E229,60,9999)</f>
        <v>60</v>
      </c>
      <c r="CC229" s="0" t="n">
        <f aca="false">IF(Presupuesto!$B$61='Flujo de Pagos'!$E229,61,9999)</f>
        <v>61</v>
      </c>
      <c r="CD229" s="0" t="n">
        <f aca="false">IF(Presupuesto!$B$62='Flujo de Pagos'!$E229,62,9999)</f>
        <v>62</v>
      </c>
      <c r="CE229" s="0" t="n">
        <f aca="false">IF(Presupuesto!$B$63='Flujo de Pagos'!$E229,63,9999)</f>
        <v>63</v>
      </c>
      <c r="CF229" s="0" t="n">
        <f aca="false">IF(Presupuesto!$B$64='Flujo de Pagos'!$E229,64,9999)</f>
        <v>64</v>
      </c>
      <c r="CG229" s="0" t="n">
        <f aca="false">IF(Presupuesto!$B$65='Flujo de Pagos'!$E229,65,9999)</f>
        <v>65</v>
      </c>
      <c r="CH229" s="0" t="n">
        <f aca="false">IF(Presupuesto!$B$66='Flujo de Pagos'!$E229,66,9999)</f>
        <v>66</v>
      </c>
    </row>
    <row r="230" customFormat="false" ht="15" hidden="false" customHeight="true" outlineLevel="0" collapsed="false">
      <c r="B230" s="1" t="n">
        <f aca="false">IF(AND('Flujo de Pagos'!E235=Carátula!$B$2,'Flujo de Pagos'!F235=Carátula!$B$4,'Flujo de Pagos'!H235&lt;&gt;""),235,99999)</f>
        <v>99999</v>
      </c>
      <c r="H230" s="1" t="n">
        <f aca="false">IF(SMALL($AA230:$CH230,1)&gt;=9999,"",INDEX(Presupuesto!$C:$C,SMALL($AA230:$CH230,1)))</f>
        <v>0</v>
      </c>
      <c r="I230" s="1" t="n">
        <f aca="false">IF(SMALL($AA230:$CH230,2)&gt;=9999,"",INDEX(Presupuesto!$C:$C,SMALL($AA230:$CH230,2)))</f>
        <v>0</v>
      </c>
      <c r="J230" s="1" t="n">
        <f aca="false">IF(SMALL($AA230:$CH230,3)&gt;=9999,"",INDEX(Presupuesto!$C:$C,SMALL($AA230:$CH230,3)))</f>
        <v>0</v>
      </c>
      <c r="K230" s="1" t="n">
        <f aca="false">IF(SMALL($AA230:$CH230,4)&gt;=9999,"",INDEX(Presupuesto!$C:$C,SMALL($AA230:$CH230,4)))</f>
        <v>0</v>
      </c>
      <c r="L230" s="1" t="n">
        <f aca="false">IF(SMALL($AA230:$CH230,5)&gt;=9999,"",INDEX(Presupuesto!$C:$C,SMALL($AA230:$CH230,5)))</f>
        <v>0</v>
      </c>
      <c r="M230" s="1" t="n">
        <f aca="false">IF(SMALL($AA230:$CH230,6)&gt;=9999,"",INDEX(Presupuesto!$C:$C,SMALL($AA230:$CH230,6)))</f>
        <v>0</v>
      </c>
      <c r="N230" s="1" t="n">
        <f aca="false">IF(SMALL($AA230:$CH230,7)&gt;=9999,"",INDEX(Presupuesto!$C:$C,SMALL($AA230:$CH230,7)))</f>
        <v>0</v>
      </c>
      <c r="O230" s="1" t="n">
        <f aca="false">IF(SMALL($AA230:$CH230,8)&gt;=9999,"",INDEX(Presupuesto!$C:$C,SMALL($AA230:$CH230,8)))</f>
        <v>0</v>
      </c>
      <c r="P230" s="1" t="n">
        <f aca="false">IF(SMALL($AA230:$CH230,9)&gt;=9999,"",INDEX(Presupuesto!$C:$C,SMALL($AA230:$CH230,9)))</f>
        <v>0</v>
      </c>
      <c r="Q230" s="1" t="n">
        <f aca="false">IF(SMALL($AA230:$CH230,10)&gt;=9999,"",INDEX(Presupuesto!$C:$C,SMALL($AA230:$CH230,10)))</f>
        <v>0</v>
      </c>
      <c r="AA230" s="0" t="n">
        <f aca="false">IF(Presupuesto!$B$7='Flujo de Pagos'!$E230,7,9999)</f>
        <v>9999</v>
      </c>
      <c r="AB230" s="0" t="n">
        <f aca="false">IF(Presupuesto!$B$8='Flujo de Pagos'!$E230,8,9999)</f>
        <v>9999</v>
      </c>
      <c r="AC230" s="0" t="n">
        <f aca="false">IF(Presupuesto!$B$9='Flujo de Pagos'!$E230,9,9999)</f>
        <v>9999</v>
      </c>
      <c r="AD230" s="0" t="n">
        <f aca="false">IF(Presupuesto!$B$10='Flujo de Pagos'!$E230,10,9999)</f>
        <v>9999</v>
      </c>
      <c r="AE230" s="0" t="n">
        <f aca="false">IF(Presupuesto!$B$11='Flujo de Pagos'!$E230,11,9999)</f>
        <v>9999</v>
      </c>
      <c r="AF230" s="0" t="n">
        <f aca="false">IF(Presupuesto!$B$12='Flujo de Pagos'!$E230,12,9999)</f>
        <v>12</v>
      </c>
      <c r="AG230" s="0" t="n">
        <f aca="false">IF(Presupuesto!$B$13='Flujo de Pagos'!$E230,13,9999)</f>
        <v>13</v>
      </c>
      <c r="AH230" s="0" t="n">
        <f aca="false">IF(Presupuesto!$B$14='Flujo de Pagos'!$E230,14,9999)</f>
        <v>14</v>
      </c>
      <c r="AI230" s="0" t="n">
        <f aca="false">IF(Presupuesto!$B$15='Flujo de Pagos'!$E230,15,9999)</f>
        <v>15</v>
      </c>
      <c r="AJ230" s="0" t="n">
        <f aca="false">IF(Presupuesto!$B$16='Flujo de Pagos'!$E230,16,9999)</f>
        <v>16</v>
      </c>
      <c r="AK230" s="0" t="n">
        <f aca="false">IF(Presupuesto!$B$17='Flujo de Pagos'!$E230,17,9999)</f>
        <v>17</v>
      </c>
      <c r="AL230" s="0" t="n">
        <f aca="false">IF(Presupuesto!$B$18='Flujo de Pagos'!$E230,18,9999)</f>
        <v>18</v>
      </c>
      <c r="AM230" s="0" t="n">
        <f aca="false">IF(Presupuesto!$B$19='Flujo de Pagos'!$E230,19,9999)</f>
        <v>19</v>
      </c>
      <c r="AN230" s="0" t="n">
        <f aca="false">IF(Presupuesto!$B$20='Flujo de Pagos'!$E230,20,9999)</f>
        <v>20</v>
      </c>
      <c r="AO230" s="0" t="n">
        <f aca="false">IF(Presupuesto!$B$21='Flujo de Pagos'!$E230,21,9999)</f>
        <v>21</v>
      </c>
      <c r="AP230" s="0" t="n">
        <f aca="false">IF(Presupuesto!$B$22='Flujo de Pagos'!$E230,22,9999)</f>
        <v>22</v>
      </c>
      <c r="AQ230" s="0" t="n">
        <f aca="false">IF(Presupuesto!$B$23='Flujo de Pagos'!$E230,23,9999)</f>
        <v>23</v>
      </c>
      <c r="AR230" s="0" t="n">
        <f aca="false">IF(Presupuesto!$B$24='Flujo de Pagos'!$E230,24,9999)</f>
        <v>24</v>
      </c>
      <c r="AS230" s="0" t="n">
        <f aca="false">IF(Presupuesto!$B$25='Flujo de Pagos'!$E230,25,9999)</f>
        <v>25</v>
      </c>
      <c r="AT230" s="0" t="n">
        <f aca="false">IF(Presupuesto!$B$26='Flujo de Pagos'!$E230,26,9999)</f>
        <v>26</v>
      </c>
      <c r="AU230" s="0" t="n">
        <f aca="false">IF(Presupuesto!$B$27='Flujo de Pagos'!$E230,27,9999)</f>
        <v>27</v>
      </c>
      <c r="AV230" s="0" t="n">
        <f aca="false">IF(Presupuesto!$B$28='Flujo de Pagos'!$E230,28,9999)</f>
        <v>28</v>
      </c>
      <c r="AW230" s="0" t="n">
        <f aca="false">IF(Presupuesto!$B$29='Flujo de Pagos'!$E230,29,9999)</f>
        <v>29</v>
      </c>
      <c r="AX230" s="0" t="n">
        <f aca="false">IF(Presupuesto!$B$30='Flujo de Pagos'!$E230,30,9999)</f>
        <v>30</v>
      </c>
      <c r="AY230" s="0" t="n">
        <f aca="false">IF(Presupuesto!$B$31='Flujo de Pagos'!$E230,31,9999)</f>
        <v>31</v>
      </c>
      <c r="AZ230" s="0" t="n">
        <f aca="false">IF(Presupuesto!$B$32='Flujo de Pagos'!$E230,32,9999)</f>
        <v>32</v>
      </c>
      <c r="BA230" s="0" t="n">
        <f aca="false">IF(Presupuesto!$B$33='Flujo de Pagos'!$E230,33,9999)</f>
        <v>33</v>
      </c>
      <c r="BB230" s="0" t="n">
        <f aca="false">IF(Presupuesto!$B$34='Flujo de Pagos'!$E230,34,9999)</f>
        <v>34</v>
      </c>
      <c r="BC230" s="0" t="n">
        <f aca="false">IF(Presupuesto!$B$35='Flujo de Pagos'!$E230,35,9999)</f>
        <v>35</v>
      </c>
      <c r="BD230" s="0" t="n">
        <f aca="false">IF(Presupuesto!$B$36='Flujo de Pagos'!$E230,36,9999)</f>
        <v>36</v>
      </c>
      <c r="BE230" s="0" t="n">
        <f aca="false">IF(Presupuesto!$B$37='Flujo de Pagos'!$E230,37,9999)</f>
        <v>37</v>
      </c>
      <c r="BF230" s="0" t="n">
        <f aca="false">IF(Presupuesto!$B$38='Flujo de Pagos'!$E230,38,9999)</f>
        <v>38</v>
      </c>
      <c r="BG230" s="0" t="n">
        <f aca="false">IF(Presupuesto!$B$39='Flujo de Pagos'!$E230,39,9999)</f>
        <v>39</v>
      </c>
      <c r="BH230" s="0" t="n">
        <f aca="false">IF(Presupuesto!$B$40='Flujo de Pagos'!$E230,40,9999)</f>
        <v>40</v>
      </c>
      <c r="BI230" s="0" t="n">
        <f aca="false">IF(Presupuesto!$B$41='Flujo de Pagos'!$E230,41,9999)</f>
        <v>41</v>
      </c>
      <c r="BJ230" s="0" t="n">
        <f aca="false">IF(Presupuesto!$B$42='Flujo de Pagos'!$E230,42,9999)</f>
        <v>42</v>
      </c>
      <c r="BK230" s="0" t="n">
        <f aca="false">IF(Presupuesto!$B$43='Flujo de Pagos'!$E230,43,9999)</f>
        <v>43</v>
      </c>
      <c r="BL230" s="0" t="n">
        <f aca="false">IF(Presupuesto!$B$44='Flujo de Pagos'!$E230,44,9999)</f>
        <v>44</v>
      </c>
      <c r="BM230" s="0" t="n">
        <f aca="false">IF(Presupuesto!$B$45='Flujo de Pagos'!$E230,45,9999)</f>
        <v>45</v>
      </c>
      <c r="BN230" s="0" t="n">
        <f aca="false">IF(Presupuesto!$B$46='Flujo de Pagos'!$E230,46,9999)</f>
        <v>46</v>
      </c>
      <c r="BO230" s="0" t="n">
        <f aca="false">IF(Presupuesto!$B$47='Flujo de Pagos'!$E230,47,9999)</f>
        <v>47</v>
      </c>
      <c r="BP230" s="0" t="n">
        <f aca="false">IF(Presupuesto!$B$48='Flujo de Pagos'!$E230,48,9999)</f>
        <v>48</v>
      </c>
      <c r="BQ230" s="0" t="n">
        <f aca="false">IF(Presupuesto!$B$49='Flujo de Pagos'!$E230,49,9999)</f>
        <v>49</v>
      </c>
      <c r="BR230" s="0" t="n">
        <f aca="false">IF(Presupuesto!$B$50='Flujo de Pagos'!$E230,50,9999)</f>
        <v>50</v>
      </c>
      <c r="BS230" s="0" t="n">
        <f aca="false">IF(Presupuesto!$B$51='Flujo de Pagos'!$E230,51,9999)</f>
        <v>51</v>
      </c>
      <c r="BT230" s="0" t="n">
        <f aca="false">IF(Presupuesto!$B$52='Flujo de Pagos'!$E230,52,9999)</f>
        <v>52</v>
      </c>
      <c r="BU230" s="0" t="n">
        <f aca="false">IF(Presupuesto!$B$53='Flujo de Pagos'!$E230,53,9999)</f>
        <v>53</v>
      </c>
      <c r="BV230" s="0" t="n">
        <f aca="false">IF(Presupuesto!$B$54='Flujo de Pagos'!$E230,54,9999)</f>
        <v>54</v>
      </c>
      <c r="BW230" s="0" t="n">
        <f aca="false">IF(Presupuesto!$B$55='Flujo de Pagos'!$E230,55,9999)</f>
        <v>55</v>
      </c>
      <c r="BX230" s="0" t="n">
        <f aca="false">IF(Presupuesto!$B$56='Flujo de Pagos'!$E230,56,9999)</f>
        <v>56</v>
      </c>
      <c r="BY230" s="0" t="n">
        <f aca="false">IF(Presupuesto!$B$57='Flujo de Pagos'!$E230,57,9999)</f>
        <v>57</v>
      </c>
      <c r="BZ230" s="0" t="n">
        <f aca="false">IF(Presupuesto!$B$58='Flujo de Pagos'!$E230,58,9999)</f>
        <v>58</v>
      </c>
      <c r="CA230" s="0" t="n">
        <f aca="false">IF(Presupuesto!$B$59='Flujo de Pagos'!$E230,59,9999)</f>
        <v>59</v>
      </c>
      <c r="CB230" s="0" t="n">
        <f aca="false">IF(Presupuesto!$B$60='Flujo de Pagos'!$E230,60,9999)</f>
        <v>60</v>
      </c>
      <c r="CC230" s="0" t="n">
        <f aca="false">IF(Presupuesto!$B$61='Flujo de Pagos'!$E230,61,9999)</f>
        <v>61</v>
      </c>
      <c r="CD230" s="0" t="n">
        <f aca="false">IF(Presupuesto!$B$62='Flujo de Pagos'!$E230,62,9999)</f>
        <v>62</v>
      </c>
      <c r="CE230" s="0" t="n">
        <f aca="false">IF(Presupuesto!$B$63='Flujo de Pagos'!$E230,63,9999)</f>
        <v>63</v>
      </c>
      <c r="CF230" s="0" t="n">
        <f aca="false">IF(Presupuesto!$B$64='Flujo de Pagos'!$E230,64,9999)</f>
        <v>64</v>
      </c>
      <c r="CG230" s="0" t="n">
        <f aca="false">IF(Presupuesto!$B$65='Flujo de Pagos'!$E230,65,9999)</f>
        <v>65</v>
      </c>
      <c r="CH230" s="0" t="n">
        <f aca="false">IF(Presupuesto!$B$66='Flujo de Pagos'!$E230,66,9999)</f>
        <v>66</v>
      </c>
    </row>
    <row r="231" customFormat="false" ht="15" hidden="false" customHeight="true" outlineLevel="0" collapsed="false">
      <c r="B231" s="1" t="n">
        <f aca="false">IF(AND('Flujo de Pagos'!E236=Carátula!$B$2,'Flujo de Pagos'!F236=Carátula!$B$4,'Flujo de Pagos'!H236&lt;&gt;""),236,99999)</f>
        <v>99999</v>
      </c>
      <c r="H231" s="1" t="n">
        <f aca="false">IF(SMALL($AA231:$CH231,1)&gt;=9999,"",INDEX(Presupuesto!$C:$C,SMALL($AA231:$CH231,1)))</f>
        <v>0</v>
      </c>
      <c r="I231" s="1" t="n">
        <f aca="false">IF(SMALL($AA231:$CH231,2)&gt;=9999,"",INDEX(Presupuesto!$C:$C,SMALL($AA231:$CH231,2)))</f>
        <v>0</v>
      </c>
      <c r="J231" s="1" t="n">
        <f aca="false">IF(SMALL($AA231:$CH231,3)&gt;=9999,"",INDEX(Presupuesto!$C:$C,SMALL($AA231:$CH231,3)))</f>
        <v>0</v>
      </c>
      <c r="K231" s="1" t="n">
        <f aca="false">IF(SMALL($AA231:$CH231,4)&gt;=9999,"",INDEX(Presupuesto!$C:$C,SMALL($AA231:$CH231,4)))</f>
        <v>0</v>
      </c>
      <c r="L231" s="1" t="n">
        <f aca="false">IF(SMALL($AA231:$CH231,5)&gt;=9999,"",INDEX(Presupuesto!$C:$C,SMALL($AA231:$CH231,5)))</f>
        <v>0</v>
      </c>
      <c r="M231" s="1" t="n">
        <f aca="false">IF(SMALL($AA231:$CH231,6)&gt;=9999,"",INDEX(Presupuesto!$C:$C,SMALL($AA231:$CH231,6)))</f>
        <v>0</v>
      </c>
      <c r="N231" s="1" t="n">
        <f aca="false">IF(SMALL($AA231:$CH231,7)&gt;=9999,"",INDEX(Presupuesto!$C:$C,SMALL($AA231:$CH231,7)))</f>
        <v>0</v>
      </c>
      <c r="O231" s="1" t="n">
        <f aca="false">IF(SMALL($AA231:$CH231,8)&gt;=9999,"",INDEX(Presupuesto!$C:$C,SMALL($AA231:$CH231,8)))</f>
        <v>0</v>
      </c>
      <c r="P231" s="1" t="n">
        <f aca="false">IF(SMALL($AA231:$CH231,9)&gt;=9999,"",INDEX(Presupuesto!$C:$C,SMALL($AA231:$CH231,9)))</f>
        <v>0</v>
      </c>
      <c r="Q231" s="1" t="n">
        <f aca="false">IF(SMALL($AA231:$CH231,10)&gt;=9999,"",INDEX(Presupuesto!$C:$C,SMALL($AA231:$CH231,10)))</f>
        <v>0</v>
      </c>
      <c r="AA231" s="0" t="n">
        <f aca="false">IF(Presupuesto!$B$7='Flujo de Pagos'!$E231,7,9999)</f>
        <v>9999</v>
      </c>
      <c r="AB231" s="0" t="n">
        <f aca="false">IF(Presupuesto!$B$8='Flujo de Pagos'!$E231,8,9999)</f>
        <v>9999</v>
      </c>
      <c r="AC231" s="0" t="n">
        <f aca="false">IF(Presupuesto!$B$9='Flujo de Pagos'!$E231,9,9999)</f>
        <v>9999</v>
      </c>
      <c r="AD231" s="0" t="n">
        <f aca="false">IF(Presupuesto!$B$10='Flujo de Pagos'!$E231,10,9999)</f>
        <v>9999</v>
      </c>
      <c r="AE231" s="0" t="n">
        <f aca="false">IF(Presupuesto!$B$11='Flujo de Pagos'!$E231,11,9999)</f>
        <v>9999</v>
      </c>
      <c r="AF231" s="0" t="n">
        <f aca="false">IF(Presupuesto!$B$12='Flujo de Pagos'!$E231,12,9999)</f>
        <v>12</v>
      </c>
      <c r="AG231" s="0" t="n">
        <f aca="false">IF(Presupuesto!$B$13='Flujo de Pagos'!$E231,13,9999)</f>
        <v>13</v>
      </c>
      <c r="AH231" s="0" t="n">
        <f aca="false">IF(Presupuesto!$B$14='Flujo de Pagos'!$E231,14,9999)</f>
        <v>14</v>
      </c>
      <c r="AI231" s="0" t="n">
        <f aca="false">IF(Presupuesto!$B$15='Flujo de Pagos'!$E231,15,9999)</f>
        <v>15</v>
      </c>
      <c r="AJ231" s="0" t="n">
        <f aca="false">IF(Presupuesto!$B$16='Flujo de Pagos'!$E231,16,9999)</f>
        <v>16</v>
      </c>
      <c r="AK231" s="0" t="n">
        <f aca="false">IF(Presupuesto!$B$17='Flujo de Pagos'!$E231,17,9999)</f>
        <v>17</v>
      </c>
      <c r="AL231" s="0" t="n">
        <f aca="false">IF(Presupuesto!$B$18='Flujo de Pagos'!$E231,18,9999)</f>
        <v>18</v>
      </c>
      <c r="AM231" s="0" t="n">
        <f aca="false">IF(Presupuesto!$B$19='Flujo de Pagos'!$E231,19,9999)</f>
        <v>19</v>
      </c>
      <c r="AN231" s="0" t="n">
        <f aca="false">IF(Presupuesto!$B$20='Flujo de Pagos'!$E231,20,9999)</f>
        <v>20</v>
      </c>
      <c r="AO231" s="0" t="n">
        <f aca="false">IF(Presupuesto!$B$21='Flujo de Pagos'!$E231,21,9999)</f>
        <v>21</v>
      </c>
      <c r="AP231" s="0" t="n">
        <f aca="false">IF(Presupuesto!$B$22='Flujo de Pagos'!$E231,22,9999)</f>
        <v>22</v>
      </c>
      <c r="AQ231" s="0" t="n">
        <f aca="false">IF(Presupuesto!$B$23='Flujo de Pagos'!$E231,23,9999)</f>
        <v>23</v>
      </c>
      <c r="AR231" s="0" t="n">
        <f aca="false">IF(Presupuesto!$B$24='Flujo de Pagos'!$E231,24,9999)</f>
        <v>24</v>
      </c>
      <c r="AS231" s="0" t="n">
        <f aca="false">IF(Presupuesto!$B$25='Flujo de Pagos'!$E231,25,9999)</f>
        <v>25</v>
      </c>
      <c r="AT231" s="0" t="n">
        <f aca="false">IF(Presupuesto!$B$26='Flujo de Pagos'!$E231,26,9999)</f>
        <v>26</v>
      </c>
      <c r="AU231" s="0" t="n">
        <f aca="false">IF(Presupuesto!$B$27='Flujo de Pagos'!$E231,27,9999)</f>
        <v>27</v>
      </c>
      <c r="AV231" s="0" t="n">
        <f aca="false">IF(Presupuesto!$B$28='Flujo de Pagos'!$E231,28,9999)</f>
        <v>28</v>
      </c>
      <c r="AW231" s="0" t="n">
        <f aca="false">IF(Presupuesto!$B$29='Flujo de Pagos'!$E231,29,9999)</f>
        <v>29</v>
      </c>
      <c r="AX231" s="0" t="n">
        <f aca="false">IF(Presupuesto!$B$30='Flujo de Pagos'!$E231,30,9999)</f>
        <v>30</v>
      </c>
      <c r="AY231" s="0" t="n">
        <f aca="false">IF(Presupuesto!$B$31='Flujo de Pagos'!$E231,31,9999)</f>
        <v>31</v>
      </c>
      <c r="AZ231" s="0" t="n">
        <f aca="false">IF(Presupuesto!$B$32='Flujo de Pagos'!$E231,32,9999)</f>
        <v>32</v>
      </c>
      <c r="BA231" s="0" t="n">
        <f aca="false">IF(Presupuesto!$B$33='Flujo de Pagos'!$E231,33,9999)</f>
        <v>33</v>
      </c>
      <c r="BB231" s="0" t="n">
        <f aca="false">IF(Presupuesto!$B$34='Flujo de Pagos'!$E231,34,9999)</f>
        <v>34</v>
      </c>
      <c r="BC231" s="0" t="n">
        <f aca="false">IF(Presupuesto!$B$35='Flujo de Pagos'!$E231,35,9999)</f>
        <v>35</v>
      </c>
      <c r="BD231" s="0" t="n">
        <f aca="false">IF(Presupuesto!$B$36='Flujo de Pagos'!$E231,36,9999)</f>
        <v>36</v>
      </c>
      <c r="BE231" s="0" t="n">
        <f aca="false">IF(Presupuesto!$B$37='Flujo de Pagos'!$E231,37,9999)</f>
        <v>37</v>
      </c>
      <c r="BF231" s="0" t="n">
        <f aca="false">IF(Presupuesto!$B$38='Flujo de Pagos'!$E231,38,9999)</f>
        <v>38</v>
      </c>
      <c r="BG231" s="0" t="n">
        <f aca="false">IF(Presupuesto!$B$39='Flujo de Pagos'!$E231,39,9999)</f>
        <v>39</v>
      </c>
      <c r="BH231" s="0" t="n">
        <f aca="false">IF(Presupuesto!$B$40='Flujo de Pagos'!$E231,40,9999)</f>
        <v>40</v>
      </c>
      <c r="BI231" s="0" t="n">
        <f aca="false">IF(Presupuesto!$B$41='Flujo de Pagos'!$E231,41,9999)</f>
        <v>41</v>
      </c>
      <c r="BJ231" s="0" t="n">
        <f aca="false">IF(Presupuesto!$B$42='Flujo de Pagos'!$E231,42,9999)</f>
        <v>42</v>
      </c>
      <c r="BK231" s="0" t="n">
        <f aca="false">IF(Presupuesto!$B$43='Flujo de Pagos'!$E231,43,9999)</f>
        <v>43</v>
      </c>
      <c r="BL231" s="0" t="n">
        <f aca="false">IF(Presupuesto!$B$44='Flujo de Pagos'!$E231,44,9999)</f>
        <v>44</v>
      </c>
      <c r="BM231" s="0" t="n">
        <f aca="false">IF(Presupuesto!$B$45='Flujo de Pagos'!$E231,45,9999)</f>
        <v>45</v>
      </c>
      <c r="BN231" s="0" t="n">
        <f aca="false">IF(Presupuesto!$B$46='Flujo de Pagos'!$E231,46,9999)</f>
        <v>46</v>
      </c>
      <c r="BO231" s="0" t="n">
        <f aca="false">IF(Presupuesto!$B$47='Flujo de Pagos'!$E231,47,9999)</f>
        <v>47</v>
      </c>
      <c r="BP231" s="0" t="n">
        <f aca="false">IF(Presupuesto!$B$48='Flujo de Pagos'!$E231,48,9999)</f>
        <v>48</v>
      </c>
      <c r="BQ231" s="0" t="n">
        <f aca="false">IF(Presupuesto!$B$49='Flujo de Pagos'!$E231,49,9999)</f>
        <v>49</v>
      </c>
      <c r="BR231" s="0" t="n">
        <f aca="false">IF(Presupuesto!$B$50='Flujo de Pagos'!$E231,50,9999)</f>
        <v>50</v>
      </c>
      <c r="BS231" s="0" t="n">
        <f aca="false">IF(Presupuesto!$B$51='Flujo de Pagos'!$E231,51,9999)</f>
        <v>51</v>
      </c>
      <c r="BT231" s="0" t="n">
        <f aca="false">IF(Presupuesto!$B$52='Flujo de Pagos'!$E231,52,9999)</f>
        <v>52</v>
      </c>
      <c r="BU231" s="0" t="n">
        <f aca="false">IF(Presupuesto!$B$53='Flujo de Pagos'!$E231,53,9999)</f>
        <v>53</v>
      </c>
      <c r="BV231" s="0" t="n">
        <f aca="false">IF(Presupuesto!$B$54='Flujo de Pagos'!$E231,54,9999)</f>
        <v>54</v>
      </c>
      <c r="BW231" s="0" t="n">
        <f aca="false">IF(Presupuesto!$B$55='Flujo de Pagos'!$E231,55,9999)</f>
        <v>55</v>
      </c>
      <c r="BX231" s="0" t="n">
        <f aca="false">IF(Presupuesto!$B$56='Flujo de Pagos'!$E231,56,9999)</f>
        <v>56</v>
      </c>
      <c r="BY231" s="0" t="n">
        <f aca="false">IF(Presupuesto!$B$57='Flujo de Pagos'!$E231,57,9999)</f>
        <v>57</v>
      </c>
      <c r="BZ231" s="0" t="n">
        <f aca="false">IF(Presupuesto!$B$58='Flujo de Pagos'!$E231,58,9999)</f>
        <v>58</v>
      </c>
      <c r="CA231" s="0" t="n">
        <f aca="false">IF(Presupuesto!$B$59='Flujo de Pagos'!$E231,59,9999)</f>
        <v>59</v>
      </c>
      <c r="CB231" s="0" t="n">
        <f aca="false">IF(Presupuesto!$B$60='Flujo de Pagos'!$E231,60,9999)</f>
        <v>60</v>
      </c>
      <c r="CC231" s="0" t="n">
        <f aca="false">IF(Presupuesto!$B$61='Flujo de Pagos'!$E231,61,9999)</f>
        <v>61</v>
      </c>
      <c r="CD231" s="0" t="n">
        <f aca="false">IF(Presupuesto!$B$62='Flujo de Pagos'!$E231,62,9999)</f>
        <v>62</v>
      </c>
      <c r="CE231" s="0" t="n">
        <f aca="false">IF(Presupuesto!$B$63='Flujo de Pagos'!$E231,63,9999)</f>
        <v>63</v>
      </c>
      <c r="CF231" s="0" t="n">
        <f aca="false">IF(Presupuesto!$B$64='Flujo de Pagos'!$E231,64,9999)</f>
        <v>64</v>
      </c>
      <c r="CG231" s="0" t="n">
        <f aca="false">IF(Presupuesto!$B$65='Flujo de Pagos'!$E231,65,9999)</f>
        <v>65</v>
      </c>
      <c r="CH231" s="0" t="n">
        <f aca="false">IF(Presupuesto!$B$66='Flujo de Pagos'!$E231,66,9999)</f>
        <v>66</v>
      </c>
    </row>
    <row r="232" customFormat="false" ht="15" hidden="false" customHeight="true" outlineLevel="0" collapsed="false">
      <c r="B232" s="1" t="n">
        <f aca="false">IF(AND('Flujo de Pagos'!E237=Carátula!$B$2,'Flujo de Pagos'!F237=Carátula!$B$4,'Flujo de Pagos'!H237&lt;&gt;""),237,99999)</f>
        <v>99999</v>
      </c>
      <c r="H232" s="1" t="n">
        <f aca="false">IF(SMALL($AA232:$CH232,1)&gt;=9999,"",INDEX(Presupuesto!$C:$C,SMALL($AA232:$CH232,1)))</f>
        <v>0</v>
      </c>
      <c r="I232" s="1" t="n">
        <f aca="false">IF(SMALL($AA232:$CH232,2)&gt;=9999,"",INDEX(Presupuesto!$C:$C,SMALL($AA232:$CH232,2)))</f>
        <v>0</v>
      </c>
      <c r="J232" s="1" t="n">
        <f aca="false">IF(SMALL($AA232:$CH232,3)&gt;=9999,"",INDEX(Presupuesto!$C:$C,SMALL($AA232:$CH232,3)))</f>
        <v>0</v>
      </c>
      <c r="K232" s="1" t="n">
        <f aca="false">IF(SMALL($AA232:$CH232,4)&gt;=9999,"",INDEX(Presupuesto!$C:$C,SMALL($AA232:$CH232,4)))</f>
        <v>0</v>
      </c>
      <c r="L232" s="1" t="n">
        <f aca="false">IF(SMALL($AA232:$CH232,5)&gt;=9999,"",INDEX(Presupuesto!$C:$C,SMALL($AA232:$CH232,5)))</f>
        <v>0</v>
      </c>
      <c r="M232" s="1" t="n">
        <f aca="false">IF(SMALL($AA232:$CH232,6)&gt;=9999,"",INDEX(Presupuesto!$C:$C,SMALL($AA232:$CH232,6)))</f>
        <v>0</v>
      </c>
      <c r="N232" s="1" t="n">
        <f aca="false">IF(SMALL($AA232:$CH232,7)&gt;=9999,"",INDEX(Presupuesto!$C:$C,SMALL($AA232:$CH232,7)))</f>
        <v>0</v>
      </c>
      <c r="O232" s="1" t="n">
        <f aca="false">IF(SMALL($AA232:$CH232,8)&gt;=9999,"",INDEX(Presupuesto!$C:$C,SMALL($AA232:$CH232,8)))</f>
        <v>0</v>
      </c>
      <c r="P232" s="1" t="n">
        <f aca="false">IF(SMALL($AA232:$CH232,9)&gt;=9999,"",INDEX(Presupuesto!$C:$C,SMALL($AA232:$CH232,9)))</f>
        <v>0</v>
      </c>
      <c r="Q232" s="1" t="n">
        <f aca="false">IF(SMALL($AA232:$CH232,10)&gt;=9999,"",INDEX(Presupuesto!$C:$C,SMALL($AA232:$CH232,10)))</f>
        <v>0</v>
      </c>
      <c r="AA232" s="0" t="n">
        <f aca="false">IF(Presupuesto!$B$7='Flujo de Pagos'!$E232,7,9999)</f>
        <v>9999</v>
      </c>
      <c r="AB232" s="0" t="n">
        <f aca="false">IF(Presupuesto!$B$8='Flujo de Pagos'!$E232,8,9999)</f>
        <v>9999</v>
      </c>
      <c r="AC232" s="0" t="n">
        <f aca="false">IF(Presupuesto!$B$9='Flujo de Pagos'!$E232,9,9999)</f>
        <v>9999</v>
      </c>
      <c r="AD232" s="0" t="n">
        <f aca="false">IF(Presupuesto!$B$10='Flujo de Pagos'!$E232,10,9999)</f>
        <v>9999</v>
      </c>
      <c r="AE232" s="0" t="n">
        <f aca="false">IF(Presupuesto!$B$11='Flujo de Pagos'!$E232,11,9999)</f>
        <v>9999</v>
      </c>
      <c r="AF232" s="0" t="n">
        <f aca="false">IF(Presupuesto!$B$12='Flujo de Pagos'!$E232,12,9999)</f>
        <v>12</v>
      </c>
      <c r="AG232" s="0" t="n">
        <f aca="false">IF(Presupuesto!$B$13='Flujo de Pagos'!$E232,13,9999)</f>
        <v>13</v>
      </c>
      <c r="AH232" s="0" t="n">
        <f aca="false">IF(Presupuesto!$B$14='Flujo de Pagos'!$E232,14,9999)</f>
        <v>14</v>
      </c>
      <c r="AI232" s="0" t="n">
        <f aca="false">IF(Presupuesto!$B$15='Flujo de Pagos'!$E232,15,9999)</f>
        <v>15</v>
      </c>
      <c r="AJ232" s="0" t="n">
        <f aca="false">IF(Presupuesto!$B$16='Flujo de Pagos'!$E232,16,9999)</f>
        <v>16</v>
      </c>
      <c r="AK232" s="0" t="n">
        <f aca="false">IF(Presupuesto!$B$17='Flujo de Pagos'!$E232,17,9999)</f>
        <v>17</v>
      </c>
      <c r="AL232" s="0" t="n">
        <f aca="false">IF(Presupuesto!$B$18='Flujo de Pagos'!$E232,18,9999)</f>
        <v>18</v>
      </c>
      <c r="AM232" s="0" t="n">
        <f aca="false">IF(Presupuesto!$B$19='Flujo de Pagos'!$E232,19,9999)</f>
        <v>19</v>
      </c>
      <c r="AN232" s="0" t="n">
        <f aca="false">IF(Presupuesto!$B$20='Flujo de Pagos'!$E232,20,9999)</f>
        <v>20</v>
      </c>
      <c r="AO232" s="0" t="n">
        <f aca="false">IF(Presupuesto!$B$21='Flujo de Pagos'!$E232,21,9999)</f>
        <v>21</v>
      </c>
      <c r="AP232" s="0" t="n">
        <f aca="false">IF(Presupuesto!$B$22='Flujo de Pagos'!$E232,22,9999)</f>
        <v>22</v>
      </c>
      <c r="AQ232" s="0" t="n">
        <f aca="false">IF(Presupuesto!$B$23='Flujo de Pagos'!$E232,23,9999)</f>
        <v>23</v>
      </c>
      <c r="AR232" s="0" t="n">
        <f aca="false">IF(Presupuesto!$B$24='Flujo de Pagos'!$E232,24,9999)</f>
        <v>24</v>
      </c>
      <c r="AS232" s="0" t="n">
        <f aca="false">IF(Presupuesto!$B$25='Flujo de Pagos'!$E232,25,9999)</f>
        <v>25</v>
      </c>
      <c r="AT232" s="0" t="n">
        <f aca="false">IF(Presupuesto!$B$26='Flujo de Pagos'!$E232,26,9999)</f>
        <v>26</v>
      </c>
      <c r="AU232" s="0" t="n">
        <f aca="false">IF(Presupuesto!$B$27='Flujo de Pagos'!$E232,27,9999)</f>
        <v>27</v>
      </c>
      <c r="AV232" s="0" t="n">
        <f aca="false">IF(Presupuesto!$B$28='Flujo de Pagos'!$E232,28,9999)</f>
        <v>28</v>
      </c>
      <c r="AW232" s="0" t="n">
        <f aca="false">IF(Presupuesto!$B$29='Flujo de Pagos'!$E232,29,9999)</f>
        <v>29</v>
      </c>
      <c r="AX232" s="0" t="n">
        <f aca="false">IF(Presupuesto!$B$30='Flujo de Pagos'!$E232,30,9999)</f>
        <v>30</v>
      </c>
      <c r="AY232" s="0" t="n">
        <f aca="false">IF(Presupuesto!$B$31='Flujo de Pagos'!$E232,31,9999)</f>
        <v>31</v>
      </c>
      <c r="AZ232" s="0" t="n">
        <f aca="false">IF(Presupuesto!$B$32='Flujo de Pagos'!$E232,32,9999)</f>
        <v>32</v>
      </c>
      <c r="BA232" s="0" t="n">
        <f aca="false">IF(Presupuesto!$B$33='Flujo de Pagos'!$E232,33,9999)</f>
        <v>33</v>
      </c>
      <c r="BB232" s="0" t="n">
        <f aca="false">IF(Presupuesto!$B$34='Flujo de Pagos'!$E232,34,9999)</f>
        <v>34</v>
      </c>
      <c r="BC232" s="0" t="n">
        <f aca="false">IF(Presupuesto!$B$35='Flujo de Pagos'!$E232,35,9999)</f>
        <v>35</v>
      </c>
      <c r="BD232" s="0" t="n">
        <f aca="false">IF(Presupuesto!$B$36='Flujo de Pagos'!$E232,36,9999)</f>
        <v>36</v>
      </c>
      <c r="BE232" s="0" t="n">
        <f aca="false">IF(Presupuesto!$B$37='Flujo de Pagos'!$E232,37,9999)</f>
        <v>37</v>
      </c>
      <c r="BF232" s="0" t="n">
        <f aca="false">IF(Presupuesto!$B$38='Flujo de Pagos'!$E232,38,9999)</f>
        <v>38</v>
      </c>
      <c r="BG232" s="0" t="n">
        <f aca="false">IF(Presupuesto!$B$39='Flujo de Pagos'!$E232,39,9999)</f>
        <v>39</v>
      </c>
      <c r="BH232" s="0" t="n">
        <f aca="false">IF(Presupuesto!$B$40='Flujo de Pagos'!$E232,40,9999)</f>
        <v>40</v>
      </c>
      <c r="BI232" s="0" t="n">
        <f aca="false">IF(Presupuesto!$B$41='Flujo de Pagos'!$E232,41,9999)</f>
        <v>41</v>
      </c>
      <c r="BJ232" s="0" t="n">
        <f aca="false">IF(Presupuesto!$B$42='Flujo de Pagos'!$E232,42,9999)</f>
        <v>42</v>
      </c>
      <c r="BK232" s="0" t="n">
        <f aca="false">IF(Presupuesto!$B$43='Flujo de Pagos'!$E232,43,9999)</f>
        <v>43</v>
      </c>
      <c r="BL232" s="0" t="n">
        <f aca="false">IF(Presupuesto!$B$44='Flujo de Pagos'!$E232,44,9999)</f>
        <v>44</v>
      </c>
      <c r="BM232" s="0" t="n">
        <f aca="false">IF(Presupuesto!$B$45='Flujo de Pagos'!$E232,45,9999)</f>
        <v>45</v>
      </c>
      <c r="BN232" s="0" t="n">
        <f aca="false">IF(Presupuesto!$B$46='Flujo de Pagos'!$E232,46,9999)</f>
        <v>46</v>
      </c>
      <c r="BO232" s="0" t="n">
        <f aca="false">IF(Presupuesto!$B$47='Flujo de Pagos'!$E232,47,9999)</f>
        <v>47</v>
      </c>
      <c r="BP232" s="0" t="n">
        <f aca="false">IF(Presupuesto!$B$48='Flujo de Pagos'!$E232,48,9999)</f>
        <v>48</v>
      </c>
      <c r="BQ232" s="0" t="n">
        <f aca="false">IF(Presupuesto!$B$49='Flujo de Pagos'!$E232,49,9999)</f>
        <v>49</v>
      </c>
      <c r="BR232" s="0" t="n">
        <f aca="false">IF(Presupuesto!$B$50='Flujo de Pagos'!$E232,50,9999)</f>
        <v>50</v>
      </c>
      <c r="BS232" s="0" t="n">
        <f aca="false">IF(Presupuesto!$B$51='Flujo de Pagos'!$E232,51,9999)</f>
        <v>51</v>
      </c>
      <c r="BT232" s="0" t="n">
        <f aca="false">IF(Presupuesto!$B$52='Flujo de Pagos'!$E232,52,9999)</f>
        <v>52</v>
      </c>
      <c r="BU232" s="0" t="n">
        <f aca="false">IF(Presupuesto!$B$53='Flujo de Pagos'!$E232,53,9999)</f>
        <v>53</v>
      </c>
      <c r="BV232" s="0" t="n">
        <f aca="false">IF(Presupuesto!$B$54='Flujo de Pagos'!$E232,54,9999)</f>
        <v>54</v>
      </c>
      <c r="BW232" s="0" t="n">
        <f aca="false">IF(Presupuesto!$B$55='Flujo de Pagos'!$E232,55,9999)</f>
        <v>55</v>
      </c>
      <c r="BX232" s="0" t="n">
        <f aca="false">IF(Presupuesto!$B$56='Flujo de Pagos'!$E232,56,9999)</f>
        <v>56</v>
      </c>
      <c r="BY232" s="0" t="n">
        <f aca="false">IF(Presupuesto!$B$57='Flujo de Pagos'!$E232,57,9999)</f>
        <v>57</v>
      </c>
      <c r="BZ232" s="0" t="n">
        <f aca="false">IF(Presupuesto!$B$58='Flujo de Pagos'!$E232,58,9999)</f>
        <v>58</v>
      </c>
      <c r="CA232" s="0" t="n">
        <f aca="false">IF(Presupuesto!$B$59='Flujo de Pagos'!$E232,59,9999)</f>
        <v>59</v>
      </c>
      <c r="CB232" s="0" t="n">
        <f aca="false">IF(Presupuesto!$B$60='Flujo de Pagos'!$E232,60,9999)</f>
        <v>60</v>
      </c>
      <c r="CC232" s="0" t="n">
        <f aca="false">IF(Presupuesto!$B$61='Flujo de Pagos'!$E232,61,9999)</f>
        <v>61</v>
      </c>
      <c r="CD232" s="0" t="n">
        <f aca="false">IF(Presupuesto!$B$62='Flujo de Pagos'!$E232,62,9999)</f>
        <v>62</v>
      </c>
      <c r="CE232" s="0" t="n">
        <f aca="false">IF(Presupuesto!$B$63='Flujo de Pagos'!$E232,63,9999)</f>
        <v>63</v>
      </c>
      <c r="CF232" s="0" t="n">
        <f aca="false">IF(Presupuesto!$B$64='Flujo de Pagos'!$E232,64,9999)</f>
        <v>64</v>
      </c>
      <c r="CG232" s="0" t="n">
        <f aca="false">IF(Presupuesto!$B$65='Flujo de Pagos'!$E232,65,9999)</f>
        <v>65</v>
      </c>
      <c r="CH232" s="0" t="n">
        <f aca="false">IF(Presupuesto!$B$66='Flujo de Pagos'!$E232,66,9999)</f>
        <v>66</v>
      </c>
    </row>
    <row r="233" customFormat="false" ht="15" hidden="false" customHeight="true" outlineLevel="0" collapsed="false">
      <c r="B233" s="1" t="n">
        <f aca="false">IF(AND('Flujo de Pagos'!E238=Carátula!$B$2,'Flujo de Pagos'!F238=Carátula!$B$4,'Flujo de Pagos'!H238&lt;&gt;""),238,99999)</f>
        <v>99999</v>
      </c>
      <c r="H233" s="1" t="n">
        <f aca="false">IF(SMALL($AA233:$CH233,1)&gt;=9999,"",INDEX(Presupuesto!$C:$C,SMALL($AA233:$CH233,1)))</f>
        <v>0</v>
      </c>
      <c r="I233" s="1" t="n">
        <f aca="false">IF(SMALL($AA233:$CH233,2)&gt;=9999,"",INDEX(Presupuesto!$C:$C,SMALL($AA233:$CH233,2)))</f>
        <v>0</v>
      </c>
      <c r="J233" s="1" t="n">
        <f aca="false">IF(SMALL($AA233:$CH233,3)&gt;=9999,"",INDEX(Presupuesto!$C:$C,SMALL($AA233:$CH233,3)))</f>
        <v>0</v>
      </c>
      <c r="K233" s="1" t="n">
        <f aca="false">IF(SMALL($AA233:$CH233,4)&gt;=9999,"",INDEX(Presupuesto!$C:$C,SMALL($AA233:$CH233,4)))</f>
        <v>0</v>
      </c>
      <c r="L233" s="1" t="n">
        <f aca="false">IF(SMALL($AA233:$CH233,5)&gt;=9999,"",INDEX(Presupuesto!$C:$C,SMALL($AA233:$CH233,5)))</f>
        <v>0</v>
      </c>
      <c r="M233" s="1" t="n">
        <f aca="false">IF(SMALL($AA233:$CH233,6)&gt;=9999,"",INDEX(Presupuesto!$C:$C,SMALL($AA233:$CH233,6)))</f>
        <v>0</v>
      </c>
      <c r="N233" s="1" t="n">
        <f aca="false">IF(SMALL($AA233:$CH233,7)&gt;=9999,"",INDEX(Presupuesto!$C:$C,SMALL($AA233:$CH233,7)))</f>
        <v>0</v>
      </c>
      <c r="O233" s="1" t="n">
        <f aca="false">IF(SMALL($AA233:$CH233,8)&gt;=9999,"",INDEX(Presupuesto!$C:$C,SMALL($AA233:$CH233,8)))</f>
        <v>0</v>
      </c>
      <c r="P233" s="1" t="n">
        <f aca="false">IF(SMALL($AA233:$CH233,9)&gt;=9999,"",INDEX(Presupuesto!$C:$C,SMALL($AA233:$CH233,9)))</f>
        <v>0</v>
      </c>
      <c r="Q233" s="1" t="n">
        <f aca="false">IF(SMALL($AA233:$CH233,10)&gt;=9999,"",INDEX(Presupuesto!$C:$C,SMALL($AA233:$CH233,10)))</f>
        <v>0</v>
      </c>
      <c r="AA233" s="0" t="n">
        <f aca="false">IF(Presupuesto!$B$7='Flujo de Pagos'!$E233,7,9999)</f>
        <v>9999</v>
      </c>
      <c r="AB233" s="0" t="n">
        <f aca="false">IF(Presupuesto!$B$8='Flujo de Pagos'!$E233,8,9999)</f>
        <v>9999</v>
      </c>
      <c r="AC233" s="0" t="n">
        <f aca="false">IF(Presupuesto!$B$9='Flujo de Pagos'!$E233,9,9999)</f>
        <v>9999</v>
      </c>
      <c r="AD233" s="0" t="n">
        <f aca="false">IF(Presupuesto!$B$10='Flujo de Pagos'!$E233,10,9999)</f>
        <v>9999</v>
      </c>
      <c r="AE233" s="0" t="n">
        <f aca="false">IF(Presupuesto!$B$11='Flujo de Pagos'!$E233,11,9999)</f>
        <v>9999</v>
      </c>
      <c r="AF233" s="0" t="n">
        <f aca="false">IF(Presupuesto!$B$12='Flujo de Pagos'!$E233,12,9999)</f>
        <v>12</v>
      </c>
      <c r="AG233" s="0" t="n">
        <f aca="false">IF(Presupuesto!$B$13='Flujo de Pagos'!$E233,13,9999)</f>
        <v>13</v>
      </c>
      <c r="AH233" s="0" t="n">
        <f aca="false">IF(Presupuesto!$B$14='Flujo de Pagos'!$E233,14,9999)</f>
        <v>14</v>
      </c>
      <c r="AI233" s="0" t="n">
        <f aca="false">IF(Presupuesto!$B$15='Flujo de Pagos'!$E233,15,9999)</f>
        <v>15</v>
      </c>
      <c r="AJ233" s="0" t="n">
        <f aca="false">IF(Presupuesto!$B$16='Flujo de Pagos'!$E233,16,9999)</f>
        <v>16</v>
      </c>
      <c r="AK233" s="0" t="n">
        <f aca="false">IF(Presupuesto!$B$17='Flujo de Pagos'!$E233,17,9999)</f>
        <v>17</v>
      </c>
      <c r="AL233" s="0" t="n">
        <f aca="false">IF(Presupuesto!$B$18='Flujo de Pagos'!$E233,18,9999)</f>
        <v>18</v>
      </c>
      <c r="AM233" s="0" t="n">
        <f aca="false">IF(Presupuesto!$B$19='Flujo de Pagos'!$E233,19,9999)</f>
        <v>19</v>
      </c>
      <c r="AN233" s="0" t="n">
        <f aca="false">IF(Presupuesto!$B$20='Flujo de Pagos'!$E233,20,9999)</f>
        <v>20</v>
      </c>
      <c r="AO233" s="0" t="n">
        <f aca="false">IF(Presupuesto!$B$21='Flujo de Pagos'!$E233,21,9999)</f>
        <v>21</v>
      </c>
      <c r="AP233" s="0" t="n">
        <f aca="false">IF(Presupuesto!$B$22='Flujo de Pagos'!$E233,22,9999)</f>
        <v>22</v>
      </c>
      <c r="AQ233" s="0" t="n">
        <f aca="false">IF(Presupuesto!$B$23='Flujo de Pagos'!$E233,23,9999)</f>
        <v>23</v>
      </c>
      <c r="AR233" s="0" t="n">
        <f aca="false">IF(Presupuesto!$B$24='Flujo de Pagos'!$E233,24,9999)</f>
        <v>24</v>
      </c>
      <c r="AS233" s="0" t="n">
        <f aca="false">IF(Presupuesto!$B$25='Flujo de Pagos'!$E233,25,9999)</f>
        <v>25</v>
      </c>
      <c r="AT233" s="0" t="n">
        <f aca="false">IF(Presupuesto!$B$26='Flujo de Pagos'!$E233,26,9999)</f>
        <v>26</v>
      </c>
      <c r="AU233" s="0" t="n">
        <f aca="false">IF(Presupuesto!$B$27='Flujo de Pagos'!$E233,27,9999)</f>
        <v>27</v>
      </c>
      <c r="AV233" s="0" t="n">
        <f aca="false">IF(Presupuesto!$B$28='Flujo de Pagos'!$E233,28,9999)</f>
        <v>28</v>
      </c>
      <c r="AW233" s="0" t="n">
        <f aca="false">IF(Presupuesto!$B$29='Flujo de Pagos'!$E233,29,9999)</f>
        <v>29</v>
      </c>
      <c r="AX233" s="0" t="n">
        <f aca="false">IF(Presupuesto!$B$30='Flujo de Pagos'!$E233,30,9999)</f>
        <v>30</v>
      </c>
      <c r="AY233" s="0" t="n">
        <f aca="false">IF(Presupuesto!$B$31='Flujo de Pagos'!$E233,31,9999)</f>
        <v>31</v>
      </c>
      <c r="AZ233" s="0" t="n">
        <f aca="false">IF(Presupuesto!$B$32='Flujo de Pagos'!$E233,32,9999)</f>
        <v>32</v>
      </c>
      <c r="BA233" s="0" t="n">
        <f aca="false">IF(Presupuesto!$B$33='Flujo de Pagos'!$E233,33,9999)</f>
        <v>33</v>
      </c>
      <c r="BB233" s="0" t="n">
        <f aca="false">IF(Presupuesto!$B$34='Flujo de Pagos'!$E233,34,9999)</f>
        <v>34</v>
      </c>
      <c r="BC233" s="0" t="n">
        <f aca="false">IF(Presupuesto!$B$35='Flujo de Pagos'!$E233,35,9999)</f>
        <v>35</v>
      </c>
      <c r="BD233" s="0" t="n">
        <f aca="false">IF(Presupuesto!$B$36='Flujo de Pagos'!$E233,36,9999)</f>
        <v>36</v>
      </c>
      <c r="BE233" s="0" t="n">
        <f aca="false">IF(Presupuesto!$B$37='Flujo de Pagos'!$E233,37,9999)</f>
        <v>37</v>
      </c>
      <c r="BF233" s="0" t="n">
        <f aca="false">IF(Presupuesto!$B$38='Flujo de Pagos'!$E233,38,9999)</f>
        <v>38</v>
      </c>
      <c r="BG233" s="0" t="n">
        <f aca="false">IF(Presupuesto!$B$39='Flujo de Pagos'!$E233,39,9999)</f>
        <v>39</v>
      </c>
      <c r="BH233" s="0" t="n">
        <f aca="false">IF(Presupuesto!$B$40='Flujo de Pagos'!$E233,40,9999)</f>
        <v>40</v>
      </c>
      <c r="BI233" s="0" t="n">
        <f aca="false">IF(Presupuesto!$B$41='Flujo de Pagos'!$E233,41,9999)</f>
        <v>41</v>
      </c>
      <c r="BJ233" s="0" t="n">
        <f aca="false">IF(Presupuesto!$B$42='Flujo de Pagos'!$E233,42,9999)</f>
        <v>42</v>
      </c>
      <c r="BK233" s="0" t="n">
        <f aca="false">IF(Presupuesto!$B$43='Flujo de Pagos'!$E233,43,9999)</f>
        <v>43</v>
      </c>
      <c r="BL233" s="0" t="n">
        <f aca="false">IF(Presupuesto!$B$44='Flujo de Pagos'!$E233,44,9999)</f>
        <v>44</v>
      </c>
      <c r="BM233" s="0" t="n">
        <f aca="false">IF(Presupuesto!$B$45='Flujo de Pagos'!$E233,45,9999)</f>
        <v>45</v>
      </c>
      <c r="BN233" s="0" t="n">
        <f aca="false">IF(Presupuesto!$B$46='Flujo de Pagos'!$E233,46,9999)</f>
        <v>46</v>
      </c>
      <c r="BO233" s="0" t="n">
        <f aca="false">IF(Presupuesto!$B$47='Flujo de Pagos'!$E233,47,9999)</f>
        <v>47</v>
      </c>
      <c r="BP233" s="0" t="n">
        <f aca="false">IF(Presupuesto!$B$48='Flujo de Pagos'!$E233,48,9999)</f>
        <v>48</v>
      </c>
      <c r="BQ233" s="0" t="n">
        <f aca="false">IF(Presupuesto!$B$49='Flujo de Pagos'!$E233,49,9999)</f>
        <v>49</v>
      </c>
      <c r="BR233" s="0" t="n">
        <f aca="false">IF(Presupuesto!$B$50='Flujo de Pagos'!$E233,50,9999)</f>
        <v>50</v>
      </c>
      <c r="BS233" s="0" t="n">
        <f aca="false">IF(Presupuesto!$B$51='Flujo de Pagos'!$E233,51,9999)</f>
        <v>51</v>
      </c>
      <c r="BT233" s="0" t="n">
        <f aca="false">IF(Presupuesto!$B$52='Flujo de Pagos'!$E233,52,9999)</f>
        <v>52</v>
      </c>
      <c r="BU233" s="0" t="n">
        <f aca="false">IF(Presupuesto!$B$53='Flujo de Pagos'!$E233,53,9999)</f>
        <v>53</v>
      </c>
      <c r="BV233" s="0" t="n">
        <f aca="false">IF(Presupuesto!$B$54='Flujo de Pagos'!$E233,54,9999)</f>
        <v>54</v>
      </c>
      <c r="BW233" s="0" t="n">
        <f aca="false">IF(Presupuesto!$B$55='Flujo de Pagos'!$E233,55,9999)</f>
        <v>55</v>
      </c>
      <c r="BX233" s="0" t="n">
        <f aca="false">IF(Presupuesto!$B$56='Flujo de Pagos'!$E233,56,9999)</f>
        <v>56</v>
      </c>
      <c r="BY233" s="0" t="n">
        <f aca="false">IF(Presupuesto!$B$57='Flujo de Pagos'!$E233,57,9999)</f>
        <v>57</v>
      </c>
      <c r="BZ233" s="0" t="n">
        <f aca="false">IF(Presupuesto!$B$58='Flujo de Pagos'!$E233,58,9999)</f>
        <v>58</v>
      </c>
      <c r="CA233" s="0" t="n">
        <f aca="false">IF(Presupuesto!$B$59='Flujo de Pagos'!$E233,59,9999)</f>
        <v>59</v>
      </c>
      <c r="CB233" s="0" t="n">
        <f aca="false">IF(Presupuesto!$B$60='Flujo de Pagos'!$E233,60,9999)</f>
        <v>60</v>
      </c>
      <c r="CC233" s="0" t="n">
        <f aca="false">IF(Presupuesto!$B$61='Flujo de Pagos'!$E233,61,9999)</f>
        <v>61</v>
      </c>
      <c r="CD233" s="0" t="n">
        <f aca="false">IF(Presupuesto!$B$62='Flujo de Pagos'!$E233,62,9999)</f>
        <v>62</v>
      </c>
      <c r="CE233" s="0" t="n">
        <f aca="false">IF(Presupuesto!$B$63='Flujo de Pagos'!$E233,63,9999)</f>
        <v>63</v>
      </c>
      <c r="CF233" s="0" t="n">
        <f aca="false">IF(Presupuesto!$B$64='Flujo de Pagos'!$E233,64,9999)</f>
        <v>64</v>
      </c>
      <c r="CG233" s="0" t="n">
        <f aca="false">IF(Presupuesto!$B$65='Flujo de Pagos'!$E233,65,9999)</f>
        <v>65</v>
      </c>
      <c r="CH233" s="0" t="n">
        <f aca="false">IF(Presupuesto!$B$66='Flujo de Pagos'!$E233,66,9999)</f>
        <v>66</v>
      </c>
    </row>
    <row r="234" customFormat="false" ht="15" hidden="false" customHeight="true" outlineLevel="0" collapsed="false">
      <c r="B234" s="1" t="n">
        <f aca="false">IF(AND('Flujo de Pagos'!E239=Carátula!$B$2,'Flujo de Pagos'!F239=Carátula!$B$4,'Flujo de Pagos'!H239&lt;&gt;""),239,99999)</f>
        <v>99999</v>
      </c>
      <c r="H234" s="1" t="n">
        <f aca="false">IF(SMALL($AA234:$CH234,1)&gt;=9999,"",INDEX(Presupuesto!$C:$C,SMALL($AA234:$CH234,1)))</f>
        <v>0</v>
      </c>
      <c r="I234" s="1" t="n">
        <f aca="false">IF(SMALL($AA234:$CH234,2)&gt;=9999,"",INDEX(Presupuesto!$C:$C,SMALL($AA234:$CH234,2)))</f>
        <v>0</v>
      </c>
      <c r="J234" s="1" t="n">
        <f aca="false">IF(SMALL($AA234:$CH234,3)&gt;=9999,"",INDEX(Presupuesto!$C:$C,SMALL($AA234:$CH234,3)))</f>
        <v>0</v>
      </c>
      <c r="K234" s="1" t="n">
        <f aca="false">IF(SMALL($AA234:$CH234,4)&gt;=9999,"",INDEX(Presupuesto!$C:$C,SMALL($AA234:$CH234,4)))</f>
        <v>0</v>
      </c>
      <c r="L234" s="1" t="n">
        <f aca="false">IF(SMALL($AA234:$CH234,5)&gt;=9999,"",INDEX(Presupuesto!$C:$C,SMALL($AA234:$CH234,5)))</f>
        <v>0</v>
      </c>
      <c r="M234" s="1" t="n">
        <f aca="false">IF(SMALL($AA234:$CH234,6)&gt;=9999,"",INDEX(Presupuesto!$C:$C,SMALL($AA234:$CH234,6)))</f>
        <v>0</v>
      </c>
      <c r="N234" s="1" t="n">
        <f aca="false">IF(SMALL($AA234:$CH234,7)&gt;=9999,"",INDEX(Presupuesto!$C:$C,SMALL($AA234:$CH234,7)))</f>
        <v>0</v>
      </c>
      <c r="O234" s="1" t="n">
        <f aca="false">IF(SMALL($AA234:$CH234,8)&gt;=9999,"",INDEX(Presupuesto!$C:$C,SMALL($AA234:$CH234,8)))</f>
        <v>0</v>
      </c>
      <c r="P234" s="1" t="n">
        <f aca="false">IF(SMALL($AA234:$CH234,9)&gt;=9999,"",INDEX(Presupuesto!$C:$C,SMALL($AA234:$CH234,9)))</f>
        <v>0</v>
      </c>
      <c r="Q234" s="1" t="n">
        <f aca="false">IF(SMALL($AA234:$CH234,10)&gt;=9999,"",INDEX(Presupuesto!$C:$C,SMALL($AA234:$CH234,10)))</f>
        <v>0</v>
      </c>
      <c r="AA234" s="0" t="n">
        <f aca="false">IF(Presupuesto!$B$7='Flujo de Pagos'!$E234,7,9999)</f>
        <v>9999</v>
      </c>
      <c r="AB234" s="0" t="n">
        <f aca="false">IF(Presupuesto!$B$8='Flujo de Pagos'!$E234,8,9999)</f>
        <v>9999</v>
      </c>
      <c r="AC234" s="0" t="n">
        <f aca="false">IF(Presupuesto!$B$9='Flujo de Pagos'!$E234,9,9999)</f>
        <v>9999</v>
      </c>
      <c r="AD234" s="0" t="n">
        <f aca="false">IF(Presupuesto!$B$10='Flujo de Pagos'!$E234,10,9999)</f>
        <v>9999</v>
      </c>
      <c r="AE234" s="0" t="n">
        <f aca="false">IF(Presupuesto!$B$11='Flujo de Pagos'!$E234,11,9999)</f>
        <v>9999</v>
      </c>
      <c r="AF234" s="0" t="n">
        <f aca="false">IF(Presupuesto!$B$12='Flujo de Pagos'!$E234,12,9999)</f>
        <v>12</v>
      </c>
      <c r="AG234" s="0" t="n">
        <f aca="false">IF(Presupuesto!$B$13='Flujo de Pagos'!$E234,13,9999)</f>
        <v>13</v>
      </c>
      <c r="AH234" s="0" t="n">
        <f aca="false">IF(Presupuesto!$B$14='Flujo de Pagos'!$E234,14,9999)</f>
        <v>14</v>
      </c>
      <c r="AI234" s="0" t="n">
        <f aca="false">IF(Presupuesto!$B$15='Flujo de Pagos'!$E234,15,9999)</f>
        <v>15</v>
      </c>
      <c r="AJ234" s="0" t="n">
        <f aca="false">IF(Presupuesto!$B$16='Flujo de Pagos'!$E234,16,9999)</f>
        <v>16</v>
      </c>
      <c r="AK234" s="0" t="n">
        <f aca="false">IF(Presupuesto!$B$17='Flujo de Pagos'!$E234,17,9999)</f>
        <v>17</v>
      </c>
      <c r="AL234" s="0" t="n">
        <f aca="false">IF(Presupuesto!$B$18='Flujo de Pagos'!$E234,18,9999)</f>
        <v>18</v>
      </c>
      <c r="AM234" s="0" t="n">
        <f aca="false">IF(Presupuesto!$B$19='Flujo de Pagos'!$E234,19,9999)</f>
        <v>19</v>
      </c>
      <c r="AN234" s="0" t="n">
        <f aca="false">IF(Presupuesto!$B$20='Flujo de Pagos'!$E234,20,9999)</f>
        <v>20</v>
      </c>
      <c r="AO234" s="0" t="n">
        <f aca="false">IF(Presupuesto!$B$21='Flujo de Pagos'!$E234,21,9999)</f>
        <v>21</v>
      </c>
      <c r="AP234" s="0" t="n">
        <f aca="false">IF(Presupuesto!$B$22='Flujo de Pagos'!$E234,22,9999)</f>
        <v>22</v>
      </c>
      <c r="AQ234" s="0" t="n">
        <f aca="false">IF(Presupuesto!$B$23='Flujo de Pagos'!$E234,23,9999)</f>
        <v>23</v>
      </c>
      <c r="AR234" s="0" t="n">
        <f aca="false">IF(Presupuesto!$B$24='Flujo de Pagos'!$E234,24,9999)</f>
        <v>24</v>
      </c>
      <c r="AS234" s="0" t="n">
        <f aca="false">IF(Presupuesto!$B$25='Flujo de Pagos'!$E234,25,9999)</f>
        <v>25</v>
      </c>
      <c r="AT234" s="0" t="n">
        <f aca="false">IF(Presupuesto!$B$26='Flujo de Pagos'!$E234,26,9999)</f>
        <v>26</v>
      </c>
      <c r="AU234" s="0" t="n">
        <f aca="false">IF(Presupuesto!$B$27='Flujo de Pagos'!$E234,27,9999)</f>
        <v>27</v>
      </c>
      <c r="AV234" s="0" t="n">
        <f aca="false">IF(Presupuesto!$B$28='Flujo de Pagos'!$E234,28,9999)</f>
        <v>28</v>
      </c>
      <c r="AW234" s="0" t="n">
        <f aca="false">IF(Presupuesto!$B$29='Flujo de Pagos'!$E234,29,9999)</f>
        <v>29</v>
      </c>
      <c r="AX234" s="0" t="n">
        <f aca="false">IF(Presupuesto!$B$30='Flujo de Pagos'!$E234,30,9999)</f>
        <v>30</v>
      </c>
      <c r="AY234" s="0" t="n">
        <f aca="false">IF(Presupuesto!$B$31='Flujo de Pagos'!$E234,31,9999)</f>
        <v>31</v>
      </c>
      <c r="AZ234" s="0" t="n">
        <f aca="false">IF(Presupuesto!$B$32='Flujo de Pagos'!$E234,32,9999)</f>
        <v>32</v>
      </c>
      <c r="BA234" s="0" t="n">
        <f aca="false">IF(Presupuesto!$B$33='Flujo de Pagos'!$E234,33,9999)</f>
        <v>33</v>
      </c>
      <c r="BB234" s="0" t="n">
        <f aca="false">IF(Presupuesto!$B$34='Flujo de Pagos'!$E234,34,9999)</f>
        <v>34</v>
      </c>
      <c r="BC234" s="0" t="n">
        <f aca="false">IF(Presupuesto!$B$35='Flujo de Pagos'!$E234,35,9999)</f>
        <v>35</v>
      </c>
      <c r="BD234" s="0" t="n">
        <f aca="false">IF(Presupuesto!$B$36='Flujo de Pagos'!$E234,36,9999)</f>
        <v>36</v>
      </c>
      <c r="BE234" s="0" t="n">
        <f aca="false">IF(Presupuesto!$B$37='Flujo de Pagos'!$E234,37,9999)</f>
        <v>37</v>
      </c>
      <c r="BF234" s="0" t="n">
        <f aca="false">IF(Presupuesto!$B$38='Flujo de Pagos'!$E234,38,9999)</f>
        <v>38</v>
      </c>
      <c r="BG234" s="0" t="n">
        <f aca="false">IF(Presupuesto!$B$39='Flujo de Pagos'!$E234,39,9999)</f>
        <v>39</v>
      </c>
      <c r="BH234" s="0" t="n">
        <f aca="false">IF(Presupuesto!$B$40='Flujo de Pagos'!$E234,40,9999)</f>
        <v>40</v>
      </c>
      <c r="BI234" s="0" t="n">
        <f aca="false">IF(Presupuesto!$B$41='Flujo de Pagos'!$E234,41,9999)</f>
        <v>41</v>
      </c>
      <c r="BJ234" s="0" t="n">
        <f aca="false">IF(Presupuesto!$B$42='Flujo de Pagos'!$E234,42,9999)</f>
        <v>42</v>
      </c>
      <c r="BK234" s="0" t="n">
        <f aca="false">IF(Presupuesto!$B$43='Flujo de Pagos'!$E234,43,9999)</f>
        <v>43</v>
      </c>
      <c r="BL234" s="0" t="n">
        <f aca="false">IF(Presupuesto!$B$44='Flujo de Pagos'!$E234,44,9999)</f>
        <v>44</v>
      </c>
      <c r="BM234" s="0" t="n">
        <f aca="false">IF(Presupuesto!$B$45='Flujo de Pagos'!$E234,45,9999)</f>
        <v>45</v>
      </c>
      <c r="BN234" s="0" t="n">
        <f aca="false">IF(Presupuesto!$B$46='Flujo de Pagos'!$E234,46,9999)</f>
        <v>46</v>
      </c>
      <c r="BO234" s="0" t="n">
        <f aca="false">IF(Presupuesto!$B$47='Flujo de Pagos'!$E234,47,9999)</f>
        <v>47</v>
      </c>
      <c r="BP234" s="0" t="n">
        <f aca="false">IF(Presupuesto!$B$48='Flujo de Pagos'!$E234,48,9999)</f>
        <v>48</v>
      </c>
      <c r="BQ234" s="0" t="n">
        <f aca="false">IF(Presupuesto!$B$49='Flujo de Pagos'!$E234,49,9999)</f>
        <v>49</v>
      </c>
      <c r="BR234" s="0" t="n">
        <f aca="false">IF(Presupuesto!$B$50='Flujo de Pagos'!$E234,50,9999)</f>
        <v>50</v>
      </c>
      <c r="BS234" s="0" t="n">
        <f aca="false">IF(Presupuesto!$B$51='Flujo de Pagos'!$E234,51,9999)</f>
        <v>51</v>
      </c>
      <c r="BT234" s="0" t="n">
        <f aca="false">IF(Presupuesto!$B$52='Flujo de Pagos'!$E234,52,9999)</f>
        <v>52</v>
      </c>
      <c r="BU234" s="0" t="n">
        <f aca="false">IF(Presupuesto!$B$53='Flujo de Pagos'!$E234,53,9999)</f>
        <v>53</v>
      </c>
      <c r="BV234" s="0" t="n">
        <f aca="false">IF(Presupuesto!$B$54='Flujo de Pagos'!$E234,54,9999)</f>
        <v>54</v>
      </c>
      <c r="BW234" s="0" t="n">
        <f aca="false">IF(Presupuesto!$B$55='Flujo de Pagos'!$E234,55,9999)</f>
        <v>55</v>
      </c>
      <c r="BX234" s="0" t="n">
        <f aca="false">IF(Presupuesto!$B$56='Flujo de Pagos'!$E234,56,9999)</f>
        <v>56</v>
      </c>
      <c r="BY234" s="0" t="n">
        <f aca="false">IF(Presupuesto!$B$57='Flujo de Pagos'!$E234,57,9999)</f>
        <v>57</v>
      </c>
      <c r="BZ234" s="0" t="n">
        <f aca="false">IF(Presupuesto!$B$58='Flujo de Pagos'!$E234,58,9999)</f>
        <v>58</v>
      </c>
      <c r="CA234" s="0" t="n">
        <f aca="false">IF(Presupuesto!$B$59='Flujo de Pagos'!$E234,59,9999)</f>
        <v>59</v>
      </c>
      <c r="CB234" s="0" t="n">
        <f aca="false">IF(Presupuesto!$B$60='Flujo de Pagos'!$E234,60,9999)</f>
        <v>60</v>
      </c>
      <c r="CC234" s="0" t="n">
        <f aca="false">IF(Presupuesto!$B$61='Flujo de Pagos'!$E234,61,9999)</f>
        <v>61</v>
      </c>
      <c r="CD234" s="0" t="n">
        <f aca="false">IF(Presupuesto!$B$62='Flujo de Pagos'!$E234,62,9999)</f>
        <v>62</v>
      </c>
      <c r="CE234" s="0" t="n">
        <f aca="false">IF(Presupuesto!$B$63='Flujo de Pagos'!$E234,63,9999)</f>
        <v>63</v>
      </c>
      <c r="CF234" s="0" t="n">
        <f aca="false">IF(Presupuesto!$B$64='Flujo de Pagos'!$E234,64,9999)</f>
        <v>64</v>
      </c>
      <c r="CG234" s="0" t="n">
        <f aca="false">IF(Presupuesto!$B$65='Flujo de Pagos'!$E234,65,9999)</f>
        <v>65</v>
      </c>
      <c r="CH234" s="0" t="n">
        <f aca="false">IF(Presupuesto!$B$66='Flujo de Pagos'!$E234,66,9999)</f>
        <v>66</v>
      </c>
    </row>
    <row r="235" customFormat="false" ht="15" hidden="false" customHeight="true" outlineLevel="0" collapsed="false">
      <c r="B235" s="1" t="n">
        <f aca="false">IF(AND('Flujo de Pagos'!E240=Carátula!$B$2,'Flujo de Pagos'!F240=Carátula!$B$4,'Flujo de Pagos'!H240&lt;&gt;""),240,99999)</f>
        <v>99999</v>
      </c>
      <c r="H235" s="1" t="n">
        <f aca="false">IF(SMALL($AA235:$CH235,1)&gt;=9999,"",INDEX(Presupuesto!$C:$C,SMALL($AA235:$CH235,1)))</f>
        <v>0</v>
      </c>
      <c r="I235" s="1" t="n">
        <f aca="false">IF(SMALL($AA235:$CH235,2)&gt;=9999,"",INDEX(Presupuesto!$C:$C,SMALL($AA235:$CH235,2)))</f>
        <v>0</v>
      </c>
      <c r="J235" s="1" t="n">
        <f aca="false">IF(SMALL($AA235:$CH235,3)&gt;=9999,"",INDEX(Presupuesto!$C:$C,SMALL($AA235:$CH235,3)))</f>
        <v>0</v>
      </c>
      <c r="K235" s="1" t="n">
        <f aca="false">IF(SMALL($AA235:$CH235,4)&gt;=9999,"",INDEX(Presupuesto!$C:$C,SMALL($AA235:$CH235,4)))</f>
        <v>0</v>
      </c>
      <c r="L235" s="1" t="n">
        <f aca="false">IF(SMALL($AA235:$CH235,5)&gt;=9999,"",INDEX(Presupuesto!$C:$C,SMALL($AA235:$CH235,5)))</f>
        <v>0</v>
      </c>
      <c r="M235" s="1" t="n">
        <f aca="false">IF(SMALL($AA235:$CH235,6)&gt;=9999,"",INDEX(Presupuesto!$C:$C,SMALL($AA235:$CH235,6)))</f>
        <v>0</v>
      </c>
      <c r="N235" s="1" t="n">
        <f aca="false">IF(SMALL($AA235:$CH235,7)&gt;=9999,"",INDEX(Presupuesto!$C:$C,SMALL($AA235:$CH235,7)))</f>
        <v>0</v>
      </c>
      <c r="O235" s="1" t="n">
        <f aca="false">IF(SMALL($AA235:$CH235,8)&gt;=9999,"",INDEX(Presupuesto!$C:$C,SMALL($AA235:$CH235,8)))</f>
        <v>0</v>
      </c>
      <c r="P235" s="1" t="n">
        <f aca="false">IF(SMALL($AA235:$CH235,9)&gt;=9999,"",INDEX(Presupuesto!$C:$C,SMALL($AA235:$CH235,9)))</f>
        <v>0</v>
      </c>
      <c r="Q235" s="1" t="n">
        <f aca="false">IF(SMALL($AA235:$CH235,10)&gt;=9999,"",INDEX(Presupuesto!$C:$C,SMALL($AA235:$CH235,10)))</f>
        <v>0</v>
      </c>
      <c r="AA235" s="0" t="n">
        <f aca="false">IF(Presupuesto!$B$7='Flujo de Pagos'!$E235,7,9999)</f>
        <v>9999</v>
      </c>
      <c r="AB235" s="0" t="n">
        <f aca="false">IF(Presupuesto!$B$8='Flujo de Pagos'!$E235,8,9999)</f>
        <v>9999</v>
      </c>
      <c r="AC235" s="0" t="n">
        <f aca="false">IF(Presupuesto!$B$9='Flujo de Pagos'!$E235,9,9999)</f>
        <v>9999</v>
      </c>
      <c r="AD235" s="0" t="n">
        <f aca="false">IF(Presupuesto!$B$10='Flujo de Pagos'!$E235,10,9999)</f>
        <v>9999</v>
      </c>
      <c r="AE235" s="0" t="n">
        <f aca="false">IF(Presupuesto!$B$11='Flujo de Pagos'!$E235,11,9999)</f>
        <v>9999</v>
      </c>
      <c r="AF235" s="0" t="n">
        <f aca="false">IF(Presupuesto!$B$12='Flujo de Pagos'!$E235,12,9999)</f>
        <v>12</v>
      </c>
      <c r="AG235" s="0" t="n">
        <f aca="false">IF(Presupuesto!$B$13='Flujo de Pagos'!$E235,13,9999)</f>
        <v>13</v>
      </c>
      <c r="AH235" s="0" t="n">
        <f aca="false">IF(Presupuesto!$B$14='Flujo de Pagos'!$E235,14,9999)</f>
        <v>14</v>
      </c>
      <c r="AI235" s="0" t="n">
        <f aca="false">IF(Presupuesto!$B$15='Flujo de Pagos'!$E235,15,9999)</f>
        <v>15</v>
      </c>
      <c r="AJ235" s="0" t="n">
        <f aca="false">IF(Presupuesto!$B$16='Flujo de Pagos'!$E235,16,9999)</f>
        <v>16</v>
      </c>
      <c r="AK235" s="0" t="n">
        <f aca="false">IF(Presupuesto!$B$17='Flujo de Pagos'!$E235,17,9999)</f>
        <v>17</v>
      </c>
      <c r="AL235" s="0" t="n">
        <f aca="false">IF(Presupuesto!$B$18='Flujo de Pagos'!$E235,18,9999)</f>
        <v>18</v>
      </c>
      <c r="AM235" s="0" t="n">
        <f aca="false">IF(Presupuesto!$B$19='Flujo de Pagos'!$E235,19,9999)</f>
        <v>19</v>
      </c>
      <c r="AN235" s="0" t="n">
        <f aca="false">IF(Presupuesto!$B$20='Flujo de Pagos'!$E235,20,9999)</f>
        <v>20</v>
      </c>
      <c r="AO235" s="0" t="n">
        <f aca="false">IF(Presupuesto!$B$21='Flujo de Pagos'!$E235,21,9999)</f>
        <v>21</v>
      </c>
      <c r="AP235" s="0" t="n">
        <f aca="false">IF(Presupuesto!$B$22='Flujo de Pagos'!$E235,22,9999)</f>
        <v>22</v>
      </c>
      <c r="AQ235" s="0" t="n">
        <f aca="false">IF(Presupuesto!$B$23='Flujo de Pagos'!$E235,23,9999)</f>
        <v>23</v>
      </c>
      <c r="AR235" s="0" t="n">
        <f aca="false">IF(Presupuesto!$B$24='Flujo de Pagos'!$E235,24,9999)</f>
        <v>24</v>
      </c>
      <c r="AS235" s="0" t="n">
        <f aca="false">IF(Presupuesto!$B$25='Flujo de Pagos'!$E235,25,9999)</f>
        <v>25</v>
      </c>
      <c r="AT235" s="0" t="n">
        <f aca="false">IF(Presupuesto!$B$26='Flujo de Pagos'!$E235,26,9999)</f>
        <v>26</v>
      </c>
      <c r="AU235" s="0" t="n">
        <f aca="false">IF(Presupuesto!$B$27='Flujo de Pagos'!$E235,27,9999)</f>
        <v>27</v>
      </c>
      <c r="AV235" s="0" t="n">
        <f aca="false">IF(Presupuesto!$B$28='Flujo de Pagos'!$E235,28,9999)</f>
        <v>28</v>
      </c>
      <c r="AW235" s="0" t="n">
        <f aca="false">IF(Presupuesto!$B$29='Flujo de Pagos'!$E235,29,9999)</f>
        <v>29</v>
      </c>
      <c r="AX235" s="0" t="n">
        <f aca="false">IF(Presupuesto!$B$30='Flujo de Pagos'!$E235,30,9999)</f>
        <v>30</v>
      </c>
      <c r="AY235" s="0" t="n">
        <f aca="false">IF(Presupuesto!$B$31='Flujo de Pagos'!$E235,31,9999)</f>
        <v>31</v>
      </c>
      <c r="AZ235" s="0" t="n">
        <f aca="false">IF(Presupuesto!$B$32='Flujo de Pagos'!$E235,32,9999)</f>
        <v>32</v>
      </c>
      <c r="BA235" s="0" t="n">
        <f aca="false">IF(Presupuesto!$B$33='Flujo de Pagos'!$E235,33,9999)</f>
        <v>33</v>
      </c>
      <c r="BB235" s="0" t="n">
        <f aca="false">IF(Presupuesto!$B$34='Flujo de Pagos'!$E235,34,9999)</f>
        <v>34</v>
      </c>
      <c r="BC235" s="0" t="n">
        <f aca="false">IF(Presupuesto!$B$35='Flujo de Pagos'!$E235,35,9999)</f>
        <v>35</v>
      </c>
      <c r="BD235" s="0" t="n">
        <f aca="false">IF(Presupuesto!$B$36='Flujo de Pagos'!$E235,36,9999)</f>
        <v>36</v>
      </c>
      <c r="BE235" s="0" t="n">
        <f aca="false">IF(Presupuesto!$B$37='Flujo de Pagos'!$E235,37,9999)</f>
        <v>37</v>
      </c>
      <c r="BF235" s="0" t="n">
        <f aca="false">IF(Presupuesto!$B$38='Flujo de Pagos'!$E235,38,9999)</f>
        <v>38</v>
      </c>
      <c r="BG235" s="0" t="n">
        <f aca="false">IF(Presupuesto!$B$39='Flujo de Pagos'!$E235,39,9999)</f>
        <v>39</v>
      </c>
      <c r="BH235" s="0" t="n">
        <f aca="false">IF(Presupuesto!$B$40='Flujo de Pagos'!$E235,40,9999)</f>
        <v>40</v>
      </c>
      <c r="BI235" s="0" t="n">
        <f aca="false">IF(Presupuesto!$B$41='Flujo de Pagos'!$E235,41,9999)</f>
        <v>41</v>
      </c>
      <c r="BJ235" s="0" t="n">
        <f aca="false">IF(Presupuesto!$B$42='Flujo de Pagos'!$E235,42,9999)</f>
        <v>42</v>
      </c>
      <c r="BK235" s="0" t="n">
        <f aca="false">IF(Presupuesto!$B$43='Flujo de Pagos'!$E235,43,9999)</f>
        <v>43</v>
      </c>
      <c r="BL235" s="0" t="n">
        <f aca="false">IF(Presupuesto!$B$44='Flujo de Pagos'!$E235,44,9999)</f>
        <v>44</v>
      </c>
      <c r="BM235" s="0" t="n">
        <f aca="false">IF(Presupuesto!$B$45='Flujo de Pagos'!$E235,45,9999)</f>
        <v>45</v>
      </c>
      <c r="BN235" s="0" t="n">
        <f aca="false">IF(Presupuesto!$B$46='Flujo de Pagos'!$E235,46,9999)</f>
        <v>46</v>
      </c>
      <c r="BO235" s="0" t="n">
        <f aca="false">IF(Presupuesto!$B$47='Flujo de Pagos'!$E235,47,9999)</f>
        <v>47</v>
      </c>
      <c r="BP235" s="0" t="n">
        <f aca="false">IF(Presupuesto!$B$48='Flujo de Pagos'!$E235,48,9999)</f>
        <v>48</v>
      </c>
      <c r="BQ235" s="0" t="n">
        <f aca="false">IF(Presupuesto!$B$49='Flujo de Pagos'!$E235,49,9999)</f>
        <v>49</v>
      </c>
      <c r="BR235" s="0" t="n">
        <f aca="false">IF(Presupuesto!$B$50='Flujo de Pagos'!$E235,50,9999)</f>
        <v>50</v>
      </c>
      <c r="BS235" s="0" t="n">
        <f aca="false">IF(Presupuesto!$B$51='Flujo de Pagos'!$E235,51,9999)</f>
        <v>51</v>
      </c>
      <c r="BT235" s="0" t="n">
        <f aca="false">IF(Presupuesto!$B$52='Flujo de Pagos'!$E235,52,9999)</f>
        <v>52</v>
      </c>
      <c r="BU235" s="0" t="n">
        <f aca="false">IF(Presupuesto!$B$53='Flujo de Pagos'!$E235,53,9999)</f>
        <v>53</v>
      </c>
      <c r="BV235" s="0" t="n">
        <f aca="false">IF(Presupuesto!$B$54='Flujo de Pagos'!$E235,54,9999)</f>
        <v>54</v>
      </c>
      <c r="BW235" s="0" t="n">
        <f aca="false">IF(Presupuesto!$B$55='Flujo de Pagos'!$E235,55,9999)</f>
        <v>55</v>
      </c>
      <c r="BX235" s="0" t="n">
        <f aca="false">IF(Presupuesto!$B$56='Flujo de Pagos'!$E235,56,9999)</f>
        <v>56</v>
      </c>
      <c r="BY235" s="0" t="n">
        <f aca="false">IF(Presupuesto!$B$57='Flujo de Pagos'!$E235,57,9999)</f>
        <v>57</v>
      </c>
      <c r="BZ235" s="0" t="n">
        <f aca="false">IF(Presupuesto!$B$58='Flujo de Pagos'!$E235,58,9999)</f>
        <v>58</v>
      </c>
      <c r="CA235" s="0" t="n">
        <f aca="false">IF(Presupuesto!$B$59='Flujo de Pagos'!$E235,59,9999)</f>
        <v>59</v>
      </c>
      <c r="CB235" s="0" t="n">
        <f aca="false">IF(Presupuesto!$B$60='Flujo de Pagos'!$E235,60,9999)</f>
        <v>60</v>
      </c>
      <c r="CC235" s="0" t="n">
        <f aca="false">IF(Presupuesto!$B$61='Flujo de Pagos'!$E235,61,9999)</f>
        <v>61</v>
      </c>
      <c r="CD235" s="0" t="n">
        <f aca="false">IF(Presupuesto!$B$62='Flujo de Pagos'!$E235,62,9999)</f>
        <v>62</v>
      </c>
      <c r="CE235" s="0" t="n">
        <f aca="false">IF(Presupuesto!$B$63='Flujo de Pagos'!$E235,63,9999)</f>
        <v>63</v>
      </c>
      <c r="CF235" s="0" t="n">
        <f aca="false">IF(Presupuesto!$B$64='Flujo de Pagos'!$E235,64,9999)</f>
        <v>64</v>
      </c>
      <c r="CG235" s="0" t="n">
        <f aca="false">IF(Presupuesto!$B$65='Flujo de Pagos'!$E235,65,9999)</f>
        <v>65</v>
      </c>
      <c r="CH235" s="0" t="n">
        <f aca="false">IF(Presupuesto!$B$66='Flujo de Pagos'!$E235,66,9999)</f>
        <v>66</v>
      </c>
    </row>
    <row r="236" customFormat="false" ht="15" hidden="false" customHeight="true" outlineLevel="0" collapsed="false">
      <c r="B236" s="1" t="n">
        <f aca="false">IF(AND('Flujo de Pagos'!E241=Carátula!$B$2,'Flujo de Pagos'!F241=Carátula!$B$4,'Flujo de Pagos'!H241&lt;&gt;""),241,99999)</f>
        <v>99999</v>
      </c>
      <c r="H236" s="1" t="n">
        <f aca="false">IF(SMALL($AA236:$CH236,1)&gt;=9999,"",INDEX(Presupuesto!$C:$C,SMALL($AA236:$CH236,1)))</f>
        <v>0</v>
      </c>
      <c r="I236" s="1" t="n">
        <f aca="false">IF(SMALL($AA236:$CH236,2)&gt;=9999,"",INDEX(Presupuesto!$C:$C,SMALL($AA236:$CH236,2)))</f>
        <v>0</v>
      </c>
      <c r="J236" s="1" t="n">
        <f aca="false">IF(SMALL($AA236:$CH236,3)&gt;=9999,"",INDEX(Presupuesto!$C:$C,SMALL($AA236:$CH236,3)))</f>
        <v>0</v>
      </c>
      <c r="K236" s="1" t="n">
        <f aca="false">IF(SMALL($AA236:$CH236,4)&gt;=9999,"",INDEX(Presupuesto!$C:$C,SMALL($AA236:$CH236,4)))</f>
        <v>0</v>
      </c>
      <c r="L236" s="1" t="n">
        <f aca="false">IF(SMALL($AA236:$CH236,5)&gt;=9999,"",INDEX(Presupuesto!$C:$C,SMALL($AA236:$CH236,5)))</f>
        <v>0</v>
      </c>
      <c r="M236" s="1" t="n">
        <f aca="false">IF(SMALL($AA236:$CH236,6)&gt;=9999,"",INDEX(Presupuesto!$C:$C,SMALL($AA236:$CH236,6)))</f>
        <v>0</v>
      </c>
      <c r="N236" s="1" t="n">
        <f aca="false">IF(SMALL($AA236:$CH236,7)&gt;=9999,"",INDEX(Presupuesto!$C:$C,SMALL($AA236:$CH236,7)))</f>
        <v>0</v>
      </c>
      <c r="O236" s="1" t="n">
        <f aca="false">IF(SMALL($AA236:$CH236,8)&gt;=9999,"",INDEX(Presupuesto!$C:$C,SMALL($AA236:$CH236,8)))</f>
        <v>0</v>
      </c>
      <c r="P236" s="1" t="n">
        <f aca="false">IF(SMALL($AA236:$CH236,9)&gt;=9999,"",INDEX(Presupuesto!$C:$C,SMALL($AA236:$CH236,9)))</f>
        <v>0</v>
      </c>
      <c r="Q236" s="1" t="n">
        <f aca="false">IF(SMALL($AA236:$CH236,10)&gt;=9999,"",INDEX(Presupuesto!$C:$C,SMALL($AA236:$CH236,10)))</f>
        <v>0</v>
      </c>
      <c r="AA236" s="0" t="n">
        <f aca="false">IF(Presupuesto!$B$7='Flujo de Pagos'!$E236,7,9999)</f>
        <v>9999</v>
      </c>
      <c r="AB236" s="0" t="n">
        <f aca="false">IF(Presupuesto!$B$8='Flujo de Pagos'!$E236,8,9999)</f>
        <v>9999</v>
      </c>
      <c r="AC236" s="0" t="n">
        <f aca="false">IF(Presupuesto!$B$9='Flujo de Pagos'!$E236,9,9999)</f>
        <v>9999</v>
      </c>
      <c r="AD236" s="0" t="n">
        <f aca="false">IF(Presupuesto!$B$10='Flujo de Pagos'!$E236,10,9999)</f>
        <v>9999</v>
      </c>
      <c r="AE236" s="0" t="n">
        <f aca="false">IF(Presupuesto!$B$11='Flujo de Pagos'!$E236,11,9999)</f>
        <v>9999</v>
      </c>
      <c r="AF236" s="0" t="n">
        <f aca="false">IF(Presupuesto!$B$12='Flujo de Pagos'!$E236,12,9999)</f>
        <v>12</v>
      </c>
      <c r="AG236" s="0" t="n">
        <f aca="false">IF(Presupuesto!$B$13='Flujo de Pagos'!$E236,13,9999)</f>
        <v>13</v>
      </c>
      <c r="AH236" s="0" t="n">
        <f aca="false">IF(Presupuesto!$B$14='Flujo de Pagos'!$E236,14,9999)</f>
        <v>14</v>
      </c>
      <c r="AI236" s="0" t="n">
        <f aca="false">IF(Presupuesto!$B$15='Flujo de Pagos'!$E236,15,9999)</f>
        <v>15</v>
      </c>
      <c r="AJ236" s="0" t="n">
        <f aca="false">IF(Presupuesto!$B$16='Flujo de Pagos'!$E236,16,9999)</f>
        <v>16</v>
      </c>
      <c r="AK236" s="0" t="n">
        <f aca="false">IF(Presupuesto!$B$17='Flujo de Pagos'!$E236,17,9999)</f>
        <v>17</v>
      </c>
      <c r="AL236" s="0" t="n">
        <f aca="false">IF(Presupuesto!$B$18='Flujo de Pagos'!$E236,18,9999)</f>
        <v>18</v>
      </c>
      <c r="AM236" s="0" t="n">
        <f aca="false">IF(Presupuesto!$B$19='Flujo de Pagos'!$E236,19,9999)</f>
        <v>19</v>
      </c>
      <c r="AN236" s="0" t="n">
        <f aca="false">IF(Presupuesto!$B$20='Flujo de Pagos'!$E236,20,9999)</f>
        <v>20</v>
      </c>
      <c r="AO236" s="0" t="n">
        <f aca="false">IF(Presupuesto!$B$21='Flujo de Pagos'!$E236,21,9999)</f>
        <v>21</v>
      </c>
      <c r="AP236" s="0" t="n">
        <f aca="false">IF(Presupuesto!$B$22='Flujo de Pagos'!$E236,22,9999)</f>
        <v>22</v>
      </c>
      <c r="AQ236" s="0" t="n">
        <f aca="false">IF(Presupuesto!$B$23='Flujo de Pagos'!$E236,23,9999)</f>
        <v>23</v>
      </c>
      <c r="AR236" s="0" t="n">
        <f aca="false">IF(Presupuesto!$B$24='Flujo de Pagos'!$E236,24,9999)</f>
        <v>24</v>
      </c>
      <c r="AS236" s="0" t="n">
        <f aca="false">IF(Presupuesto!$B$25='Flujo de Pagos'!$E236,25,9999)</f>
        <v>25</v>
      </c>
      <c r="AT236" s="0" t="n">
        <f aca="false">IF(Presupuesto!$B$26='Flujo de Pagos'!$E236,26,9999)</f>
        <v>26</v>
      </c>
      <c r="AU236" s="0" t="n">
        <f aca="false">IF(Presupuesto!$B$27='Flujo de Pagos'!$E236,27,9999)</f>
        <v>27</v>
      </c>
      <c r="AV236" s="0" t="n">
        <f aca="false">IF(Presupuesto!$B$28='Flujo de Pagos'!$E236,28,9999)</f>
        <v>28</v>
      </c>
      <c r="AW236" s="0" t="n">
        <f aca="false">IF(Presupuesto!$B$29='Flujo de Pagos'!$E236,29,9999)</f>
        <v>29</v>
      </c>
      <c r="AX236" s="0" t="n">
        <f aca="false">IF(Presupuesto!$B$30='Flujo de Pagos'!$E236,30,9999)</f>
        <v>30</v>
      </c>
      <c r="AY236" s="0" t="n">
        <f aca="false">IF(Presupuesto!$B$31='Flujo de Pagos'!$E236,31,9999)</f>
        <v>31</v>
      </c>
      <c r="AZ236" s="0" t="n">
        <f aca="false">IF(Presupuesto!$B$32='Flujo de Pagos'!$E236,32,9999)</f>
        <v>32</v>
      </c>
      <c r="BA236" s="0" t="n">
        <f aca="false">IF(Presupuesto!$B$33='Flujo de Pagos'!$E236,33,9999)</f>
        <v>33</v>
      </c>
      <c r="BB236" s="0" t="n">
        <f aca="false">IF(Presupuesto!$B$34='Flujo de Pagos'!$E236,34,9999)</f>
        <v>34</v>
      </c>
      <c r="BC236" s="0" t="n">
        <f aca="false">IF(Presupuesto!$B$35='Flujo de Pagos'!$E236,35,9999)</f>
        <v>35</v>
      </c>
      <c r="BD236" s="0" t="n">
        <f aca="false">IF(Presupuesto!$B$36='Flujo de Pagos'!$E236,36,9999)</f>
        <v>36</v>
      </c>
      <c r="BE236" s="0" t="n">
        <f aca="false">IF(Presupuesto!$B$37='Flujo de Pagos'!$E236,37,9999)</f>
        <v>37</v>
      </c>
      <c r="BF236" s="0" t="n">
        <f aca="false">IF(Presupuesto!$B$38='Flujo de Pagos'!$E236,38,9999)</f>
        <v>38</v>
      </c>
      <c r="BG236" s="0" t="n">
        <f aca="false">IF(Presupuesto!$B$39='Flujo de Pagos'!$E236,39,9999)</f>
        <v>39</v>
      </c>
      <c r="BH236" s="0" t="n">
        <f aca="false">IF(Presupuesto!$B$40='Flujo de Pagos'!$E236,40,9999)</f>
        <v>40</v>
      </c>
      <c r="BI236" s="0" t="n">
        <f aca="false">IF(Presupuesto!$B$41='Flujo de Pagos'!$E236,41,9999)</f>
        <v>41</v>
      </c>
      <c r="BJ236" s="0" t="n">
        <f aca="false">IF(Presupuesto!$B$42='Flujo de Pagos'!$E236,42,9999)</f>
        <v>42</v>
      </c>
      <c r="BK236" s="0" t="n">
        <f aca="false">IF(Presupuesto!$B$43='Flujo de Pagos'!$E236,43,9999)</f>
        <v>43</v>
      </c>
      <c r="BL236" s="0" t="n">
        <f aca="false">IF(Presupuesto!$B$44='Flujo de Pagos'!$E236,44,9999)</f>
        <v>44</v>
      </c>
      <c r="BM236" s="0" t="n">
        <f aca="false">IF(Presupuesto!$B$45='Flujo de Pagos'!$E236,45,9999)</f>
        <v>45</v>
      </c>
      <c r="BN236" s="0" t="n">
        <f aca="false">IF(Presupuesto!$B$46='Flujo de Pagos'!$E236,46,9999)</f>
        <v>46</v>
      </c>
      <c r="BO236" s="0" t="n">
        <f aca="false">IF(Presupuesto!$B$47='Flujo de Pagos'!$E236,47,9999)</f>
        <v>47</v>
      </c>
      <c r="BP236" s="0" t="n">
        <f aca="false">IF(Presupuesto!$B$48='Flujo de Pagos'!$E236,48,9999)</f>
        <v>48</v>
      </c>
      <c r="BQ236" s="0" t="n">
        <f aca="false">IF(Presupuesto!$B$49='Flujo de Pagos'!$E236,49,9999)</f>
        <v>49</v>
      </c>
      <c r="BR236" s="0" t="n">
        <f aca="false">IF(Presupuesto!$B$50='Flujo de Pagos'!$E236,50,9999)</f>
        <v>50</v>
      </c>
      <c r="BS236" s="0" t="n">
        <f aca="false">IF(Presupuesto!$B$51='Flujo de Pagos'!$E236,51,9999)</f>
        <v>51</v>
      </c>
      <c r="BT236" s="0" t="n">
        <f aca="false">IF(Presupuesto!$B$52='Flujo de Pagos'!$E236,52,9999)</f>
        <v>52</v>
      </c>
      <c r="BU236" s="0" t="n">
        <f aca="false">IF(Presupuesto!$B$53='Flujo de Pagos'!$E236,53,9999)</f>
        <v>53</v>
      </c>
      <c r="BV236" s="0" t="n">
        <f aca="false">IF(Presupuesto!$B$54='Flujo de Pagos'!$E236,54,9999)</f>
        <v>54</v>
      </c>
      <c r="BW236" s="0" t="n">
        <f aca="false">IF(Presupuesto!$B$55='Flujo de Pagos'!$E236,55,9999)</f>
        <v>55</v>
      </c>
      <c r="BX236" s="0" t="n">
        <f aca="false">IF(Presupuesto!$B$56='Flujo de Pagos'!$E236,56,9999)</f>
        <v>56</v>
      </c>
      <c r="BY236" s="0" t="n">
        <f aca="false">IF(Presupuesto!$B$57='Flujo de Pagos'!$E236,57,9999)</f>
        <v>57</v>
      </c>
      <c r="BZ236" s="0" t="n">
        <f aca="false">IF(Presupuesto!$B$58='Flujo de Pagos'!$E236,58,9999)</f>
        <v>58</v>
      </c>
      <c r="CA236" s="0" t="n">
        <f aca="false">IF(Presupuesto!$B$59='Flujo de Pagos'!$E236,59,9999)</f>
        <v>59</v>
      </c>
      <c r="CB236" s="0" t="n">
        <f aca="false">IF(Presupuesto!$B$60='Flujo de Pagos'!$E236,60,9999)</f>
        <v>60</v>
      </c>
      <c r="CC236" s="0" t="n">
        <f aca="false">IF(Presupuesto!$B$61='Flujo de Pagos'!$E236,61,9999)</f>
        <v>61</v>
      </c>
      <c r="CD236" s="0" t="n">
        <f aca="false">IF(Presupuesto!$B$62='Flujo de Pagos'!$E236,62,9999)</f>
        <v>62</v>
      </c>
      <c r="CE236" s="0" t="n">
        <f aca="false">IF(Presupuesto!$B$63='Flujo de Pagos'!$E236,63,9999)</f>
        <v>63</v>
      </c>
      <c r="CF236" s="0" t="n">
        <f aca="false">IF(Presupuesto!$B$64='Flujo de Pagos'!$E236,64,9999)</f>
        <v>64</v>
      </c>
      <c r="CG236" s="0" t="n">
        <f aca="false">IF(Presupuesto!$B$65='Flujo de Pagos'!$E236,65,9999)</f>
        <v>65</v>
      </c>
      <c r="CH236" s="0" t="n">
        <f aca="false">IF(Presupuesto!$B$66='Flujo de Pagos'!$E236,66,9999)</f>
        <v>66</v>
      </c>
    </row>
    <row r="237" customFormat="false" ht="15" hidden="false" customHeight="true" outlineLevel="0" collapsed="false">
      <c r="B237" s="1" t="n">
        <f aca="false">IF(AND('Flujo de Pagos'!E242=Carátula!$B$2,'Flujo de Pagos'!F242=Carátula!$B$4,'Flujo de Pagos'!H242&lt;&gt;""),242,99999)</f>
        <v>99999</v>
      </c>
      <c r="H237" s="1" t="n">
        <f aca="false">IF(SMALL($AA237:$CH237,1)&gt;=9999,"",INDEX(Presupuesto!$C:$C,SMALL($AA237:$CH237,1)))</f>
        <v>0</v>
      </c>
      <c r="I237" s="1" t="n">
        <f aca="false">IF(SMALL($AA237:$CH237,2)&gt;=9999,"",INDEX(Presupuesto!$C:$C,SMALL($AA237:$CH237,2)))</f>
        <v>0</v>
      </c>
      <c r="J237" s="1" t="n">
        <f aca="false">IF(SMALL($AA237:$CH237,3)&gt;=9999,"",INDEX(Presupuesto!$C:$C,SMALL($AA237:$CH237,3)))</f>
        <v>0</v>
      </c>
      <c r="K237" s="1" t="n">
        <f aca="false">IF(SMALL($AA237:$CH237,4)&gt;=9999,"",INDEX(Presupuesto!$C:$C,SMALL($AA237:$CH237,4)))</f>
        <v>0</v>
      </c>
      <c r="L237" s="1" t="n">
        <f aca="false">IF(SMALL($AA237:$CH237,5)&gt;=9999,"",INDEX(Presupuesto!$C:$C,SMALL($AA237:$CH237,5)))</f>
        <v>0</v>
      </c>
      <c r="M237" s="1" t="n">
        <f aca="false">IF(SMALL($AA237:$CH237,6)&gt;=9999,"",INDEX(Presupuesto!$C:$C,SMALL($AA237:$CH237,6)))</f>
        <v>0</v>
      </c>
      <c r="N237" s="1" t="n">
        <f aca="false">IF(SMALL($AA237:$CH237,7)&gt;=9999,"",INDEX(Presupuesto!$C:$C,SMALL($AA237:$CH237,7)))</f>
        <v>0</v>
      </c>
      <c r="O237" s="1" t="n">
        <f aca="false">IF(SMALL($AA237:$CH237,8)&gt;=9999,"",INDEX(Presupuesto!$C:$C,SMALL($AA237:$CH237,8)))</f>
        <v>0</v>
      </c>
      <c r="P237" s="1" t="n">
        <f aca="false">IF(SMALL($AA237:$CH237,9)&gt;=9999,"",INDEX(Presupuesto!$C:$C,SMALL($AA237:$CH237,9)))</f>
        <v>0</v>
      </c>
      <c r="Q237" s="1" t="n">
        <f aca="false">IF(SMALL($AA237:$CH237,10)&gt;=9999,"",INDEX(Presupuesto!$C:$C,SMALL($AA237:$CH237,10)))</f>
        <v>0</v>
      </c>
      <c r="AA237" s="0" t="n">
        <f aca="false">IF(Presupuesto!$B$7='Flujo de Pagos'!$E237,7,9999)</f>
        <v>9999</v>
      </c>
      <c r="AB237" s="0" t="n">
        <f aca="false">IF(Presupuesto!$B$8='Flujo de Pagos'!$E237,8,9999)</f>
        <v>9999</v>
      </c>
      <c r="AC237" s="0" t="n">
        <f aca="false">IF(Presupuesto!$B$9='Flujo de Pagos'!$E237,9,9999)</f>
        <v>9999</v>
      </c>
      <c r="AD237" s="0" t="n">
        <f aca="false">IF(Presupuesto!$B$10='Flujo de Pagos'!$E237,10,9999)</f>
        <v>9999</v>
      </c>
      <c r="AE237" s="0" t="n">
        <f aca="false">IF(Presupuesto!$B$11='Flujo de Pagos'!$E237,11,9999)</f>
        <v>9999</v>
      </c>
      <c r="AF237" s="0" t="n">
        <f aca="false">IF(Presupuesto!$B$12='Flujo de Pagos'!$E237,12,9999)</f>
        <v>12</v>
      </c>
      <c r="AG237" s="0" t="n">
        <f aca="false">IF(Presupuesto!$B$13='Flujo de Pagos'!$E237,13,9999)</f>
        <v>13</v>
      </c>
      <c r="AH237" s="0" t="n">
        <f aca="false">IF(Presupuesto!$B$14='Flujo de Pagos'!$E237,14,9999)</f>
        <v>14</v>
      </c>
      <c r="AI237" s="0" t="n">
        <f aca="false">IF(Presupuesto!$B$15='Flujo de Pagos'!$E237,15,9999)</f>
        <v>15</v>
      </c>
      <c r="AJ237" s="0" t="n">
        <f aca="false">IF(Presupuesto!$B$16='Flujo de Pagos'!$E237,16,9999)</f>
        <v>16</v>
      </c>
      <c r="AK237" s="0" t="n">
        <f aca="false">IF(Presupuesto!$B$17='Flujo de Pagos'!$E237,17,9999)</f>
        <v>17</v>
      </c>
      <c r="AL237" s="0" t="n">
        <f aca="false">IF(Presupuesto!$B$18='Flujo de Pagos'!$E237,18,9999)</f>
        <v>18</v>
      </c>
      <c r="AM237" s="0" t="n">
        <f aca="false">IF(Presupuesto!$B$19='Flujo de Pagos'!$E237,19,9999)</f>
        <v>19</v>
      </c>
      <c r="AN237" s="0" t="n">
        <f aca="false">IF(Presupuesto!$B$20='Flujo de Pagos'!$E237,20,9999)</f>
        <v>20</v>
      </c>
      <c r="AO237" s="0" t="n">
        <f aca="false">IF(Presupuesto!$B$21='Flujo de Pagos'!$E237,21,9999)</f>
        <v>21</v>
      </c>
      <c r="AP237" s="0" t="n">
        <f aca="false">IF(Presupuesto!$B$22='Flujo de Pagos'!$E237,22,9999)</f>
        <v>22</v>
      </c>
      <c r="AQ237" s="0" t="n">
        <f aca="false">IF(Presupuesto!$B$23='Flujo de Pagos'!$E237,23,9999)</f>
        <v>23</v>
      </c>
      <c r="AR237" s="0" t="n">
        <f aca="false">IF(Presupuesto!$B$24='Flujo de Pagos'!$E237,24,9999)</f>
        <v>24</v>
      </c>
      <c r="AS237" s="0" t="n">
        <f aca="false">IF(Presupuesto!$B$25='Flujo de Pagos'!$E237,25,9999)</f>
        <v>25</v>
      </c>
      <c r="AT237" s="0" t="n">
        <f aca="false">IF(Presupuesto!$B$26='Flujo de Pagos'!$E237,26,9999)</f>
        <v>26</v>
      </c>
      <c r="AU237" s="0" t="n">
        <f aca="false">IF(Presupuesto!$B$27='Flujo de Pagos'!$E237,27,9999)</f>
        <v>27</v>
      </c>
      <c r="AV237" s="0" t="n">
        <f aca="false">IF(Presupuesto!$B$28='Flujo de Pagos'!$E237,28,9999)</f>
        <v>28</v>
      </c>
      <c r="AW237" s="0" t="n">
        <f aca="false">IF(Presupuesto!$B$29='Flujo de Pagos'!$E237,29,9999)</f>
        <v>29</v>
      </c>
      <c r="AX237" s="0" t="n">
        <f aca="false">IF(Presupuesto!$B$30='Flujo de Pagos'!$E237,30,9999)</f>
        <v>30</v>
      </c>
      <c r="AY237" s="0" t="n">
        <f aca="false">IF(Presupuesto!$B$31='Flujo de Pagos'!$E237,31,9999)</f>
        <v>31</v>
      </c>
      <c r="AZ237" s="0" t="n">
        <f aca="false">IF(Presupuesto!$B$32='Flujo de Pagos'!$E237,32,9999)</f>
        <v>32</v>
      </c>
      <c r="BA237" s="0" t="n">
        <f aca="false">IF(Presupuesto!$B$33='Flujo de Pagos'!$E237,33,9999)</f>
        <v>33</v>
      </c>
      <c r="BB237" s="0" t="n">
        <f aca="false">IF(Presupuesto!$B$34='Flujo de Pagos'!$E237,34,9999)</f>
        <v>34</v>
      </c>
      <c r="BC237" s="0" t="n">
        <f aca="false">IF(Presupuesto!$B$35='Flujo de Pagos'!$E237,35,9999)</f>
        <v>35</v>
      </c>
      <c r="BD237" s="0" t="n">
        <f aca="false">IF(Presupuesto!$B$36='Flujo de Pagos'!$E237,36,9999)</f>
        <v>36</v>
      </c>
      <c r="BE237" s="0" t="n">
        <f aca="false">IF(Presupuesto!$B$37='Flujo de Pagos'!$E237,37,9999)</f>
        <v>37</v>
      </c>
      <c r="BF237" s="0" t="n">
        <f aca="false">IF(Presupuesto!$B$38='Flujo de Pagos'!$E237,38,9999)</f>
        <v>38</v>
      </c>
      <c r="BG237" s="0" t="n">
        <f aca="false">IF(Presupuesto!$B$39='Flujo de Pagos'!$E237,39,9999)</f>
        <v>39</v>
      </c>
      <c r="BH237" s="0" t="n">
        <f aca="false">IF(Presupuesto!$B$40='Flujo de Pagos'!$E237,40,9999)</f>
        <v>40</v>
      </c>
      <c r="BI237" s="0" t="n">
        <f aca="false">IF(Presupuesto!$B$41='Flujo de Pagos'!$E237,41,9999)</f>
        <v>41</v>
      </c>
      <c r="BJ237" s="0" t="n">
        <f aca="false">IF(Presupuesto!$B$42='Flujo de Pagos'!$E237,42,9999)</f>
        <v>42</v>
      </c>
      <c r="BK237" s="0" t="n">
        <f aca="false">IF(Presupuesto!$B$43='Flujo de Pagos'!$E237,43,9999)</f>
        <v>43</v>
      </c>
      <c r="BL237" s="0" t="n">
        <f aca="false">IF(Presupuesto!$B$44='Flujo de Pagos'!$E237,44,9999)</f>
        <v>44</v>
      </c>
      <c r="BM237" s="0" t="n">
        <f aca="false">IF(Presupuesto!$B$45='Flujo de Pagos'!$E237,45,9999)</f>
        <v>45</v>
      </c>
      <c r="BN237" s="0" t="n">
        <f aca="false">IF(Presupuesto!$B$46='Flujo de Pagos'!$E237,46,9999)</f>
        <v>46</v>
      </c>
      <c r="BO237" s="0" t="n">
        <f aca="false">IF(Presupuesto!$B$47='Flujo de Pagos'!$E237,47,9999)</f>
        <v>47</v>
      </c>
      <c r="BP237" s="0" t="n">
        <f aca="false">IF(Presupuesto!$B$48='Flujo de Pagos'!$E237,48,9999)</f>
        <v>48</v>
      </c>
      <c r="BQ237" s="0" t="n">
        <f aca="false">IF(Presupuesto!$B$49='Flujo de Pagos'!$E237,49,9999)</f>
        <v>49</v>
      </c>
      <c r="BR237" s="0" t="n">
        <f aca="false">IF(Presupuesto!$B$50='Flujo de Pagos'!$E237,50,9999)</f>
        <v>50</v>
      </c>
      <c r="BS237" s="0" t="n">
        <f aca="false">IF(Presupuesto!$B$51='Flujo de Pagos'!$E237,51,9999)</f>
        <v>51</v>
      </c>
      <c r="BT237" s="0" t="n">
        <f aca="false">IF(Presupuesto!$B$52='Flujo de Pagos'!$E237,52,9999)</f>
        <v>52</v>
      </c>
      <c r="BU237" s="0" t="n">
        <f aca="false">IF(Presupuesto!$B$53='Flujo de Pagos'!$E237,53,9999)</f>
        <v>53</v>
      </c>
      <c r="BV237" s="0" t="n">
        <f aca="false">IF(Presupuesto!$B$54='Flujo de Pagos'!$E237,54,9999)</f>
        <v>54</v>
      </c>
      <c r="BW237" s="0" t="n">
        <f aca="false">IF(Presupuesto!$B$55='Flujo de Pagos'!$E237,55,9999)</f>
        <v>55</v>
      </c>
      <c r="BX237" s="0" t="n">
        <f aca="false">IF(Presupuesto!$B$56='Flujo de Pagos'!$E237,56,9999)</f>
        <v>56</v>
      </c>
      <c r="BY237" s="0" t="n">
        <f aca="false">IF(Presupuesto!$B$57='Flujo de Pagos'!$E237,57,9999)</f>
        <v>57</v>
      </c>
      <c r="BZ237" s="0" t="n">
        <f aca="false">IF(Presupuesto!$B$58='Flujo de Pagos'!$E237,58,9999)</f>
        <v>58</v>
      </c>
      <c r="CA237" s="0" t="n">
        <f aca="false">IF(Presupuesto!$B$59='Flujo de Pagos'!$E237,59,9999)</f>
        <v>59</v>
      </c>
      <c r="CB237" s="0" t="n">
        <f aca="false">IF(Presupuesto!$B$60='Flujo de Pagos'!$E237,60,9999)</f>
        <v>60</v>
      </c>
      <c r="CC237" s="0" t="n">
        <f aca="false">IF(Presupuesto!$B$61='Flujo de Pagos'!$E237,61,9999)</f>
        <v>61</v>
      </c>
      <c r="CD237" s="0" t="n">
        <f aca="false">IF(Presupuesto!$B$62='Flujo de Pagos'!$E237,62,9999)</f>
        <v>62</v>
      </c>
      <c r="CE237" s="0" t="n">
        <f aca="false">IF(Presupuesto!$B$63='Flujo de Pagos'!$E237,63,9999)</f>
        <v>63</v>
      </c>
      <c r="CF237" s="0" t="n">
        <f aca="false">IF(Presupuesto!$B$64='Flujo de Pagos'!$E237,64,9999)</f>
        <v>64</v>
      </c>
      <c r="CG237" s="0" t="n">
        <f aca="false">IF(Presupuesto!$B$65='Flujo de Pagos'!$E237,65,9999)</f>
        <v>65</v>
      </c>
      <c r="CH237" s="0" t="n">
        <f aca="false">IF(Presupuesto!$B$66='Flujo de Pagos'!$E237,66,9999)</f>
        <v>66</v>
      </c>
    </row>
    <row r="238" customFormat="false" ht="15" hidden="false" customHeight="true" outlineLevel="0" collapsed="false">
      <c r="B238" s="1" t="n">
        <f aca="false">IF(AND('Flujo de Pagos'!E243=Carátula!$B$2,'Flujo de Pagos'!F243=Carátula!$B$4,'Flujo de Pagos'!H243&lt;&gt;""),243,99999)</f>
        <v>99999</v>
      </c>
      <c r="H238" s="1" t="n">
        <f aca="false">IF(SMALL($AA238:$CH238,1)&gt;=9999,"",INDEX(Presupuesto!$C:$C,SMALL($AA238:$CH238,1)))</f>
        <v>0</v>
      </c>
      <c r="I238" s="1" t="n">
        <f aca="false">IF(SMALL($AA238:$CH238,2)&gt;=9999,"",INDEX(Presupuesto!$C:$C,SMALL($AA238:$CH238,2)))</f>
        <v>0</v>
      </c>
      <c r="J238" s="1" t="n">
        <f aca="false">IF(SMALL($AA238:$CH238,3)&gt;=9999,"",INDEX(Presupuesto!$C:$C,SMALL($AA238:$CH238,3)))</f>
        <v>0</v>
      </c>
      <c r="K238" s="1" t="n">
        <f aca="false">IF(SMALL($AA238:$CH238,4)&gt;=9999,"",INDEX(Presupuesto!$C:$C,SMALL($AA238:$CH238,4)))</f>
        <v>0</v>
      </c>
      <c r="L238" s="1" t="n">
        <f aca="false">IF(SMALL($AA238:$CH238,5)&gt;=9999,"",INDEX(Presupuesto!$C:$C,SMALL($AA238:$CH238,5)))</f>
        <v>0</v>
      </c>
      <c r="M238" s="1" t="n">
        <f aca="false">IF(SMALL($AA238:$CH238,6)&gt;=9999,"",INDEX(Presupuesto!$C:$C,SMALL($AA238:$CH238,6)))</f>
        <v>0</v>
      </c>
      <c r="N238" s="1" t="n">
        <f aca="false">IF(SMALL($AA238:$CH238,7)&gt;=9999,"",INDEX(Presupuesto!$C:$C,SMALL($AA238:$CH238,7)))</f>
        <v>0</v>
      </c>
      <c r="O238" s="1" t="n">
        <f aca="false">IF(SMALL($AA238:$CH238,8)&gt;=9999,"",INDEX(Presupuesto!$C:$C,SMALL($AA238:$CH238,8)))</f>
        <v>0</v>
      </c>
      <c r="P238" s="1" t="n">
        <f aca="false">IF(SMALL($AA238:$CH238,9)&gt;=9999,"",INDEX(Presupuesto!$C:$C,SMALL($AA238:$CH238,9)))</f>
        <v>0</v>
      </c>
      <c r="Q238" s="1" t="n">
        <f aca="false">IF(SMALL($AA238:$CH238,10)&gt;=9999,"",INDEX(Presupuesto!$C:$C,SMALL($AA238:$CH238,10)))</f>
        <v>0</v>
      </c>
      <c r="AA238" s="0" t="n">
        <f aca="false">IF(Presupuesto!$B$7='Flujo de Pagos'!$E238,7,9999)</f>
        <v>9999</v>
      </c>
      <c r="AB238" s="0" t="n">
        <f aca="false">IF(Presupuesto!$B$8='Flujo de Pagos'!$E238,8,9999)</f>
        <v>9999</v>
      </c>
      <c r="AC238" s="0" t="n">
        <f aca="false">IF(Presupuesto!$B$9='Flujo de Pagos'!$E238,9,9999)</f>
        <v>9999</v>
      </c>
      <c r="AD238" s="0" t="n">
        <f aca="false">IF(Presupuesto!$B$10='Flujo de Pagos'!$E238,10,9999)</f>
        <v>9999</v>
      </c>
      <c r="AE238" s="0" t="n">
        <f aca="false">IF(Presupuesto!$B$11='Flujo de Pagos'!$E238,11,9999)</f>
        <v>9999</v>
      </c>
      <c r="AF238" s="0" t="n">
        <f aca="false">IF(Presupuesto!$B$12='Flujo de Pagos'!$E238,12,9999)</f>
        <v>12</v>
      </c>
      <c r="AG238" s="0" t="n">
        <f aca="false">IF(Presupuesto!$B$13='Flujo de Pagos'!$E238,13,9999)</f>
        <v>13</v>
      </c>
      <c r="AH238" s="0" t="n">
        <f aca="false">IF(Presupuesto!$B$14='Flujo de Pagos'!$E238,14,9999)</f>
        <v>14</v>
      </c>
      <c r="AI238" s="0" t="n">
        <f aca="false">IF(Presupuesto!$B$15='Flujo de Pagos'!$E238,15,9999)</f>
        <v>15</v>
      </c>
      <c r="AJ238" s="0" t="n">
        <f aca="false">IF(Presupuesto!$B$16='Flujo de Pagos'!$E238,16,9999)</f>
        <v>16</v>
      </c>
      <c r="AK238" s="0" t="n">
        <f aca="false">IF(Presupuesto!$B$17='Flujo de Pagos'!$E238,17,9999)</f>
        <v>17</v>
      </c>
      <c r="AL238" s="0" t="n">
        <f aca="false">IF(Presupuesto!$B$18='Flujo de Pagos'!$E238,18,9999)</f>
        <v>18</v>
      </c>
      <c r="AM238" s="0" t="n">
        <f aca="false">IF(Presupuesto!$B$19='Flujo de Pagos'!$E238,19,9999)</f>
        <v>19</v>
      </c>
      <c r="AN238" s="0" t="n">
        <f aca="false">IF(Presupuesto!$B$20='Flujo de Pagos'!$E238,20,9999)</f>
        <v>20</v>
      </c>
      <c r="AO238" s="0" t="n">
        <f aca="false">IF(Presupuesto!$B$21='Flujo de Pagos'!$E238,21,9999)</f>
        <v>21</v>
      </c>
      <c r="AP238" s="0" t="n">
        <f aca="false">IF(Presupuesto!$B$22='Flujo de Pagos'!$E238,22,9999)</f>
        <v>22</v>
      </c>
      <c r="AQ238" s="0" t="n">
        <f aca="false">IF(Presupuesto!$B$23='Flujo de Pagos'!$E238,23,9999)</f>
        <v>23</v>
      </c>
      <c r="AR238" s="0" t="n">
        <f aca="false">IF(Presupuesto!$B$24='Flujo de Pagos'!$E238,24,9999)</f>
        <v>24</v>
      </c>
      <c r="AS238" s="0" t="n">
        <f aca="false">IF(Presupuesto!$B$25='Flujo de Pagos'!$E238,25,9999)</f>
        <v>25</v>
      </c>
      <c r="AT238" s="0" t="n">
        <f aca="false">IF(Presupuesto!$B$26='Flujo de Pagos'!$E238,26,9999)</f>
        <v>26</v>
      </c>
      <c r="AU238" s="0" t="n">
        <f aca="false">IF(Presupuesto!$B$27='Flujo de Pagos'!$E238,27,9999)</f>
        <v>27</v>
      </c>
      <c r="AV238" s="0" t="n">
        <f aca="false">IF(Presupuesto!$B$28='Flujo de Pagos'!$E238,28,9999)</f>
        <v>28</v>
      </c>
      <c r="AW238" s="0" t="n">
        <f aca="false">IF(Presupuesto!$B$29='Flujo de Pagos'!$E238,29,9999)</f>
        <v>29</v>
      </c>
      <c r="AX238" s="0" t="n">
        <f aca="false">IF(Presupuesto!$B$30='Flujo de Pagos'!$E238,30,9999)</f>
        <v>30</v>
      </c>
      <c r="AY238" s="0" t="n">
        <f aca="false">IF(Presupuesto!$B$31='Flujo de Pagos'!$E238,31,9999)</f>
        <v>31</v>
      </c>
      <c r="AZ238" s="0" t="n">
        <f aca="false">IF(Presupuesto!$B$32='Flujo de Pagos'!$E238,32,9999)</f>
        <v>32</v>
      </c>
      <c r="BA238" s="0" t="n">
        <f aca="false">IF(Presupuesto!$B$33='Flujo de Pagos'!$E238,33,9999)</f>
        <v>33</v>
      </c>
      <c r="BB238" s="0" t="n">
        <f aca="false">IF(Presupuesto!$B$34='Flujo de Pagos'!$E238,34,9999)</f>
        <v>34</v>
      </c>
      <c r="BC238" s="0" t="n">
        <f aca="false">IF(Presupuesto!$B$35='Flujo de Pagos'!$E238,35,9999)</f>
        <v>35</v>
      </c>
      <c r="BD238" s="0" t="n">
        <f aca="false">IF(Presupuesto!$B$36='Flujo de Pagos'!$E238,36,9999)</f>
        <v>36</v>
      </c>
      <c r="BE238" s="0" t="n">
        <f aca="false">IF(Presupuesto!$B$37='Flujo de Pagos'!$E238,37,9999)</f>
        <v>37</v>
      </c>
      <c r="BF238" s="0" t="n">
        <f aca="false">IF(Presupuesto!$B$38='Flujo de Pagos'!$E238,38,9999)</f>
        <v>38</v>
      </c>
      <c r="BG238" s="0" t="n">
        <f aca="false">IF(Presupuesto!$B$39='Flujo de Pagos'!$E238,39,9999)</f>
        <v>39</v>
      </c>
      <c r="BH238" s="0" t="n">
        <f aca="false">IF(Presupuesto!$B$40='Flujo de Pagos'!$E238,40,9999)</f>
        <v>40</v>
      </c>
      <c r="BI238" s="0" t="n">
        <f aca="false">IF(Presupuesto!$B$41='Flujo de Pagos'!$E238,41,9999)</f>
        <v>41</v>
      </c>
      <c r="BJ238" s="0" t="n">
        <f aca="false">IF(Presupuesto!$B$42='Flujo de Pagos'!$E238,42,9999)</f>
        <v>42</v>
      </c>
      <c r="BK238" s="0" t="n">
        <f aca="false">IF(Presupuesto!$B$43='Flujo de Pagos'!$E238,43,9999)</f>
        <v>43</v>
      </c>
      <c r="BL238" s="0" t="n">
        <f aca="false">IF(Presupuesto!$B$44='Flujo de Pagos'!$E238,44,9999)</f>
        <v>44</v>
      </c>
      <c r="BM238" s="0" t="n">
        <f aca="false">IF(Presupuesto!$B$45='Flujo de Pagos'!$E238,45,9999)</f>
        <v>45</v>
      </c>
      <c r="BN238" s="0" t="n">
        <f aca="false">IF(Presupuesto!$B$46='Flujo de Pagos'!$E238,46,9999)</f>
        <v>46</v>
      </c>
      <c r="BO238" s="0" t="n">
        <f aca="false">IF(Presupuesto!$B$47='Flujo de Pagos'!$E238,47,9999)</f>
        <v>47</v>
      </c>
      <c r="BP238" s="0" t="n">
        <f aca="false">IF(Presupuesto!$B$48='Flujo de Pagos'!$E238,48,9999)</f>
        <v>48</v>
      </c>
      <c r="BQ238" s="0" t="n">
        <f aca="false">IF(Presupuesto!$B$49='Flujo de Pagos'!$E238,49,9999)</f>
        <v>49</v>
      </c>
      <c r="BR238" s="0" t="n">
        <f aca="false">IF(Presupuesto!$B$50='Flujo de Pagos'!$E238,50,9999)</f>
        <v>50</v>
      </c>
      <c r="BS238" s="0" t="n">
        <f aca="false">IF(Presupuesto!$B$51='Flujo de Pagos'!$E238,51,9999)</f>
        <v>51</v>
      </c>
      <c r="BT238" s="0" t="n">
        <f aca="false">IF(Presupuesto!$B$52='Flujo de Pagos'!$E238,52,9999)</f>
        <v>52</v>
      </c>
      <c r="BU238" s="0" t="n">
        <f aca="false">IF(Presupuesto!$B$53='Flujo de Pagos'!$E238,53,9999)</f>
        <v>53</v>
      </c>
      <c r="BV238" s="0" t="n">
        <f aca="false">IF(Presupuesto!$B$54='Flujo de Pagos'!$E238,54,9999)</f>
        <v>54</v>
      </c>
      <c r="BW238" s="0" t="n">
        <f aca="false">IF(Presupuesto!$B$55='Flujo de Pagos'!$E238,55,9999)</f>
        <v>55</v>
      </c>
      <c r="BX238" s="0" t="n">
        <f aca="false">IF(Presupuesto!$B$56='Flujo de Pagos'!$E238,56,9999)</f>
        <v>56</v>
      </c>
      <c r="BY238" s="0" t="n">
        <f aca="false">IF(Presupuesto!$B$57='Flujo de Pagos'!$E238,57,9999)</f>
        <v>57</v>
      </c>
      <c r="BZ238" s="0" t="n">
        <f aca="false">IF(Presupuesto!$B$58='Flujo de Pagos'!$E238,58,9999)</f>
        <v>58</v>
      </c>
      <c r="CA238" s="0" t="n">
        <f aca="false">IF(Presupuesto!$B$59='Flujo de Pagos'!$E238,59,9999)</f>
        <v>59</v>
      </c>
      <c r="CB238" s="0" t="n">
        <f aca="false">IF(Presupuesto!$B$60='Flujo de Pagos'!$E238,60,9999)</f>
        <v>60</v>
      </c>
      <c r="CC238" s="0" t="n">
        <f aca="false">IF(Presupuesto!$B$61='Flujo de Pagos'!$E238,61,9999)</f>
        <v>61</v>
      </c>
      <c r="CD238" s="0" t="n">
        <f aca="false">IF(Presupuesto!$B$62='Flujo de Pagos'!$E238,62,9999)</f>
        <v>62</v>
      </c>
      <c r="CE238" s="0" t="n">
        <f aca="false">IF(Presupuesto!$B$63='Flujo de Pagos'!$E238,63,9999)</f>
        <v>63</v>
      </c>
      <c r="CF238" s="0" t="n">
        <f aca="false">IF(Presupuesto!$B$64='Flujo de Pagos'!$E238,64,9999)</f>
        <v>64</v>
      </c>
      <c r="CG238" s="0" t="n">
        <f aca="false">IF(Presupuesto!$B$65='Flujo de Pagos'!$E238,65,9999)</f>
        <v>65</v>
      </c>
      <c r="CH238" s="0" t="n">
        <f aca="false">IF(Presupuesto!$B$66='Flujo de Pagos'!$E238,66,9999)</f>
        <v>66</v>
      </c>
    </row>
    <row r="239" customFormat="false" ht="15" hidden="false" customHeight="true" outlineLevel="0" collapsed="false">
      <c r="B239" s="1" t="n">
        <f aca="false">IF(AND('Flujo de Pagos'!E244=Carátula!$B$2,'Flujo de Pagos'!F244=Carátula!$B$4,'Flujo de Pagos'!H244&lt;&gt;""),244,99999)</f>
        <v>99999</v>
      </c>
      <c r="H239" s="1" t="n">
        <f aca="false">IF(SMALL($AA239:$CH239,1)&gt;=9999,"",INDEX(Presupuesto!$C:$C,SMALL($AA239:$CH239,1)))</f>
        <v>0</v>
      </c>
      <c r="I239" s="1" t="n">
        <f aca="false">IF(SMALL($AA239:$CH239,2)&gt;=9999,"",INDEX(Presupuesto!$C:$C,SMALL($AA239:$CH239,2)))</f>
        <v>0</v>
      </c>
      <c r="J239" s="1" t="n">
        <f aca="false">IF(SMALL($AA239:$CH239,3)&gt;=9999,"",INDEX(Presupuesto!$C:$C,SMALL($AA239:$CH239,3)))</f>
        <v>0</v>
      </c>
      <c r="K239" s="1" t="n">
        <f aca="false">IF(SMALL($AA239:$CH239,4)&gt;=9999,"",INDEX(Presupuesto!$C:$C,SMALL($AA239:$CH239,4)))</f>
        <v>0</v>
      </c>
      <c r="L239" s="1" t="n">
        <f aca="false">IF(SMALL($AA239:$CH239,5)&gt;=9999,"",INDEX(Presupuesto!$C:$C,SMALL($AA239:$CH239,5)))</f>
        <v>0</v>
      </c>
      <c r="M239" s="1" t="n">
        <f aca="false">IF(SMALL($AA239:$CH239,6)&gt;=9999,"",INDEX(Presupuesto!$C:$C,SMALL($AA239:$CH239,6)))</f>
        <v>0</v>
      </c>
      <c r="N239" s="1" t="n">
        <f aca="false">IF(SMALL($AA239:$CH239,7)&gt;=9999,"",INDEX(Presupuesto!$C:$C,SMALL($AA239:$CH239,7)))</f>
        <v>0</v>
      </c>
      <c r="O239" s="1" t="n">
        <f aca="false">IF(SMALL($AA239:$CH239,8)&gt;=9999,"",INDEX(Presupuesto!$C:$C,SMALL($AA239:$CH239,8)))</f>
        <v>0</v>
      </c>
      <c r="P239" s="1" t="n">
        <f aca="false">IF(SMALL($AA239:$CH239,9)&gt;=9999,"",INDEX(Presupuesto!$C:$C,SMALL($AA239:$CH239,9)))</f>
        <v>0</v>
      </c>
      <c r="Q239" s="1" t="n">
        <f aca="false">IF(SMALL($AA239:$CH239,10)&gt;=9999,"",INDEX(Presupuesto!$C:$C,SMALL($AA239:$CH239,10)))</f>
        <v>0</v>
      </c>
      <c r="AA239" s="0" t="n">
        <f aca="false">IF(Presupuesto!$B$7='Flujo de Pagos'!$E239,7,9999)</f>
        <v>9999</v>
      </c>
      <c r="AB239" s="0" t="n">
        <f aca="false">IF(Presupuesto!$B$8='Flujo de Pagos'!$E239,8,9999)</f>
        <v>9999</v>
      </c>
      <c r="AC239" s="0" t="n">
        <f aca="false">IF(Presupuesto!$B$9='Flujo de Pagos'!$E239,9,9999)</f>
        <v>9999</v>
      </c>
      <c r="AD239" s="0" t="n">
        <f aca="false">IF(Presupuesto!$B$10='Flujo de Pagos'!$E239,10,9999)</f>
        <v>9999</v>
      </c>
      <c r="AE239" s="0" t="n">
        <f aca="false">IF(Presupuesto!$B$11='Flujo de Pagos'!$E239,11,9999)</f>
        <v>9999</v>
      </c>
      <c r="AF239" s="0" t="n">
        <f aca="false">IF(Presupuesto!$B$12='Flujo de Pagos'!$E239,12,9999)</f>
        <v>12</v>
      </c>
      <c r="AG239" s="0" t="n">
        <f aca="false">IF(Presupuesto!$B$13='Flujo de Pagos'!$E239,13,9999)</f>
        <v>13</v>
      </c>
      <c r="AH239" s="0" t="n">
        <f aca="false">IF(Presupuesto!$B$14='Flujo de Pagos'!$E239,14,9999)</f>
        <v>14</v>
      </c>
      <c r="AI239" s="0" t="n">
        <f aca="false">IF(Presupuesto!$B$15='Flujo de Pagos'!$E239,15,9999)</f>
        <v>15</v>
      </c>
      <c r="AJ239" s="0" t="n">
        <f aca="false">IF(Presupuesto!$B$16='Flujo de Pagos'!$E239,16,9999)</f>
        <v>16</v>
      </c>
      <c r="AK239" s="0" t="n">
        <f aca="false">IF(Presupuesto!$B$17='Flujo de Pagos'!$E239,17,9999)</f>
        <v>17</v>
      </c>
      <c r="AL239" s="0" t="n">
        <f aca="false">IF(Presupuesto!$B$18='Flujo de Pagos'!$E239,18,9999)</f>
        <v>18</v>
      </c>
      <c r="AM239" s="0" t="n">
        <f aca="false">IF(Presupuesto!$B$19='Flujo de Pagos'!$E239,19,9999)</f>
        <v>19</v>
      </c>
      <c r="AN239" s="0" t="n">
        <f aca="false">IF(Presupuesto!$B$20='Flujo de Pagos'!$E239,20,9999)</f>
        <v>20</v>
      </c>
      <c r="AO239" s="0" t="n">
        <f aca="false">IF(Presupuesto!$B$21='Flujo de Pagos'!$E239,21,9999)</f>
        <v>21</v>
      </c>
      <c r="AP239" s="0" t="n">
        <f aca="false">IF(Presupuesto!$B$22='Flujo de Pagos'!$E239,22,9999)</f>
        <v>22</v>
      </c>
      <c r="AQ239" s="0" t="n">
        <f aca="false">IF(Presupuesto!$B$23='Flujo de Pagos'!$E239,23,9999)</f>
        <v>23</v>
      </c>
      <c r="AR239" s="0" t="n">
        <f aca="false">IF(Presupuesto!$B$24='Flujo de Pagos'!$E239,24,9999)</f>
        <v>24</v>
      </c>
      <c r="AS239" s="0" t="n">
        <f aca="false">IF(Presupuesto!$B$25='Flujo de Pagos'!$E239,25,9999)</f>
        <v>25</v>
      </c>
      <c r="AT239" s="0" t="n">
        <f aca="false">IF(Presupuesto!$B$26='Flujo de Pagos'!$E239,26,9999)</f>
        <v>26</v>
      </c>
      <c r="AU239" s="0" t="n">
        <f aca="false">IF(Presupuesto!$B$27='Flujo de Pagos'!$E239,27,9999)</f>
        <v>27</v>
      </c>
      <c r="AV239" s="0" t="n">
        <f aca="false">IF(Presupuesto!$B$28='Flujo de Pagos'!$E239,28,9999)</f>
        <v>28</v>
      </c>
      <c r="AW239" s="0" t="n">
        <f aca="false">IF(Presupuesto!$B$29='Flujo de Pagos'!$E239,29,9999)</f>
        <v>29</v>
      </c>
      <c r="AX239" s="0" t="n">
        <f aca="false">IF(Presupuesto!$B$30='Flujo de Pagos'!$E239,30,9999)</f>
        <v>30</v>
      </c>
      <c r="AY239" s="0" t="n">
        <f aca="false">IF(Presupuesto!$B$31='Flujo de Pagos'!$E239,31,9999)</f>
        <v>31</v>
      </c>
      <c r="AZ239" s="0" t="n">
        <f aca="false">IF(Presupuesto!$B$32='Flujo de Pagos'!$E239,32,9999)</f>
        <v>32</v>
      </c>
      <c r="BA239" s="0" t="n">
        <f aca="false">IF(Presupuesto!$B$33='Flujo de Pagos'!$E239,33,9999)</f>
        <v>33</v>
      </c>
      <c r="BB239" s="0" t="n">
        <f aca="false">IF(Presupuesto!$B$34='Flujo de Pagos'!$E239,34,9999)</f>
        <v>34</v>
      </c>
      <c r="BC239" s="0" t="n">
        <f aca="false">IF(Presupuesto!$B$35='Flujo de Pagos'!$E239,35,9999)</f>
        <v>35</v>
      </c>
      <c r="BD239" s="0" t="n">
        <f aca="false">IF(Presupuesto!$B$36='Flujo de Pagos'!$E239,36,9999)</f>
        <v>36</v>
      </c>
      <c r="BE239" s="0" t="n">
        <f aca="false">IF(Presupuesto!$B$37='Flujo de Pagos'!$E239,37,9999)</f>
        <v>37</v>
      </c>
      <c r="BF239" s="0" t="n">
        <f aca="false">IF(Presupuesto!$B$38='Flujo de Pagos'!$E239,38,9999)</f>
        <v>38</v>
      </c>
      <c r="BG239" s="0" t="n">
        <f aca="false">IF(Presupuesto!$B$39='Flujo de Pagos'!$E239,39,9999)</f>
        <v>39</v>
      </c>
      <c r="BH239" s="0" t="n">
        <f aca="false">IF(Presupuesto!$B$40='Flujo de Pagos'!$E239,40,9999)</f>
        <v>40</v>
      </c>
      <c r="BI239" s="0" t="n">
        <f aca="false">IF(Presupuesto!$B$41='Flujo de Pagos'!$E239,41,9999)</f>
        <v>41</v>
      </c>
      <c r="BJ239" s="0" t="n">
        <f aca="false">IF(Presupuesto!$B$42='Flujo de Pagos'!$E239,42,9999)</f>
        <v>42</v>
      </c>
      <c r="BK239" s="0" t="n">
        <f aca="false">IF(Presupuesto!$B$43='Flujo de Pagos'!$E239,43,9999)</f>
        <v>43</v>
      </c>
      <c r="BL239" s="0" t="n">
        <f aca="false">IF(Presupuesto!$B$44='Flujo de Pagos'!$E239,44,9999)</f>
        <v>44</v>
      </c>
      <c r="BM239" s="0" t="n">
        <f aca="false">IF(Presupuesto!$B$45='Flujo de Pagos'!$E239,45,9999)</f>
        <v>45</v>
      </c>
      <c r="BN239" s="0" t="n">
        <f aca="false">IF(Presupuesto!$B$46='Flujo de Pagos'!$E239,46,9999)</f>
        <v>46</v>
      </c>
      <c r="BO239" s="0" t="n">
        <f aca="false">IF(Presupuesto!$B$47='Flujo de Pagos'!$E239,47,9999)</f>
        <v>47</v>
      </c>
      <c r="BP239" s="0" t="n">
        <f aca="false">IF(Presupuesto!$B$48='Flujo de Pagos'!$E239,48,9999)</f>
        <v>48</v>
      </c>
      <c r="BQ239" s="0" t="n">
        <f aca="false">IF(Presupuesto!$B$49='Flujo de Pagos'!$E239,49,9999)</f>
        <v>49</v>
      </c>
      <c r="BR239" s="0" t="n">
        <f aca="false">IF(Presupuesto!$B$50='Flujo de Pagos'!$E239,50,9999)</f>
        <v>50</v>
      </c>
      <c r="BS239" s="0" t="n">
        <f aca="false">IF(Presupuesto!$B$51='Flujo de Pagos'!$E239,51,9999)</f>
        <v>51</v>
      </c>
      <c r="BT239" s="0" t="n">
        <f aca="false">IF(Presupuesto!$B$52='Flujo de Pagos'!$E239,52,9999)</f>
        <v>52</v>
      </c>
      <c r="BU239" s="0" t="n">
        <f aca="false">IF(Presupuesto!$B$53='Flujo de Pagos'!$E239,53,9999)</f>
        <v>53</v>
      </c>
      <c r="BV239" s="0" t="n">
        <f aca="false">IF(Presupuesto!$B$54='Flujo de Pagos'!$E239,54,9999)</f>
        <v>54</v>
      </c>
      <c r="BW239" s="0" t="n">
        <f aca="false">IF(Presupuesto!$B$55='Flujo de Pagos'!$E239,55,9999)</f>
        <v>55</v>
      </c>
      <c r="BX239" s="0" t="n">
        <f aca="false">IF(Presupuesto!$B$56='Flujo de Pagos'!$E239,56,9999)</f>
        <v>56</v>
      </c>
      <c r="BY239" s="0" t="n">
        <f aca="false">IF(Presupuesto!$B$57='Flujo de Pagos'!$E239,57,9999)</f>
        <v>57</v>
      </c>
      <c r="BZ239" s="0" t="n">
        <f aca="false">IF(Presupuesto!$B$58='Flujo de Pagos'!$E239,58,9999)</f>
        <v>58</v>
      </c>
      <c r="CA239" s="0" t="n">
        <f aca="false">IF(Presupuesto!$B$59='Flujo de Pagos'!$E239,59,9999)</f>
        <v>59</v>
      </c>
      <c r="CB239" s="0" t="n">
        <f aca="false">IF(Presupuesto!$B$60='Flujo de Pagos'!$E239,60,9999)</f>
        <v>60</v>
      </c>
      <c r="CC239" s="0" t="n">
        <f aca="false">IF(Presupuesto!$B$61='Flujo de Pagos'!$E239,61,9999)</f>
        <v>61</v>
      </c>
      <c r="CD239" s="0" t="n">
        <f aca="false">IF(Presupuesto!$B$62='Flujo de Pagos'!$E239,62,9999)</f>
        <v>62</v>
      </c>
      <c r="CE239" s="0" t="n">
        <f aca="false">IF(Presupuesto!$B$63='Flujo de Pagos'!$E239,63,9999)</f>
        <v>63</v>
      </c>
      <c r="CF239" s="0" t="n">
        <f aca="false">IF(Presupuesto!$B$64='Flujo de Pagos'!$E239,64,9999)</f>
        <v>64</v>
      </c>
      <c r="CG239" s="0" t="n">
        <f aca="false">IF(Presupuesto!$B$65='Flujo de Pagos'!$E239,65,9999)</f>
        <v>65</v>
      </c>
      <c r="CH239" s="0" t="n">
        <f aca="false">IF(Presupuesto!$B$66='Flujo de Pagos'!$E239,66,9999)</f>
        <v>66</v>
      </c>
    </row>
    <row r="240" customFormat="false" ht="15" hidden="false" customHeight="true" outlineLevel="0" collapsed="false">
      <c r="B240" s="1" t="n">
        <f aca="false">IF(AND('Flujo de Pagos'!E245=Carátula!$B$2,'Flujo de Pagos'!F245=Carátula!$B$4,'Flujo de Pagos'!H245&lt;&gt;""),245,99999)</f>
        <v>99999</v>
      </c>
      <c r="H240" s="1" t="n">
        <f aca="false">IF(SMALL($AA240:$CH240,1)&gt;=9999,"",INDEX(Presupuesto!$C:$C,SMALL($AA240:$CH240,1)))</f>
        <v>0</v>
      </c>
      <c r="I240" s="1" t="n">
        <f aca="false">IF(SMALL($AA240:$CH240,2)&gt;=9999,"",INDEX(Presupuesto!$C:$C,SMALL($AA240:$CH240,2)))</f>
        <v>0</v>
      </c>
      <c r="J240" s="1" t="n">
        <f aca="false">IF(SMALL($AA240:$CH240,3)&gt;=9999,"",INDEX(Presupuesto!$C:$C,SMALL($AA240:$CH240,3)))</f>
        <v>0</v>
      </c>
      <c r="K240" s="1" t="n">
        <f aca="false">IF(SMALL($AA240:$CH240,4)&gt;=9999,"",INDEX(Presupuesto!$C:$C,SMALL($AA240:$CH240,4)))</f>
        <v>0</v>
      </c>
      <c r="L240" s="1" t="n">
        <f aca="false">IF(SMALL($AA240:$CH240,5)&gt;=9999,"",INDEX(Presupuesto!$C:$C,SMALL($AA240:$CH240,5)))</f>
        <v>0</v>
      </c>
      <c r="M240" s="1" t="n">
        <f aca="false">IF(SMALL($AA240:$CH240,6)&gt;=9999,"",INDEX(Presupuesto!$C:$C,SMALL($AA240:$CH240,6)))</f>
        <v>0</v>
      </c>
      <c r="N240" s="1" t="n">
        <f aca="false">IF(SMALL($AA240:$CH240,7)&gt;=9999,"",INDEX(Presupuesto!$C:$C,SMALL($AA240:$CH240,7)))</f>
        <v>0</v>
      </c>
      <c r="O240" s="1" t="n">
        <f aca="false">IF(SMALL($AA240:$CH240,8)&gt;=9999,"",INDEX(Presupuesto!$C:$C,SMALL($AA240:$CH240,8)))</f>
        <v>0</v>
      </c>
      <c r="P240" s="1" t="n">
        <f aca="false">IF(SMALL($AA240:$CH240,9)&gt;=9999,"",INDEX(Presupuesto!$C:$C,SMALL($AA240:$CH240,9)))</f>
        <v>0</v>
      </c>
      <c r="Q240" s="1" t="n">
        <f aca="false">IF(SMALL($AA240:$CH240,10)&gt;=9999,"",INDEX(Presupuesto!$C:$C,SMALL($AA240:$CH240,10)))</f>
        <v>0</v>
      </c>
      <c r="AA240" s="0" t="n">
        <f aca="false">IF(Presupuesto!$B$7='Flujo de Pagos'!$E240,7,9999)</f>
        <v>9999</v>
      </c>
      <c r="AB240" s="0" t="n">
        <f aca="false">IF(Presupuesto!$B$8='Flujo de Pagos'!$E240,8,9999)</f>
        <v>9999</v>
      </c>
      <c r="AC240" s="0" t="n">
        <f aca="false">IF(Presupuesto!$B$9='Flujo de Pagos'!$E240,9,9999)</f>
        <v>9999</v>
      </c>
      <c r="AD240" s="0" t="n">
        <f aca="false">IF(Presupuesto!$B$10='Flujo de Pagos'!$E240,10,9999)</f>
        <v>9999</v>
      </c>
      <c r="AE240" s="0" t="n">
        <f aca="false">IF(Presupuesto!$B$11='Flujo de Pagos'!$E240,11,9999)</f>
        <v>9999</v>
      </c>
      <c r="AF240" s="0" t="n">
        <f aca="false">IF(Presupuesto!$B$12='Flujo de Pagos'!$E240,12,9999)</f>
        <v>12</v>
      </c>
      <c r="AG240" s="0" t="n">
        <f aca="false">IF(Presupuesto!$B$13='Flujo de Pagos'!$E240,13,9999)</f>
        <v>13</v>
      </c>
      <c r="AH240" s="0" t="n">
        <f aca="false">IF(Presupuesto!$B$14='Flujo de Pagos'!$E240,14,9999)</f>
        <v>14</v>
      </c>
      <c r="AI240" s="0" t="n">
        <f aca="false">IF(Presupuesto!$B$15='Flujo de Pagos'!$E240,15,9999)</f>
        <v>15</v>
      </c>
      <c r="AJ240" s="0" t="n">
        <f aca="false">IF(Presupuesto!$B$16='Flujo de Pagos'!$E240,16,9999)</f>
        <v>16</v>
      </c>
      <c r="AK240" s="0" t="n">
        <f aca="false">IF(Presupuesto!$B$17='Flujo de Pagos'!$E240,17,9999)</f>
        <v>17</v>
      </c>
      <c r="AL240" s="0" t="n">
        <f aca="false">IF(Presupuesto!$B$18='Flujo de Pagos'!$E240,18,9999)</f>
        <v>18</v>
      </c>
      <c r="AM240" s="0" t="n">
        <f aca="false">IF(Presupuesto!$B$19='Flujo de Pagos'!$E240,19,9999)</f>
        <v>19</v>
      </c>
      <c r="AN240" s="0" t="n">
        <f aca="false">IF(Presupuesto!$B$20='Flujo de Pagos'!$E240,20,9999)</f>
        <v>20</v>
      </c>
      <c r="AO240" s="0" t="n">
        <f aca="false">IF(Presupuesto!$B$21='Flujo de Pagos'!$E240,21,9999)</f>
        <v>21</v>
      </c>
      <c r="AP240" s="0" t="n">
        <f aca="false">IF(Presupuesto!$B$22='Flujo de Pagos'!$E240,22,9999)</f>
        <v>22</v>
      </c>
      <c r="AQ240" s="0" t="n">
        <f aca="false">IF(Presupuesto!$B$23='Flujo de Pagos'!$E240,23,9999)</f>
        <v>23</v>
      </c>
      <c r="AR240" s="0" t="n">
        <f aca="false">IF(Presupuesto!$B$24='Flujo de Pagos'!$E240,24,9999)</f>
        <v>24</v>
      </c>
      <c r="AS240" s="0" t="n">
        <f aca="false">IF(Presupuesto!$B$25='Flujo de Pagos'!$E240,25,9999)</f>
        <v>25</v>
      </c>
      <c r="AT240" s="0" t="n">
        <f aca="false">IF(Presupuesto!$B$26='Flujo de Pagos'!$E240,26,9999)</f>
        <v>26</v>
      </c>
      <c r="AU240" s="0" t="n">
        <f aca="false">IF(Presupuesto!$B$27='Flujo de Pagos'!$E240,27,9999)</f>
        <v>27</v>
      </c>
      <c r="AV240" s="0" t="n">
        <f aca="false">IF(Presupuesto!$B$28='Flujo de Pagos'!$E240,28,9999)</f>
        <v>28</v>
      </c>
      <c r="AW240" s="0" t="n">
        <f aca="false">IF(Presupuesto!$B$29='Flujo de Pagos'!$E240,29,9999)</f>
        <v>29</v>
      </c>
      <c r="AX240" s="0" t="n">
        <f aca="false">IF(Presupuesto!$B$30='Flujo de Pagos'!$E240,30,9999)</f>
        <v>30</v>
      </c>
      <c r="AY240" s="0" t="n">
        <f aca="false">IF(Presupuesto!$B$31='Flujo de Pagos'!$E240,31,9999)</f>
        <v>31</v>
      </c>
      <c r="AZ240" s="0" t="n">
        <f aca="false">IF(Presupuesto!$B$32='Flujo de Pagos'!$E240,32,9999)</f>
        <v>32</v>
      </c>
      <c r="BA240" s="0" t="n">
        <f aca="false">IF(Presupuesto!$B$33='Flujo de Pagos'!$E240,33,9999)</f>
        <v>33</v>
      </c>
      <c r="BB240" s="0" t="n">
        <f aca="false">IF(Presupuesto!$B$34='Flujo de Pagos'!$E240,34,9999)</f>
        <v>34</v>
      </c>
      <c r="BC240" s="0" t="n">
        <f aca="false">IF(Presupuesto!$B$35='Flujo de Pagos'!$E240,35,9999)</f>
        <v>35</v>
      </c>
      <c r="BD240" s="0" t="n">
        <f aca="false">IF(Presupuesto!$B$36='Flujo de Pagos'!$E240,36,9999)</f>
        <v>36</v>
      </c>
      <c r="BE240" s="0" t="n">
        <f aca="false">IF(Presupuesto!$B$37='Flujo de Pagos'!$E240,37,9999)</f>
        <v>37</v>
      </c>
      <c r="BF240" s="0" t="n">
        <f aca="false">IF(Presupuesto!$B$38='Flujo de Pagos'!$E240,38,9999)</f>
        <v>38</v>
      </c>
      <c r="BG240" s="0" t="n">
        <f aca="false">IF(Presupuesto!$B$39='Flujo de Pagos'!$E240,39,9999)</f>
        <v>39</v>
      </c>
      <c r="BH240" s="0" t="n">
        <f aca="false">IF(Presupuesto!$B$40='Flujo de Pagos'!$E240,40,9999)</f>
        <v>40</v>
      </c>
      <c r="BI240" s="0" t="n">
        <f aca="false">IF(Presupuesto!$B$41='Flujo de Pagos'!$E240,41,9999)</f>
        <v>41</v>
      </c>
      <c r="BJ240" s="0" t="n">
        <f aca="false">IF(Presupuesto!$B$42='Flujo de Pagos'!$E240,42,9999)</f>
        <v>42</v>
      </c>
      <c r="BK240" s="0" t="n">
        <f aca="false">IF(Presupuesto!$B$43='Flujo de Pagos'!$E240,43,9999)</f>
        <v>43</v>
      </c>
      <c r="BL240" s="0" t="n">
        <f aca="false">IF(Presupuesto!$B$44='Flujo de Pagos'!$E240,44,9999)</f>
        <v>44</v>
      </c>
      <c r="BM240" s="0" t="n">
        <f aca="false">IF(Presupuesto!$B$45='Flujo de Pagos'!$E240,45,9999)</f>
        <v>45</v>
      </c>
      <c r="BN240" s="0" t="n">
        <f aca="false">IF(Presupuesto!$B$46='Flujo de Pagos'!$E240,46,9999)</f>
        <v>46</v>
      </c>
      <c r="BO240" s="0" t="n">
        <f aca="false">IF(Presupuesto!$B$47='Flujo de Pagos'!$E240,47,9999)</f>
        <v>47</v>
      </c>
      <c r="BP240" s="0" t="n">
        <f aca="false">IF(Presupuesto!$B$48='Flujo de Pagos'!$E240,48,9999)</f>
        <v>48</v>
      </c>
      <c r="BQ240" s="0" t="n">
        <f aca="false">IF(Presupuesto!$B$49='Flujo de Pagos'!$E240,49,9999)</f>
        <v>49</v>
      </c>
      <c r="BR240" s="0" t="n">
        <f aca="false">IF(Presupuesto!$B$50='Flujo de Pagos'!$E240,50,9999)</f>
        <v>50</v>
      </c>
      <c r="BS240" s="0" t="n">
        <f aca="false">IF(Presupuesto!$B$51='Flujo de Pagos'!$E240,51,9999)</f>
        <v>51</v>
      </c>
      <c r="BT240" s="0" t="n">
        <f aca="false">IF(Presupuesto!$B$52='Flujo de Pagos'!$E240,52,9999)</f>
        <v>52</v>
      </c>
      <c r="BU240" s="0" t="n">
        <f aca="false">IF(Presupuesto!$B$53='Flujo de Pagos'!$E240,53,9999)</f>
        <v>53</v>
      </c>
      <c r="BV240" s="0" t="n">
        <f aca="false">IF(Presupuesto!$B$54='Flujo de Pagos'!$E240,54,9999)</f>
        <v>54</v>
      </c>
      <c r="BW240" s="0" t="n">
        <f aca="false">IF(Presupuesto!$B$55='Flujo de Pagos'!$E240,55,9999)</f>
        <v>55</v>
      </c>
      <c r="BX240" s="0" t="n">
        <f aca="false">IF(Presupuesto!$B$56='Flujo de Pagos'!$E240,56,9999)</f>
        <v>56</v>
      </c>
      <c r="BY240" s="0" t="n">
        <f aca="false">IF(Presupuesto!$B$57='Flujo de Pagos'!$E240,57,9999)</f>
        <v>57</v>
      </c>
      <c r="BZ240" s="0" t="n">
        <f aca="false">IF(Presupuesto!$B$58='Flujo de Pagos'!$E240,58,9999)</f>
        <v>58</v>
      </c>
      <c r="CA240" s="0" t="n">
        <f aca="false">IF(Presupuesto!$B$59='Flujo de Pagos'!$E240,59,9999)</f>
        <v>59</v>
      </c>
      <c r="CB240" s="0" t="n">
        <f aca="false">IF(Presupuesto!$B$60='Flujo de Pagos'!$E240,60,9999)</f>
        <v>60</v>
      </c>
      <c r="CC240" s="0" t="n">
        <f aca="false">IF(Presupuesto!$B$61='Flujo de Pagos'!$E240,61,9999)</f>
        <v>61</v>
      </c>
      <c r="CD240" s="0" t="n">
        <f aca="false">IF(Presupuesto!$B$62='Flujo de Pagos'!$E240,62,9999)</f>
        <v>62</v>
      </c>
      <c r="CE240" s="0" t="n">
        <f aca="false">IF(Presupuesto!$B$63='Flujo de Pagos'!$E240,63,9999)</f>
        <v>63</v>
      </c>
      <c r="CF240" s="0" t="n">
        <f aca="false">IF(Presupuesto!$B$64='Flujo de Pagos'!$E240,64,9999)</f>
        <v>64</v>
      </c>
      <c r="CG240" s="0" t="n">
        <f aca="false">IF(Presupuesto!$B$65='Flujo de Pagos'!$E240,65,9999)</f>
        <v>65</v>
      </c>
      <c r="CH240" s="0" t="n">
        <f aca="false">IF(Presupuesto!$B$66='Flujo de Pagos'!$E240,66,9999)</f>
        <v>66</v>
      </c>
    </row>
    <row r="241" customFormat="false" ht="15" hidden="false" customHeight="true" outlineLevel="0" collapsed="false">
      <c r="B241" s="1" t="n">
        <f aca="false">IF(AND('Flujo de Pagos'!E246=Carátula!$B$2,'Flujo de Pagos'!F246=Carátula!$B$4,'Flujo de Pagos'!H246&lt;&gt;""),246,99999)</f>
        <v>99999</v>
      </c>
      <c r="H241" s="1" t="n">
        <f aca="false">IF(SMALL($AA241:$CH241,1)&gt;=9999,"",INDEX(Presupuesto!$C:$C,SMALL($AA241:$CH241,1)))</f>
        <v>0</v>
      </c>
      <c r="I241" s="1" t="n">
        <f aca="false">IF(SMALL($AA241:$CH241,2)&gt;=9999,"",INDEX(Presupuesto!$C:$C,SMALL($AA241:$CH241,2)))</f>
        <v>0</v>
      </c>
      <c r="J241" s="1" t="n">
        <f aca="false">IF(SMALL($AA241:$CH241,3)&gt;=9999,"",INDEX(Presupuesto!$C:$C,SMALL($AA241:$CH241,3)))</f>
        <v>0</v>
      </c>
      <c r="K241" s="1" t="n">
        <f aca="false">IF(SMALL($AA241:$CH241,4)&gt;=9999,"",INDEX(Presupuesto!$C:$C,SMALL($AA241:$CH241,4)))</f>
        <v>0</v>
      </c>
      <c r="L241" s="1" t="n">
        <f aca="false">IF(SMALL($AA241:$CH241,5)&gt;=9999,"",INDEX(Presupuesto!$C:$C,SMALL($AA241:$CH241,5)))</f>
        <v>0</v>
      </c>
      <c r="M241" s="1" t="n">
        <f aca="false">IF(SMALL($AA241:$CH241,6)&gt;=9999,"",INDEX(Presupuesto!$C:$C,SMALL($AA241:$CH241,6)))</f>
        <v>0</v>
      </c>
      <c r="N241" s="1" t="n">
        <f aca="false">IF(SMALL($AA241:$CH241,7)&gt;=9999,"",INDEX(Presupuesto!$C:$C,SMALL($AA241:$CH241,7)))</f>
        <v>0</v>
      </c>
      <c r="O241" s="1" t="n">
        <f aca="false">IF(SMALL($AA241:$CH241,8)&gt;=9999,"",INDEX(Presupuesto!$C:$C,SMALL($AA241:$CH241,8)))</f>
        <v>0</v>
      </c>
      <c r="P241" s="1" t="n">
        <f aca="false">IF(SMALL($AA241:$CH241,9)&gt;=9999,"",INDEX(Presupuesto!$C:$C,SMALL($AA241:$CH241,9)))</f>
        <v>0</v>
      </c>
      <c r="Q241" s="1" t="n">
        <f aca="false">IF(SMALL($AA241:$CH241,10)&gt;=9999,"",INDEX(Presupuesto!$C:$C,SMALL($AA241:$CH241,10)))</f>
        <v>0</v>
      </c>
      <c r="AA241" s="0" t="n">
        <f aca="false">IF(Presupuesto!$B$7='Flujo de Pagos'!$E241,7,9999)</f>
        <v>9999</v>
      </c>
      <c r="AB241" s="0" t="n">
        <f aca="false">IF(Presupuesto!$B$8='Flujo de Pagos'!$E241,8,9999)</f>
        <v>9999</v>
      </c>
      <c r="AC241" s="0" t="n">
        <f aca="false">IF(Presupuesto!$B$9='Flujo de Pagos'!$E241,9,9999)</f>
        <v>9999</v>
      </c>
      <c r="AD241" s="0" t="n">
        <f aca="false">IF(Presupuesto!$B$10='Flujo de Pagos'!$E241,10,9999)</f>
        <v>9999</v>
      </c>
      <c r="AE241" s="0" t="n">
        <f aca="false">IF(Presupuesto!$B$11='Flujo de Pagos'!$E241,11,9999)</f>
        <v>9999</v>
      </c>
      <c r="AF241" s="0" t="n">
        <f aca="false">IF(Presupuesto!$B$12='Flujo de Pagos'!$E241,12,9999)</f>
        <v>12</v>
      </c>
      <c r="AG241" s="0" t="n">
        <f aca="false">IF(Presupuesto!$B$13='Flujo de Pagos'!$E241,13,9999)</f>
        <v>13</v>
      </c>
      <c r="AH241" s="0" t="n">
        <f aca="false">IF(Presupuesto!$B$14='Flujo de Pagos'!$E241,14,9999)</f>
        <v>14</v>
      </c>
      <c r="AI241" s="0" t="n">
        <f aca="false">IF(Presupuesto!$B$15='Flujo de Pagos'!$E241,15,9999)</f>
        <v>15</v>
      </c>
      <c r="AJ241" s="0" t="n">
        <f aca="false">IF(Presupuesto!$B$16='Flujo de Pagos'!$E241,16,9999)</f>
        <v>16</v>
      </c>
      <c r="AK241" s="0" t="n">
        <f aca="false">IF(Presupuesto!$B$17='Flujo de Pagos'!$E241,17,9999)</f>
        <v>17</v>
      </c>
      <c r="AL241" s="0" t="n">
        <f aca="false">IF(Presupuesto!$B$18='Flujo de Pagos'!$E241,18,9999)</f>
        <v>18</v>
      </c>
      <c r="AM241" s="0" t="n">
        <f aca="false">IF(Presupuesto!$B$19='Flujo de Pagos'!$E241,19,9999)</f>
        <v>19</v>
      </c>
      <c r="AN241" s="0" t="n">
        <f aca="false">IF(Presupuesto!$B$20='Flujo de Pagos'!$E241,20,9999)</f>
        <v>20</v>
      </c>
      <c r="AO241" s="0" t="n">
        <f aca="false">IF(Presupuesto!$B$21='Flujo de Pagos'!$E241,21,9999)</f>
        <v>21</v>
      </c>
      <c r="AP241" s="0" t="n">
        <f aca="false">IF(Presupuesto!$B$22='Flujo de Pagos'!$E241,22,9999)</f>
        <v>22</v>
      </c>
      <c r="AQ241" s="0" t="n">
        <f aca="false">IF(Presupuesto!$B$23='Flujo de Pagos'!$E241,23,9999)</f>
        <v>23</v>
      </c>
      <c r="AR241" s="0" t="n">
        <f aca="false">IF(Presupuesto!$B$24='Flujo de Pagos'!$E241,24,9999)</f>
        <v>24</v>
      </c>
      <c r="AS241" s="0" t="n">
        <f aca="false">IF(Presupuesto!$B$25='Flujo de Pagos'!$E241,25,9999)</f>
        <v>25</v>
      </c>
      <c r="AT241" s="0" t="n">
        <f aca="false">IF(Presupuesto!$B$26='Flujo de Pagos'!$E241,26,9999)</f>
        <v>26</v>
      </c>
      <c r="AU241" s="0" t="n">
        <f aca="false">IF(Presupuesto!$B$27='Flujo de Pagos'!$E241,27,9999)</f>
        <v>27</v>
      </c>
      <c r="AV241" s="0" t="n">
        <f aca="false">IF(Presupuesto!$B$28='Flujo de Pagos'!$E241,28,9999)</f>
        <v>28</v>
      </c>
      <c r="AW241" s="0" t="n">
        <f aca="false">IF(Presupuesto!$B$29='Flujo de Pagos'!$E241,29,9999)</f>
        <v>29</v>
      </c>
      <c r="AX241" s="0" t="n">
        <f aca="false">IF(Presupuesto!$B$30='Flujo de Pagos'!$E241,30,9999)</f>
        <v>30</v>
      </c>
      <c r="AY241" s="0" t="n">
        <f aca="false">IF(Presupuesto!$B$31='Flujo de Pagos'!$E241,31,9999)</f>
        <v>31</v>
      </c>
      <c r="AZ241" s="0" t="n">
        <f aca="false">IF(Presupuesto!$B$32='Flujo de Pagos'!$E241,32,9999)</f>
        <v>32</v>
      </c>
      <c r="BA241" s="0" t="n">
        <f aca="false">IF(Presupuesto!$B$33='Flujo de Pagos'!$E241,33,9999)</f>
        <v>33</v>
      </c>
      <c r="BB241" s="0" t="n">
        <f aca="false">IF(Presupuesto!$B$34='Flujo de Pagos'!$E241,34,9999)</f>
        <v>34</v>
      </c>
      <c r="BC241" s="0" t="n">
        <f aca="false">IF(Presupuesto!$B$35='Flujo de Pagos'!$E241,35,9999)</f>
        <v>35</v>
      </c>
      <c r="BD241" s="0" t="n">
        <f aca="false">IF(Presupuesto!$B$36='Flujo de Pagos'!$E241,36,9999)</f>
        <v>36</v>
      </c>
      <c r="BE241" s="0" t="n">
        <f aca="false">IF(Presupuesto!$B$37='Flujo de Pagos'!$E241,37,9999)</f>
        <v>37</v>
      </c>
      <c r="BF241" s="0" t="n">
        <f aca="false">IF(Presupuesto!$B$38='Flujo de Pagos'!$E241,38,9999)</f>
        <v>38</v>
      </c>
      <c r="BG241" s="0" t="n">
        <f aca="false">IF(Presupuesto!$B$39='Flujo de Pagos'!$E241,39,9999)</f>
        <v>39</v>
      </c>
      <c r="BH241" s="0" t="n">
        <f aca="false">IF(Presupuesto!$B$40='Flujo de Pagos'!$E241,40,9999)</f>
        <v>40</v>
      </c>
      <c r="BI241" s="0" t="n">
        <f aca="false">IF(Presupuesto!$B$41='Flujo de Pagos'!$E241,41,9999)</f>
        <v>41</v>
      </c>
      <c r="BJ241" s="0" t="n">
        <f aca="false">IF(Presupuesto!$B$42='Flujo de Pagos'!$E241,42,9999)</f>
        <v>42</v>
      </c>
      <c r="BK241" s="0" t="n">
        <f aca="false">IF(Presupuesto!$B$43='Flujo de Pagos'!$E241,43,9999)</f>
        <v>43</v>
      </c>
      <c r="BL241" s="0" t="n">
        <f aca="false">IF(Presupuesto!$B$44='Flujo de Pagos'!$E241,44,9999)</f>
        <v>44</v>
      </c>
      <c r="BM241" s="0" t="n">
        <f aca="false">IF(Presupuesto!$B$45='Flujo de Pagos'!$E241,45,9999)</f>
        <v>45</v>
      </c>
      <c r="BN241" s="0" t="n">
        <f aca="false">IF(Presupuesto!$B$46='Flujo de Pagos'!$E241,46,9999)</f>
        <v>46</v>
      </c>
      <c r="BO241" s="0" t="n">
        <f aca="false">IF(Presupuesto!$B$47='Flujo de Pagos'!$E241,47,9999)</f>
        <v>47</v>
      </c>
      <c r="BP241" s="0" t="n">
        <f aca="false">IF(Presupuesto!$B$48='Flujo de Pagos'!$E241,48,9999)</f>
        <v>48</v>
      </c>
      <c r="BQ241" s="0" t="n">
        <f aca="false">IF(Presupuesto!$B$49='Flujo de Pagos'!$E241,49,9999)</f>
        <v>49</v>
      </c>
      <c r="BR241" s="0" t="n">
        <f aca="false">IF(Presupuesto!$B$50='Flujo de Pagos'!$E241,50,9999)</f>
        <v>50</v>
      </c>
      <c r="BS241" s="0" t="n">
        <f aca="false">IF(Presupuesto!$B$51='Flujo de Pagos'!$E241,51,9999)</f>
        <v>51</v>
      </c>
      <c r="BT241" s="0" t="n">
        <f aca="false">IF(Presupuesto!$B$52='Flujo de Pagos'!$E241,52,9999)</f>
        <v>52</v>
      </c>
      <c r="BU241" s="0" t="n">
        <f aca="false">IF(Presupuesto!$B$53='Flujo de Pagos'!$E241,53,9999)</f>
        <v>53</v>
      </c>
      <c r="BV241" s="0" t="n">
        <f aca="false">IF(Presupuesto!$B$54='Flujo de Pagos'!$E241,54,9999)</f>
        <v>54</v>
      </c>
      <c r="BW241" s="0" t="n">
        <f aca="false">IF(Presupuesto!$B$55='Flujo de Pagos'!$E241,55,9999)</f>
        <v>55</v>
      </c>
      <c r="BX241" s="0" t="n">
        <f aca="false">IF(Presupuesto!$B$56='Flujo de Pagos'!$E241,56,9999)</f>
        <v>56</v>
      </c>
      <c r="BY241" s="0" t="n">
        <f aca="false">IF(Presupuesto!$B$57='Flujo de Pagos'!$E241,57,9999)</f>
        <v>57</v>
      </c>
      <c r="BZ241" s="0" t="n">
        <f aca="false">IF(Presupuesto!$B$58='Flujo de Pagos'!$E241,58,9999)</f>
        <v>58</v>
      </c>
      <c r="CA241" s="0" t="n">
        <f aca="false">IF(Presupuesto!$B$59='Flujo de Pagos'!$E241,59,9999)</f>
        <v>59</v>
      </c>
      <c r="CB241" s="0" t="n">
        <f aca="false">IF(Presupuesto!$B$60='Flujo de Pagos'!$E241,60,9999)</f>
        <v>60</v>
      </c>
      <c r="CC241" s="0" t="n">
        <f aca="false">IF(Presupuesto!$B$61='Flujo de Pagos'!$E241,61,9999)</f>
        <v>61</v>
      </c>
      <c r="CD241" s="0" t="n">
        <f aca="false">IF(Presupuesto!$B$62='Flujo de Pagos'!$E241,62,9999)</f>
        <v>62</v>
      </c>
      <c r="CE241" s="0" t="n">
        <f aca="false">IF(Presupuesto!$B$63='Flujo de Pagos'!$E241,63,9999)</f>
        <v>63</v>
      </c>
      <c r="CF241" s="0" t="n">
        <f aca="false">IF(Presupuesto!$B$64='Flujo de Pagos'!$E241,64,9999)</f>
        <v>64</v>
      </c>
      <c r="CG241" s="0" t="n">
        <f aca="false">IF(Presupuesto!$B$65='Flujo de Pagos'!$E241,65,9999)</f>
        <v>65</v>
      </c>
      <c r="CH241" s="0" t="n">
        <f aca="false">IF(Presupuesto!$B$66='Flujo de Pagos'!$E241,66,9999)</f>
        <v>66</v>
      </c>
    </row>
    <row r="242" customFormat="false" ht="15" hidden="false" customHeight="true" outlineLevel="0" collapsed="false">
      <c r="B242" s="1" t="n">
        <f aca="false">IF(AND('Flujo de Pagos'!E247=Carátula!$B$2,'Flujo de Pagos'!F247=Carátula!$B$4,'Flujo de Pagos'!H247&lt;&gt;""),247,99999)</f>
        <v>99999</v>
      </c>
      <c r="H242" s="1" t="n">
        <f aca="false">IF(SMALL($AA242:$CH242,1)&gt;=9999,"",INDEX(Presupuesto!$C:$C,SMALL($AA242:$CH242,1)))</f>
        <v>0</v>
      </c>
      <c r="I242" s="1" t="n">
        <f aca="false">IF(SMALL($AA242:$CH242,2)&gt;=9999,"",INDEX(Presupuesto!$C:$C,SMALL($AA242:$CH242,2)))</f>
        <v>0</v>
      </c>
      <c r="J242" s="1" t="n">
        <f aca="false">IF(SMALL($AA242:$CH242,3)&gt;=9999,"",INDEX(Presupuesto!$C:$C,SMALL($AA242:$CH242,3)))</f>
        <v>0</v>
      </c>
      <c r="K242" s="1" t="n">
        <f aca="false">IF(SMALL($AA242:$CH242,4)&gt;=9999,"",INDEX(Presupuesto!$C:$C,SMALL($AA242:$CH242,4)))</f>
        <v>0</v>
      </c>
      <c r="L242" s="1" t="n">
        <f aca="false">IF(SMALL($AA242:$CH242,5)&gt;=9999,"",INDEX(Presupuesto!$C:$C,SMALL($AA242:$CH242,5)))</f>
        <v>0</v>
      </c>
      <c r="M242" s="1" t="n">
        <f aca="false">IF(SMALL($AA242:$CH242,6)&gt;=9999,"",INDEX(Presupuesto!$C:$C,SMALL($AA242:$CH242,6)))</f>
        <v>0</v>
      </c>
      <c r="N242" s="1" t="n">
        <f aca="false">IF(SMALL($AA242:$CH242,7)&gt;=9999,"",INDEX(Presupuesto!$C:$C,SMALL($AA242:$CH242,7)))</f>
        <v>0</v>
      </c>
      <c r="O242" s="1" t="n">
        <f aca="false">IF(SMALL($AA242:$CH242,8)&gt;=9999,"",INDEX(Presupuesto!$C:$C,SMALL($AA242:$CH242,8)))</f>
        <v>0</v>
      </c>
      <c r="P242" s="1" t="n">
        <f aca="false">IF(SMALL($AA242:$CH242,9)&gt;=9999,"",INDEX(Presupuesto!$C:$C,SMALL($AA242:$CH242,9)))</f>
        <v>0</v>
      </c>
      <c r="Q242" s="1" t="n">
        <f aca="false">IF(SMALL($AA242:$CH242,10)&gt;=9999,"",INDEX(Presupuesto!$C:$C,SMALL($AA242:$CH242,10)))</f>
        <v>0</v>
      </c>
      <c r="AA242" s="0" t="n">
        <f aca="false">IF(Presupuesto!$B$7='Flujo de Pagos'!$E242,7,9999)</f>
        <v>9999</v>
      </c>
      <c r="AB242" s="0" t="n">
        <f aca="false">IF(Presupuesto!$B$8='Flujo de Pagos'!$E242,8,9999)</f>
        <v>9999</v>
      </c>
      <c r="AC242" s="0" t="n">
        <f aca="false">IF(Presupuesto!$B$9='Flujo de Pagos'!$E242,9,9999)</f>
        <v>9999</v>
      </c>
      <c r="AD242" s="0" t="n">
        <f aca="false">IF(Presupuesto!$B$10='Flujo de Pagos'!$E242,10,9999)</f>
        <v>9999</v>
      </c>
      <c r="AE242" s="0" t="n">
        <f aca="false">IF(Presupuesto!$B$11='Flujo de Pagos'!$E242,11,9999)</f>
        <v>9999</v>
      </c>
      <c r="AF242" s="0" t="n">
        <f aca="false">IF(Presupuesto!$B$12='Flujo de Pagos'!$E242,12,9999)</f>
        <v>12</v>
      </c>
      <c r="AG242" s="0" t="n">
        <f aca="false">IF(Presupuesto!$B$13='Flujo de Pagos'!$E242,13,9999)</f>
        <v>13</v>
      </c>
      <c r="AH242" s="0" t="n">
        <f aca="false">IF(Presupuesto!$B$14='Flujo de Pagos'!$E242,14,9999)</f>
        <v>14</v>
      </c>
      <c r="AI242" s="0" t="n">
        <f aca="false">IF(Presupuesto!$B$15='Flujo de Pagos'!$E242,15,9999)</f>
        <v>15</v>
      </c>
      <c r="AJ242" s="0" t="n">
        <f aca="false">IF(Presupuesto!$B$16='Flujo de Pagos'!$E242,16,9999)</f>
        <v>16</v>
      </c>
      <c r="AK242" s="0" t="n">
        <f aca="false">IF(Presupuesto!$B$17='Flujo de Pagos'!$E242,17,9999)</f>
        <v>17</v>
      </c>
      <c r="AL242" s="0" t="n">
        <f aca="false">IF(Presupuesto!$B$18='Flujo de Pagos'!$E242,18,9999)</f>
        <v>18</v>
      </c>
      <c r="AM242" s="0" t="n">
        <f aca="false">IF(Presupuesto!$B$19='Flujo de Pagos'!$E242,19,9999)</f>
        <v>19</v>
      </c>
      <c r="AN242" s="0" t="n">
        <f aca="false">IF(Presupuesto!$B$20='Flujo de Pagos'!$E242,20,9999)</f>
        <v>20</v>
      </c>
      <c r="AO242" s="0" t="n">
        <f aca="false">IF(Presupuesto!$B$21='Flujo de Pagos'!$E242,21,9999)</f>
        <v>21</v>
      </c>
      <c r="AP242" s="0" t="n">
        <f aca="false">IF(Presupuesto!$B$22='Flujo de Pagos'!$E242,22,9999)</f>
        <v>22</v>
      </c>
      <c r="AQ242" s="0" t="n">
        <f aca="false">IF(Presupuesto!$B$23='Flujo de Pagos'!$E242,23,9999)</f>
        <v>23</v>
      </c>
      <c r="AR242" s="0" t="n">
        <f aca="false">IF(Presupuesto!$B$24='Flujo de Pagos'!$E242,24,9999)</f>
        <v>24</v>
      </c>
      <c r="AS242" s="0" t="n">
        <f aca="false">IF(Presupuesto!$B$25='Flujo de Pagos'!$E242,25,9999)</f>
        <v>25</v>
      </c>
      <c r="AT242" s="0" t="n">
        <f aca="false">IF(Presupuesto!$B$26='Flujo de Pagos'!$E242,26,9999)</f>
        <v>26</v>
      </c>
      <c r="AU242" s="0" t="n">
        <f aca="false">IF(Presupuesto!$B$27='Flujo de Pagos'!$E242,27,9999)</f>
        <v>27</v>
      </c>
      <c r="AV242" s="0" t="n">
        <f aca="false">IF(Presupuesto!$B$28='Flujo de Pagos'!$E242,28,9999)</f>
        <v>28</v>
      </c>
      <c r="AW242" s="0" t="n">
        <f aca="false">IF(Presupuesto!$B$29='Flujo de Pagos'!$E242,29,9999)</f>
        <v>29</v>
      </c>
      <c r="AX242" s="0" t="n">
        <f aca="false">IF(Presupuesto!$B$30='Flujo de Pagos'!$E242,30,9999)</f>
        <v>30</v>
      </c>
      <c r="AY242" s="0" t="n">
        <f aca="false">IF(Presupuesto!$B$31='Flujo de Pagos'!$E242,31,9999)</f>
        <v>31</v>
      </c>
      <c r="AZ242" s="0" t="n">
        <f aca="false">IF(Presupuesto!$B$32='Flujo de Pagos'!$E242,32,9999)</f>
        <v>32</v>
      </c>
      <c r="BA242" s="0" t="n">
        <f aca="false">IF(Presupuesto!$B$33='Flujo de Pagos'!$E242,33,9999)</f>
        <v>33</v>
      </c>
      <c r="BB242" s="0" t="n">
        <f aca="false">IF(Presupuesto!$B$34='Flujo de Pagos'!$E242,34,9999)</f>
        <v>34</v>
      </c>
      <c r="BC242" s="0" t="n">
        <f aca="false">IF(Presupuesto!$B$35='Flujo de Pagos'!$E242,35,9999)</f>
        <v>35</v>
      </c>
      <c r="BD242" s="0" t="n">
        <f aca="false">IF(Presupuesto!$B$36='Flujo de Pagos'!$E242,36,9999)</f>
        <v>36</v>
      </c>
      <c r="BE242" s="0" t="n">
        <f aca="false">IF(Presupuesto!$B$37='Flujo de Pagos'!$E242,37,9999)</f>
        <v>37</v>
      </c>
      <c r="BF242" s="0" t="n">
        <f aca="false">IF(Presupuesto!$B$38='Flujo de Pagos'!$E242,38,9999)</f>
        <v>38</v>
      </c>
      <c r="BG242" s="0" t="n">
        <f aca="false">IF(Presupuesto!$B$39='Flujo de Pagos'!$E242,39,9999)</f>
        <v>39</v>
      </c>
      <c r="BH242" s="0" t="n">
        <f aca="false">IF(Presupuesto!$B$40='Flujo de Pagos'!$E242,40,9999)</f>
        <v>40</v>
      </c>
      <c r="BI242" s="0" t="n">
        <f aca="false">IF(Presupuesto!$B$41='Flujo de Pagos'!$E242,41,9999)</f>
        <v>41</v>
      </c>
      <c r="BJ242" s="0" t="n">
        <f aca="false">IF(Presupuesto!$B$42='Flujo de Pagos'!$E242,42,9999)</f>
        <v>42</v>
      </c>
      <c r="BK242" s="0" t="n">
        <f aca="false">IF(Presupuesto!$B$43='Flujo de Pagos'!$E242,43,9999)</f>
        <v>43</v>
      </c>
      <c r="BL242" s="0" t="n">
        <f aca="false">IF(Presupuesto!$B$44='Flujo de Pagos'!$E242,44,9999)</f>
        <v>44</v>
      </c>
      <c r="BM242" s="0" t="n">
        <f aca="false">IF(Presupuesto!$B$45='Flujo de Pagos'!$E242,45,9999)</f>
        <v>45</v>
      </c>
      <c r="BN242" s="0" t="n">
        <f aca="false">IF(Presupuesto!$B$46='Flujo de Pagos'!$E242,46,9999)</f>
        <v>46</v>
      </c>
      <c r="BO242" s="0" t="n">
        <f aca="false">IF(Presupuesto!$B$47='Flujo de Pagos'!$E242,47,9999)</f>
        <v>47</v>
      </c>
      <c r="BP242" s="0" t="n">
        <f aca="false">IF(Presupuesto!$B$48='Flujo de Pagos'!$E242,48,9999)</f>
        <v>48</v>
      </c>
      <c r="BQ242" s="0" t="n">
        <f aca="false">IF(Presupuesto!$B$49='Flujo de Pagos'!$E242,49,9999)</f>
        <v>49</v>
      </c>
      <c r="BR242" s="0" t="n">
        <f aca="false">IF(Presupuesto!$B$50='Flujo de Pagos'!$E242,50,9999)</f>
        <v>50</v>
      </c>
      <c r="BS242" s="0" t="n">
        <f aca="false">IF(Presupuesto!$B$51='Flujo de Pagos'!$E242,51,9999)</f>
        <v>51</v>
      </c>
      <c r="BT242" s="0" t="n">
        <f aca="false">IF(Presupuesto!$B$52='Flujo de Pagos'!$E242,52,9999)</f>
        <v>52</v>
      </c>
      <c r="BU242" s="0" t="n">
        <f aca="false">IF(Presupuesto!$B$53='Flujo de Pagos'!$E242,53,9999)</f>
        <v>53</v>
      </c>
      <c r="BV242" s="0" t="n">
        <f aca="false">IF(Presupuesto!$B$54='Flujo de Pagos'!$E242,54,9999)</f>
        <v>54</v>
      </c>
      <c r="BW242" s="0" t="n">
        <f aca="false">IF(Presupuesto!$B$55='Flujo de Pagos'!$E242,55,9999)</f>
        <v>55</v>
      </c>
      <c r="BX242" s="0" t="n">
        <f aca="false">IF(Presupuesto!$B$56='Flujo de Pagos'!$E242,56,9999)</f>
        <v>56</v>
      </c>
      <c r="BY242" s="0" t="n">
        <f aca="false">IF(Presupuesto!$B$57='Flujo de Pagos'!$E242,57,9999)</f>
        <v>57</v>
      </c>
      <c r="BZ242" s="0" t="n">
        <f aca="false">IF(Presupuesto!$B$58='Flujo de Pagos'!$E242,58,9999)</f>
        <v>58</v>
      </c>
      <c r="CA242" s="0" t="n">
        <f aca="false">IF(Presupuesto!$B$59='Flujo de Pagos'!$E242,59,9999)</f>
        <v>59</v>
      </c>
      <c r="CB242" s="0" t="n">
        <f aca="false">IF(Presupuesto!$B$60='Flujo de Pagos'!$E242,60,9999)</f>
        <v>60</v>
      </c>
      <c r="CC242" s="0" t="n">
        <f aca="false">IF(Presupuesto!$B$61='Flujo de Pagos'!$E242,61,9999)</f>
        <v>61</v>
      </c>
      <c r="CD242" s="0" t="n">
        <f aca="false">IF(Presupuesto!$B$62='Flujo de Pagos'!$E242,62,9999)</f>
        <v>62</v>
      </c>
      <c r="CE242" s="0" t="n">
        <f aca="false">IF(Presupuesto!$B$63='Flujo de Pagos'!$E242,63,9999)</f>
        <v>63</v>
      </c>
      <c r="CF242" s="0" t="n">
        <f aca="false">IF(Presupuesto!$B$64='Flujo de Pagos'!$E242,64,9999)</f>
        <v>64</v>
      </c>
      <c r="CG242" s="0" t="n">
        <f aca="false">IF(Presupuesto!$B$65='Flujo de Pagos'!$E242,65,9999)</f>
        <v>65</v>
      </c>
      <c r="CH242" s="0" t="n">
        <f aca="false">IF(Presupuesto!$B$66='Flujo de Pagos'!$E242,66,9999)</f>
        <v>66</v>
      </c>
    </row>
    <row r="243" customFormat="false" ht="15" hidden="false" customHeight="true" outlineLevel="0" collapsed="false">
      <c r="B243" s="1" t="n">
        <f aca="false">IF(AND('Flujo de Pagos'!E248=Carátula!$B$2,'Flujo de Pagos'!F248=Carátula!$B$4,'Flujo de Pagos'!H248&lt;&gt;""),248,99999)</f>
        <v>99999</v>
      </c>
      <c r="H243" s="1" t="n">
        <f aca="false">IF(SMALL($AA243:$CH243,1)&gt;=9999,"",INDEX(Presupuesto!$C:$C,SMALL($AA243:$CH243,1)))</f>
        <v>0</v>
      </c>
      <c r="I243" s="1" t="n">
        <f aca="false">IF(SMALL($AA243:$CH243,2)&gt;=9999,"",INDEX(Presupuesto!$C:$C,SMALL($AA243:$CH243,2)))</f>
        <v>0</v>
      </c>
      <c r="J243" s="1" t="n">
        <f aca="false">IF(SMALL($AA243:$CH243,3)&gt;=9999,"",INDEX(Presupuesto!$C:$C,SMALL($AA243:$CH243,3)))</f>
        <v>0</v>
      </c>
      <c r="K243" s="1" t="n">
        <f aca="false">IF(SMALL($AA243:$CH243,4)&gt;=9999,"",INDEX(Presupuesto!$C:$C,SMALL($AA243:$CH243,4)))</f>
        <v>0</v>
      </c>
      <c r="L243" s="1" t="n">
        <f aca="false">IF(SMALL($AA243:$CH243,5)&gt;=9999,"",INDEX(Presupuesto!$C:$C,SMALL($AA243:$CH243,5)))</f>
        <v>0</v>
      </c>
      <c r="M243" s="1" t="n">
        <f aca="false">IF(SMALL($AA243:$CH243,6)&gt;=9999,"",INDEX(Presupuesto!$C:$C,SMALL($AA243:$CH243,6)))</f>
        <v>0</v>
      </c>
      <c r="N243" s="1" t="n">
        <f aca="false">IF(SMALL($AA243:$CH243,7)&gt;=9999,"",INDEX(Presupuesto!$C:$C,SMALL($AA243:$CH243,7)))</f>
        <v>0</v>
      </c>
      <c r="O243" s="1" t="n">
        <f aca="false">IF(SMALL($AA243:$CH243,8)&gt;=9999,"",INDEX(Presupuesto!$C:$C,SMALL($AA243:$CH243,8)))</f>
        <v>0</v>
      </c>
      <c r="P243" s="1" t="n">
        <f aca="false">IF(SMALL($AA243:$CH243,9)&gt;=9999,"",INDEX(Presupuesto!$C:$C,SMALL($AA243:$CH243,9)))</f>
        <v>0</v>
      </c>
      <c r="Q243" s="1" t="n">
        <f aca="false">IF(SMALL($AA243:$CH243,10)&gt;=9999,"",INDEX(Presupuesto!$C:$C,SMALL($AA243:$CH243,10)))</f>
        <v>0</v>
      </c>
      <c r="AA243" s="0" t="n">
        <f aca="false">IF(Presupuesto!$B$7='Flujo de Pagos'!$E243,7,9999)</f>
        <v>9999</v>
      </c>
      <c r="AB243" s="0" t="n">
        <f aca="false">IF(Presupuesto!$B$8='Flujo de Pagos'!$E243,8,9999)</f>
        <v>9999</v>
      </c>
      <c r="AC243" s="0" t="n">
        <f aca="false">IF(Presupuesto!$B$9='Flujo de Pagos'!$E243,9,9999)</f>
        <v>9999</v>
      </c>
      <c r="AD243" s="0" t="n">
        <f aca="false">IF(Presupuesto!$B$10='Flujo de Pagos'!$E243,10,9999)</f>
        <v>9999</v>
      </c>
      <c r="AE243" s="0" t="n">
        <f aca="false">IF(Presupuesto!$B$11='Flujo de Pagos'!$E243,11,9999)</f>
        <v>9999</v>
      </c>
      <c r="AF243" s="0" t="n">
        <f aca="false">IF(Presupuesto!$B$12='Flujo de Pagos'!$E243,12,9999)</f>
        <v>12</v>
      </c>
      <c r="AG243" s="0" t="n">
        <f aca="false">IF(Presupuesto!$B$13='Flujo de Pagos'!$E243,13,9999)</f>
        <v>13</v>
      </c>
      <c r="AH243" s="0" t="n">
        <f aca="false">IF(Presupuesto!$B$14='Flujo de Pagos'!$E243,14,9999)</f>
        <v>14</v>
      </c>
      <c r="AI243" s="0" t="n">
        <f aca="false">IF(Presupuesto!$B$15='Flujo de Pagos'!$E243,15,9999)</f>
        <v>15</v>
      </c>
      <c r="AJ243" s="0" t="n">
        <f aca="false">IF(Presupuesto!$B$16='Flujo de Pagos'!$E243,16,9999)</f>
        <v>16</v>
      </c>
      <c r="AK243" s="0" t="n">
        <f aca="false">IF(Presupuesto!$B$17='Flujo de Pagos'!$E243,17,9999)</f>
        <v>17</v>
      </c>
      <c r="AL243" s="0" t="n">
        <f aca="false">IF(Presupuesto!$B$18='Flujo de Pagos'!$E243,18,9999)</f>
        <v>18</v>
      </c>
      <c r="AM243" s="0" t="n">
        <f aca="false">IF(Presupuesto!$B$19='Flujo de Pagos'!$E243,19,9999)</f>
        <v>19</v>
      </c>
      <c r="AN243" s="0" t="n">
        <f aca="false">IF(Presupuesto!$B$20='Flujo de Pagos'!$E243,20,9999)</f>
        <v>20</v>
      </c>
      <c r="AO243" s="0" t="n">
        <f aca="false">IF(Presupuesto!$B$21='Flujo de Pagos'!$E243,21,9999)</f>
        <v>21</v>
      </c>
      <c r="AP243" s="0" t="n">
        <f aca="false">IF(Presupuesto!$B$22='Flujo de Pagos'!$E243,22,9999)</f>
        <v>22</v>
      </c>
      <c r="AQ243" s="0" t="n">
        <f aca="false">IF(Presupuesto!$B$23='Flujo de Pagos'!$E243,23,9999)</f>
        <v>23</v>
      </c>
      <c r="AR243" s="0" t="n">
        <f aca="false">IF(Presupuesto!$B$24='Flujo de Pagos'!$E243,24,9999)</f>
        <v>24</v>
      </c>
      <c r="AS243" s="0" t="n">
        <f aca="false">IF(Presupuesto!$B$25='Flujo de Pagos'!$E243,25,9999)</f>
        <v>25</v>
      </c>
      <c r="AT243" s="0" t="n">
        <f aca="false">IF(Presupuesto!$B$26='Flujo de Pagos'!$E243,26,9999)</f>
        <v>26</v>
      </c>
      <c r="AU243" s="0" t="n">
        <f aca="false">IF(Presupuesto!$B$27='Flujo de Pagos'!$E243,27,9999)</f>
        <v>27</v>
      </c>
      <c r="AV243" s="0" t="n">
        <f aca="false">IF(Presupuesto!$B$28='Flujo de Pagos'!$E243,28,9999)</f>
        <v>28</v>
      </c>
      <c r="AW243" s="0" t="n">
        <f aca="false">IF(Presupuesto!$B$29='Flujo de Pagos'!$E243,29,9999)</f>
        <v>29</v>
      </c>
      <c r="AX243" s="0" t="n">
        <f aca="false">IF(Presupuesto!$B$30='Flujo de Pagos'!$E243,30,9999)</f>
        <v>30</v>
      </c>
      <c r="AY243" s="0" t="n">
        <f aca="false">IF(Presupuesto!$B$31='Flujo de Pagos'!$E243,31,9999)</f>
        <v>31</v>
      </c>
      <c r="AZ243" s="0" t="n">
        <f aca="false">IF(Presupuesto!$B$32='Flujo de Pagos'!$E243,32,9999)</f>
        <v>32</v>
      </c>
      <c r="BA243" s="0" t="n">
        <f aca="false">IF(Presupuesto!$B$33='Flujo de Pagos'!$E243,33,9999)</f>
        <v>33</v>
      </c>
      <c r="BB243" s="0" t="n">
        <f aca="false">IF(Presupuesto!$B$34='Flujo de Pagos'!$E243,34,9999)</f>
        <v>34</v>
      </c>
      <c r="BC243" s="0" t="n">
        <f aca="false">IF(Presupuesto!$B$35='Flujo de Pagos'!$E243,35,9999)</f>
        <v>35</v>
      </c>
      <c r="BD243" s="0" t="n">
        <f aca="false">IF(Presupuesto!$B$36='Flujo de Pagos'!$E243,36,9999)</f>
        <v>36</v>
      </c>
      <c r="BE243" s="0" t="n">
        <f aca="false">IF(Presupuesto!$B$37='Flujo de Pagos'!$E243,37,9999)</f>
        <v>37</v>
      </c>
      <c r="BF243" s="0" t="n">
        <f aca="false">IF(Presupuesto!$B$38='Flujo de Pagos'!$E243,38,9999)</f>
        <v>38</v>
      </c>
      <c r="BG243" s="0" t="n">
        <f aca="false">IF(Presupuesto!$B$39='Flujo de Pagos'!$E243,39,9999)</f>
        <v>39</v>
      </c>
      <c r="BH243" s="0" t="n">
        <f aca="false">IF(Presupuesto!$B$40='Flujo de Pagos'!$E243,40,9999)</f>
        <v>40</v>
      </c>
      <c r="BI243" s="0" t="n">
        <f aca="false">IF(Presupuesto!$B$41='Flujo de Pagos'!$E243,41,9999)</f>
        <v>41</v>
      </c>
      <c r="BJ243" s="0" t="n">
        <f aca="false">IF(Presupuesto!$B$42='Flujo de Pagos'!$E243,42,9999)</f>
        <v>42</v>
      </c>
      <c r="BK243" s="0" t="n">
        <f aca="false">IF(Presupuesto!$B$43='Flujo de Pagos'!$E243,43,9999)</f>
        <v>43</v>
      </c>
      <c r="BL243" s="0" t="n">
        <f aca="false">IF(Presupuesto!$B$44='Flujo de Pagos'!$E243,44,9999)</f>
        <v>44</v>
      </c>
      <c r="BM243" s="0" t="n">
        <f aca="false">IF(Presupuesto!$B$45='Flujo de Pagos'!$E243,45,9999)</f>
        <v>45</v>
      </c>
      <c r="BN243" s="0" t="n">
        <f aca="false">IF(Presupuesto!$B$46='Flujo de Pagos'!$E243,46,9999)</f>
        <v>46</v>
      </c>
      <c r="BO243" s="0" t="n">
        <f aca="false">IF(Presupuesto!$B$47='Flujo de Pagos'!$E243,47,9999)</f>
        <v>47</v>
      </c>
      <c r="BP243" s="0" t="n">
        <f aca="false">IF(Presupuesto!$B$48='Flujo de Pagos'!$E243,48,9999)</f>
        <v>48</v>
      </c>
      <c r="BQ243" s="0" t="n">
        <f aca="false">IF(Presupuesto!$B$49='Flujo de Pagos'!$E243,49,9999)</f>
        <v>49</v>
      </c>
      <c r="BR243" s="0" t="n">
        <f aca="false">IF(Presupuesto!$B$50='Flujo de Pagos'!$E243,50,9999)</f>
        <v>50</v>
      </c>
      <c r="BS243" s="0" t="n">
        <f aca="false">IF(Presupuesto!$B$51='Flujo de Pagos'!$E243,51,9999)</f>
        <v>51</v>
      </c>
      <c r="BT243" s="0" t="n">
        <f aca="false">IF(Presupuesto!$B$52='Flujo de Pagos'!$E243,52,9999)</f>
        <v>52</v>
      </c>
      <c r="BU243" s="0" t="n">
        <f aca="false">IF(Presupuesto!$B$53='Flujo de Pagos'!$E243,53,9999)</f>
        <v>53</v>
      </c>
      <c r="BV243" s="0" t="n">
        <f aca="false">IF(Presupuesto!$B$54='Flujo de Pagos'!$E243,54,9999)</f>
        <v>54</v>
      </c>
      <c r="BW243" s="0" t="n">
        <f aca="false">IF(Presupuesto!$B$55='Flujo de Pagos'!$E243,55,9999)</f>
        <v>55</v>
      </c>
      <c r="BX243" s="0" t="n">
        <f aca="false">IF(Presupuesto!$B$56='Flujo de Pagos'!$E243,56,9999)</f>
        <v>56</v>
      </c>
      <c r="BY243" s="0" t="n">
        <f aca="false">IF(Presupuesto!$B$57='Flujo de Pagos'!$E243,57,9999)</f>
        <v>57</v>
      </c>
      <c r="BZ243" s="0" t="n">
        <f aca="false">IF(Presupuesto!$B$58='Flujo de Pagos'!$E243,58,9999)</f>
        <v>58</v>
      </c>
      <c r="CA243" s="0" t="n">
        <f aca="false">IF(Presupuesto!$B$59='Flujo de Pagos'!$E243,59,9999)</f>
        <v>59</v>
      </c>
      <c r="CB243" s="0" t="n">
        <f aca="false">IF(Presupuesto!$B$60='Flujo de Pagos'!$E243,60,9999)</f>
        <v>60</v>
      </c>
      <c r="CC243" s="0" t="n">
        <f aca="false">IF(Presupuesto!$B$61='Flujo de Pagos'!$E243,61,9999)</f>
        <v>61</v>
      </c>
      <c r="CD243" s="0" t="n">
        <f aca="false">IF(Presupuesto!$B$62='Flujo de Pagos'!$E243,62,9999)</f>
        <v>62</v>
      </c>
      <c r="CE243" s="0" t="n">
        <f aca="false">IF(Presupuesto!$B$63='Flujo de Pagos'!$E243,63,9999)</f>
        <v>63</v>
      </c>
      <c r="CF243" s="0" t="n">
        <f aca="false">IF(Presupuesto!$B$64='Flujo de Pagos'!$E243,64,9999)</f>
        <v>64</v>
      </c>
      <c r="CG243" s="0" t="n">
        <f aca="false">IF(Presupuesto!$B$65='Flujo de Pagos'!$E243,65,9999)</f>
        <v>65</v>
      </c>
      <c r="CH243" s="0" t="n">
        <f aca="false">IF(Presupuesto!$B$66='Flujo de Pagos'!$E243,66,9999)</f>
        <v>66</v>
      </c>
    </row>
    <row r="244" customFormat="false" ht="15" hidden="false" customHeight="true" outlineLevel="0" collapsed="false">
      <c r="B244" s="1" t="n">
        <f aca="false">IF(AND('Flujo de Pagos'!E249=Carátula!$B$2,'Flujo de Pagos'!F249=Carátula!$B$4,'Flujo de Pagos'!H249&lt;&gt;""),249,99999)</f>
        <v>99999</v>
      </c>
      <c r="H244" s="1" t="n">
        <f aca="false">IF(SMALL($AA244:$CH244,1)&gt;=9999,"",INDEX(Presupuesto!$C:$C,SMALL($AA244:$CH244,1)))</f>
        <v>0</v>
      </c>
      <c r="I244" s="1" t="n">
        <f aca="false">IF(SMALL($AA244:$CH244,2)&gt;=9999,"",INDEX(Presupuesto!$C:$C,SMALL($AA244:$CH244,2)))</f>
        <v>0</v>
      </c>
      <c r="J244" s="1" t="n">
        <f aca="false">IF(SMALL($AA244:$CH244,3)&gt;=9999,"",INDEX(Presupuesto!$C:$C,SMALL($AA244:$CH244,3)))</f>
        <v>0</v>
      </c>
      <c r="K244" s="1" t="n">
        <f aca="false">IF(SMALL($AA244:$CH244,4)&gt;=9999,"",INDEX(Presupuesto!$C:$C,SMALL($AA244:$CH244,4)))</f>
        <v>0</v>
      </c>
      <c r="L244" s="1" t="n">
        <f aca="false">IF(SMALL($AA244:$CH244,5)&gt;=9999,"",INDEX(Presupuesto!$C:$C,SMALL($AA244:$CH244,5)))</f>
        <v>0</v>
      </c>
      <c r="M244" s="1" t="n">
        <f aca="false">IF(SMALL($AA244:$CH244,6)&gt;=9999,"",INDEX(Presupuesto!$C:$C,SMALL($AA244:$CH244,6)))</f>
        <v>0</v>
      </c>
      <c r="N244" s="1" t="n">
        <f aca="false">IF(SMALL($AA244:$CH244,7)&gt;=9999,"",INDEX(Presupuesto!$C:$C,SMALL($AA244:$CH244,7)))</f>
        <v>0</v>
      </c>
      <c r="O244" s="1" t="n">
        <f aca="false">IF(SMALL($AA244:$CH244,8)&gt;=9999,"",INDEX(Presupuesto!$C:$C,SMALL($AA244:$CH244,8)))</f>
        <v>0</v>
      </c>
      <c r="P244" s="1" t="n">
        <f aca="false">IF(SMALL($AA244:$CH244,9)&gt;=9999,"",INDEX(Presupuesto!$C:$C,SMALL($AA244:$CH244,9)))</f>
        <v>0</v>
      </c>
      <c r="Q244" s="1" t="n">
        <f aca="false">IF(SMALL($AA244:$CH244,10)&gt;=9999,"",INDEX(Presupuesto!$C:$C,SMALL($AA244:$CH244,10)))</f>
        <v>0</v>
      </c>
      <c r="AA244" s="0" t="n">
        <f aca="false">IF(Presupuesto!$B$7='Flujo de Pagos'!$E244,7,9999)</f>
        <v>9999</v>
      </c>
      <c r="AB244" s="0" t="n">
        <f aca="false">IF(Presupuesto!$B$8='Flujo de Pagos'!$E244,8,9999)</f>
        <v>9999</v>
      </c>
      <c r="AC244" s="0" t="n">
        <f aca="false">IF(Presupuesto!$B$9='Flujo de Pagos'!$E244,9,9999)</f>
        <v>9999</v>
      </c>
      <c r="AD244" s="0" t="n">
        <f aca="false">IF(Presupuesto!$B$10='Flujo de Pagos'!$E244,10,9999)</f>
        <v>9999</v>
      </c>
      <c r="AE244" s="0" t="n">
        <f aca="false">IF(Presupuesto!$B$11='Flujo de Pagos'!$E244,11,9999)</f>
        <v>9999</v>
      </c>
      <c r="AF244" s="0" t="n">
        <f aca="false">IF(Presupuesto!$B$12='Flujo de Pagos'!$E244,12,9999)</f>
        <v>12</v>
      </c>
      <c r="AG244" s="0" t="n">
        <f aca="false">IF(Presupuesto!$B$13='Flujo de Pagos'!$E244,13,9999)</f>
        <v>13</v>
      </c>
      <c r="AH244" s="0" t="n">
        <f aca="false">IF(Presupuesto!$B$14='Flujo de Pagos'!$E244,14,9999)</f>
        <v>14</v>
      </c>
      <c r="AI244" s="0" t="n">
        <f aca="false">IF(Presupuesto!$B$15='Flujo de Pagos'!$E244,15,9999)</f>
        <v>15</v>
      </c>
      <c r="AJ244" s="0" t="n">
        <f aca="false">IF(Presupuesto!$B$16='Flujo de Pagos'!$E244,16,9999)</f>
        <v>16</v>
      </c>
      <c r="AK244" s="0" t="n">
        <f aca="false">IF(Presupuesto!$B$17='Flujo de Pagos'!$E244,17,9999)</f>
        <v>17</v>
      </c>
      <c r="AL244" s="0" t="n">
        <f aca="false">IF(Presupuesto!$B$18='Flujo de Pagos'!$E244,18,9999)</f>
        <v>18</v>
      </c>
      <c r="AM244" s="0" t="n">
        <f aca="false">IF(Presupuesto!$B$19='Flujo de Pagos'!$E244,19,9999)</f>
        <v>19</v>
      </c>
      <c r="AN244" s="0" t="n">
        <f aca="false">IF(Presupuesto!$B$20='Flujo de Pagos'!$E244,20,9999)</f>
        <v>20</v>
      </c>
      <c r="AO244" s="0" t="n">
        <f aca="false">IF(Presupuesto!$B$21='Flujo de Pagos'!$E244,21,9999)</f>
        <v>21</v>
      </c>
      <c r="AP244" s="0" t="n">
        <f aca="false">IF(Presupuesto!$B$22='Flujo de Pagos'!$E244,22,9999)</f>
        <v>22</v>
      </c>
      <c r="AQ244" s="0" t="n">
        <f aca="false">IF(Presupuesto!$B$23='Flujo de Pagos'!$E244,23,9999)</f>
        <v>23</v>
      </c>
      <c r="AR244" s="0" t="n">
        <f aca="false">IF(Presupuesto!$B$24='Flujo de Pagos'!$E244,24,9999)</f>
        <v>24</v>
      </c>
      <c r="AS244" s="0" t="n">
        <f aca="false">IF(Presupuesto!$B$25='Flujo de Pagos'!$E244,25,9999)</f>
        <v>25</v>
      </c>
      <c r="AT244" s="0" t="n">
        <f aca="false">IF(Presupuesto!$B$26='Flujo de Pagos'!$E244,26,9999)</f>
        <v>26</v>
      </c>
      <c r="AU244" s="0" t="n">
        <f aca="false">IF(Presupuesto!$B$27='Flujo de Pagos'!$E244,27,9999)</f>
        <v>27</v>
      </c>
      <c r="AV244" s="0" t="n">
        <f aca="false">IF(Presupuesto!$B$28='Flujo de Pagos'!$E244,28,9999)</f>
        <v>28</v>
      </c>
      <c r="AW244" s="0" t="n">
        <f aca="false">IF(Presupuesto!$B$29='Flujo de Pagos'!$E244,29,9999)</f>
        <v>29</v>
      </c>
      <c r="AX244" s="0" t="n">
        <f aca="false">IF(Presupuesto!$B$30='Flujo de Pagos'!$E244,30,9999)</f>
        <v>30</v>
      </c>
      <c r="AY244" s="0" t="n">
        <f aca="false">IF(Presupuesto!$B$31='Flujo de Pagos'!$E244,31,9999)</f>
        <v>31</v>
      </c>
      <c r="AZ244" s="0" t="n">
        <f aca="false">IF(Presupuesto!$B$32='Flujo de Pagos'!$E244,32,9999)</f>
        <v>32</v>
      </c>
      <c r="BA244" s="0" t="n">
        <f aca="false">IF(Presupuesto!$B$33='Flujo de Pagos'!$E244,33,9999)</f>
        <v>33</v>
      </c>
      <c r="BB244" s="0" t="n">
        <f aca="false">IF(Presupuesto!$B$34='Flujo de Pagos'!$E244,34,9999)</f>
        <v>34</v>
      </c>
      <c r="BC244" s="0" t="n">
        <f aca="false">IF(Presupuesto!$B$35='Flujo de Pagos'!$E244,35,9999)</f>
        <v>35</v>
      </c>
      <c r="BD244" s="0" t="n">
        <f aca="false">IF(Presupuesto!$B$36='Flujo de Pagos'!$E244,36,9999)</f>
        <v>36</v>
      </c>
      <c r="BE244" s="0" t="n">
        <f aca="false">IF(Presupuesto!$B$37='Flujo de Pagos'!$E244,37,9999)</f>
        <v>37</v>
      </c>
      <c r="BF244" s="0" t="n">
        <f aca="false">IF(Presupuesto!$B$38='Flujo de Pagos'!$E244,38,9999)</f>
        <v>38</v>
      </c>
      <c r="BG244" s="0" t="n">
        <f aca="false">IF(Presupuesto!$B$39='Flujo de Pagos'!$E244,39,9999)</f>
        <v>39</v>
      </c>
      <c r="BH244" s="0" t="n">
        <f aca="false">IF(Presupuesto!$B$40='Flujo de Pagos'!$E244,40,9999)</f>
        <v>40</v>
      </c>
      <c r="BI244" s="0" t="n">
        <f aca="false">IF(Presupuesto!$B$41='Flujo de Pagos'!$E244,41,9999)</f>
        <v>41</v>
      </c>
      <c r="BJ244" s="0" t="n">
        <f aca="false">IF(Presupuesto!$B$42='Flujo de Pagos'!$E244,42,9999)</f>
        <v>42</v>
      </c>
      <c r="BK244" s="0" t="n">
        <f aca="false">IF(Presupuesto!$B$43='Flujo de Pagos'!$E244,43,9999)</f>
        <v>43</v>
      </c>
      <c r="BL244" s="0" t="n">
        <f aca="false">IF(Presupuesto!$B$44='Flujo de Pagos'!$E244,44,9999)</f>
        <v>44</v>
      </c>
      <c r="BM244" s="0" t="n">
        <f aca="false">IF(Presupuesto!$B$45='Flujo de Pagos'!$E244,45,9999)</f>
        <v>45</v>
      </c>
      <c r="BN244" s="0" t="n">
        <f aca="false">IF(Presupuesto!$B$46='Flujo de Pagos'!$E244,46,9999)</f>
        <v>46</v>
      </c>
      <c r="BO244" s="0" t="n">
        <f aca="false">IF(Presupuesto!$B$47='Flujo de Pagos'!$E244,47,9999)</f>
        <v>47</v>
      </c>
      <c r="BP244" s="0" t="n">
        <f aca="false">IF(Presupuesto!$B$48='Flujo de Pagos'!$E244,48,9999)</f>
        <v>48</v>
      </c>
      <c r="BQ244" s="0" t="n">
        <f aca="false">IF(Presupuesto!$B$49='Flujo de Pagos'!$E244,49,9999)</f>
        <v>49</v>
      </c>
      <c r="BR244" s="0" t="n">
        <f aca="false">IF(Presupuesto!$B$50='Flujo de Pagos'!$E244,50,9999)</f>
        <v>50</v>
      </c>
      <c r="BS244" s="0" t="n">
        <f aca="false">IF(Presupuesto!$B$51='Flujo de Pagos'!$E244,51,9999)</f>
        <v>51</v>
      </c>
      <c r="BT244" s="0" t="n">
        <f aca="false">IF(Presupuesto!$B$52='Flujo de Pagos'!$E244,52,9999)</f>
        <v>52</v>
      </c>
      <c r="BU244" s="0" t="n">
        <f aca="false">IF(Presupuesto!$B$53='Flujo de Pagos'!$E244,53,9999)</f>
        <v>53</v>
      </c>
      <c r="BV244" s="0" t="n">
        <f aca="false">IF(Presupuesto!$B$54='Flujo de Pagos'!$E244,54,9999)</f>
        <v>54</v>
      </c>
      <c r="BW244" s="0" t="n">
        <f aca="false">IF(Presupuesto!$B$55='Flujo de Pagos'!$E244,55,9999)</f>
        <v>55</v>
      </c>
      <c r="BX244" s="0" t="n">
        <f aca="false">IF(Presupuesto!$B$56='Flujo de Pagos'!$E244,56,9999)</f>
        <v>56</v>
      </c>
      <c r="BY244" s="0" t="n">
        <f aca="false">IF(Presupuesto!$B$57='Flujo de Pagos'!$E244,57,9999)</f>
        <v>57</v>
      </c>
      <c r="BZ244" s="0" t="n">
        <f aca="false">IF(Presupuesto!$B$58='Flujo de Pagos'!$E244,58,9999)</f>
        <v>58</v>
      </c>
      <c r="CA244" s="0" t="n">
        <f aca="false">IF(Presupuesto!$B$59='Flujo de Pagos'!$E244,59,9999)</f>
        <v>59</v>
      </c>
      <c r="CB244" s="0" t="n">
        <f aca="false">IF(Presupuesto!$B$60='Flujo de Pagos'!$E244,60,9999)</f>
        <v>60</v>
      </c>
      <c r="CC244" s="0" t="n">
        <f aca="false">IF(Presupuesto!$B$61='Flujo de Pagos'!$E244,61,9999)</f>
        <v>61</v>
      </c>
      <c r="CD244" s="0" t="n">
        <f aca="false">IF(Presupuesto!$B$62='Flujo de Pagos'!$E244,62,9999)</f>
        <v>62</v>
      </c>
      <c r="CE244" s="0" t="n">
        <f aca="false">IF(Presupuesto!$B$63='Flujo de Pagos'!$E244,63,9999)</f>
        <v>63</v>
      </c>
      <c r="CF244" s="0" t="n">
        <f aca="false">IF(Presupuesto!$B$64='Flujo de Pagos'!$E244,64,9999)</f>
        <v>64</v>
      </c>
      <c r="CG244" s="0" t="n">
        <f aca="false">IF(Presupuesto!$B$65='Flujo de Pagos'!$E244,65,9999)</f>
        <v>65</v>
      </c>
      <c r="CH244" s="0" t="n">
        <f aca="false">IF(Presupuesto!$B$66='Flujo de Pagos'!$E244,66,9999)</f>
        <v>66</v>
      </c>
    </row>
    <row r="245" customFormat="false" ht="15" hidden="false" customHeight="true" outlineLevel="0" collapsed="false">
      <c r="B245" s="1" t="n">
        <f aca="false">IF(AND('Flujo de Pagos'!E250=Carátula!$B$2,'Flujo de Pagos'!F250=Carátula!$B$4,'Flujo de Pagos'!H250&lt;&gt;""),250,99999)</f>
        <v>99999</v>
      </c>
      <c r="H245" s="1" t="n">
        <f aca="false">IF(SMALL($AA245:$CH245,1)&gt;=9999,"",INDEX(Presupuesto!$C:$C,SMALL($AA245:$CH245,1)))</f>
        <v>0</v>
      </c>
      <c r="I245" s="1" t="n">
        <f aca="false">IF(SMALL($AA245:$CH245,2)&gt;=9999,"",INDEX(Presupuesto!$C:$C,SMALL($AA245:$CH245,2)))</f>
        <v>0</v>
      </c>
      <c r="J245" s="1" t="n">
        <f aca="false">IF(SMALL($AA245:$CH245,3)&gt;=9999,"",INDEX(Presupuesto!$C:$C,SMALL($AA245:$CH245,3)))</f>
        <v>0</v>
      </c>
      <c r="K245" s="1" t="n">
        <f aca="false">IF(SMALL($AA245:$CH245,4)&gt;=9999,"",INDEX(Presupuesto!$C:$C,SMALL($AA245:$CH245,4)))</f>
        <v>0</v>
      </c>
      <c r="L245" s="1" t="n">
        <f aca="false">IF(SMALL($AA245:$CH245,5)&gt;=9999,"",INDEX(Presupuesto!$C:$C,SMALL($AA245:$CH245,5)))</f>
        <v>0</v>
      </c>
      <c r="M245" s="1" t="n">
        <f aca="false">IF(SMALL($AA245:$CH245,6)&gt;=9999,"",INDEX(Presupuesto!$C:$C,SMALL($AA245:$CH245,6)))</f>
        <v>0</v>
      </c>
      <c r="N245" s="1" t="n">
        <f aca="false">IF(SMALL($AA245:$CH245,7)&gt;=9999,"",INDEX(Presupuesto!$C:$C,SMALL($AA245:$CH245,7)))</f>
        <v>0</v>
      </c>
      <c r="O245" s="1" t="n">
        <f aca="false">IF(SMALL($AA245:$CH245,8)&gt;=9999,"",INDEX(Presupuesto!$C:$C,SMALL($AA245:$CH245,8)))</f>
        <v>0</v>
      </c>
      <c r="P245" s="1" t="n">
        <f aca="false">IF(SMALL($AA245:$CH245,9)&gt;=9999,"",INDEX(Presupuesto!$C:$C,SMALL($AA245:$CH245,9)))</f>
        <v>0</v>
      </c>
      <c r="Q245" s="1" t="n">
        <f aca="false">IF(SMALL($AA245:$CH245,10)&gt;=9999,"",INDEX(Presupuesto!$C:$C,SMALL($AA245:$CH245,10)))</f>
        <v>0</v>
      </c>
      <c r="AA245" s="0" t="n">
        <f aca="false">IF(Presupuesto!$B$7='Flujo de Pagos'!$E245,7,9999)</f>
        <v>9999</v>
      </c>
      <c r="AB245" s="0" t="n">
        <f aca="false">IF(Presupuesto!$B$8='Flujo de Pagos'!$E245,8,9999)</f>
        <v>9999</v>
      </c>
      <c r="AC245" s="0" t="n">
        <f aca="false">IF(Presupuesto!$B$9='Flujo de Pagos'!$E245,9,9999)</f>
        <v>9999</v>
      </c>
      <c r="AD245" s="0" t="n">
        <f aca="false">IF(Presupuesto!$B$10='Flujo de Pagos'!$E245,10,9999)</f>
        <v>9999</v>
      </c>
      <c r="AE245" s="0" t="n">
        <f aca="false">IF(Presupuesto!$B$11='Flujo de Pagos'!$E245,11,9999)</f>
        <v>9999</v>
      </c>
      <c r="AF245" s="0" t="n">
        <f aca="false">IF(Presupuesto!$B$12='Flujo de Pagos'!$E245,12,9999)</f>
        <v>12</v>
      </c>
      <c r="AG245" s="0" t="n">
        <f aca="false">IF(Presupuesto!$B$13='Flujo de Pagos'!$E245,13,9999)</f>
        <v>13</v>
      </c>
      <c r="AH245" s="0" t="n">
        <f aca="false">IF(Presupuesto!$B$14='Flujo de Pagos'!$E245,14,9999)</f>
        <v>14</v>
      </c>
      <c r="AI245" s="0" t="n">
        <f aca="false">IF(Presupuesto!$B$15='Flujo de Pagos'!$E245,15,9999)</f>
        <v>15</v>
      </c>
      <c r="AJ245" s="0" t="n">
        <f aca="false">IF(Presupuesto!$B$16='Flujo de Pagos'!$E245,16,9999)</f>
        <v>16</v>
      </c>
      <c r="AK245" s="0" t="n">
        <f aca="false">IF(Presupuesto!$B$17='Flujo de Pagos'!$E245,17,9999)</f>
        <v>17</v>
      </c>
      <c r="AL245" s="0" t="n">
        <f aca="false">IF(Presupuesto!$B$18='Flujo de Pagos'!$E245,18,9999)</f>
        <v>18</v>
      </c>
      <c r="AM245" s="0" t="n">
        <f aca="false">IF(Presupuesto!$B$19='Flujo de Pagos'!$E245,19,9999)</f>
        <v>19</v>
      </c>
      <c r="AN245" s="0" t="n">
        <f aca="false">IF(Presupuesto!$B$20='Flujo de Pagos'!$E245,20,9999)</f>
        <v>20</v>
      </c>
      <c r="AO245" s="0" t="n">
        <f aca="false">IF(Presupuesto!$B$21='Flujo de Pagos'!$E245,21,9999)</f>
        <v>21</v>
      </c>
      <c r="AP245" s="0" t="n">
        <f aca="false">IF(Presupuesto!$B$22='Flujo de Pagos'!$E245,22,9999)</f>
        <v>22</v>
      </c>
      <c r="AQ245" s="0" t="n">
        <f aca="false">IF(Presupuesto!$B$23='Flujo de Pagos'!$E245,23,9999)</f>
        <v>23</v>
      </c>
      <c r="AR245" s="0" t="n">
        <f aca="false">IF(Presupuesto!$B$24='Flujo de Pagos'!$E245,24,9999)</f>
        <v>24</v>
      </c>
      <c r="AS245" s="0" t="n">
        <f aca="false">IF(Presupuesto!$B$25='Flujo de Pagos'!$E245,25,9999)</f>
        <v>25</v>
      </c>
      <c r="AT245" s="0" t="n">
        <f aca="false">IF(Presupuesto!$B$26='Flujo de Pagos'!$E245,26,9999)</f>
        <v>26</v>
      </c>
      <c r="AU245" s="0" t="n">
        <f aca="false">IF(Presupuesto!$B$27='Flujo de Pagos'!$E245,27,9999)</f>
        <v>27</v>
      </c>
      <c r="AV245" s="0" t="n">
        <f aca="false">IF(Presupuesto!$B$28='Flujo de Pagos'!$E245,28,9999)</f>
        <v>28</v>
      </c>
      <c r="AW245" s="0" t="n">
        <f aca="false">IF(Presupuesto!$B$29='Flujo de Pagos'!$E245,29,9999)</f>
        <v>29</v>
      </c>
      <c r="AX245" s="0" t="n">
        <f aca="false">IF(Presupuesto!$B$30='Flujo de Pagos'!$E245,30,9999)</f>
        <v>30</v>
      </c>
      <c r="AY245" s="0" t="n">
        <f aca="false">IF(Presupuesto!$B$31='Flujo de Pagos'!$E245,31,9999)</f>
        <v>31</v>
      </c>
      <c r="AZ245" s="0" t="n">
        <f aca="false">IF(Presupuesto!$B$32='Flujo de Pagos'!$E245,32,9999)</f>
        <v>32</v>
      </c>
      <c r="BA245" s="0" t="n">
        <f aca="false">IF(Presupuesto!$B$33='Flujo de Pagos'!$E245,33,9999)</f>
        <v>33</v>
      </c>
      <c r="BB245" s="0" t="n">
        <f aca="false">IF(Presupuesto!$B$34='Flujo de Pagos'!$E245,34,9999)</f>
        <v>34</v>
      </c>
      <c r="BC245" s="0" t="n">
        <f aca="false">IF(Presupuesto!$B$35='Flujo de Pagos'!$E245,35,9999)</f>
        <v>35</v>
      </c>
      <c r="BD245" s="0" t="n">
        <f aca="false">IF(Presupuesto!$B$36='Flujo de Pagos'!$E245,36,9999)</f>
        <v>36</v>
      </c>
      <c r="BE245" s="0" t="n">
        <f aca="false">IF(Presupuesto!$B$37='Flujo de Pagos'!$E245,37,9999)</f>
        <v>37</v>
      </c>
      <c r="BF245" s="0" t="n">
        <f aca="false">IF(Presupuesto!$B$38='Flujo de Pagos'!$E245,38,9999)</f>
        <v>38</v>
      </c>
      <c r="BG245" s="0" t="n">
        <f aca="false">IF(Presupuesto!$B$39='Flujo de Pagos'!$E245,39,9999)</f>
        <v>39</v>
      </c>
      <c r="BH245" s="0" t="n">
        <f aca="false">IF(Presupuesto!$B$40='Flujo de Pagos'!$E245,40,9999)</f>
        <v>40</v>
      </c>
      <c r="BI245" s="0" t="n">
        <f aca="false">IF(Presupuesto!$B$41='Flujo de Pagos'!$E245,41,9999)</f>
        <v>41</v>
      </c>
      <c r="BJ245" s="0" t="n">
        <f aca="false">IF(Presupuesto!$B$42='Flujo de Pagos'!$E245,42,9999)</f>
        <v>42</v>
      </c>
      <c r="BK245" s="0" t="n">
        <f aca="false">IF(Presupuesto!$B$43='Flujo de Pagos'!$E245,43,9999)</f>
        <v>43</v>
      </c>
      <c r="BL245" s="0" t="n">
        <f aca="false">IF(Presupuesto!$B$44='Flujo de Pagos'!$E245,44,9999)</f>
        <v>44</v>
      </c>
      <c r="BM245" s="0" t="n">
        <f aca="false">IF(Presupuesto!$B$45='Flujo de Pagos'!$E245,45,9999)</f>
        <v>45</v>
      </c>
      <c r="BN245" s="0" t="n">
        <f aca="false">IF(Presupuesto!$B$46='Flujo de Pagos'!$E245,46,9999)</f>
        <v>46</v>
      </c>
      <c r="BO245" s="0" t="n">
        <f aca="false">IF(Presupuesto!$B$47='Flujo de Pagos'!$E245,47,9999)</f>
        <v>47</v>
      </c>
      <c r="BP245" s="0" t="n">
        <f aca="false">IF(Presupuesto!$B$48='Flujo de Pagos'!$E245,48,9999)</f>
        <v>48</v>
      </c>
      <c r="BQ245" s="0" t="n">
        <f aca="false">IF(Presupuesto!$B$49='Flujo de Pagos'!$E245,49,9999)</f>
        <v>49</v>
      </c>
      <c r="BR245" s="0" t="n">
        <f aca="false">IF(Presupuesto!$B$50='Flujo de Pagos'!$E245,50,9999)</f>
        <v>50</v>
      </c>
      <c r="BS245" s="0" t="n">
        <f aca="false">IF(Presupuesto!$B$51='Flujo de Pagos'!$E245,51,9999)</f>
        <v>51</v>
      </c>
      <c r="BT245" s="0" t="n">
        <f aca="false">IF(Presupuesto!$B$52='Flujo de Pagos'!$E245,52,9999)</f>
        <v>52</v>
      </c>
      <c r="BU245" s="0" t="n">
        <f aca="false">IF(Presupuesto!$B$53='Flujo de Pagos'!$E245,53,9999)</f>
        <v>53</v>
      </c>
      <c r="BV245" s="0" t="n">
        <f aca="false">IF(Presupuesto!$B$54='Flujo de Pagos'!$E245,54,9999)</f>
        <v>54</v>
      </c>
      <c r="BW245" s="0" t="n">
        <f aca="false">IF(Presupuesto!$B$55='Flujo de Pagos'!$E245,55,9999)</f>
        <v>55</v>
      </c>
      <c r="BX245" s="0" t="n">
        <f aca="false">IF(Presupuesto!$B$56='Flujo de Pagos'!$E245,56,9999)</f>
        <v>56</v>
      </c>
      <c r="BY245" s="0" t="n">
        <f aca="false">IF(Presupuesto!$B$57='Flujo de Pagos'!$E245,57,9999)</f>
        <v>57</v>
      </c>
      <c r="BZ245" s="0" t="n">
        <f aca="false">IF(Presupuesto!$B$58='Flujo de Pagos'!$E245,58,9999)</f>
        <v>58</v>
      </c>
      <c r="CA245" s="0" t="n">
        <f aca="false">IF(Presupuesto!$B$59='Flujo de Pagos'!$E245,59,9999)</f>
        <v>59</v>
      </c>
      <c r="CB245" s="0" t="n">
        <f aca="false">IF(Presupuesto!$B$60='Flujo de Pagos'!$E245,60,9999)</f>
        <v>60</v>
      </c>
      <c r="CC245" s="0" t="n">
        <f aca="false">IF(Presupuesto!$B$61='Flujo de Pagos'!$E245,61,9999)</f>
        <v>61</v>
      </c>
      <c r="CD245" s="0" t="n">
        <f aca="false">IF(Presupuesto!$B$62='Flujo de Pagos'!$E245,62,9999)</f>
        <v>62</v>
      </c>
      <c r="CE245" s="0" t="n">
        <f aca="false">IF(Presupuesto!$B$63='Flujo de Pagos'!$E245,63,9999)</f>
        <v>63</v>
      </c>
      <c r="CF245" s="0" t="n">
        <f aca="false">IF(Presupuesto!$B$64='Flujo de Pagos'!$E245,64,9999)</f>
        <v>64</v>
      </c>
      <c r="CG245" s="0" t="n">
        <f aca="false">IF(Presupuesto!$B$65='Flujo de Pagos'!$E245,65,9999)</f>
        <v>65</v>
      </c>
      <c r="CH245" s="0" t="n">
        <f aca="false">IF(Presupuesto!$B$66='Flujo de Pagos'!$E245,66,9999)</f>
        <v>66</v>
      </c>
    </row>
    <row r="246" customFormat="false" ht="15" hidden="false" customHeight="true" outlineLevel="0" collapsed="false">
      <c r="B246" s="1" t="n">
        <f aca="false">IF(AND('Flujo de Pagos'!E251=Carátula!$B$2,'Flujo de Pagos'!F251=Carátula!$B$4,'Flujo de Pagos'!H251&lt;&gt;""),251,99999)</f>
        <v>99999</v>
      </c>
      <c r="H246" s="1" t="n">
        <f aca="false">IF(SMALL($AA246:$CH246,1)&gt;=9999,"",INDEX(Presupuesto!$C:$C,SMALL($AA246:$CH246,1)))</f>
        <v>0</v>
      </c>
      <c r="I246" s="1" t="n">
        <f aca="false">IF(SMALL($AA246:$CH246,2)&gt;=9999,"",INDEX(Presupuesto!$C:$C,SMALL($AA246:$CH246,2)))</f>
        <v>0</v>
      </c>
      <c r="J246" s="1" t="n">
        <f aca="false">IF(SMALL($AA246:$CH246,3)&gt;=9999,"",INDEX(Presupuesto!$C:$C,SMALL($AA246:$CH246,3)))</f>
        <v>0</v>
      </c>
      <c r="K246" s="1" t="n">
        <f aca="false">IF(SMALL($AA246:$CH246,4)&gt;=9999,"",INDEX(Presupuesto!$C:$C,SMALL($AA246:$CH246,4)))</f>
        <v>0</v>
      </c>
      <c r="L246" s="1" t="n">
        <f aca="false">IF(SMALL($AA246:$CH246,5)&gt;=9999,"",INDEX(Presupuesto!$C:$C,SMALL($AA246:$CH246,5)))</f>
        <v>0</v>
      </c>
      <c r="M246" s="1" t="n">
        <f aca="false">IF(SMALL($AA246:$CH246,6)&gt;=9999,"",INDEX(Presupuesto!$C:$C,SMALL($AA246:$CH246,6)))</f>
        <v>0</v>
      </c>
      <c r="N246" s="1" t="n">
        <f aca="false">IF(SMALL($AA246:$CH246,7)&gt;=9999,"",INDEX(Presupuesto!$C:$C,SMALL($AA246:$CH246,7)))</f>
        <v>0</v>
      </c>
      <c r="O246" s="1" t="n">
        <f aca="false">IF(SMALL($AA246:$CH246,8)&gt;=9999,"",INDEX(Presupuesto!$C:$C,SMALL($AA246:$CH246,8)))</f>
        <v>0</v>
      </c>
      <c r="P246" s="1" t="n">
        <f aca="false">IF(SMALL($AA246:$CH246,9)&gt;=9999,"",INDEX(Presupuesto!$C:$C,SMALL($AA246:$CH246,9)))</f>
        <v>0</v>
      </c>
      <c r="Q246" s="1" t="n">
        <f aca="false">IF(SMALL($AA246:$CH246,10)&gt;=9999,"",INDEX(Presupuesto!$C:$C,SMALL($AA246:$CH246,10)))</f>
        <v>0</v>
      </c>
      <c r="AA246" s="0" t="n">
        <f aca="false">IF(Presupuesto!$B$7='Flujo de Pagos'!$E246,7,9999)</f>
        <v>9999</v>
      </c>
      <c r="AB246" s="0" t="n">
        <f aca="false">IF(Presupuesto!$B$8='Flujo de Pagos'!$E246,8,9999)</f>
        <v>9999</v>
      </c>
      <c r="AC246" s="0" t="n">
        <f aca="false">IF(Presupuesto!$B$9='Flujo de Pagos'!$E246,9,9999)</f>
        <v>9999</v>
      </c>
      <c r="AD246" s="0" t="n">
        <f aca="false">IF(Presupuesto!$B$10='Flujo de Pagos'!$E246,10,9999)</f>
        <v>9999</v>
      </c>
      <c r="AE246" s="0" t="n">
        <f aca="false">IF(Presupuesto!$B$11='Flujo de Pagos'!$E246,11,9999)</f>
        <v>9999</v>
      </c>
      <c r="AF246" s="0" t="n">
        <f aca="false">IF(Presupuesto!$B$12='Flujo de Pagos'!$E246,12,9999)</f>
        <v>12</v>
      </c>
      <c r="AG246" s="0" t="n">
        <f aca="false">IF(Presupuesto!$B$13='Flujo de Pagos'!$E246,13,9999)</f>
        <v>13</v>
      </c>
      <c r="AH246" s="0" t="n">
        <f aca="false">IF(Presupuesto!$B$14='Flujo de Pagos'!$E246,14,9999)</f>
        <v>14</v>
      </c>
      <c r="AI246" s="0" t="n">
        <f aca="false">IF(Presupuesto!$B$15='Flujo de Pagos'!$E246,15,9999)</f>
        <v>15</v>
      </c>
      <c r="AJ246" s="0" t="n">
        <f aca="false">IF(Presupuesto!$B$16='Flujo de Pagos'!$E246,16,9999)</f>
        <v>16</v>
      </c>
      <c r="AK246" s="0" t="n">
        <f aca="false">IF(Presupuesto!$B$17='Flujo de Pagos'!$E246,17,9999)</f>
        <v>17</v>
      </c>
      <c r="AL246" s="0" t="n">
        <f aca="false">IF(Presupuesto!$B$18='Flujo de Pagos'!$E246,18,9999)</f>
        <v>18</v>
      </c>
      <c r="AM246" s="0" t="n">
        <f aca="false">IF(Presupuesto!$B$19='Flujo de Pagos'!$E246,19,9999)</f>
        <v>19</v>
      </c>
      <c r="AN246" s="0" t="n">
        <f aca="false">IF(Presupuesto!$B$20='Flujo de Pagos'!$E246,20,9999)</f>
        <v>20</v>
      </c>
      <c r="AO246" s="0" t="n">
        <f aca="false">IF(Presupuesto!$B$21='Flujo de Pagos'!$E246,21,9999)</f>
        <v>21</v>
      </c>
      <c r="AP246" s="0" t="n">
        <f aca="false">IF(Presupuesto!$B$22='Flujo de Pagos'!$E246,22,9999)</f>
        <v>22</v>
      </c>
      <c r="AQ246" s="0" t="n">
        <f aca="false">IF(Presupuesto!$B$23='Flujo de Pagos'!$E246,23,9999)</f>
        <v>23</v>
      </c>
      <c r="AR246" s="0" t="n">
        <f aca="false">IF(Presupuesto!$B$24='Flujo de Pagos'!$E246,24,9999)</f>
        <v>24</v>
      </c>
      <c r="AS246" s="0" t="n">
        <f aca="false">IF(Presupuesto!$B$25='Flujo de Pagos'!$E246,25,9999)</f>
        <v>25</v>
      </c>
      <c r="AT246" s="0" t="n">
        <f aca="false">IF(Presupuesto!$B$26='Flujo de Pagos'!$E246,26,9999)</f>
        <v>26</v>
      </c>
      <c r="AU246" s="0" t="n">
        <f aca="false">IF(Presupuesto!$B$27='Flujo de Pagos'!$E246,27,9999)</f>
        <v>27</v>
      </c>
      <c r="AV246" s="0" t="n">
        <f aca="false">IF(Presupuesto!$B$28='Flujo de Pagos'!$E246,28,9999)</f>
        <v>28</v>
      </c>
      <c r="AW246" s="0" t="n">
        <f aca="false">IF(Presupuesto!$B$29='Flujo de Pagos'!$E246,29,9999)</f>
        <v>29</v>
      </c>
      <c r="AX246" s="0" t="n">
        <f aca="false">IF(Presupuesto!$B$30='Flujo de Pagos'!$E246,30,9999)</f>
        <v>30</v>
      </c>
      <c r="AY246" s="0" t="n">
        <f aca="false">IF(Presupuesto!$B$31='Flujo de Pagos'!$E246,31,9999)</f>
        <v>31</v>
      </c>
      <c r="AZ246" s="0" t="n">
        <f aca="false">IF(Presupuesto!$B$32='Flujo de Pagos'!$E246,32,9999)</f>
        <v>32</v>
      </c>
      <c r="BA246" s="0" t="n">
        <f aca="false">IF(Presupuesto!$B$33='Flujo de Pagos'!$E246,33,9999)</f>
        <v>33</v>
      </c>
      <c r="BB246" s="0" t="n">
        <f aca="false">IF(Presupuesto!$B$34='Flujo de Pagos'!$E246,34,9999)</f>
        <v>34</v>
      </c>
      <c r="BC246" s="0" t="n">
        <f aca="false">IF(Presupuesto!$B$35='Flujo de Pagos'!$E246,35,9999)</f>
        <v>35</v>
      </c>
      <c r="BD246" s="0" t="n">
        <f aca="false">IF(Presupuesto!$B$36='Flujo de Pagos'!$E246,36,9999)</f>
        <v>36</v>
      </c>
      <c r="BE246" s="0" t="n">
        <f aca="false">IF(Presupuesto!$B$37='Flujo de Pagos'!$E246,37,9999)</f>
        <v>37</v>
      </c>
      <c r="BF246" s="0" t="n">
        <f aca="false">IF(Presupuesto!$B$38='Flujo de Pagos'!$E246,38,9999)</f>
        <v>38</v>
      </c>
      <c r="BG246" s="0" t="n">
        <f aca="false">IF(Presupuesto!$B$39='Flujo de Pagos'!$E246,39,9999)</f>
        <v>39</v>
      </c>
      <c r="BH246" s="0" t="n">
        <f aca="false">IF(Presupuesto!$B$40='Flujo de Pagos'!$E246,40,9999)</f>
        <v>40</v>
      </c>
      <c r="BI246" s="0" t="n">
        <f aca="false">IF(Presupuesto!$B$41='Flujo de Pagos'!$E246,41,9999)</f>
        <v>41</v>
      </c>
      <c r="BJ246" s="0" t="n">
        <f aca="false">IF(Presupuesto!$B$42='Flujo de Pagos'!$E246,42,9999)</f>
        <v>42</v>
      </c>
      <c r="BK246" s="0" t="n">
        <f aca="false">IF(Presupuesto!$B$43='Flujo de Pagos'!$E246,43,9999)</f>
        <v>43</v>
      </c>
      <c r="BL246" s="0" t="n">
        <f aca="false">IF(Presupuesto!$B$44='Flujo de Pagos'!$E246,44,9999)</f>
        <v>44</v>
      </c>
      <c r="BM246" s="0" t="n">
        <f aca="false">IF(Presupuesto!$B$45='Flujo de Pagos'!$E246,45,9999)</f>
        <v>45</v>
      </c>
      <c r="BN246" s="0" t="n">
        <f aca="false">IF(Presupuesto!$B$46='Flujo de Pagos'!$E246,46,9999)</f>
        <v>46</v>
      </c>
      <c r="BO246" s="0" t="n">
        <f aca="false">IF(Presupuesto!$B$47='Flujo de Pagos'!$E246,47,9999)</f>
        <v>47</v>
      </c>
      <c r="BP246" s="0" t="n">
        <f aca="false">IF(Presupuesto!$B$48='Flujo de Pagos'!$E246,48,9999)</f>
        <v>48</v>
      </c>
      <c r="BQ246" s="0" t="n">
        <f aca="false">IF(Presupuesto!$B$49='Flujo de Pagos'!$E246,49,9999)</f>
        <v>49</v>
      </c>
      <c r="BR246" s="0" t="n">
        <f aca="false">IF(Presupuesto!$B$50='Flujo de Pagos'!$E246,50,9999)</f>
        <v>50</v>
      </c>
      <c r="BS246" s="0" t="n">
        <f aca="false">IF(Presupuesto!$B$51='Flujo de Pagos'!$E246,51,9999)</f>
        <v>51</v>
      </c>
      <c r="BT246" s="0" t="n">
        <f aca="false">IF(Presupuesto!$B$52='Flujo de Pagos'!$E246,52,9999)</f>
        <v>52</v>
      </c>
      <c r="BU246" s="0" t="n">
        <f aca="false">IF(Presupuesto!$B$53='Flujo de Pagos'!$E246,53,9999)</f>
        <v>53</v>
      </c>
      <c r="BV246" s="0" t="n">
        <f aca="false">IF(Presupuesto!$B$54='Flujo de Pagos'!$E246,54,9999)</f>
        <v>54</v>
      </c>
      <c r="BW246" s="0" t="n">
        <f aca="false">IF(Presupuesto!$B$55='Flujo de Pagos'!$E246,55,9999)</f>
        <v>55</v>
      </c>
      <c r="BX246" s="0" t="n">
        <f aca="false">IF(Presupuesto!$B$56='Flujo de Pagos'!$E246,56,9999)</f>
        <v>56</v>
      </c>
      <c r="BY246" s="0" t="n">
        <f aca="false">IF(Presupuesto!$B$57='Flujo de Pagos'!$E246,57,9999)</f>
        <v>57</v>
      </c>
      <c r="BZ246" s="0" t="n">
        <f aca="false">IF(Presupuesto!$B$58='Flujo de Pagos'!$E246,58,9999)</f>
        <v>58</v>
      </c>
      <c r="CA246" s="0" t="n">
        <f aca="false">IF(Presupuesto!$B$59='Flujo de Pagos'!$E246,59,9999)</f>
        <v>59</v>
      </c>
      <c r="CB246" s="0" t="n">
        <f aca="false">IF(Presupuesto!$B$60='Flujo de Pagos'!$E246,60,9999)</f>
        <v>60</v>
      </c>
      <c r="CC246" s="0" t="n">
        <f aca="false">IF(Presupuesto!$B$61='Flujo de Pagos'!$E246,61,9999)</f>
        <v>61</v>
      </c>
      <c r="CD246" s="0" t="n">
        <f aca="false">IF(Presupuesto!$B$62='Flujo de Pagos'!$E246,62,9999)</f>
        <v>62</v>
      </c>
      <c r="CE246" s="0" t="n">
        <f aca="false">IF(Presupuesto!$B$63='Flujo de Pagos'!$E246,63,9999)</f>
        <v>63</v>
      </c>
      <c r="CF246" s="0" t="n">
        <f aca="false">IF(Presupuesto!$B$64='Flujo de Pagos'!$E246,64,9999)</f>
        <v>64</v>
      </c>
      <c r="CG246" s="0" t="n">
        <f aca="false">IF(Presupuesto!$B$65='Flujo de Pagos'!$E246,65,9999)</f>
        <v>65</v>
      </c>
      <c r="CH246" s="0" t="n">
        <f aca="false">IF(Presupuesto!$B$66='Flujo de Pagos'!$E246,66,9999)</f>
        <v>66</v>
      </c>
    </row>
    <row r="247" customFormat="false" ht="15" hidden="false" customHeight="true" outlineLevel="0" collapsed="false">
      <c r="B247" s="1" t="n">
        <f aca="false">IF(AND('Flujo de Pagos'!E252=Carátula!$B$2,'Flujo de Pagos'!F252=Carátula!$B$4,'Flujo de Pagos'!H252&lt;&gt;""),252,99999)</f>
        <v>99999</v>
      </c>
      <c r="H247" s="1" t="n">
        <f aca="false">IF(SMALL($AA247:$CH247,1)&gt;=9999,"",INDEX(Presupuesto!$C:$C,SMALL($AA247:$CH247,1)))</f>
        <v>0</v>
      </c>
      <c r="I247" s="1" t="n">
        <f aca="false">IF(SMALL($AA247:$CH247,2)&gt;=9999,"",INDEX(Presupuesto!$C:$C,SMALL($AA247:$CH247,2)))</f>
        <v>0</v>
      </c>
      <c r="J247" s="1" t="n">
        <f aca="false">IF(SMALL($AA247:$CH247,3)&gt;=9999,"",INDEX(Presupuesto!$C:$C,SMALL($AA247:$CH247,3)))</f>
        <v>0</v>
      </c>
      <c r="K247" s="1" t="n">
        <f aca="false">IF(SMALL($AA247:$CH247,4)&gt;=9999,"",INDEX(Presupuesto!$C:$C,SMALL($AA247:$CH247,4)))</f>
        <v>0</v>
      </c>
      <c r="L247" s="1" t="n">
        <f aca="false">IF(SMALL($AA247:$CH247,5)&gt;=9999,"",INDEX(Presupuesto!$C:$C,SMALL($AA247:$CH247,5)))</f>
        <v>0</v>
      </c>
      <c r="M247" s="1" t="n">
        <f aca="false">IF(SMALL($AA247:$CH247,6)&gt;=9999,"",INDEX(Presupuesto!$C:$C,SMALL($AA247:$CH247,6)))</f>
        <v>0</v>
      </c>
      <c r="N247" s="1" t="n">
        <f aca="false">IF(SMALL($AA247:$CH247,7)&gt;=9999,"",INDEX(Presupuesto!$C:$C,SMALL($AA247:$CH247,7)))</f>
        <v>0</v>
      </c>
      <c r="O247" s="1" t="n">
        <f aca="false">IF(SMALL($AA247:$CH247,8)&gt;=9999,"",INDEX(Presupuesto!$C:$C,SMALL($AA247:$CH247,8)))</f>
        <v>0</v>
      </c>
      <c r="P247" s="1" t="n">
        <f aca="false">IF(SMALL($AA247:$CH247,9)&gt;=9999,"",INDEX(Presupuesto!$C:$C,SMALL($AA247:$CH247,9)))</f>
        <v>0</v>
      </c>
      <c r="Q247" s="1" t="n">
        <f aca="false">IF(SMALL($AA247:$CH247,10)&gt;=9999,"",INDEX(Presupuesto!$C:$C,SMALL($AA247:$CH247,10)))</f>
        <v>0</v>
      </c>
      <c r="AA247" s="0" t="n">
        <f aca="false">IF(Presupuesto!$B$7='Flujo de Pagos'!$E247,7,9999)</f>
        <v>9999</v>
      </c>
      <c r="AB247" s="0" t="n">
        <f aca="false">IF(Presupuesto!$B$8='Flujo de Pagos'!$E247,8,9999)</f>
        <v>9999</v>
      </c>
      <c r="AC247" s="0" t="n">
        <f aca="false">IF(Presupuesto!$B$9='Flujo de Pagos'!$E247,9,9999)</f>
        <v>9999</v>
      </c>
      <c r="AD247" s="0" t="n">
        <f aca="false">IF(Presupuesto!$B$10='Flujo de Pagos'!$E247,10,9999)</f>
        <v>9999</v>
      </c>
      <c r="AE247" s="0" t="n">
        <f aca="false">IF(Presupuesto!$B$11='Flujo de Pagos'!$E247,11,9999)</f>
        <v>9999</v>
      </c>
      <c r="AF247" s="0" t="n">
        <f aca="false">IF(Presupuesto!$B$12='Flujo de Pagos'!$E247,12,9999)</f>
        <v>12</v>
      </c>
      <c r="AG247" s="0" t="n">
        <f aca="false">IF(Presupuesto!$B$13='Flujo de Pagos'!$E247,13,9999)</f>
        <v>13</v>
      </c>
      <c r="AH247" s="0" t="n">
        <f aca="false">IF(Presupuesto!$B$14='Flujo de Pagos'!$E247,14,9999)</f>
        <v>14</v>
      </c>
      <c r="AI247" s="0" t="n">
        <f aca="false">IF(Presupuesto!$B$15='Flujo de Pagos'!$E247,15,9999)</f>
        <v>15</v>
      </c>
      <c r="AJ247" s="0" t="n">
        <f aca="false">IF(Presupuesto!$B$16='Flujo de Pagos'!$E247,16,9999)</f>
        <v>16</v>
      </c>
      <c r="AK247" s="0" t="n">
        <f aca="false">IF(Presupuesto!$B$17='Flujo de Pagos'!$E247,17,9999)</f>
        <v>17</v>
      </c>
      <c r="AL247" s="0" t="n">
        <f aca="false">IF(Presupuesto!$B$18='Flujo de Pagos'!$E247,18,9999)</f>
        <v>18</v>
      </c>
      <c r="AM247" s="0" t="n">
        <f aca="false">IF(Presupuesto!$B$19='Flujo de Pagos'!$E247,19,9999)</f>
        <v>19</v>
      </c>
      <c r="AN247" s="0" t="n">
        <f aca="false">IF(Presupuesto!$B$20='Flujo de Pagos'!$E247,20,9999)</f>
        <v>20</v>
      </c>
      <c r="AO247" s="0" t="n">
        <f aca="false">IF(Presupuesto!$B$21='Flujo de Pagos'!$E247,21,9999)</f>
        <v>21</v>
      </c>
      <c r="AP247" s="0" t="n">
        <f aca="false">IF(Presupuesto!$B$22='Flujo de Pagos'!$E247,22,9999)</f>
        <v>22</v>
      </c>
      <c r="AQ247" s="0" t="n">
        <f aca="false">IF(Presupuesto!$B$23='Flujo de Pagos'!$E247,23,9999)</f>
        <v>23</v>
      </c>
      <c r="AR247" s="0" t="n">
        <f aca="false">IF(Presupuesto!$B$24='Flujo de Pagos'!$E247,24,9999)</f>
        <v>24</v>
      </c>
      <c r="AS247" s="0" t="n">
        <f aca="false">IF(Presupuesto!$B$25='Flujo de Pagos'!$E247,25,9999)</f>
        <v>25</v>
      </c>
      <c r="AT247" s="0" t="n">
        <f aca="false">IF(Presupuesto!$B$26='Flujo de Pagos'!$E247,26,9999)</f>
        <v>26</v>
      </c>
      <c r="AU247" s="0" t="n">
        <f aca="false">IF(Presupuesto!$B$27='Flujo de Pagos'!$E247,27,9999)</f>
        <v>27</v>
      </c>
      <c r="AV247" s="0" t="n">
        <f aca="false">IF(Presupuesto!$B$28='Flujo de Pagos'!$E247,28,9999)</f>
        <v>28</v>
      </c>
      <c r="AW247" s="0" t="n">
        <f aca="false">IF(Presupuesto!$B$29='Flujo de Pagos'!$E247,29,9999)</f>
        <v>29</v>
      </c>
      <c r="AX247" s="0" t="n">
        <f aca="false">IF(Presupuesto!$B$30='Flujo de Pagos'!$E247,30,9999)</f>
        <v>30</v>
      </c>
      <c r="AY247" s="0" t="n">
        <f aca="false">IF(Presupuesto!$B$31='Flujo de Pagos'!$E247,31,9999)</f>
        <v>31</v>
      </c>
      <c r="AZ247" s="0" t="n">
        <f aca="false">IF(Presupuesto!$B$32='Flujo de Pagos'!$E247,32,9999)</f>
        <v>32</v>
      </c>
      <c r="BA247" s="0" t="n">
        <f aca="false">IF(Presupuesto!$B$33='Flujo de Pagos'!$E247,33,9999)</f>
        <v>33</v>
      </c>
      <c r="BB247" s="0" t="n">
        <f aca="false">IF(Presupuesto!$B$34='Flujo de Pagos'!$E247,34,9999)</f>
        <v>34</v>
      </c>
      <c r="BC247" s="0" t="n">
        <f aca="false">IF(Presupuesto!$B$35='Flujo de Pagos'!$E247,35,9999)</f>
        <v>35</v>
      </c>
      <c r="BD247" s="0" t="n">
        <f aca="false">IF(Presupuesto!$B$36='Flujo de Pagos'!$E247,36,9999)</f>
        <v>36</v>
      </c>
      <c r="BE247" s="0" t="n">
        <f aca="false">IF(Presupuesto!$B$37='Flujo de Pagos'!$E247,37,9999)</f>
        <v>37</v>
      </c>
      <c r="BF247" s="0" t="n">
        <f aca="false">IF(Presupuesto!$B$38='Flujo de Pagos'!$E247,38,9999)</f>
        <v>38</v>
      </c>
      <c r="BG247" s="0" t="n">
        <f aca="false">IF(Presupuesto!$B$39='Flujo de Pagos'!$E247,39,9999)</f>
        <v>39</v>
      </c>
      <c r="BH247" s="0" t="n">
        <f aca="false">IF(Presupuesto!$B$40='Flujo de Pagos'!$E247,40,9999)</f>
        <v>40</v>
      </c>
      <c r="BI247" s="0" t="n">
        <f aca="false">IF(Presupuesto!$B$41='Flujo de Pagos'!$E247,41,9999)</f>
        <v>41</v>
      </c>
      <c r="BJ247" s="0" t="n">
        <f aca="false">IF(Presupuesto!$B$42='Flujo de Pagos'!$E247,42,9999)</f>
        <v>42</v>
      </c>
      <c r="BK247" s="0" t="n">
        <f aca="false">IF(Presupuesto!$B$43='Flujo de Pagos'!$E247,43,9999)</f>
        <v>43</v>
      </c>
      <c r="BL247" s="0" t="n">
        <f aca="false">IF(Presupuesto!$B$44='Flujo de Pagos'!$E247,44,9999)</f>
        <v>44</v>
      </c>
      <c r="BM247" s="0" t="n">
        <f aca="false">IF(Presupuesto!$B$45='Flujo de Pagos'!$E247,45,9999)</f>
        <v>45</v>
      </c>
      <c r="BN247" s="0" t="n">
        <f aca="false">IF(Presupuesto!$B$46='Flujo de Pagos'!$E247,46,9999)</f>
        <v>46</v>
      </c>
      <c r="BO247" s="0" t="n">
        <f aca="false">IF(Presupuesto!$B$47='Flujo de Pagos'!$E247,47,9999)</f>
        <v>47</v>
      </c>
      <c r="BP247" s="0" t="n">
        <f aca="false">IF(Presupuesto!$B$48='Flujo de Pagos'!$E247,48,9999)</f>
        <v>48</v>
      </c>
      <c r="BQ247" s="0" t="n">
        <f aca="false">IF(Presupuesto!$B$49='Flujo de Pagos'!$E247,49,9999)</f>
        <v>49</v>
      </c>
      <c r="BR247" s="0" t="n">
        <f aca="false">IF(Presupuesto!$B$50='Flujo de Pagos'!$E247,50,9999)</f>
        <v>50</v>
      </c>
      <c r="BS247" s="0" t="n">
        <f aca="false">IF(Presupuesto!$B$51='Flujo de Pagos'!$E247,51,9999)</f>
        <v>51</v>
      </c>
      <c r="BT247" s="0" t="n">
        <f aca="false">IF(Presupuesto!$B$52='Flujo de Pagos'!$E247,52,9999)</f>
        <v>52</v>
      </c>
      <c r="BU247" s="0" t="n">
        <f aca="false">IF(Presupuesto!$B$53='Flujo de Pagos'!$E247,53,9999)</f>
        <v>53</v>
      </c>
      <c r="BV247" s="0" t="n">
        <f aca="false">IF(Presupuesto!$B$54='Flujo de Pagos'!$E247,54,9999)</f>
        <v>54</v>
      </c>
      <c r="BW247" s="0" t="n">
        <f aca="false">IF(Presupuesto!$B$55='Flujo de Pagos'!$E247,55,9999)</f>
        <v>55</v>
      </c>
      <c r="BX247" s="0" t="n">
        <f aca="false">IF(Presupuesto!$B$56='Flujo de Pagos'!$E247,56,9999)</f>
        <v>56</v>
      </c>
      <c r="BY247" s="0" t="n">
        <f aca="false">IF(Presupuesto!$B$57='Flujo de Pagos'!$E247,57,9999)</f>
        <v>57</v>
      </c>
      <c r="BZ247" s="0" t="n">
        <f aca="false">IF(Presupuesto!$B$58='Flujo de Pagos'!$E247,58,9999)</f>
        <v>58</v>
      </c>
      <c r="CA247" s="0" t="n">
        <f aca="false">IF(Presupuesto!$B$59='Flujo de Pagos'!$E247,59,9999)</f>
        <v>59</v>
      </c>
      <c r="CB247" s="0" t="n">
        <f aca="false">IF(Presupuesto!$B$60='Flujo de Pagos'!$E247,60,9999)</f>
        <v>60</v>
      </c>
      <c r="CC247" s="0" t="n">
        <f aca="false">IF(Presupuesto!$B$61='Flujo de Pagos'!$E247,61,9999)</f>
        <v>61</v>
      </c>
      <c r="CD247" s="0" t="n">
        <f aca="false">IF(Presupuesto!$B$62='Flujo de Pagos'!$E247,62,9999)</f>
        <v>62</v>
      </c>
      <c r="CE247" s="0" t="n">
        <f aca="false">IF(Presupuesto!$B$63='Flujo de Pagos'!$E247,63,9999)</f>
        <v>63</v>
      </c>
      <c r="CF247" s="0" t="n">
        <f aca="false">IF(Presupuesto!$B$64='Flujo de Pagos'!$E247,64,9999)</f>
        <v>64</v>
      </c>
      <c r="CG247" s="0" t="n">
        <f aca="false">IF(Presupuesto!$B$65='Flujo de Pagos'!$E247,65,9999)</f>
        <v>65</v>
      </c>
      <c r="CH247" s="0" t="n">
        <f aca="false">IF(Presupuesto!$B$66='Flujo de Pagos'!$E247,66,9999)</f>
        <v>66</v>
      </c>
    </row>
    <row r="248" customFormat="false" ht="15" hidden="false" customHeight="true" outlineLevel="0" collapsed="false">
      <c r="B248" s="1" t="n">
        <f aca="false">IF(AND('Flujo de Pagos'!E253=Carátula!$B$2,'Flujo de Pagos'!F253=Carátula!$B$4,'Flujo de Pagos'!H253&lt;&gt;""),253,99999)</f>
        <v>99999</v>
      </c>
      <c r="H248" s="1" t="n">
        <f aca="false">IF(SMALL($AA248:$CH248,1)&gt;=9999,"",INDEX(Presupuesto!$C:$C,SMALL($AA248:$CH248,1)))</f>
        <v>0</v>
      </c>
      <c r="I248" s="1" t="n">
        <f aca="false">IF(SMALL($AA248:$CH248,2)&gt;=9999,"",INDEX(Presupuesto!$C:$C,SMALL($AA248:$CH248,2)))</f>
        <v>0</v>
      </c>
      <c r="J248" s="1" t="n">
        <f aca="false">IF(SMALL($AA248:$CH248,3)&gt;=9999,"",INDEX(Presupuesto!$C:$C,SMALL($AA248:$CH248,3)))</f>
        <v>0</v>
      </c>
      <c r="K248" s="1" t="n">
        <f aca="false">IF(SMALL($AA248:$CH248,4)&gt;=9999,"",INDEX(Presupuesto!$C:$C,SMALL($AA248:$CH248,4)))</f>
        <v>0</v>
      </c>
      <c r="L248" s="1" t="n">
        <f aca="false">IF(SMALL($AA248:$CH248,5)&gt;=9999,"",INDEX(Presupuesto!$C:$C,SMALL($AA248:$CH248,5)))</f>
        <v>0</v>
      </c>
      <c r="M248" s="1" t="n">
        <f aca="false">IF(SMALL($AA248:$CH248,6)&gt;=9999,"",INDEX(Presupuesto!$C:$C,SMALL($AA248:$CH248,6)))</f>
        <v>0</v>
      </c>
      <c r="N248" s="1" t="n">
        <f aca="false">IF(SMALL($AA248:$CH248,7)&gt;=9999,"",INDEX(Presupuesto!$C:$C,SMALL($AA248:$CH248,7)))</f>
        <v>0</v>
      </c>
      <c r="O248" s="1" t="n">
        <f aca="false">IF(SMALL($AA248:$CH248,8)&gt;=9999,"",INDEX(Presupuesto!$C:$C,SMALL($AA248:$CH248,8)))</f>
        <v>0</v>
      </c>
      <c r="P248" s="1" t="n">
        <f aca="false">IF(SMALL($AA248:$CH248,9)&gt;=9999,"",INDEX(Presupuesto!$C:$C,SMALL($AA248:$CH248,9)))</f>
        <v>0</v>
      </c>
      <c r="Q248" s="1" t="n">
        <f aca="false">IF(SMALL($AA248:$CH248,10)&gt;=9999,"",INDEX(Presupuesto!$C:$C,SMALL($AA248:$CH248,10)))</f>
        <v>0</v>
      </c>
      <c r="AA248" s="0" t="n">
        <f aca="false">IF(Presupuesto!$B$7='Flujo de Pagos'!$E248,7,9999)</f>
        <v>9999</v>
      </c>
      <c r="AB248" s="0" t="n">
        <f aca="false">IF(Presupuesto!$B$8='Flujo de Pagos'!$E248,8,9999)</f>
        <v>9999</v>
      </c>
      <c r="AC248" s="0" t="n">
        <f aca="false">IF(Presupuesto!$B$9='Flujo de Pagos'!$E248,9,9999)</f>
        <v>9999</v>
      </c>
      <c r="AD248" s="0" t="n">
        <f aca="false">IF(Presupuesto!$B$10='Flujo de Pagos'!$E248,10,9999)</f>
        <v>9999</v>
      </c>
      <c r="AE248" s="0" t="n">
        <f aca="false">IF(Presupuesto!$B$11='Flujo de Pagos'!$E248,11,9999)</f>
        <v>9999</v>
      </c>
      <c r="AF248" s="0" t="n">
        <f aca="false">IF(Presupuesto!$B$12='Flujo de Pagos'!$E248,12,9999)</f>
        <v>12</v>
      </c>
      <c r="AG248" s="0" t="n">
        <f aca="false">IF(Presupuesto!$B$13='Flujo de Pagos'!$E248,13,9999)</f>
        <v>13</v>
      </c>
      <c r="AH248" s="0" t="n">
        <f aca="false">IF(Presupuesto!$B$14='Flujo de Pagos'!$E248,14,9999)</f>
        <v>14</v>
      </c>
      <c r="AI248" s="0" t="n">
        <f aca="false">IF(Presupuesto!$B$15='Flujo de Pagos'!$E248,15,9999)</f>
        <v>15</v>
      </c>
      <c r="AJ248" s="0" t="n">
        <f aca="false">IF(Presupuesto!$B$16='Flujo de Pagos'!$E248,16,9999)</f>
        <v>16</v>
      </c>
      <c r="AK248" s="0" t="n">
        <f aca="false">IF(Presupuesto!$B$17='Flujo de Pagos'!$E248,17,9999)</f>
        <v>17</v>
      </c>
      <c r="AL248" s="0" t="n">
        <f aca="false">IF(Presupuesto!$B$18='Flujo de Pagos'!$E248,18,9999)</f>
        <v>18</v>
      </c>
      <c r="AM248" s="0" t="n">
        <f aca="false">IF(Presupuesto!$B$19='Flujo de Pagos'!$E248,19,9999)</f>
        <v>19</v>
      </c>
      <c r="AN248" s="0" t="n">
        <f aca="false">IF(Presupuesto!$B$20='Flujo de Pagos'!$E248,20,9999)</f>
        <v>20</v>
      </c>
      <c r="AO248" s="0" t="n">
        <f aca="false">IF(Presupuesto!$B$21='Flujo de Pagos'!$E248,21,9999)</f>
        <v>21</v>
      </c>
      <c r="AP248" s="0" t="n">
        <f aca="false">IF(Presupuesto!$B$22='Flujo de Pagos'!$E248,22,9999)</f>
        <v>22</v>
      </c>
      <c r="AQ248" s="0" t="n">
        <f aca="false">IF(Presupuesto!$B$23='Flujo de Pagos'!$E248,23,9999)</f>
        <v>23</v>
      </c>
      <c r="AR248" s="0" t="n">
        <f aca="false">IF(Presupuesto!$B$24='Flujo de Pagos'!$E248,24,9999)</f>
        <v>24</v>
      </c>
      <c r="AS248" s="0" t="n">
        <f aca="false">IF(Presupuesto!$B$25='Flujo de Pagos'!$E248,25,9999)</f>
        <v>25</v>
      </c>
      <c r="AT248" s="0" t="n">
        <f aca="false">IF(Presupuesto!$B$26='Flujo de Pagos'!$E248,26,9999)</f>
        <v>26</v>
      </c>
      <c r="AU248" s="0" t="n">
        <f aca="false">IF(Presupuesto!$B$27='Flujo de Pagos'!$E248,27,9999)</f>
        <v>27</v>
      </c>
      <c r="AV248" s="0" t="n">
        <f aca="false">IF(Presupuesto!$B$28='Flujo de Pagos'!$E248,28,9999)</f>
        <v>28</v>
      </c>
      <c r="AW248" s="0" t="n">
        <f aca="false">IF(Presupuesto!$B$29='Flujo de Pagos'!$E248,29,9999)</f>
        <v>29</v>
      </c>
      <c r="AX248" s="0" t="n">
        <f aca="false">IF(Presupuesto!$B$30='Flujo de Pagos'!$E248,30,9999)</f>
        <v>30</v>
      </c>
      <c r="AY248" s="0" t="n">
        <f aca="false">IF(Presupuesto!$B$31='Flujo de Pagos'!$E248,31,9999)</f>
        <v>31</v>
      </c>
      <c r="AZ248" s="0" t="n">
        <f aca="false">IF(Presupuesto!$B$32='Flujo de Pagos'!$E248,32,9999)</f>
        <v>32</v>
      </c>
      <c r="BA248" s="0" t="n">
        <f aca="false">IF(Presupuesto!$B$33='Flujo de Pagos'!$E248,33,9999)</f>
        <v>33</v>
      </c>
      <c r="BB248" s="0" t="n">
        <f aca="false">IF(Presupuesto!$B$34='Flujo de Pagos'!$E248,34,9999)</f>
        <v>34</v>
      </c>
      <c r="BC248" s="0" t="n">
        <f aca="false">IF(Presupuesto!$B$35='Flujo de Pagos'!$E248,35,9999)</f>
        <v>35</v>
      </c>
      <c r="BD248" s="0" t="n">
        <f aca="false">IF(Presupuesto!$B$36='Flujo de Pagos'!$E248,36,9999)</f>
        <v>36</v>
      </c>
      <c r="BE248" s="0" t="n">
        <f aca="false">IF(Presupuesto!$B$37='Flujo de Pagos'!$E248,37,9999)</f>
        <v>37</v>
      </c>
      <c r="BF248" s="0" t="n">
        <f aca="false">IF(Presupuesto!$B$38='Flujo de Pagos'!$E248,38,9999)</f>
        <v>38</v>
      </c>
      <c r="BG248" s="0" t="n">
        <f aca="false">IF(Presupuesto!$B$39='Flujo de Pagos'!$E248,39,9999)</f>
        <v>39</v>
      </c>
      <c r="BH248" s="0" t="n">
        <f aca="false">IF(Presupuesto!$B$40='Flujo de Pagos'!$E248,40,9999)</f>
        <v>40</v>
      </c>
      <c r="BI248" s="0" t="n">
        <f aca="false">IF(Presupuesto!$B$41='Flujo de Pagos'!$E248,41,9999)</f>
        <v>41</v>
      </c>
      <c r="BJ248" s="0" t="n">
        <f aca="false">IF(Presupuesto!$B$42='Flujo de Pagos'!$E248,42,9999)</f>
        <v>42</v>
      </c>
      <c r="BK248" s="0" t="n">
        <f aca="false">IF(Presupuesto!$B$43='Flujo de Pagos'!$E248,43,9999)</f>
        <v>43</v>
      </c>
      <c r="BL248" s="0" t="n">
        <f aca="false">IF(Presupuesto!$B$44='Flujo de Pagos'!$E248,44,9999)</f>
        <v>44</v>
      </c>
      <c r="BM248" s="0" t="n">
        <f aca="false">IF(Presupuesto!$B$45='Flujo de Pagos'!$E248,45,9999)</f>
        <v>45</v>
      </c>
      <c r="BN248" s="0" t="n">
        <f aca="false">IF(Presupuesto!$B$46='Flujo de Pagos'!$E248,46,9999)</f>
        <v>46</v>
      </c>
      <c r="BO248" s="0" t="n">
        <f aca="false">IF(Presupuesto!$B$47='Flujo de Pagos'!$E248,47,9999)</f>
        <v>47</v>
      </c>
      <c r="BP248" s="0" t="n">
        <f aca="false">IF(Presupuesto!$B$48='Flujo de Pagos'!$E248,48,9999)</f>
        <v>48</v>
      </c>
      <c r="BQ248" s="0" t="n">
        <f aca="false">IF(Presupuesto!$B$49='Flujo de Pagos'!$E248,49,9999)</f>
        <v>49</v>
      </c>
      <c r="BR248" s="0" t="n">
        <f aca="false">IF(Presupuesto!$B$50='Flujo de Pagos'!$E248,50,9999)</f>
        <v>50</v>
      </c>
      <c r="BS248" s="0" t="n">
        <f aca="false">IF(Presupuesto!$B$51='Flujo de Pagos'!$E248,51,9999)</f>
        <v>51</v>
      </c>
      <c r="BT248" s="0" t="n">
        <f aca="false">IF(Presupuesto!$B$52='Flujo de Pagos'!$E248,52,9999)</f>
        <v>52</v>
      </c>
      <c r="BU248" s="0" t="n">
        <f aca="false">IF(Presupuesto!$B$53='Flujo de Pagos'!$E248,53,9999)</f>
        <v>53</v>
      </c>
      <c r="BV248" s="0" t="n">
        <f aca="false">IF(Presupuesto!$B$54='Flujo de Pagos'!$E248,54,9999)</f>
        <v>54</v>
      </c>
      <c r="BW248" s="0" t="n">
        <f aca="false">IF(Presupuesto!$B$55='Flujo de Pagos'!$E248,55,9999)</f>
        <v>55</v>
      </c>
      <c r="BX248" s="0" t="n">
        <f aca="false">IF(Presupuesto!$B$56='Flujo de Pagos'!$E248,56,9999)</f>
        <v>56</v>
      </c>
      <c r="BY248" s="0" t="n">
        <f aca="false">IF(Presupuesto!$B$57='Flujo de Pagos'!$E248,57,9999)</f>
        <v>57</v>
      </c>
      <c r="BZ248" s="0" t="n">
        <f aca="false">IF(Presupuesto!$B$58='Flujo de Pagos'!$E248,58,9999)</f>
        <v>58</v>
      </c>
      <c r="CA248" s="0" t="n">
        <f aca="false">IF(Presupuesto!$B$59='Flujo de Pagos'!$E248,59,9999)</f>
        <v>59</v>
      </c>
      <c r="CB248" s="0" t="n">
        <f aca="false">IF(Presupuesto!$B$60='Flujo de Pagos'!$E248,60,9999)</f>
        <v>60</v>
      </c>
      <c r="CC248" s="0" t="n">
        <f aca="false">IF(Presupuesto!$B$61='Flujo de Pagos'!$E248,61,9999)</f>
        <v>61</v>
      </c>
      <c r="CD248" s="0" t="n">
        <f aca="false">IF(Presupuesto!$B$62='Flujo de Pagos'!$E248,62,9999)</f>
        <v>62</v>
      </c>
      <c r="CE248" s="0" t="n">
        <f aca="false">IF(Presupuesto!$B$63='Flujo de Pagos'!$E248,63,9999)</f>
        <v>63</v>
      </c>
      <c r="CF248" s="0" t="n">
        <f aca="false">IF(Presupuesto!$B$64='Flujo de Pagos'!$E248,64,9999)</f>
        <v>64</v>
      </c>
      <c r="CG248" s="0" t="n">
        <f aca="false">IF(Presupuesto!$B$65='Flujo de Pagos'!$E248,65,9999)</f>
        <v>65</v>
      </c>
      <c r="CH248" s="0" t="n">
        <f aca="false">IF(Presupuesto!$B$66='Flujo de Pagos'!$E248,66,9999)</f>
        <v>66</v>
      </c>
    </row>
    <row r="249" customFormat="false" ht="15" hidden="false" customHeight="true" outlineLevel="0" collapsed="false">
      <c r="B249" s="1" t="n">
        <f aca="false">IF(AND('Flujo de Pagos'!E254=Carátula!$B$2,'Flujo de Pagos'!F254=Carátula!$B$4,'Flujo de Pagos'!H254&lt;&gt;""),254,99999)</f>
        <v>99999</v>
      </c>
      <c r="H249" s="1" t="n">
        <f aca="false">IF(SMALL($AA249:$CH249,1)&gt;=9999,"",INDEX(Presupuesto!$C:$C,SMALL($AA249:$CH249,1)))</f>
        <v>0</v>
      </c>
      <c r="I249" s="1" t="n">
        <f aca="false">IF(SMALL($AA249:$CH249,2)&gt;=9999,"",INDEX(Presupuesto!$C:$C,SMALL($AA249:$CH249,2)))</f>
        <v>0</v>
      </c>
      <c r="J249" s="1" t="n">
        <f aca="false">IF(SMALL($AA249:$CH249,3)&gt;=9999,"",INDEX(Presupuesto!$C:$C,SMALL($AA249:$CH249,3)))</f>
        <v>0</v>
      </c>
      <c r="K249" s="1" t="n">
        <f aca="false">IF(SMALL($AA249:$CH249,4)&gt;=9999,"",INDEX(Presupuesto!$C:$C,SMALL($AA249:$CH249,4)))</f>
        <v>0</v>
      </c>
      <c r="L249" s="1" t="n">
        <f aca="false">IF(SMALL($AA249:$CH249,5)&gt;=9999,"",INDEX(Presupuesto!$C:$C,SMALL($AA249:$CH249,5)))</f>
        <v>0</v>
      </c>
      <c r="M249" s="1" t="n">
        <f aca="false">IF(SMALL($AA249:$CH249,6)&gt;=9999,"",INDEX(Presupuesto!$C:$C,SMALL($AA249:$CH249,6)))</f>
        <v>0</v>
      </c>
      <c r="N249" s="1" t="n">
        <f aca="false">IF(SMALL($AA249:$CH249,7)&gt;=9999,"",INDEX(Presupuesto!$C:$C,SMALL($AA249:$CH249,7)))</f>
        <v>0</v>
      </c>
      <c r="O249" s="1" t="n">
        <f aca="false">IF(SMALL($AA249:$CH249,8)&gt;=9999,"",INDEX(Presupuesto!$C:$C,SMALL($AA249:$CH249,8)))</f>
        <v>0</v>
      </c>
      <c r="P249" s="1" t="n">
        <f aca="false">IF(SMALL($AA249:$CH249,9)&gt;=9999,"",INDEX(Presupuesto!$C:$C,SMALL($AA249:$CH249,9)))</f>
        <v>0</v>
      </c>
      <c r="Q249" s="1" t="n">
        <f aca="false">IF(SMALL($AA249:$CH249,10)&gt;=9999,"",INDEX(Presupuesto!$C:$C,SMALL($AA249:$CH249,10)))</f>
        <v>0</v>
      </c>
      <c r="AA249" s="0" t="n">
        <f aca="false">IF(Presupuesto!$B$7='Flujo de Pagos'!$E249,7,9999)</f>
        <v>9999</v>
      </c>
      <c r="AB249" s="0" t="n">
        <f aca="false">IF(Presupuesto!$B$8='Flujo de Pagos'!$E249,8,9999)</f>
        <v>9999</v>
      </c>
      <c r="AC249" s="0" t="n">
        <f aca="false">IF(Presupuesto!$B$9='Flujo de Pagos'!$E249,9,9999)</f>
        <v>9999</v>
      </c>
      <c r="AD249" s="0" t="n">
        <f aca="false">IF(Presupuesto!$B$10='Flujo de Pagos'!$E249,10,9999)</f>
        <v>9999</v>
      </c>
      <c r="AE249" s="0" t="n">
        <f aca="false">IF(Presupuesto!$B$11='Flujo de Pagos'!$E249,11,9999)</f>
        <v>9999</v>
      </c>
      <c r="AF249" s="0" t="n">
        <f aca="false">IF(Presupuesto!$B$12='Flujo de Pagos'!$E249,12,9999)</f>
        <v>12</v>
      </c>
      <c r="AG249" s="0" t="n">
        <f aca="false">IF(Presupuesto!$B$13='Flujo de Pagos'!$E249,13,9999)</f>
        <v>13</v>
      </c>
      <c r="AH249" s="0" t="n">
        <f aca="false">IF(Presupuesto!$B$14='Flujo de Pagos'!$E249,14,9999)</f>
        <v>14</v>
      </c>
      <c r="AI249" s="0" t="n">
        <f aca="false">IF(Presupuesto!$B$15='Flujo de Pagos'!$E249,15,9999)</f>
        <v>15</v>
      </c>
      <c r="AJ249" s="0" t="n">
        <f aca="false">IF(Presupuesto!$B$16='Flujo de Pagos'!$E249,16,9999)</f>
        <v>16</v>
      </c>
      <c r="AK249" s="0" t="n">
        <f aca="false">IF(Presupuesto!$B$17='Flujo de Pagos'!$E249,17,9999)</f>
        <v>17</v>
      </c>
      <c r="AL249" s="0" t="n">
        <f aca="false">IF(Presupuesto!$B$18='Flujo de Pagos'!$E249,18,9999)</f>
        <v>18</v>
      </c>
      <c r="AM249" s="0" t="n">
        <f aca="false">IF(Presupuesto!$B$19='Flujo de Pagos'!$E249,19,9999)</f>
        <v>19</v>
      </c>
      <c r="AN249" s="0" t="n">
        <f aca="false">IF(Presupuesto!$B$20='Flujo de Pagos'!$E249,20,9999)</f>
        <v>20</v>
      </c>
      <c r="AO249" s="0" t="n">
        <f aca="false">IF(Presupuesto!$B$21='Flujo de Pagos'!$E249,21,9999)</f>
        <v>21</v>
      </c>
      <c r="AP249" s="0" t="n">
        <f aca="false">IF(Presupuesto!$B$22='Flujo de Pagos'!$E249,22,9999)</f>
        <v>22</v>
      </c>
      <c r="AQ249" s="0" t="n">
        <f aca="false">IF(Presupuesto!$B$23='Flujo de Pagos'!$E249,23,9999)</f>
        <v>23</v>
      </c>
      <c r="AR249" s="0" t="n">
        <f aca="false">IF(Presupuesto!$B$24='Flujo de Pagos'!$E249,24,9999)</f>
        <v>24</v>
      </c>
      <c r="AS249" s="0" t="n">
        <f aca="false">IF(Presupuesto!$B$25='Flujo de Pagos'!$E249,25,9999)</f>
        <v>25</v>
      </c>
      <c r="AT249" s="0" t="n">
        <f aca="false">IF(Presupuesto!$B$26='Flujo de Pagos'!$E249,26,9999)</f>
        <v>26</v>
      </c>
      <c r="AU249" s="0" t="n">
        <f aca="false">IF(Presupuesto!$B$27='Flujo de Pagos'!$E249,27,9999)</f>
        <v>27</v>
      </c>
      <c r="AV249" s="0" t="n">
        <f aca="false">IF(Presupuesto!$B$28='Flujo de Pagos'!$E249,28,9999)</f>
        <v>28</v>
      </c>
      <c r="AW249" s="0" t="n">
        <f aca="false">IF(Presupuesto!$B$29='Flujo de Pagos'!$E249,29,9999)</f>
        <v>29</v>
      </c>
      <c r="AX249" s="0" t="n">
        <f aca="false">IF(Presupuesto!$B$30='Flujo de Pagos'!$E249,30,9999)</f>
        <v>30</v>
      </c>
      <c r="AY249" s="0" t="n">
        <f aca="false">IF(Presupuesto!$B$31='Flujo de Pagos'!$E249,31,9999)</f>
        <v>31</v>
      </c>
      <c r="AZ249" s="0" t="n">
        <f aca="false">IF(Presupuesto!$B$32='Flujo de Pagos'!$E249,32,9999)</f>
        <v>32</v>
      </c>
      <c r="BA249" s="0" t="n">
        <f aca="false">IF(Presupuesto!$B$33='Flujo de Pagos'!$E249,33,9999)</f>
        <v>33</v>
      </c>
      <c r="BB249" s="0" t="n">
        <f aca="false">IF(Presupuesto!$B$34='Flujo de Pagos'!$E249,34,9999)</f>
        <v>34</v>
      </c>
      <c r="BC249" s="0" t="n">
        <f aca="false">IF(Presupuesto!$B$35='Flujo de Pagos'!$E249,35,9999)</f>
        <v>35</v>
      </c>
      <c r="BD249" s="0" t="n">
        <f aca="false">IF(Presupuesto!$B$36='Flujo de Pagos'!$E249,36,9999)</f>
        <v>36</v>
      </c>
      <c r="BE249" s="0" t="n">
        <f aca="false">IF(Presupuesto!$B$37='Flujo de Pagos'!$E249,37,9999)</f>
        <v>37</v>
      </c>
      <c r="BF249" s="0" t="n">
        <f aca="false">IF(Presupuesto!$B$38='Flujo de Pagos'!$E249,38,9999)</f>
        <v>38</v>
      </c>
      <c r="BG249" s="0" t="n">
        <f aca="false">IF(Presupuesto!$B$39='Flujo de Pagos'!$E249,39,9999)</f>
        <v>39</v>
      </c>
      <c r="BH249" s="0" t="n">
        <f aca="false">IF(Presupuesto!$B$40='Flujo de Pagos'!$E249,40,9999)</f>
        <v>40</v>
      </c>
      <c r="BI249" s="0" t="n">
        <f aca="false">IF(Presupuesto!$B$41='Flujo de Pagos'!$E249,41,9999)</f>
        <v>41</v>
      </c>
      <c r="BJ249" s="0" t="n">
        <f aca="false">IF(Presupuesto!$B$42='Flujo de Pagos'!$E249,42,9999)</f>
        <v>42</v>
      </c>
      <c r="BK249" s="0" t="n">
        <f aca="false">IF(Presupuesto!$B$43='Flujo de Pagos'!$E249,43,9999)</f>
        <v>43</v>
      </c>
      <c r="BL249" s="0" t="n">
        <f aca="false">IF(Presupuesto!$B$44='Flujo de Pagos'!$E249,44,9999)</f>
        <v>44</v>
      </c>
      <c r="BM249" s="0" t="n">
        <f aca="false">IF(Presupuesto!$B$45='Flujo de Pagos'!$E249,45,9999)</f>
        <v>45</v>
      </c>
      <c r="BN249" s="0" t="n">
        <f aca="false">IF(Presupuesto!$B$46='Flujo de Pagos'!$E249,46,9999)</f>
        <v>46</v>
      </c>
      <c r="BO249" s="0" t="n">
        <f aca="false">IF(Presupuesto!$B$47='Flujo de Pagos'!$E249,47,9999)</f>
        <v>47</v>
      </c>
      <c r="BP249" s="0" t="n">
        <f aca="false">IF(Presupuesto!$B$48='Flujo de Pagos'!$E249,48,9999)</f>
        <v>48</v>
      </c>
      <c r="BQ249" s="0" t="n">
        <f aca="false">IF(Presupuesto!$B$49='Flujo de Pagos'!$E249,49,9999)</f>
        <v>49</v>
      </c>
      <c r="BR249" s="0" t="n">
        <f aca="false">IF(Presupuesto!$B$50='Flujo de Pagos'!$E249,50,9999)</f>
        <v>50</v>
      </c>
      <c r="BS249" s="0" t="n">
        <f aca="false">IF(Presupuesto!$B$51='Flujo de Pagos'!$E249,51,9999)</f>
        <v>51</v>
      </c>
      <c r="BT249" s="0" t="n">
        <f aca="false">IF(Presupuesto!$B$52='Flujo de Pagos'!$E249,52,9999)</f>
        <v>52</v>
      </c>
      <c r="BU249" s="0" t="n">
        <f aca="false">IF(Presupuesto!$B$53='Flujo de Pagos'!$E249,53,9999)</f>
        <v>53</v>
      </c>
      <c r="BV249" s="0" t="n">
        <f aca="false">IF(Presupuesto!$B$54='Flujo de Pagos'!$E249,54,9999)</f>
        <v>54</v>
      </c>
      <c r="BW249" s="0" t="n">
        <f aca="false">IF(Presupuesto!$B$55='Flujo de Pagos'!$E249,55,9999)</f>
        <v>55</v>
      </c>
      <c r="BX249" s="0" t="n">
        <f aca="false">IF(Presupuesto!$B$56='Flujo de Pagos'!$E249,56,9999)</f>
        <v>56</v>
      </c>
      <c r="BY249" s="0" t="n">
        <f aca="false">IF(Presupuesto!$B$57='Flujo de Pagos'!$E249,57,9999)</f>
        <v>57</v>
      </c>
      <c r="BZ249" s="0" t="n">
        <f aca="false">IF(Presupuesto!$B$58='Flujo de Pagos'!$E249,58,9999)</f>
        <v>58</v>
      </c>
      <c r="CA249" s="0" t="n">
        <f aca="false">IF(Presupuesto!$B$59='Flujo de Pagos'!$E249,59,9999)</f>
        <v>59</v>
      </c>
      <c r="CB249" s="0" t="n">
        <f aca="false">IF(Presupuesto!$B$60='Flujo de Pagos'!$E249,60,9999)</f>
        <v>60</v>
      </c>
      <c r="CC249" s="0" t="n">
        <f aca="false">IF(Presupuesto!$B$61='Flujo de Pagos'!$E249,61,9999)</f>
        <v>61</v>
      </c>
      <c r="CD249" s="0" t="n">
        <f aca="false">IF(Presupuesto!$B$62='Flujo de Pagos'!$E249,62,9999)</f>
        <v>62</v>
      </c>
      <c r="CE249" s="0" t="n">
        <f aca="false">IF(Presupuesto!$B$63='Flujo de Pagos'!$E249,63,9999)</f>
        <v>63</v>
      </c>
      <c r="CF249" s="0" t="n">
        <f aca="false">IF(Presupuesto!$B$64='Flujo de Pagos'!$E249,64,9999)</f>
        <v>64</v>
      </c>
      <c r="CG249" s="0" t="n">
        <f aca="false">IF(Presupuesto!$B$65='Flujo de Pagos'!$E249,65,9999)</f>
        <v>65</v>
      </c>
      <c r="CH249" s="0" t="n">
        <f aca="false">IF(Presupuesto!$B$66='Flujo de Pagos'!$E249,66,9999)</f>
        <v>66</v>
      </c>
    </row>
    <row r="250" customFormat="false" ht="15" hidden="false" customHeight="true" outlineLevel="0" collapsed="false">
      <c r="B250" s="1" t="n">
        <f aca="false">IF(AND('Flujo de Pagos'!E255=Carátula!$B$2,'Flujo de Pagos'!F255=Carátula!$B$4,'Flujo de Pagos'!H255&lt;&gt;""),255,99999)</f>
        <v>99999</v>
      </c>
      <c r="H250" s="1" t="n">
        <f aca="false">IF(SMALL($AA250:$CH250,1)&gt;=9999,"",INDEX(Presupuesto!$C:$C,SMALL($AA250:$CH250,1)))</f>
        <v>0</v>
      </c>
      <c r="I250" s="1" t="n">
        <f aca="false">IF(SMALL($AA250:$CH250,2)&gt;=9999,"",INDEX(Presupuesto!$C:$C,SMALL($AA250:$CH250,2)))</f>
        <v>0</v>
      </c>
      <c r="J250" s="1" t="n">
        <f aca="false">IF(SMALL($AA250:$CH250,3)&gt;=9999,"",INDEX(Presupuesto!$C:$C,SMALL($AA250:$CH250,3)))</f>
        <v>0</v>
      </c>
      <c r="K250" s="1" t="n">
        <f aca="false">IF(SMALL($AA250:$CH250,4)&gt;=9999,"",INDEX(Presupuesto!$C:$C,SMALL($AA250:$CH250,4)))</f>
        <v>0</v>
      </c>
      <c r="L250" s="1" t="n">
        <f aca="false">IF(SMALL($AA250:$CH250,5)&gt;=9999,"",INDEX(Presupuesto!$C:$C,SMALL($AA250:$CH250,5)))</f>
        <v>0</v>
      </c>
      <c r="M250" s="1" t="n">
        <f aca="false">IF(SMALL($AA250:$CH250,6)&gt;=9999,"",INDEX(Presupuesto!$C:$C,SMALL($AA250:$CH250,6)))</f>
        <v>0</v>
      </c>
      <c r="N250" s="1" t="n">
        <f aca="false">IF(SMALL($AA250:$CH250,7)&gt;=9999,"",INDEX(Presupuesto!$C:$C,SMALL($AA250:$CH250,7)))</f>
        <v>0</v>
      </c>
      <c r="O250" s="1" t="n">
        <f aca="false">IF(SMALL($AA250:$CH250,8)&gt;=9999,"",INDEX(Presupuesto!$C:$C,SMALL($AA250:$CH250,8)))</f>
        <v>0</v>
      </c>
      <c r="P250" s="1" t="n">
        <f aca="false">IF(SMALL($AA250:$CH250,9)&gt;=9999,"",INDEX(Presupuesto!$C:$C,SMALL($AA250:$CH250,9)))</f>
        <v>0</v>
      </c>
      <c r="Q250" s="1" t="n">
        <f aca="false">IF(SMALL($AA250:$CH250,10)&gt;=9999,"",INDEX(Presupuesto!$C:$C,SMALL($AA250:$CH250,10)))</f>
        <v>0</v>
      </c>
      <c r="AA250" s="0" t="n">
        <f aca="false">IF(Presupuesto!$B$7='Flujo de Pagos'!$E250,7,9999)</f>
        <v>9999</v>
      </c>
      <c r="AB250" s="0" t="n">
        <f aca="false">IF(Presupuesto!$B$8='Flujo de Pagos'!$E250,8,9999)</f>
        <v>9999</v>
      </c>
      <c r="AC250" s="0" t="n">
        <f aca="false">IF(Presupuesto!$B$9='Flujo de Pagos'!$E250,9,9999)</f>
        <v>9999</v>
      </c>
      <c r="AD250" s="0" t="n">
        <f aca="false">IF(Presupuesto!$B$10='Flujo de Pagos'!$E250,10,9999)</f>
        <v>9999</v>
      </c>
      <c r="AE250" s="0" t="n">
        <f aca="false">IF(Presupuesto!$B$11='Flujo de Pagos'!$E250,11,9999)</f>
        <v>9999</v>
      </c>
      <c r="AF250" s="0" t="n">
        <f aca="false">IF(Presupuesto!$B$12='Flujo de Pagos'!$E250,12,9999)</f>
        <v>12</v>
      </c>
      <c r="AG250" s="0" t="n">
        <f aca="false">IF(Presupuesto!$B$13='Flujo de Pagos'!$E250,13,9999)</f>
        <v>13</v>
      </c>
      <c r="AH250" s="0" t="n">
        <f aca="false">IF(Presupuesto!$B$14='Flujo de Pagos'!$E250,14,9999)</f>
        <v>14</v>
      </c>
      <c r="AI250" s="0" t="n">
        <f aca="false">IF(Presupuesto!$B$15='Flujo de Pagos'!$E250,15,9999)</f>
        <v>15</v>
      </c>
      <c r="AJ250" s="0" t="n">
        <f aca="false">IF(Presupuesto!$B$16='Flujo de Pagos'!$E250,16,9999)</f>
        <v>16</v>
      </c>
      <c r="AK250" s="0" t="n">
        <f aca="false">IF(Presupuesto!$B$17='Flujo de Pagos'!$E250,17,9999)</f>
        <v>17</v>
      </c>
      <c r="AL250" s="0" t="n">
        <f aca="false">IF(Presupuesto!$B$18='Flujo de Pagos'!$E250,18,9999)</f>
        <v>18</v>
      </c>
      <c r="AM250" s="0" t="n">
        <f aca="false">IF(Presupuesto!$B$19='Flujo de Pagos'!$E250,19,9999)</f>
        <v>19</v>
      </c>
      <c r="AN250" s="0" t="n">
        <f aca="false">IF(Presupuesto!$B$20='Flujo de Pagos'!$E250,20,9999)</f>
        <v>20</v>
      </c>
      <c r="AO250" s="0" t="n">
        <f aca="false">IF(Presupuesto!$B$21='Flujo de Pagos'!$E250,21,9999)</f>
        <v>21</v>
      </c>
      <c r="AP250" s="0" t="n">
        <f aca="false">IF(Presupuesto!$B$22='Flujo de Pagos'!$E250,22,9999)</f>
        <v>22</v>
      </c>
      <c r="AQ250" s="0" t="n">
        <f aca="false">IF(Presupuesto!$B$23='Flujo de Pagos'!$E250,23,9999)</f>
        <v>23</v>
      </c>
      <c r="AR250" s="0" t="n">
        <f aca="false">IF(Presupuesto!$B$24='Flujo de Pagos'!$E250,24,9999)</f>
        <v>24</v>
      </c>
      <c r="AS250" s="0" t="n">
        <f aca="false">IF(Presupuesto!$B$25='Flujo de Pagos'!$E250,25,9999)</f>
        <v>25</v>
      </c>
      <c r="AT250" s="0" t="n">
        <f aca="false">IF(Presupuesto!$B$26='Flujo de Pagos'!$E250,26,9999)</f>
        <v>26</v>
      </c>
      <c r="AU250" s="0" t="n">
        <f aca="false">IF(Presupuesto!$B$27='Flujo de Pagos'!$E250,27,9999)</f>
        <v>27</v>
      </c>
      <c r="AV250" s="0" t="n">
        <f aca="false">IF(Presupuesto!$B$28='Flujo de Pagos'!$E250,28,9999)</f>
        <v>28</v>
      </c>
      <c r="AW250" s="0" t="n">
        <f aca="false">IF(Presupuesto!$B$29='Flujo de Pagos'!$E250,29,9999)</f>
        <v>29</v>
      </c>
      <c r="AX250" s="0" t="n">
        <f aca="false">IF(Presupuesto!$B$30='Flujo de Pagos'!$E250,30,9999)</f>
        <v>30</v>
      </c>
      <c r="AY250" s="0" t="n">
        <f aca="false">IF(Presupuesto!$B$31='Flujo de Pagos'!$E250,31,9999)</f>
        <v>31</v>
      </c>
      <c r="AZ250" s="0" t="n">
        <f aca="false">IF(Presupuesto!$B$32='Flujo de Pagos'!$E250,32,9999)</f>
        <v>32</v>
      </c>
      <c r="BA250" s="0" t="n">
        <f aca="false">IF(Presupuesto!$B$33='Flujo de Pagos'!$E250,33,9999)</f>
        <v>33</v>
      </c>
      <c r="BB250" s="0" t="n">
        <f aca="false">IF(Presupuesto!$B$34='Flujo de Pagos'!$E250,34,9999)</f>
        <v>34</v>
      </c>
      <c r="BC250" s="0" t="n">
        <f aca="false">IF(Presupuesto!$B$35='Flujo de Pagos'!$E250,35,9999)</f>
        <v>35</v>
      </c>
      <c r="BD250" s="0" t="n">
        <f aca="false">IF(Presupuesto!$B$36='Flujo de Pagos'!$E250,36,9999)</f>
        <v>36</v>
      </c>
      <c r="BE250" s="0" t="n">
        <f aca="false">IF(Presupuesto!$B$37='Flujo de Pagos'!$E250,37,9999)</f>
        <v>37</v>
      </c>
      <c r="BF250" s="0" t="n">
        <f aca="false">IF(Presupuesto!$B$38='Flujo de Pagos'!$E250,38,9999)</f>
        <v>38</v>
      </c>
      <c r="BG250" s="0" t="n">
        <f aca="false">IF(Presupuesto!$B$39='Flujo de Pagos'!$E250,39,9999)</f>
        <v>39</v>
      </c>
      <c r="BH250" s="0" t="n">
        <f aca="false">IF(Presupuesto!$B$40='Flujo de Pagos'!$E250,40,9999)</f>
        <v>40</v>
      </c>
      <c r="BI250" s="0" t="n">
        <f aca="false">IF(Presupuesto!$B$41='Flujo de Pagos'!$E250,41,9999)</f>
        <v>41</v>
      </c>
      <c r="BJ250" s="0" t="n">
        <f aca="false">IF(Presupuesto!$B$42='Flujo de Pagos'!$E250,42,9999)</f>
        <v>42</v>
      </c>
      <c r="BK250" s="0" t="n">
        <f aca="false">IF(Presupuesto!$B$43='Flujo de Pagos'!$E250,43,9999)</f>
        <v>43</v>
      </c>
      <c r="BL250" s="0" t="n">
        <f aca="false">IF(Presupuesto!$B$44='Flujo de Pagos'!$E250,44,9999)</f>
        <v>44</v>
      </c>
      <c r="BM250" s="0" t="n">
        <f aca="false">IF(Presupuesto!$B$45='Flujo de Pagos'!$E250,45,9999)</f>
        <v>45</v>
      </c>
      <c r="BN250" s="0" t="n">
        <f aca="false">IF(Presupuesto!$B$46='Flujo de Pagos'!$E250,46,9999)</f>
        <v>46</v>
      </c>
      <c r="BO250" s="0" t="n">
        <f aca="false">IF(Presupuesto!$B$47='Flujo de Pagos'!$E250,47,9999)</f>
        <v>47</v>
      </c>
      <c r="BP250" s="0" t="n">
        <f aca="false">IF(Presupuesto!$B$48='Flujo de Pagos'!$E250,48,9999)</f>
        <v>48</v>
      </c>
      <c r="BQ250" s="0" t="n">
        <f aca="false">IF(Presupuesto!$B$49='Flujo de Pagos'!$E250,49,9999)</f>
        <v>49</v>
      </c>
      <c r="BR250" s="0" t="n">
        <f aca="false">IF(Presupuesto!$B$50='Flujo de Pagos'!$E250,50,9999)</f>
        <v>50</v>
      </c>
      <c r="BS250" s="0" t="n">
        <f aca="false">IF(Presupuesto!$B$51='Flujo de Pagos'!$E250,51,9999)</f>
        <v>51</v>
      </c>
      <c r="BT250" s="0" t="n">
        <f aca="false">IF(Presupuesto!$B$52='Flujo de Pagos'!$E250,52,9999)</f>
        <v>52</v>
      </c>
      <c r="BU250" s="0" t="n">
        <f aca="false">IF(Presupuesto!$B$53='Flujo de Pagos'!$E250,53,9999)</f>
        <v>53</v>
      </c>
      <c r="BV250" s="0" t="n">
        <f aca="false">IF(Presupuesto!$B$54='Flujo de Pagos'!$E250,54,9999)</f>
        <v>54</v>
      </c>
      <c r="BW250" s="0" t="n">
        <f aca="false">IF(Presupuesto!$B$55='Flujo de Pagos'!$E250,55,9999)</f>
        <v>55</v>
      </c>
      <c r="BX250" s="0" t="n">
        <f aca="false">IF(Presupuesto!$B$56='Flujo de Pagos'!$E250,56,9999)</f>
        <v>56</v>
      </c>
      <c r="BY250" s="0" t="n">
        <f aca="false">IF(Presupuesto!$B$57='Flujo de Pagos'!$E250,57,9999)</f>
        <v>57</v>
      </c>
      <c r="BZ250" s="0" t="n">
        <f aca="false">IF(Presupuesto!$B$58='Flujo de Pagos'!$E250,58,9999)</f>
        <v>58</v>
      </c>
      <c r="CA250" s="0" t="n">
        <f aca="false">IF(Presupuesto!$B$59='Flujo de Pagos'!$E250,59,9999)</f>
        <v>59</v>
      </c>
      <c r="CB250" s="0" t="n">
        <f aca="false">IF(Presupuesto!$B$60='Flujo de Pagos'!$E250,60,9999)</f>
        <v>60</v>
      </c>
      <c r="CC250" s="0" t="n">
        <f aca="false">IF(Presupuesto!$B$61='Flujo de Pagos'!$E250,61,9999)</f>
        <v>61</v>
      </c>
      <c r="CD250" s="0" t="n">
        <f aca="false">IF(Presupuesto!$B$62='Flujo de Pagos'!$E250,62,9999)</f>
        <v>62</v>
      </c>
      <c r="CE250" s="0" t="n">
        <f aca="false">IF(Presupuesto!$B$63='Flujo de Pagos'!$E250,63,9999)</f>
        <v>63</v>
      </c>
      <c r="CF250" s="0" t="n">
        <f aca="false">IF(Presupuesto!$B$64='Flujo de Pagos'!$E250,64,9999)</f>
        <v>64</v>
      </c>
      <c r="CG250" s="0" t="n">
        <f aca="false">IF(Presupuesto!$B$65='Flujo de Pagos'!$E250,65,9999)</f>
        <v>65</v>
      </c>
      <c r="CH250" s="0" t="n">
        <f aca="false">IF(Presupuesto!$B$66='Flujo de Pagos'!$E250,66,9999)</f>
        <v>66</v>
      </c>
    </row>
    <row r="251" customFormat="false" ht="15" hidden="false" customHeight="true" outlineLevel="0" collapsed="false">
      <c r="B251" s="1" t="n">
        <f aca="false">IF(AND('Flujo de Pagos'!E256=Carátula!$B$2,'Flujo de Pagos'!F256=Carátula!$B$4,'Flujo de Pagos'!H256&lt;&gt;""),256,99999)</f>
        <v>99999</v>
      </c>
      <c r="H251" s="1" t="n">
        <f aca="false">IF(SMALL($AA251:$CH251,1)&gt;=9999,"",INDEX(Presupuesto!$C:$C,SMALL($AA251:$CH251,1)))</f>
        <v>0</v>
      </c>
      <c r="I251" s="1" t="n">
        <f aca="false">IF(SMALL($AA251:$CH251,2)&gt;=9999,"",INDEX(Presupuesto!$C:$C,SMALL($AA251:$CH251,2)))</f>
        <v>0</v>
      </c>
      <c r="J251" s="1" t="n">
        <f aca="false">IF(SMALL($AA251:$CH251,3)&gt;=9999,"",INDEX(Presupuesto!$C:$C,SMALL($AA251:$CH251,3)))</f>
        <v>0</v>
      </c>
      <c r="K251" s="1" t="n">
        <f aca="false">IF(SMALL($AA251:$CH251,4)&gt;=9999,"",INDEX(Presupuesto!$C:$C,SMALL($AA251:$CH251,4)))</f>
        <v>0</v>
      </c>
      <c r="L251" s="1" t="n">
        <f aca="false">IF(SMALL($AA251:$CH251,5)&gt;=9999,"",INDEX(Presupuesto!$C:$C,SMALL($AA251:$CH251,5)))</f>
        <v>0</v>
      </c>
      <c r="M251" s="1" t="n">
        <f aca="false">IF(SMALL($AA251:$CH251,6)&gt;=9999,"",INDEX(Presupuesto!$C:$C,SMALL($AA251:$CH251,6)))</f>
        <v>0</v>
      </c>
      <c r="N251" s="1" t="n">
        <f aca="false">IF(SMALL($AA251:$CH251,7)&gt;=9999,"",INDEX(Presupuesto!$C:$C,SMALL($AA251:$CH251,7)))</f>
        <v>0</v>
      </c>
      <c r="O251" s="1" t="n">
        <f aca="false">IF(SMALL($AA251:$CH251,8)&gt;=9999,"",INDEX(Presupuesto!$C:$C,SMALL($AA251:$CH251,8)))</f>
        <v>0</v>
      </c>
      <c r="P251" s="1" t="n">
        <f aca="false">IF(SMALL($AA251:$CH251,9)&gt;=9999,"",INDEX(Presupuesto!$C:$C,SMALL($AA251:$CH251,9)))</f>
        <v>0</v>
      </c>
      <c r="Q251" s="1" t="n">
        <f aca="false">IF(SMALL($AA251:$CH251,10)&gt;=9999,"",INDEX(Presupuesto!$C:$C,SMALL($AA251:$CH251,10)))</f>
        <v>0</v>
      </c>
      <c r="AA251" s="0" t="n">
        <f aca="false">IF(Presupuesto!$B$7='Flujo de Pagos'!$E251,7,9999)</f>
        <v>9999</v>
      </c>
      <c r="AB251" s="0" t="n">
        <f aca="false">IF(Presupuesto!$B$8='Flujo de Pagos'!$E251,8,9999)</f>
        <v>9999</v>
      </c>
      <c r="AC251" s="0" t="n">
        <f aca="false">IF(Presupuesto!$B$9='Flujo de Pagos'!$E251,9,9999)</f>
        <v>9999</v>
      </c>
      <c r="AD251" s="0" t="n">
        <f aca="false">IF(Presupuesto!$B$10='Flujo de Pagos'!$E251,10,9999)</f>
        <v>9999</v>
      </c>
      <c r="AE251" s="0" t="n">
        <f aca="false">IF(Presupuesto!$B$11='Flujo de Pagos'!$E251,11,9999)</f>
        <v>9999</v>
      </c>
      <c r="AF251" s="0" t="n">
        <f aca="false">IF(Presupuesto!$B$12='Flujo de Pagos'!$E251,12,9999)</f>
        <v>12</v>
      </c>
      <c r="AG251" s="0" t="n">
        <f aca="false">IF(Presupuesto!$B$13='Flujo de Pagos'!$E251,13,9999)</f>
        <v>13</v>
      </c>
      <c r="AH251" s="0" t="n">
        <f aca="false">IF(Presupuesto!$B$14='Flujo de Pagos'!$E251,14,9999)</f>
        <v>14</v>
      </c>
      <c r="AI251" s="0" t="n">
        <f aca="false">IF(Presupuesto!$B$15='Flujo de Pagos'!$E251,15,9999)</f>
        <v>15</v>
      </c>
      <c r="AJ251" s="0" t="n">
        <f aca="false">IF(Presupuesto!$B$16='Flujo de Pagos'!$E251,16,9999)</f>
        <v>16</v>
      </c>
      <c r="AK251" s="0" t="n">
        <f aca="false">IF(Presupuesto!$B$17='Flujo de Pagos'!$E251,17,9999)</f>
        <v>17</v>
      </c>
      <c r="AL251" s="0" t="n">
        <f aca="false">IF(Presupuesto!$B$18='Flujo de Pagos'!$E251,18,9999)</f>
        <v>18</v>
      </c>
      <c r="AM251" s="0" t="n">
        <f aca="false">IF(Presupuesto!$B$19='Flujo de Pagos'!$E251,19,9999)</f>
        <v>19</v>
      </c>
      <c r="AN251" s="0" t="n">
        <f aca="false">IF(Presupuesto!$B$20='Flujo de Pagos'!$E251,20,9999)</f>
        <v>20</v>
      </c>
      <c r="AO251" s="0" t="n">
        <f aca="false">IF(Presupuesto!$B$21='Flujo de Pagos'!$E251,21,9999)</f>
        <v>21</v>
      </c>
      <c r="AP251" s="0" t="n">
        <f aca="false">IF(Presupuesto!$B$22='Flujo de Pagos'!$E251,22,9999)</f>
        <v>22</v>
      </c>
      <c r="AQ251" s="0" t="n">
        <f aca="false">IF(Presupuesto!$B$23='Flujo de Pagos'!$E251,23,9999)</f>
        <v>23</v>
      </c>
      <c r="AR251" s="0" t="n">
        <f aca="false">IF(Presupuesto!$B$24='Flujo de Pagos'!$E251,24,9999)</f>
        <v>24</v>
      </c>
      <c r="AS251" s="0" t="n">
        <f aca="false">IF(Presupuesto!$B$25='Flujo de Pagos'!$E251,25,9999)</f>
        <v>25</v>
      </c>
      <c r="AT251" s="0" t="n">
        <f aca="false">IF(Presupuesto!$B$26='Flujo de Pagos'!$E251,26,9999)</f>
        <v>26</v>
      </c>
      <c r="AU251" s="0" t="n">
        <f aca="false">IF(Presupuesto!$B$27='Flujo de Pagos'!$E251,27,9999)</f>
        <v>27</v>
      </c>
      <c r="AV251" s="0" t="n">
        <f aca="false">IF(Presupuesto!$B$28='Flujo de Pagos'!$E251,28,9999)</f>
        <v>28</v>
      </c>
      <c r="AW251" s="0" t="n">
        <f aca="false">IF(Presupuesto!$B$29='Flujo de Pagos'!$E251,29,9999)</f>
        <v>29</v>
      </c>
      <c r="AX251" s="0" t="n">
        <f aca="false">IF(Presupuesto!$B$30='Flujo de Pagos'!$E251,30,9999)</f>
        <v>30</v>
      </c>
      <c r="AY251" s="0" t="n">
        <f aca="false">IF(Presupuesto!$B$31='Flujo de Pagos'!$E251,31,9999)</f>
        <v>31</v>
      </c>
      <c r="AZ251" s="0" t="n">
        <f aca="false">IF(Presupuesto!$B$32='Flujo de Pagos'!$E251,32,9999)</f>
        <v>32</v>
      </c>
      <c r="BA251" s="0" t="n">
        <f aca="false">IF(Presupuesto!$B$33='Flujo de Pagos'!$E251,33,9999)</f>
        <v>33</v>
      </c>
      <c r="BB251" s="0" t="n">
        <f aca="false">IF(Presupuesto!$B$34='Flujo de Pagos'!$E251,34,9999)</f>
        <v>34</v>
      </c>
      <c r="BC251" s="0" t="n">
        <f aca="false">IF(Presupuesto!$B$35='Flujo de Pagos'!$E251,35,9999)</f>
        <v>35</v>
      </c>
      <c r="BD251" s="0" t="n">
        <f aca="false">IF(Presupuesto!$B$36='Flujo de Pagos'!$E251,36,9999)</f>
        <v>36</v>
      </c>
      <c r="BE251" s="0" t="n">
        <f aca="false">IF(Presupuesto!$B$37='Flujo de Pagos'!$E251,37,9999)</f>
        <v>37</v>
      </c>
      <c r="BF251" s="0" t="n">
        <f aca="false">IF(Presupuesto!$B$38='Flujo de Pagos'!$E251,38,9999)</f>
        <v>38</v>
      </c>
      <c r="BG251" s="0" t="n">
        <f aca="false">IF(Presupuesto!$B$39='Flujo de Pagos'!$E251,39,9999)</f>
        <v>39</v>
      </c>
      <c r="BH251" s="0" t="n">
        <f aca="false">IF(Presupuesto!$B$40='Flujo de Pagos'!$E251,40,9999)</f>
        <v>40</v>
      </c>
      <c r="BI251" s="0" t="n">
        <f aca="false">IF(Presupuesto!$B$41='Flujo de Pagos'!$E251,41,9999)</f>
        <v>41</v>
      </c>
      <c r="BJ251" s="0" t="n">
        <f aca="false">IF(Presupuesto!$B$42='Flujo de Pagos'!$E251,42,9999)</f>
        <v>42</v>
      </c>
      <c r="BK251" s="0" t="n">
        <f aca="false">IF(Presupuesto!$B$43='Flujo de Pagos'!$E251,43,9999)</f>
        <v>43</v>
      </c>
      <c r="BL251" s="0" t="n">
        <f aca="false">IF(Presupuesto!$B$44='Flujo de Pagos'!$E251,44,9999)</f>
        <v>44</v>
      </c>
      <c r="BM251" s="0" t="n">
        <f aca="false">IF(Presupuesto!$B$45='Flujo de Pagos'!$E251,45,9999)</f>
        <v>45</v>
      </c>
      <c r="BN251" s="0" t="n">
        <f aca="false">IF(Presupuesto!$B$46='Flujo de Pagos'!$E251,46,9999)</f>
        <v>46</v>
      </c>
      <c r="BO251" s="0" t="n">
        <f aca="false">IF(Presupuesto!$B$47='Flujo de Pagos'!$E251,47,9999)</f>
        <v>47</v>
      </c>
      <c r="BP251" s="0" t="n">
        <f aca="false">IF(Presupuesto!$B$48='Flujo de Pagos'!$E251,48,9999)</f>
        <v>48</v>
      </c>
      <c r="BQ251" s="0" t="n">
        <f aca="false">IF(Presupuesto!$B$49='Flujo de Pagos'!$E251,49,9999)</f>
        <v>49</v>
      </c>
      <c r="BR251" s="0" t="n">
        <f aca="false">IF(Presupuesto!$B$50='Flujo de Pagos'!$E251,50,9999)</f>
        <v>50</v>
      </c>
      <c r="BS251" s="0" t="n">
        <f aca="false">IF(Presupuesto!$B$51='Flujo de Pagos'!$E251,51,9999)</f>
        <v>51</v>
      </c>
      <c r="BT251" s="0" t="n">
        <f aca="false">IF(Presupuesto!$B$52='Flujo de Pagos'!$E251,52,9999)</f>
        <v>52</v>
      </c>
      <c r="BU251" s="0" t="n">
        <f aca="false">IF(Presupuesto!$B$53='Flujo de Pagos'!$E251,53,9999)</f>
        <v>53</v>
      </c>
      <c r="BV251" s="0" t="n">
        <f aca="false">IF(Presupuesto!$B$54='Flujo de Pagos'!$E251,54,9999)</f>
        <v>54</v>
      </c>
      <c r="BW251" s="0" t="n">
        <f aca="false">IF(Presupuesto!$B$55='Flujo de Pagos'!$E251,55,9999)</f>
        <v>55</v>
      </c>
      <c r="BX251" s="0" t="n">
        <f aca="false">IF(Presupuesto!$B$56='Flujo de Pagos'!$E251,56,9999)</f>
        <v>56</v>
      </c>
      <c r="BY251" s="0" t="n">
        <f aca="false">IF(Presupuesto!$B$57='Flujo de Pagos'!$E251,57,9999)</f>
        <v>57</v>
      </c>
      <c r="BZ251" s="0" t="n">
        <f aca="false">IF(Presupuesto!$B$58='Flujo de Pagos'!$E251,58,9999)</f>
        <v>58</v>
      </c>
      <c r="CA251" s="0" t="n">
        <f aca="false">IF(Presupuesto!$B$59='Flujo de Pagos'!$E251,59,9999)</f>
        <v>59</v>
      </c>
      <c r="CB251" s="0" t="n">
        <f aca="false">IF(Presupuesto!$B$60='Flujo de Pagos'!$E251,60,9999)</f>
        <v>60</v>
      </c>
      <c r="CC251" s="0" t="n">
        <f aca="false">IF(Presupuesto!$B$61='Flujo de Pagos'!$E251,61,9999)</f>
        <v>61</v>
      </c>
      <c r="CD251" s="0" t="n">
        <f aca="false">IF(Presupuesto!$B$62='Flujo de Pagos'!$E251,62,9999)</f>
        <v>62</v>
      </c>
      <c r="CE251" s="0" t="n">
        <f aca="false">IF(Presupuesto!$B$63='Flujo de Pagos'!$E251,63,9999)</f>
        <v>63</v>
      </c>
      <c r="CF251" s="0" t="n">
        <f aca="false">IF(Presupuesto!$B$64='Flujo de Pagos'!$E251,64,9999)</f>
        <v>64</v>
      </c>
      <c r="CG251" s="0" t="n">
        <f aca="false">IF(Presupuesto!$B$65='Flujo de Pagos'!$E251,65,9999)</f>
        <v>65</v>
      </c>
      <c r="CH251" s="0" t="n">
        <f aca="false">IF(Presupuesto!$B$66='Flujo de Pagos'!$E251,66,9999)</f>
        <v>66</v>
      </c>
    </row>
    <row r="252" customFormat="false" ht="15" hidden="false" customHeight="true" outlineLevel="0" collapsed="false">
      <c r="B252" s="1" t="n">
        <f aca="false">IF(AND('Flujo de Pagos'!E257=Carátula!$B$2,'Flujo de Pagos'!F257=Carátula!$B$4,'Flujo de Pagos'!H257&lt;&gt;""),257,99999)</f>
        <v>99999</v>
      </c>
      <c r="H252" s="1" t="n">
        <f aca="false">IF(SMALL($AA252:$CH252,1)&gt;=9999,"",INDEX(Presupuesto!$C:$C,SMALL($AA252:$CH252,1)))</f>
        <v>0</v>
      </c>
      <c r="I252" s="1" t="n">
        <f aca="false">IF(SMALL($AA252:$CH252,2)&gt;=9999,"",INDEX(Presupuesto!$C:$C,SMALL($AA252:$CH252,2)))</f>
        <v>0</v>
      </c>
      <c r="J252" s="1" t="n">
        <f aca="false">IF(SMALL($AA252:$CH252,3)&gt;=9999,"",INDEX(Presupuesto!$C:$C,SMALL($AA252:$CH252,3)))</f>
        <v>0</v>
      </c>
      <c r="K252" s="1" t="n">
        <f aca="false">IF(SMALL($AA252:$CH252,4)&gt;=9999,"",INDEX(Presupuesto!$C:$C,SMALL($AA252:$CH252,4)))</f>
        <v>0</v>
      </c>
      <c r="L252" s="1" t="n">
        <f aca="false">IF(SMALL($AA252:$CH252,5)&gt;=9999,"",INDEX(Presupuesto!$C:$C,SMALL($AA252:$CH252,5)))</f>
        <v>0</v>
      </c>
      <c r="M252" s="1" t="n">
        <f aca="false">IF(SMALL($AA252:$CH252,6)&gt;=9999,"",INDEX(Presupuesto!$C:$C,SMALL($AA252:$CH252,6)))</f>
        <v>0</v>
      </c>
      <c r="N252" s="1" t="n">
        <f aca="false">IF(SMALL($AA252:$CH252,7)&gt;=9999,"",INDEX(Presupuesto!$C:$C,SMALL($AA252:$CH252,7)))</f>
        <v>0</v>
      </c>
      <c r="O252" s="1" t="n">
        <f aca="false">IF(SMALL($AA252:$CH252,8)&gt;=9999,"",INDEX(Presupuesto!$C:$C,SMALL($AA252:$CH252,8)))</f>
        <v>0</v>
      </c>
      <c r="P252" s="1" t="n">
        <f aca="false">IF(SMALL($AA252:$CH252,9)&gt;=9999,"",INDEX(Presupuesto!$C:$C,SMALL($AA252:$CH252,9)))</f>
        <v>0</v>
      </c>
      <c r="Q252" s="1" t="n">
        <f aca="false">IF(SMALL($AA252:$CH252,10)&gt;=9999,"",INDEX(Presupuesto!$C:$C,SMALL($AA252:$CH252,10)))</f>
        <v>0</v>
      </c>
      <c r="AA252" s="0" t="n">
        <f aca="false">IF(Presupuesto!$B$7='Flujo de Pagos'!$E252,7,9999)</f>
        <v>9999</v>
      </c>
      <c r="AB252" s="0" t="n">
        <f aca="false">IF(Presupuesto!$B$8='Flujo de Pagos'!$E252,8,9999)</f>
        <v>9999</v>
      </c>
      <c r="AC252" s="0" t="n">
        <f aca="false">IF(Presupuesto!$B$9='Flujo de Pagos'!$E252,9,9999)</f>
        <v>9999</v>
      </c>
      <c r="AD252" s="0" t="n">
        <f aca="false">IF(Presupuesto!$B$10='Flujo de Pagos'!$E252,10,9999)</f>
        <v>9999</v>
      </c>
      <c r="AE252" s="0" t="n">
        <f aca="false">IF(Presupuesto!$B$11='Flujo de Pagos'!$E252,11,9999)</f>
        <v>9999</v>
      </c>
      <c r="AF252" s="0" t="n">
        <f aca="false">IF(Presupuesto!$B$12='Flujo de Pagos'!$E252,12,9999)</f>
        <v>12</v>
      </c>
      <c r="AG252" s="0" t="n">
        <f aca="false">IF(Presupuesto!$B$13='Flujo de Pagos'!$E252,13,9999)</f>
        <v>13</v>
      </c>
      <c r="AH252" s="0" t="n">
        <f aca="false">IF(Presupuesto!$B$14='Flujo de Pagos'!$E252,14,9999)</f>
        <v>14</v>
      </c>
      <c r="AI252" s="0" t="n">
        <f aca="false">IF(Presupuesto!$B$15='Flujo de Pagos'!$E252,15,9999)</f>
        <v>15</v>
      </c>
      <c r="AJ252" s="0" t="n">
        <f aca="false">IF(Presupuesto!$B$16='Flujo de Pagos'!$E252,16,9999)</f>
        <v>16</v>
      </c>
      <c r="AK252" s="0" t="n">
        <f aca="false">IF(Presupuesto!$B$17='Flujo de Pagos'!$E252,17,9999)</f>
        <v>17</v>
      </c>
      <c r="AL252" s="0" t="n">
        <f aca="false">IF(Presupuesto!$B$18='Flujo de Pagos'!$E252,18,9999)</f>
        <v>18</v>
      </c>
      <c r="AM252" s="0" t="n">
        <f aca="false">IF(Presupuesto!$B$19='Flujo de Pagos'!$E252,19,9999)</f>
        <v>19</v>
      </c>
      <c r="AN252" s="0" t="n">
        <f aca="false">IF(Presupuesto!$B$20='Flujo de Pagos'!$E252,20,9999)</f>
        <v>20</v>
      </c>
      <c r="AO252" s="0" t="n">
        <f aca="false">IF(Presupuesto!$B$21='Flujo de Pagos'!$E252,21,9999)</f>
        <v>21</v>
      </c>
      <c r="AP252" s="0" t="n">
        <f aca="false">IF(Presupuesto!$B$22='Flujo de Pagos'!$E252,22,9999)</f>
        <v>22</v>
      </c>
      <c r="AQ252" s="0" t="n">
        <f aca="false">IF(Presupuesto!$B$23='Flujo de Pagos'!$E252,23,9999)</f>
        <v>23</v>
      </c>
      <c r="AR252" s="0" t="n">
        <f aca="false">IF(Presupuesto!$B$24='Flujo de Pagos'!$E252,24,9999)</f>
        <v>24</v>
      </c>
      <c r="AS252" s="0" t="n">
        <f aca="false">IF(Presupuesto!$B$25='Flujo de Pagos'!$E252,25,9999)</f>
        <v>25</v>
      </c>
      <c r="AT252" s="0" t="n">
        <f aca="false">IF(Presupuesto!$B$26='Flujo de Pagos'!$E252,26,9999)</f>
        <v>26</v>
      </c>
      <c r="AU252" s="0" t="n">
        <f aca="false">IF(Presupuesto!$B$27='Flujo de Pagos'!$E252,27,9999)</f>
        <v>27</v>
      </c>
      <c r="AV252" s="0" t="n">
        <f aca="false">IF(Presupuesto!$B$28='Flujo de Pagos'!$E252,28,9999)</f>
        <v>28</v>
      </c>
      <c r="AW252" s="0" t="n">
        <f aca="false">IF(Presupuesto!$B$29='Flujo de Pagos'!$E252,29,9999)</f>
        <v>29</v>
      </c>
      <c r="AX252" s="0" t="n">
        <f aca="false">IF(Presupuesto!$B$30='Flujo de Pagos'!$E252,30,9999)</f>
        <v>30</v>
      </c>
      <c r="AY252" s="0" t="n">
        <f aca="false">IF(Presupuesto!$B$31='Flujo de Pagos'!$E252,31,9999)</f>
        <v>31</v>
      </c>
      <c r="AZ252" s="0" t="n">
        <f aca="false">IF(Presupuesto!$B$32='Flujo de Pagos'!$E252,32,9999)</f>
        <v>32</v>
      </c>
      <c r="BA252" s="0" t="n">
        <f aca="false">IF(Presupuesto!$B$33='Flujo de Pagos'!$E252,33,9999)</f>
        <v>33</v>
      </c>
      <c r="BB252" s="0" t="n">
        <f aca="false">IF(Presupuesto!$B$34='Flujo de Pagos'!$E252,34,9999)</f>
        <v>34</v>
      </c>
      <c r="BC252" s="0" t="n">
        <f aca="false">IF(Presupuesto!$B$35='Flujo de Pagos'!$E252,35,9999)</f>
        <v>35</v>
      </c>
      <c r="BD252" s="0" t="n">
        <f aca="false">IF(Presupuesto!$B$36='Flujo de Pagos'!$E252,36,9999)</f>
        <v>36</v>
      </c>
      <c r="BE252" s="0" t="n">
        <f aca="false">IF(Presupuesto!$B$37='Flujo de Pagos'!$E252,37,9999)</f>
        <v>37</v>
      </c>
      <c r="BF252" s="0" t="n">
        <f aca="false">IF(Presupuesto!$B$38='Flujo de Pagos'!$E252,38,9999)</f>
        <v>38</v>
      </c>
      <c r="BG252" s="0" t="n">
        <f aca="false">IF(Presupuesto!$B$39='Flujo de Pagos'!$E252,39,9999)</f>
        <v>39</v>
      </c>
      <c r="BH252" s="0" t="n">
        <f aca="false">IF(Presupuesto!$B$40='Flujo de Pagos'!$E252,40,9999)</f>
        <v>40</v>
      </c>
      <c r="BI252" s="0" t="n">
        <f aca="false">IF(Presupuesto!$B$41='Flujo de Pagos'!$E252,41,9999)</f>
        <v>41</v>
      </c>
      <c r="BJ252" s="0" t="n">
        <f aca="false">IF(Presupuesto!$B$42='Flujo de Pagos'!$E252,42,9999)</f>
        <v>42</v>
      </c>
      <c r="BK252" s="0" t="n">
        <f aca="false">IF(Presupuesto!$B$43='Flujo de Pagos'!$E252,43,9999)</f>
        <v>43</v>
      </c>
      <c r="BL252" s="0" t="n">
        <f aca="false">IF(Presupuesto!$B$44='Flujo de Pagos'!$E252,44,9999)</f>
        <v>44</v>
      </c>
      <c r="BM252" s="0" t="n">
        <f aca="false">IF(Presupuesto!$B$45='Flujo de Pagos'!$E252,45,9999)</f>
        <v>45</v>
      </c>
      <c r="BN252" s="0" t="n">
        <f aca="false">IF(Presupuesto!$B$46='Flujo de Pagos'!$E252,46,9999)</f>
        <v>46</v>
      </c>
      <c r="BO252" s="0" t="n">
        <f aca="false">IF(Presupuesto!$B$47='Flujo de Pagos'!$E252,47,9999)</f>
        <v>47</v>
      </c>
      <c r="BP252" s="0" t="n">
        <f aca="false">IF(Presupuesto!$B$48='Flujo de Pagos'!$E252,48,9999)</f>
        <v>48</v>
      </c>
      <c r="BQ252" s="0" t="n">
        <f aca="false">IF(Presupuesto!$B$49='Flujo de Pagos'!$E252,49,9999)</f>
        <v>49</v>
      </c>
      <c r="BR252" s="0" t="n">
        <f aca="false">IF(Presupuesto!$B$50='Flujo de Pagos'!$E252,50,9999)</f>
        <v>50</v>
      </c>
      <c r="BS252" s="0" t="n">
        <f aca="false">IF(Presupuesto!$B$51='Flujo de Pagos'!$E252,51,9999)</f>
        <v>51</v>
      </c>
      <c r="BT252" s="0" t="n">
        <f aca="false">IF(Presupuesto!$B$52='Flujo de Pagos'!$E252,52,9999)</f>
        <v>52</v>
      </c>
      <c r="BU252" s="0" t="n">
        <f aca="false">IF(Presupuesto!$B$53='Flujo de Pagos'!$E252,53,9999)</f>
        <v>53</v>
      </c>
      <c r="BV252" s="0" t="n">
        <f aca="false">IF(Presupuesto!$B$54='Flujo de Pagos'!$E252,54,9999)</f>
        <v>54</v>
      </c>
      <c r="BW252" s="0" t="n">
        <f aca="false">IF(Presupuesto!$B$55='Flujo de Pagos'!$E252,55,9999)</f>
        <v>55</v>
      </c>
      <c r="BX252" s="0" t="n">
        <f aca="false">IF(Presupuesto!$B$56='Flujo de Pagos'!$E252,56,9999)</f>
        <v>56</v>
      </c>
      <c r="BY252" s="0" t="n">
        <f aca="false">IF(Presupuesto!$B$57='Flujo de Pagos'!$E252,57,9999)</f>
        <v>57</v>
      </c>
      <c r="BZ252" s="0" t="n">
        <f aca="false">IF(Presupuesto!$B$58='Flujo de Pagos'!$E252,58,9999)</f>
        <v>58</v>
      </c>
      <c r="CA252" s="0" t="n">
        <f aca="false">IF(Presupuesto!$B$59='Flujo de Pagos'!$E252,59,9999)</f>
        <v>59</v>
      </c>
      <c r="CB252" s="0" t="n">
        <f aca="false">IF(Presupuesto!$B$60='Flujo de Pagos'!$E252,60,9999)</f>
        <v>60</v>
      </c>
      <c r="CC252" s="0" t="n">
        <f aca="false">IF(Presupuesto!$B$61='Flujo de Pagos'!$E252,61,9999)</f>
        <v>61</v>
      </c>
      <c r="CD252" s="0" t="n">
        <f aca="false">IF(Presupuesto!$B$62='Flujo de Pagos'!$E252,62,9999)</f>
        <v>62</v>
      </c>
      <c r="CE252" s="0" t="n">
        <f aca="false">IF(Presupuesto!$B$63='Flujo de Pagos'!$E252,63,9999)</f>
        <v>63</v>
      </c>
      <c r="CF252" s="0" t="n">
        <f aca="false">IF(Presupuesto!$B$64='Flujo de Pagos'!$E252,64,9999)</f>
        <v>64</v>
      </c>
      <c r="CG252" s="0" t="n">
        <f aca="false">IF(Presupuesto!$B$65='Flujo de Pagos'!$E252,65,9999)</f>
        <v>65</v>
      </c>
      <c r="CH252" s="0" t="n">
        <f aca="false">IF(Presupuesto!$B$66='Flujo de Pagos'!$E252,66,9999)</f>
        <v>66</v>
      </c>
    </row>
    <row r="253" customFormat="false" ht="15" hidden="false" customHeight="true" outlineLevel="0" collapsed="false">
      <c r="B253" s="1" t="n">
        <f aca="false">IF(AND('Flujo de Pagos'!E258=Carátula!$B$2,'Flujo de Pagos'!F258=Carátula!$B$4,'Flujo de Pagos'!H258&lt;&gt;""),258,99999)</f>
        <v>99999</v>
      </c>
      <c r="H253" s="1" t="n">
        <f aca="false">IF(SMALL($AA253:$CH253,1)&gt;=9999,"",INDEX(Presupuesto!$C:$C,SMALL($AA253:$CH253,1)))</f>
        <v>0</v>
      </c>
      <c r="I253" s="1" t="n">
        <f aca="false">IF(SMALL($AA253:$CH253,2)&gt;=9999,"",INDEX(Presupuesto!$C:$C,SMALL($AA253:$CH253,2)))</f>
        <v>0</v>
      </c>
      <c r="J253" s="1" t="n">
        <f aca="false">IF(SMALL($AA253:$CH253,3)&gt;=9999,"",INDEX(Presupuesto!$C:$C,SMALL($AA253:$CH253,3)))</f>
        <v>0</v>
      </c>
      <c r="K253" s="1" t="n">
        <f aca="false">IF(SMALL($AA253:$CH253,4)&gt;=9999,"",INDEX(Presupuesto!$C:$C,SMALL($AA253:$CH253,4)))</f>
        <v>0</v>
      </c>
      <c r="L253" s="1" t="n">
        <f aca="false">IF(SMALL($AA253:$CH253,5)&gt;=9999,"",INDEX(Presupuesto!$C:$C,SMALL($AA253:$CH253,5)))</f>
        <v>0</v>
      </c>
      <c r="M253" s="1" t="n">
        <f aca="false">IF(SMALL($AA253:$CH253,6)&gt;=9999,"",INDEX(Presupuesto!$C:$C,SMALL($AA253:$CH253,6)))</f>
        <v>0</v>
      </c>
      <c r="N253" s="1" t="n">
        <f aca="false">IF(SMALL($AA253:$CH253,7)&gt;=9999,"",INDEX(Presupuesto!$C:$C,SMALL($AA253:$CH253,7)))</f>
        <v>0</v>
      </c>
      <c r="O253" s="1" t="n">
        <f aca="false">IF(SMALL($AA253:$CH253,8)&gt;=9999,"",INDEX(Presupuesto!$C:$C,SMALL($AA253:$CH253,8)))</f>
        <v>0</v>
      </c>
      <c r="P253" s="1" t="n">
        <f aca="false">IF(SMALL($AA253:$CH253,9)&gt;=9999,"",INDEX(Presupuesto!$C:$C,SMALL($AA253:$CH253,9)))</f>
        <v>0</v>
      </c>
      <c r="Q253" s="1" t="n">
        <f aca="false">IF(SMALL($AA253:$CH253,10)&gt;=9999,"",INDEX(Presupuesto!$C:$C,SMALL($AA253:$CH253,10)))</f>
        <v>0</v>
      </c>
      <c r="AA253" s="0" t="n">
        <f aca="false">IF(Presupuesto!$B$7='Flujo de Pagos'!$E253,7,9999)</f>
        <v>9999</v>
      </c>
      <c r="AB253" s="0" t="n">
        <f aca="false">IF(Presupuesto!$B$8='Flujo de Pagos'!$E253,8,9999)</f>
        <v>9999</v>
      </c>
      <c r="AC253" s="0" t="n">
        <f aca="false">IF(Presupuesto!$B$9='Flujo de Pagos'!$E253,9,9999)</f>
        <v>9999</v>
      </c>
      <c r="AD253" s="0" t="n">
        <f aca="false">IF(Presupuesto!$B$10='Flujo de Pagos'!$E253,10,9999)</f>
        <v>9999</v>
      </c>
      <c r="AE253" s="0" t="n">
        <f aca="false">IF(Presupuesto!$B$11='Flujo de Pagos'!$E253,11,9999)</f>
        <v>9999</v>
      </c>
      <c r="AF253" s="0" t="n">
        <f aca="false">IF(Presupuesto!$B$12='Flujo de Pagos'!$E253,12,9999)</f>
        <v>12</v>
      </c>
      <c r="AG253" s="0" t="n">
        <f aca="false">IF(Presupuesto!$B$13='Flujo de Pagos'!$E253,13,9999)</f>
        <v>13</v>
      </c>
      <c r="AH253" s="0" t="n">
        <f aca="false">IF(Presupuesto!$B$14='Flujo de Pagos'!$E253,14,9999)</f>
        <v>14</v>
      </c>
      <c r="AI253" s="0" t="n">
        <f aca="false">IF(Presupuesto!$B$15='Flujo de Pagos'!$E253,15,9999)</f>
        <v>15</v>
      </c>
      <c r="AJ253" s="0" t="n">
        <f aca="false">IF(Presupuesto!$B$16='Flujo de Pagos'!$E253,16,9999)</f>
        <v>16</v>
      </c>
      <c r="AK253" s="0" t="n">
        <f aca="false">IF(Presupuesto!$B$17='Flujo de Pagos'!$E253,17,9999)</f>
        <v>17</v>
      </c>
      <c r="AL253" s="0" t="n">
        <f aca="false">IF(Presupuesto!$B$18='Flujo de Pagos'!$E253,18,9999)</f>
        <v>18</v>
      </c>
      <c r="AM253" s="0" t="n">
        <f aca="false">IF(Presupuesto!$B$19='Flujo de Pagos'!$E253,19,9999)</f>
        <v>19</v>
      </c>
      <c r="AN253" s="0" t="n">
        <f aca="false">IF(Presupuesto!$B$20='Flujo de Pagos'!$E253,20,9999)</f>
        <v>20</v>
      </c>
      <c r="AO253" s="0" t="n">
        <f aca="false">IF(Presupuesto!$B$21='Flujo de Pagos'!$E253,21,9999)</f>
        <v>21</v>
      </c>
      <c r="AP253" s="0" t="n">
        <f aca="false">IF(Presupuesto!$B$22='Flujo de Pagos'!$E253,22,9999)</f>
        <v>22</v>
      </c>
      <c r="AQ253" s="0" t="n">
        <f aca="false">IF(Presupuesto!$B$23='Flujo de Pagos'!$E253,23,9999)</f>
        <v>23</v>
      </c>
      <c r="AR253" s="0" t="n">
        <f aca="false">IF(Presupuesto!$B$24='Flujo de Pagos'!$E253,24,9999)</f>
        <v>24</v>
      </c>
      <c r="AS253" s="0" t="n">
        <f aca="false">IF(Presupuesto!$B$25='Flujo de Pagos'!$E253,25,9999)</f>
        <v>25</v>
      </c>
      <c r="AT253" s="0" t="n">
        <f aca="false">IF(Presupuesto!$B$26='Flujo de Pagos'!$E253,26,9999)</f>
        <v>26</v>
      </c>
      <c r="AU253" s="0" t="n">
        <f aca="false">IF(Presupuesto!$B$27='Flujo de Pagos'!$E253,27,9999)</f>
        <v>27</v>
      </c>
      <c r="AV253" s="0" t="n">
        <f aca="false">IF(Presupuesto!$B$28='Flujo de Pagos'!$E253,28,9999)</f>
        <v>28</v>
      </c>
      <c r="AW253" s="0" t="n">
        <f aca="false">IF(Presupuesto!$B$29='Flujo de Pagos'!$E253,29,9999)</f>
        <v>29</v>
      </c>
      <c r="AX253" s="0" t="n">
        <f aca="false">IF(Presupuesto!$B$30='Flujo de Pagos'!$E253,30,9999)</f>
        <v>30</v>
      </c>
      <c r="AY253" s="0" t="n">
        <f aca="false">IF(Presupuesto!$B$31='Flujo de Pagos'!$E253,31,9999)</f>
        <v>31</v>
      </c>
      <c r="AZ253" s="0" t="n">
        <f aca="false">IF(Presupuesto!$B$32='Flujo de Pagos'!$E253,32,9999)</f>
        <v>32</v>
      </c>
      <c r="BA253" s="0" t="n">
        <f aca="false">IF(Presupuesto!$B$33='Flujo de Pagos'!$E253,33,9999)</f>
        <v>33</v>
      </c>
      <c r="BB253" s="0" t="n">
        <f aca="false">IF(Presupuesto!$B$34='Flujo de Pagos'!$E253,34,9999)</f>
        <v>34</v>
      </c>
      <c r="BC253" s="0" t="n">
        <f aca="false">IF(Presupuesto!$B$35='Flujo de Pagos'!$E253,35,9999)</f>
        <v>35</v>
      </c>
      <c r="BD253" s="0" t="n">
        <f aca="false">IF(Presupuesto!$B$36='Flujo de Pagos'!$E253,36,9999)</f>
        <v>36</v>
      </c>
      <c r="BE253" s="0" t="n">
        <f aca="false">IF(Presupuesto!$B$37='Flujo de Pagos'!$E253,37,9999)</f>
        <v>37</v>
      </c>
      <c r="BF253" s="0" t="n">
        <f aca="false">IF(Presupuesto!$B$38='Flujo de Pagos'!$E253,38,9999)</f>
        <v>38</v>
      </c>
      <c r="BG253" s="0" t="n">
        <f aca="false">IF(Presupuesto!$B$39='Flujo de Pagos'!$E253,39,9999)</f>
        <v>39</v>
      </c>
      <c r="BH253" s="0" t="n">
        <f aca="false">IF(Presupuesto!$B$40='Flujo de Pagos'!$E253,40,9999)</f>
        <v>40</v>
      </c>
      <c r="BI253" s="0" t="n">
        <f aca="false">IF(Presupuesto!$B$41='Flujo de Pagos'!$E253,41,9999)</f>
        <v>41</v>
      </c>
      <c r="BJ253" s="0" t="n">
        <f aca="false">IF(Presupuesto!$B$42='Flujo de Pagos'!$E253,42,9999)</f>
        <v>42</v>
      </c>
      <c r="BK253" s="0" t="n">
        <f aca="false">IF(Presupuesto!$B$43='Flujo de Pagos'!$E253,43,9999)</f>
        <v>43</v>
      </c>
      <c r="BL253" s="0" t="n">
        <f aca="false">IF(Presupuesto!$B$44='Flujo de Pagos'!$E253,44,9999)</f>
        <v>44</v>
      </c>
      <c r="BM253" s="0" t="n">
        <f aca="false">IF(Presupuesto!$B$45='Flujo de Pagos'!$E253,45,9999)</f>
        <v>45</v>
      </c>
      <c r="BN253" s="0" t="n">
        <f aca="false">IF(Presupuesto!$B$46='Flujo de Pagos'!$E253,46,9999)</f>
        <v>46</v>
      </c>
      <c r="BO253" s="0" t="n">
        <f aca="false">IF(Presupuesto!$B$47='Flujo de Pagos'!$E253,47,9999)</f>
        <v>47</v>
      </c>
      <c r="BP253" s="0" t="n">
        <f aca="false">IF(Presupuesto!$B$48='Flujo de Pagos'!$E253,48,9999)</f>
        <v>48</v>
      </c>
      <c r="BQ253" s="0" t="n">
        <f aca="false">IF(Presupuesto!$B$49='Flujo de Pagos'!$E253,49,9999)</f>
        <v>49</v>
      </c>
      <c r="BR253" s="0" t="n">
        <f aca="false">IF(Presupuesto!$B$50='Flujo de Pagos'!$E253,50,9999)</f>
        <v>50</v>
      </c>
      <c r="BS253" s="0" t="n">
        <f aca="false">IF(Presupuesto!$B$51='Flujo de Pagos'!$E253,51,9999)</f>
        <v>51</v>
      </c>
      <c r="BT253" s="0" t="n">
        <f aca="false">IF(Presupuesto!$B$52='Flujo de Pagos'!$E253,52,9999)</f>
        <v>52</v>
      </c>
      <c r="BU253" s="0" t="n">
        <f aca="false">IF(Presupuesto!$B$53='Flujo de Pagos'!$E253,53,9999)</f>
        <v>53</v>
      </c>
      <c r="BV253" s="0" t="n">
        <f aca="false">IF(Presupuesto!$B$54='Flujo de Pagos'!$E253,54,9999)</f>
        <v>54</v>
      </c>
      <c r="BW253" s="0" t="n">
        <f aca="false">IF(Presupuesto!$B$55='Flujo de Pagos'!$E253,55,9999)</f>
        <v>55</v>
      </c>
      <c r="BX253" s="0" t="n">
        <f aca="false">IF(Presupuesto!$B$56='Flujo de Pagos'!$E253,56,9999)</f>
        <v>56</v>
      </c>
      <c r="BY253" s="0" t="n">
        <f aca="false">IF(Presupuesto!$B$57='Flujo de Pagos'!$E253,57,9999)</f>
        <v>57</v>
      </c>
      <c r="BZ253" s="0" t="n">
        <f aca="false">IF(Presupuesto!$B$58='Flujo de Pagos'!$E253,58,9999)</f>
        <v>58</v>
      </c>
      <c r="CA253" s="0" t="n">
        <f aca="false">IF(Presupuesto!$B$59='Flujo de Pagos'!$E253,59,9999)</f>
        <v>59</v>
      </c>
      <c r="CB253" s="0" t="n">
        <f aca="false">IF(Presupuesto!$B$60='Flujo de Pagos'!$E253,60,9999)</f>
        <v>60</v>
      </c>
      <c r="CC253" s="0" t="n">
        <f aca="false">IF(Presupuesto!$B$61='Flujo de Pagos'!$E253,61,9999)</f>
        <v>61</v>
      </c>
      <c r="CD253" s="0" t="n">
        <f aca="false">IF(Presupuesto!$B$62='Flujo de Pagos'!$E253,62,9999)</f>
        <v>62</v>
      </c>
      <c r="CE253" s="0" t="n">
        <f aca="false">IF(Presupuesto!$B$63='Flujo de Pagos'!$E253,63,9999)</f>
        <v>63</v>
      </c>
      <c r="CF253" s="0" t="n">
        <f aca="false">IF(Presupuesto!$B$64='Flujo de Pagos'!$E253,64,9999)</f>
        <v>64</v>
      </c>
      <c r="CG253" s="0" t="n">
        <f aca="false">IF(Presupuesto!$B$65='Flujo de Pagos'!$E253,65,9999)</f>
        <v>65</v>
      </c>
      <c r="CH253" s="0" t="n">
        <f aca="false">IF(Presupuesto!$B$66='Flujo de Pagos'!$E253,66,9999)</f>
        <v>66</v>
      </c>
    </row>
    <row r="254" customFormat="false" ht="15" hidden="false" customHeight="true" outlineLevel="0" collapsed="false">
      <c r="B254" s="1" t="n">
        <f aca="false">IF(AND('Flujo de Pagos'!E259=Carátula!$B$2,'Flujo de Pagos'!F259=Carátula!$B$4,'Flujo de Pagos'!H259&lt;&gt;""),259,99999)</f>
        <v>99999</v>
      </c>
      <c r="H254" s="1" t="n">
        <f aca="false">IF(SMALL($AA254:$CH254,1)&gt;=9999,"",INDEX(Presupuesto!$C:$C,SMALL($AA254:$CH254,1)))</f>
        <v>0</v>
      </c>
      <c r="I254" s="1" t="n">
        <f aca="false">IF(SMALL($AA254:$CH254,2)&gt;=9999,"",INDEX(Presupuesto!$C:$C,SMALL($AA254:$CH254,2)))</f>
        <v>0</v>
      </c>
      <c r="J254" s="1" t="n">
        <f aca="false">IF(SMALL($AA254:$CH254,3)&gt;=9999,"",INDEX(Presupuesto!$C:$C,SMALL($AA254:$CH254,3)))</f>
        <v>0</v>
      </c>
      <c r="K254" s="1" t="n">
        <f aca="false">IF(SMALL($AA254:$CH254,4)&gt;=9999,"",INDEX(Presupuesto!$C:$C,SMALL($AA254:$CH254,4)))</f>
        <v>0</v>
      </c>
      <c r="L254" s="1" t="n">
        <f aca="false">IF(SMALL($AA254:$CH254,5)&gt;=9999,"",INDEX(Presupuesto!$C:$C,SMALL($AA254:$CH254,5)))</f>
        <v>0</v>
      </c>
      <c r="M254" s="1" t="n">
        <f aca="false">IF(SMALL($AA254:$CH254,6)&gt;=9999,"",INDEX(Presupuesto!$C:$C,SMALL($AA254:$CH254,6)))</f>
        <v>0</v>
      </c>
      <c r="N254" s="1" t="n">
        <f aca="false">IF(SMALL($AA254:$CH254,7)&gt;=9999,"",INDEX(Presupuesto!$C:$C,SMALL($AA254:$CH254,7)))</f>
        <v>0</v>
      </c>
      <c r="O254" s="1" t="n">
        <f aca="false">IF(SMALL($AA254:$CH254,8)&gt;=9999,"",INDEX(Presupuesto!$C:$C,SMALL($AA254:$CH254,8)))</f>
        <v>0</v>
      </c>
      <c r="P254" s="1" t="n">
        <f aca="false">IF(SMALL($AA254:$CH254,9)&gt;=9999,"",INDEX(Presupuesto!$C:$C,SMALL($AA254:$CH254,9)))</f>
        <v>0</v>
      </c>
      <c r="Q254" s="1" t="n">
        <f aca="false">IF(SMALL($AA254:$CH254,10)&gt;=9999,"",INDEX(Presupuesto!$C:$C,SMALL($AA254:$CH254,10)))</f>
        <v>0</v>
      </c>
      <c r="AA254" s="0" t="n">
        <f aca="false">IF(Presupuesto!$B$7='Flujo de Pagos'!$E254,7,9999)</f>
        <v>9999</v>
      </c>
      <c r="AB254" s="0" t="n">
        <f aca="false">IF(Presupuesto!$B$8='Flujo de Pagos'!$E254,8,9999)</f>
        <v>9999</v>
      </c>
      <c r="AC254" s="0" t="n">
        <f aca="false">IF(Presupuesto!$B$9='Flujo de Pagos'!$E254,9,9999)</f>
        <v>9999</v>
      </c>
      <c r="AD254" s="0" t="n">
        <f aca="false">IF(Presupuesto!$B$10='Flujo de Pagos'!$E254,10,9999)</f>
        <v>9999</v>
      </c>
      <c r="AE254" s="0" t="n">
        <f aca="false">IF(Presupuesto!$B$11='Flujo de Pagos'!$E254,11,9999)</f>
        <v>9999</v>
      </c>
      <c r="AF254" s="0" t="n">
        <f aca="false">IF(Presupuesto!$B$12='Flujo de Pagos'!$E254,12,9999)</f>
        <v>12</v>
      </c>
      <c r="AG254" s="0" t="n">
        <f aca="false">IF(Presupuesto!$B$13='Flujo de Pagos'!$E254,13,9999)</f>
        <v>13</v>
      </c>
      <c r="AH254" s="0" t="n">
        <f aca="false">IF(Presupuesto!$B$14='Flujo de Pagos'!$E254,14,9999)</f>
        <v>14</v>
      </c>
      <c r="AI254" s="0" t="n">
        <f aca="false">IF(Presupuesto!$B$15='Flujo de Pagos'!$E254,15,9999)</f>
        <v>15</v>
      </c>
      <c r="AJ254" s="0" t="n">
        <f aca="false">IF(Presupuesto!$B$16='Flujo de Pagos'!$E254,16,9999)</f>
        <v>16</v>
      </c>
      <c r="AK254" s="0" t="n">
        <f aca="false">IF(Presupuesto!$B$17='Flujo de Pagos'!$E254,17,9999)</f>
        <v>17</v>
      </c>
      <c r="AL254" s="0" t="n">
        <f aca="false">IF(Presupuesto!$B$18='Flujo de Pagos'!$E254,18,9999)</f>
        <v>18</v>
      </c>
      <c r="AM254" s="0" t="n">
        <f aca="false">IF(Presupuesto!$B$19='Flujo de Pagos'!$E254,19,9999)</f>
        <v>19</v>
      </c>
      <c r="AN254" s="0" t="n">
        <f aca="false">IF(Presupuesto!$B$20='Flujo de Pagos'!$E254,20,9999)</f>
        <v>20</v>
      </c>
      <c r="AO254" s="0" t="n">
        <f aca="false">IF(Presupuesto!$B$21='Flujo de Pagos'!$E254,21,9999)</f>
        <v>21</v>
      </c>
      <c r="AP254" s="0" t="n">
        <f aca="false">IF(Presupuesto!$B$22='Flujo de Pagos'!$E254,22,9999)</f>
        <v>22</v>
      </c>
      <c r="AQ254" s="0" t="n">
        <f aca="false">IF(Presupuesto!$B$23='Flujo de Pagos'!$E254,23,9999)</f>
        <v>23</v>
      </c>
      <c r="AR254" s="0" t="n">
        <f aca="false">IF(Presupuesto!$B$24='Flujo de Pagos'!$E254,24,9999)</f>
        <v>24</v>
      </c>
      <c r="AS254" s="0" t="n">
        <f aca="false">IF(Presupuesto!$B$25='Flujo de Pagos'!$E254,25,9999)</f>
        <v>25</v>
      </c>
      <c r="AT254" s="0" t="n">
        <f aca="false">IF(Presupuesto!$B$26='Flujo de Pagos'!$E254,26,9999)</f>
        <v>26</v>
      </c>
      <c r="AU254" s="0" t="n">
        <f aca="false">IF(Presupuesto!$B$27='Flujo de Pagos'!$E254,27,9999)</f>
        <v>27</v>
      </c>
      <c r="AV254" s="0" t="n">
        <f aca="false">IF(Presupuesto!$B$28='Flujo de Pagos'!$E254,28,9999)</f>
        <v>28</v>
      </c>
      <c r="AW254" s="0" t="n">
        <f aca="false">IF(Presupuesto!$B$29='Flujo de Pagos'!$E254,29,9999)</f>
        <v>29</v>
      </c>
      <c r="AX254" s="0" t="n">
        <f aca="false">IF(Presupuesto!$B$30='Flujo de Pagos'!$E254,30,9999)</f>
        <v>30</v>
      </c>
      <c r="AY254" s="0" t="n">
        <f aca="false">IF(Presupuesto!$B$31='Flujo de Pagos'!$E254,31,9999)</f>
        <v>31</v>
      </c>
      <c r="AZ254" s="0" t="n">
        <f aca="false">IF(Presupuesto!$B$32='Flujo de Pagos'!$E254,32,9999)</f>
        <v>32</v>
      </c>
      <c r="BA254" s="0" t="n">
        <f aca="false">IF(Presupuesto!$B$33='Flujo de Pagos'!$E254,33,9999)</f>
        <v>33</v>
      </c>
      <c r="BB254" s="0" t="n">
        <f aca="false">IF(Presupuesto!$B$34='Flujo de Pagos'!$E254,34,9999)</f>
        <v>34</v>
      </c>
      <c r="BC254" s="0" t="n">
        <f aca="false">IF(Presupuesto!$B$35='Flujo de Pagos'!$E254,35,9999)</f>
        <v>35</v>
      </c>
      <c r="BD254" s="0" t="n">
        <f aca="false">IF(Presupuesto!$B$36='Flujo de Pagos'!$E254,36,9999)</f>
        <v>36</v>
      </c>
      <c r="BE254" s="0" t="n">
        <f aca="false">IF(Presupuesto!$B$37='Flujo de Pagos'!$E254,37,9999)</f>
        <v>37</v>
      </c>
      <c r="BF254" s="0" t="n">
        <f aca="false">IF(Presupuesto!$B$38='Flujo de Pagos'!$E254,38,9999)</f>
        <v>38</v>
      </c>
      <c r="BG254" s="0" t="n">
        <f aca="false">IF(Presupuesto!$B$39='Flujo de Pagos'!$E254,39,9999)</f>
        <v>39</v>
      </c>
      <c r="BH254" s="0" t="n">
        <f aca="false">IF(Presupuesto!$B$40='Flujo de Pagos'!$E254,40,9999)</f>
        <v>40</v>
      </c>
      <c r="BI254" s="0" t="n">
        <f aca="false">IF(Presupuesto!$B$41='Flujo de Pagos'!$E254,41,9999)</f>
        <v>41</v>
      </c>
      <c r="BJ254" s="0" t="n">
        <f aca="false">IF(Presupuesto!$B$42='Flujo de Pagos'!$E254,42,9999)</f>
        <v>42</v>
      </c>
      <c r="BK254" s="0" t="n">
        <f aca="false">IF(Presupuesto!$B$43='Flujo de Pagos'!$E254,43,9999)</f>
        <v>43</v>
      </c>
      <c r="BL254" s="0" t="n">
        <f aca="false">IF(Presupuesto!$B$44='Flujo de Pagos'!$E254,44,9999)</f>
        <v>44</v>
      </c>
      <c r="BM254" s="0" t="n">
        <f aca="false">IF(Presupuesto!$B$45='Flujo de Pagos'!$E254,45,9999)</f>
        <v>45</v>
      </c>
      <c r="BN254" s="0" t="n">
        <f aca="false">IF(Presupuesto!$B$46='Flujo de Pagos'!$E254,46,9999)</f>
        <v>46</v>
      </c>
      <c r="BO254" s="0" t="n">
        <f aca="false">IF(Presupuesto!$B$47='Flujo de Pagos'!$E254,47,9999)</f>
        <v>47</v>
      </c>
      <c r="BP254" s="0" t="n">
        <f aca="false">IF(Presupuesto!$B$48='Flujo de Pagos'!$E254,48,9999)</f>
        <v>48</v>
      </c>
      <c r="BQ254" s="0" t="n">
        <f aca="false">IF(Presupuesto!$B$49='Flujo de Pagos'!$E254,49,9999)</f>
        <v>49</v>
      </c>
      <c r="BR254" s="0" t="n">
        <f aca="false">IF(Presupuesto!$B$50='Flujo de Pagos'!$E254,50,9999)</f>
        <v>50</v>
      </c>
      <c r="BS254" s="0" t="n">
        <f aca="false">IF(Presupuesto!$B$51='Flujo de Pagos'!$E254,51,9999)</f>
        <v>51</v>
      </c>
      <c r="BT254" s="0" t="n">
        <f aca="false">IF(Presupuesto!$B$52='Flujo de Pagos'!$E254,52,9999)</f>
        <v>52</v>
      </c>
      <c r="BU254" s="0" t="n">
        <f aca="false">IF(Presupuesto!$B$53='Flujo de Pagos'!$E254,53,9999)</f>
        <v>53</v>
      </c>
      <c r="BV254" s="0" t="n">
        <f aca="false">IF(Presupuesto!$B$54='Flujo de Pagos'!$E254,54,9999)</f>
        <v>54</v>
      </c>
      <c r="BW254" s="0" t="n">
        <f aca="false">IF(Presupuesto!$B$55='Flujo de Pagos'!$E254,55,9999)</f>
        <v>55</v>
      </c>
      <c r="BX254" s="0" t="n">
        <f aca="false">IF(Presupuesto!$B$56='Flujo de Pagos'!$E254,56,9999)</f>
        <v>56</v>
      </c>
      <c r="BY254" s="0" t="n">
        <f aca="false">IF(Presupuesto!$B$57='Flujo de Pagos'!$E254,57,9999)</f>
        <v>57</v>
      </c>
      <c r="BZ254" s="0" t="n">
        <f aca="false">IF(Presupuesto!$B$58='Flujo de Pagos'!$E254,58,9999)</f>
        <v>58</v>
      </c>
      <c r="CA254" s="0" t="n">
        <f aca="false">IF(Presupuesto!$B$59='Flujo de Pagos'!$E254,59,9999)</f>
        <v>59</v>
      </c>
      <c r="CB254" s="0" t="n">
        <f aca="false">IF(Presupuesto!$B$60='Flujo de Pagos'!$E254,60,9999)</f>
        <v>60</v>
      </c>
      <c r="CC254" s="0" t="n">
        <f aca="false">IF(Presupuesto!$B$61='Flujo de Pagos'!$E254,61,9999)</f>
        <v>61</v>
      </c>
      <c r="CD254" s="0" t="n">
        <f aca="false">IF(Presupuesto!$B$62='Flujo de Pagos'!$E254,62,9999)</f>
        <v>62</v>
      </c>
      <c r="CE254" s="0" t="n">
        <f aca="false">IF(Presupuesto!$B$63='Flujo de Pagos'!$E254,63,9999)</f>
        <v>63</v>
      </c>
      <c r="CF254" s="0" t="n">
        <f aca="false">IF(Presupuesto!$B$64='Flujo de Pagos'!$E254,64,9999)</f>
        <v>64</v>
      </c>
      <c r="CG254" s="0" t="n">
        <f aca="false">IF(Presupuesto!$B$65='Flujo de Pagos'!$E254,65,9999)</f>
        <v>65</v>
      </c>
      <c r="CH254" s="0" t="n">
        <f aca="false">IF(Presupuesto!$B$66='Flujo de Pagos'!$E254,66,9999)</f>
        <v>66</v>
      </c>
    </row>
    <row r="255" customFormat="false" ht="15" hidden="false" customHeight="true" outlineLevel="0" collapsed="false">
      <c r="B255" s="1" t="n">
        <f aca="false">IF(AND('Flujo de Pagos'!E260=Carátula!$B$2,'Flujo de Pagos'!F260=Carátula!$B$4,'Flujo de Pagos'!H260&lt;&gt;""),260,99999)</f>
        <v>99999</v>
      </c>
      <c r="H255" s="1" t="n">
        <f aca="false">IF(SMALL($AA255:$CH255,1)&gt;=9999,"",INDEX(Presupuesto!$C:$C,SMALL($AA255:$CH255,1)))</f>
        <v>0</v>
      </c>
      <c r="I255" s="1" t="n">
        <f aca="false">IF(SMALL($AA255:$CH255,2)&gt;=9999,"",INDEX(Presupuesto!$C:$C,SMALL($AA255:$CH255,2)))</f>
        <v>0</v>
      </c>
      <c r="J255" s="1" t="n">
        <f aca="false">IF(SMALL($AA255:$CH255,3)&gt;=9999,"",INDEX(Presupuesto!$C:$C,SMALL($AA255:$CH255,3)))</f>
        <v>0</v>
      </c>
      <c r="K255" s="1" t="n">
        <f aca="false">IF(SMALL($AA255:$CH255,4)&gt;=9999,"",INDEX(Presupuesto!$C:$C,SMALL($AA255:$CH255,4)))</f>
        <v>0</v>
      </c>
      <c r="L255" s="1" t="n">
        <f aca="false">IF(SMALL($AA255:$CH255,5)&gt;=9999,"",INDEX(Presupuesto!$C:$C,SMALL($AA255:$CH255,5)))</f>
        <v>0</v>
      </c>
      <c r="M255" s="1" t="n">
        <f aca="false">IF(SMALL($AA255:$CH255,6)&gt;=9999,"",INDEX(Presupuesto!$C:$C,SMALL($AA255:$CH255,6)))</f>
        <v>0</v>
      </c>
      <c r="N255" s="1" t="n">
        <f aca="false">IF(SMALL($AA255:$CH255,7)&gt;=9999,"",INDEX(Presupuesto!$C:$C,SMALL($AA255:$CH255,7)))</f>
        <v>0</v>
      </c>
      <c r="O255" s="1" t="n">
        <f aca="false">IF(SMALL($AA255:$CH255,8)&gt;=9999,"",INDEX(Presupuesto!$C:$C,SMALL($AA255:$CH255,8)))</f>
        <v>0</v>
      </c>
      <c r="P255" s="1" t="n">
        <f aca="false">IF(SMALL($AA255:$CH255,9)&gt;=9999,"",INDEX(Presupuesto!$C:$C,SMALL($AA255:$CH255,9)))</f>
        <v>0</v>
      </c>
      <c r="Q255" s="1" t="n">
        <f aca="false">IF(SMALL($AA255:$CH255,10)&gt;=9999,"",INDEX(Presupuesto!$C:$C,SMALL($AA255:$CH255,10)))</f>
        <v>0</v>
      </c>
      <c r="AA255" s="0" t="n">
        <f aca="false">IF(Presupuesto!$B$7='Flujo de Pagos'!$E255,7,9999)</f>
        <v>9999</v>
      </c>
      <c r="AB255" s="0" t="n">
        <f aca="false">IF(Presupuesto!$B$8='Flujo de Pagos'!$E255,8,9999)</f>
        <v>9999</v>
      </c>
      <c r="AC255" s="0" t="n">
        <f aca="false">IF(Presupuesto!$B$9='Flujo de Pagos'!$E255,9,9999)</f>
        <v>9999</v>
      </c>
      <c r="AD255" s="0" t="n">
        <f aca="false">IF(Presupuesto!$B$10='Flujo de Pagos'!$E255,10,9999)</f>
        <v>9999</v>
      </c>
      <c r="AE255" s="0" t="n">
        <f aca="false">IF(Presupuesto!$B$11='Flujo de Pagos'!$E255,11,9999)</f>
        <v>9999</v>
      </c>
      <c r="AF255" s="0" t="n">
        <f aca="false">IF(Presupuesto!$B$12='Flujo de Pagos'!$E255,12,9999)</f>
        <v>12</v>
      </c>
      <c r="AG255" s="0" t="n">
        <f aca="false">IF(Presupuesto!$B$13='Flujo de Pagos'!$E255,13,9999)</f>
        <v>13</v>
      </c>
      <c r="AH255" s="0" t="n">
        <f aca="false">IF(Presupuesto!$B$14='Flujo de Pagos'!$E255,14,9999)</f>
        <v>14</v>
      </c>
      <c r="AI255" s="0" t="n">
        <f aca="false">IF(Presupuesto!$B$15='Flujo de Pagos'!$E255,15,9999)</f>
        <v>15</v>
      </c>
      <c r="AJ255" s="0" t="n">
        <f aca="false">IF(Presupuesto!$B$16='Flujo de Pagos'!$E255,16,9999)</f>
        <v>16</v>
      </c>
      <c r="AK255" s="0" t="n">
        <f aca="false">IF(Presupuesto!$B$17='Flujo de Pagos'!$E255,17,9999)</f>
        <v>17</v>
      </c>
      <c r="AL255" s="0" t="n">
        <f aca="false">IF(Presupuesto!$B$18='Flujo de Pagos'!$E255,18,9999)</f>
        <v>18</v>
      </c>
      <c r="AM255" s="0" t="n">
        <f aca="false">IF(Presupuesto!$B$19='Flujo de Pagos'!$E255,19,9999)</f>
        <v>19</v>
      </c>
      <c r="AN255" s="0" t="n">
        <f aca="false">IF(Presupuesto!$B$20='Flujo de Pagos'!$E255,20,9999)</f>
        <v>20</v>
      </c>
      <c r="AO255" s="0" t="n">
        <f aca="false">IF(Presupuesto!$B$21='Flujo de Pagos'!$E255,21,9999)</f>
        <v>21</v>
      </c>
      <c r="AP255" s="0" t="n">
        <f aca="false">IF(Presupuesto!$B$22='Flujo de Pagos'!$E255,22,9999)</f>
        <v>22</v>
      </c>
      <c r="AQ255" s="0" t="n">
        <f aca="false">IF(Presupuesto!$B$23='Flujo de Pagos'!$E255,23,9999)</f>
        <v>23</v>
      </c>
      <c r="AR255" s="0" t="n">
        <f aca="false">IF(Presupuesto!$B$24='Flujo de Pagos'!$E255,24,9999)</f>
        <v>24</v>
      </c>
      <c r="AS255" s="0" t="n">
        <f aca="false">IF(Presupuesto!$B$25='Flujo de Pagos'!$E255,25,9999)</f>
        <v>25</v>
      </c>
      <c r="AT255" s="0" t="n">
        <f aca="false">IF(Presupuesto!$B$26='Flujo de Pagos'!$E255,26,9999)</f>
        <v>26</v>
      </c>
      <c r="AU255" s="0" t="n">
        <f aca="false">IF(Presupuesto!$B$27='Flujo de Pagos'!$E255,27,9999)</f>
        <v>27</v>
      </c>
      <c r="AV255" s="0" t="n">
        <f aca="false">IF(Presupuesto!$B$28='Flujo de Pagos'!$E255,28,9999)</f>
        <v>28</v>
      </c>
      <c r="AW255" s="0" t="n">
        <f aca="false">IF(Presupuesto!$B$29='Flujo de Pagos'!$E255,29,9999)</f>
        <v>29</v>
      </c>
      <c r="AX255" s="0" t="n">
        <f aca="false">IF(Presupuesto!$B$30='Flujo de Pagos'!$E255,30,9999)</f>
        <v>30</v>
      </c>
      <c r="AY255" s="0" t="n">
        <f aca="false">IF(Presupuesto!$B$31='Flujo de Pagos'!$E255,31,9999)</f>
        <v>31</v>
      </c>
      <c r="AZ255" s="0" t="n">
        <f aca="false">IF(Presupuesto!$B$32='Flujo de Pagos'!$E255,32,9999)</f>
        <v>32</v>
      </c>
      <c r="BA255" s="0" t="n">
        <f aca="false">IF(Presupuesto!$B$33='Flujo de Pagos'!$E255,33,9999)</f>
        <v>33</v>
      </c>
      <c r="BB255" s="0" t="n">
        <f aca="false">IF(Presupuesto!$B$34='Flujo de Pagos'!$E255,34,9999)</f>
        <v>34</v>
      </c>
      <c r="BC255" s="0" t="n">
        <f aca="false">IF(Presupuesto!$B$35='Flujo de Pagos'!$E255,35,9999)</f>
        <v>35</v>
      </c>
      <c r="BD255" s="0" t="n">
        <f aca="false">IF(Presupuesto!$B$36='Flujo de Pagos'!$E255,36,9999)</f>
        <v>36</v>
      </c>
      <c r="BE255" s="0" t="n">
        <f aca="false">IF(Presupuesto!$B$37='Flujo de Pagos'!$E255,37,9999)</f>
        <v>37</v>
      </c>
      <c r="BF255" s="0" t="n">
        <f aca="false">IF(Presupuesto!$B$38='Flujo de Pagos'!$E255,38,9999)</f>
        <v>38</v>
      </c>
      <c r="BG255" s="0" t="n">
        <f aca="false">IF(Presupuesto!$B$39='Flujo de Pagos'!$E255,39,9999)</f>
        <v>39</v>
      </c>
      <c r="BH255" s="0" t="n">
        <f aca="false">IF(Presupuesto!$B$40='Flujo de Pagos'!$E255,40,9999)</f>
        <v>40</v>
      </c>
      <c r="BI255" s="0" t="n">
        <f aca="false">IF(Presupuesto!$B$41='Flujo de Pagos'!$E255,41,9999)</f>
        <v>41</v>
      </c>
      <c r="BJ255" s="0" t="n">
        <f aca="false">IF(Presupuesto!$B$42='Flujo de Pagos'!$E255,42,9999)</f>
        <v>42</v>
      </c>
      <c r="BK255" s="0" t="n">
        <f aca="false">IF(Presupuesto!$B$43='Flujo de Pagos'!$E255,43,9999)</f>
        <v>43</v>
      </c>
      <c r="BL255" s="0" t="n">
        <f aca="false">IF(Presupuesto!$B$44='Flujo de Pagos'!$E255,44,9999)</f>
        <v>44</v>
      </c>
      <c r="BM255" s="0" t="n">
        <f aca="false">IF(Presupuesto!$B$45='Flujo de Pagos'!$E255,45,9999)</f>
        <v>45</v>
      </c>
      <c r="BN255" s="0" t="n">
        <f aca="false">IF(Presupuesto!$B$46='Flujo de Pagos'!$E255,46,9999)</f>
        <v>46</v>
      </c>
      <c r="BO255" s="0" t="n">
        <f aca="false">IF(Presupuesto!$B$47='Flujo de Pagos'!$E255,47,9999)</f>
        <v>47</v>
      </c>
      <c r="BP255" s="0" t="n">
        <f aca="false">IF(Presupuesto!$B$48='Flujo de Pagos'!$E255,48,9999)</f>
        <v>48</v>
      </c>
      <c r="BQ255" s="0" t="n">
        <f aca="false">IF(Presupuesto!$B$49='Flujo de Pagos'!$E255,49,9999)</f>
        <v>49</v>
      </c>
      <c r="BR255" s="0" t="n">
        <f aca="false">IF(Presupuesto!$B$50='Flujo de Pagos'!$E255,50,9999)</f>
        <v>50</v>
      </c>
      <c r="BS255" s="0" t="n">
        <f aca="false">IF(Presupuesto!$B$51='Flujo de Pagos'!$E255,51,9999)</f>
        <v>51</v>
      </c>
      <c r="BT255" s="0" t="n">
        <f aca="false">IF(Presupuesto!$B$52='Flujo de Pagos'!$E255,52,9999)</f>
        <v>52</v>
      </c>
      <c r="BU255" s="0" t="n">
        <f aca="false">IF(Presupuesto!$B$53='Flujo de Pagos'!$E255,53,9999)</f>
        <v>53</v>
      </c>
      <c r="BV255" s="0" t="n">
        <f aca="false">IF(Presupuesto!$B$54='Flujo de Pagos'!$E255,54,9999)</f>
        <v>54</v>
      </c>
      <c r="BW255" s="0" t="n">
        <f aca="false">IF(Presupuesto!$B$55='Flujo de Pagos'!$E255,55,9999)</f>
        <v>55</v>
      </c>
      <c r="BX255" s="0" t="n">
        <f aca="false">IF(Presupuesto!$B$56='Flujo de Pagos'!$E255,56,9999)</f>
        <v>56</v>
      </c>
      <c r="BY255" s="0" t="n">
        <f aca="false">IF(Presupuesto!$B$57='Flujo de Pagos'!$E255,57,9999)</f>
        <v>57</v>
      </c>
      <c r="BZ255" s="0" t="n">
        <f aca="false">IF(Presupuesto!$B$58='Flujo de Pagos'!$E255,58,9999)</f>
        <v>58</v>
      </c>
      <c r="CA255" s="0" t="n">
        <f aca="false">IF(Presupuesto!$B$59='Flujo de Pagos'!$E255,59,9999)</f>
        <v>59</v>
      </c>
      <c r="CB255" s="0" t="n">
        <f aca="false">IF(Presupuesto!$B$60='Flujo de Pagos'!$E255,60,9999)</f>
        <v>60</v>
      </c>
      <c r="CC255" s="0" t="n">
        <f aca="false">IF(Presupuesto!$B$61='Flujo de Pagos'!$E255,61,9999)</f>
        <v>61</v>
      </c>
      <c r="CD255" s="0" t="n">
        <f aca="false">IF(Presupuesto!$B$62='Flujo de Pagos'!$E255,62,9999)</f>
        <v>62</v>
      </c>
      <c r="CE255" s="0" t="n">
        <f aca="false">IF(Presupuesto!$B$63='Flujo de Pagos'!$E255,63,9999)</f>
        <v>63</v>
      </c>
      <c r="CF255" s="0" t="n">
        <f aca="false">IF(Presupuesto!$B$64='Flujo de Pagos'!$E255,64,9999)</f>
        <v>64</v>
      </c>
      <c r="CG255" s="0" t="n">
        <f aca="false">IF(Presupuesto!$B$65='Flujo de Pagos'!$E255,65,9999)</f>
        <v>65</v>
      </c>
      <c r="CH255" s="0" t="n">
        <f aca="false">IF(Presupuesto!$B$66='Flujo de Pagos'!$E255,66,9999)</f>
        <v>66</v>
      </c>
    </row>
    <row r="256" customFormat="false" ht="15" hidden="false" customHeight="true" outlineLevel="0" collapsed="false">
      <c r="B256" s="1" t="n">
        <f aca="false">IF(AND('Flujo de Pagos'!E261=Carátula!$B$2,'Flujo de Pagos'!F261=Carátula!$B$4,'Flujo de Pagos'!H261&lt;&gt;""),261,99999)</f>
        <v>99999</v>
      </c>
      <c r="H256" s="1" t="n">
        <f aca="false">IF(SMALL($AA256:$CH256,1)&gt;=9999,"",INDEX(Presupuesto!$C:$C,SMALL($AA256:$CH256,1)))</f>
        <v>0</v>
      </c>
      <c r="I256" s="1" t="n">
        <f aca="false">IF(SMALL($AA256:$CH256,2)&gt;=9999,"",INDEX(Presupuesto!$C:$C,SMALL($AA256:$CH256,2)))</f>
        <v>0</v>
      </c>
      <c r="J256" s="1" t="n">
        <f aca="false">IF(SMALL($AA256:$CH256,3)&gt;=9999,"",INDEX(Presupuesto!$C:$C,SMALL($AA256:$CH256,3)))</f>
        <v>0</v>
      </c>
      <c r="K256" s="1" t="n">
        <f aca="false">IF(SMALL($AA256:$CH256,4)&gt;=9999,"",INDEX(Presupuesto!$C:$C,SMALL($AA256:$CH256,4)))</f>
        <v>0</v>
      </c>
      <c r="L256" s="1" t="n">
        <f aca="false">IF(SMALL($AA256:$CH256,5)&gt;=9999,"",INDEX(Presupuesto!$C:$C,SMALL($AA256:$CH256,5)))</f>
        <v>0</v>
      </c>
      <c r="M256" s="1" t="n">
        <f aca="false">IF(SMALL($AA256:$CH256,6)&gt;=9999,"",INDEX(Presupuesto!$C:$C,SMALL($AA256:$CH256,6)))</f>
        <v>0</v>
      </c>
      <c r="N256" s="1" t="n">
        <f aca="false">IF(SMALL($AA256:$CH256,7)&gt;=9999,"",INDEX(Presupuesto!$C:$C,SMALL($AA256:$CH256,7)))</f>
        <v>0</v>
      </c>
      <c r="O256" s="1" t="n">
        <f aca="false">IF(SMALL($AA256:$CH256,8)&gt;=9999,"",INDEX(Presupuesto!$C:$C,SMALL($AA256:$CH256,8)))</f>
        <v>0</v>
      </c>
      <c r="P256" s="1" t="n">
        <f aca="false">IF(SMALL($AA256:$CH256,9)&gt;=9999,"",INDEX(Presupuesto!$C:$C,SMALL($AA256:$CH256,9)))</f>
        <v>0</v>
      </c>
      <c r="Q256" s="1" t="n">
        <f aca="false">IF(SMALL($AA256:$CH256,10)&gt;=9999,"",INDEX(Presupuesto!$C:$C,SMALL($AA256:$CH256,10)))</f>
        <v>0</v>
      </c>
      <c r="AA256" s="0" t="n">
        <f aca="false">IF(Presupuesto!$B$7='Flujo de Pagos'!$E256,7,9999)</f>
        <v>9999</v>
      </c>
      <c r="AB256" s="0" t="n">
        <f aca="false">IF(Presupuesto!$B$8='Flujo de Pagos'!$E256,8,9999)</f>
        <v>9999</v>
      </c>
      <c r="AC256" s="0" t="n">
        <f aca="false">IF(Presupuesto!$B$9='Flujo de Pagos'!$E256,9,9999)</f>
        <v>9999</v>
      </c>
      <c r="AD256" s="0" t="n">
        <f aca="false">IF(Presupuesto!$B$10='Flujo de Pagos'!$E256,10,9999)</f>
        <v>9999</v>
      </c>
      <c r="AE256" s="0" t="n">
        <f aca="false">IF(Presupuesto!$B$11='Flujo de Pagos'!$E256,11,9999)</f>
        <v>9999</v>
      </c>
      <c r="AF256" s="0" t="n">
        <f aca="false">IF(Presupuesto!$B$12='Flujo de Pagos'!$E256,12,9999)</f>
        <v>12</v>
      </c>
      <c r="AG256" s="0" t="n">
        <f aca="false">IF(Presupuesto!$B$13='Flujo de Pagos'!$E256,13,9999)</f>
        <v>13</v>
      </c>
      <c r="AH256" s="0" t="n">
        <f aca="false">IF(Presupuesto!$B$14='Flujo de Pagos'!$E256,14,9999)</f>
        <v>14</v>
      </c>
      <c r="AI256" s="0" t="n">
        <f aca="false">IF(Presupuesto!$B$15='Flujo de Pagos'!$E256,15,9999)</f>
        <v>15</v>
      </c>
      <c r="AJ256" s="0" t="n">
        <f aca="false">IF(Presupuesto!$B$16='Flujo de Pagos'!$E256,16,9999)</f>
        <v>16</v>
      </c>
      <c r="AK256" s="0" t="n">
        <f aca="false">IF(Presupuesto!$B$17='Flujo de Pagos'!$E256,17,9999)</f>
        <v>17</v>
      </c>
      <c r="AL256" s="0" t="n">
        <f aca="false">IF(Presupuesto!$B$18='Flujo de Pagos'!$E256,18,9999)</f>
        <v>18</v>
      </c>
      <c r="AM256" s="0" t="n">
        <f aca="false">IF(Presupuesto!$B$19='Flujo de Pagos'!$E256,19,9999)</f>
        <v>19</v>
      </c>
      <c r="AN256" s="0" t="n">
        <f aca="false">IF(Presupuesto!$B$20='Flujo de Pagos'!$E256,20,9999)</f>
        <v>20</v>
      </c>
      <c r="AO256" s="0" t="n">
        <f aca="false">IF(Presupuesto!$B$21='Flujo de Pagos'!$E256,21,9999)</f>
        <v>21</v>
      </c>
      <c r="AP256" s="0" t="n">
        <f aca="false">IF(Presupuesto!$B$22='Flujo de Pagos'!$E256,22,9999)</f>
        <v>22</v>
      </c>
      <c r="AQ256" s="0" t="n">
        <f aca="false">IF(Presupuesto!$B$23='Flujo de Pagos'!$E256,23,9999)</f>
        <v>23</v>
      </c>
      <c r="AR256" s="0" t="n">
        <f aca="false">IF(Presupuesto!$B$24='Flujo de Pagos'!$E256,24,9999)</f>
        <v>24</v>
      </c>
      <c r="AS256" s="0" t="n">
        <f aca="false">IF(Presupuesto!$B$25='Flujo de Pagos'!$E256,25,9999)</f>
        <v>25</v>
      </c>
      <c r="AT256" s="0" t="n">
        <f aca="false">IF(Presupuesto!$B$26='Flujo de Pagos'!$E256,26,9999)</f>
        <v>26</v>
      </c>
      <c r="AU256" s="0" t="n">
        <f aca="false">IF(Presupuesto!$B$27='Flujo de Pagos'!$E256,27,9999)</f>
        <v>27</v>
      </c>
      <c r="AV256" s="0" t="n">
        <f aca="false">IF(Presupuesto!$B$28='Flujo de Pagos'!$E256,28,9999)</f>
        <v>28</v>
      </c>
      <c r="AW256" s="0" t="n">
        <f aca="false">IF(Presupuesto!$B$29='Flujo de Pagos'!$E256,29,9999)</f>
        <v>29</v>
      </c>
      <c r="AX256" s="0" t="n">
        <f aca="false">IF(Presupuesto!$B$30='Flujo de Pagos'!$E256,30,9999)</f>
        <v>30</v>
      </c>
      <c r="AY256" s="0" t="n">
        <f aca="false">IF(Presupuesto!$B$31='Flujo de Pagos'!$E256,31,9999)</f>
        <v>31</v>
      </c>
      <c r="AZ256" s="0" t="n">
        <f aca="false">IF(Presupuesto!$B$32='Flujo de Pagos'!$E256,32,9999)</f>
        <v>32</v>
      </c>
      <c r="BA256" s="0" t="n">
        <f aca="false">IF(Presupuesto!$B$33='Flujo de Pagos'!$E256,33,9999)</f>
        <v>33</v>
      </c>
      <c r="BB256" s="0" t="n">
        <f aca="false">IF(Presupuesto!$B$34='Flujo de Pagos'!$E256,34,9999)</f>
        <v>34</v>
      </c>
      <c r="BC256" s="0" t="n">
        <f aca="false">IF(Presupuesto!$B$35='Flujo de Pagos'!$E256,35,9999)</f>
        <v>35</v>
      </c>
      <c r="BD256" s="0" t="n">
        <f aca="false">IF(Presupuesto!$B$36='Flujo de Pagos'!$E256,36,9999)</f>
        <v>36</v>
      </c>
      <c r="BE256" s="0" t="n">
        <f aca="false">IF(Presupuesto!$B$37='Flujo de Pagos'!$E256,37,9999)</f>
        <v>37</v>
      </c>
      <c r="BF256" s="0" t="n">
        <f aca="false">IF(Presupuesto!$B$38='Flujo de Pagos'!$E256,38,9999)</f>
        <v>38</v>
      </c>
      <c r="BG256" s="0" t="n">
        <f aca="false">IF(Presupuesto!$B$39='Flujo de Pagos'!$E256,39,9999)</f>
        <v>39</v>
      </c>
      <c r="BH256" s="0" t="n">
        <f aca="false">IF(Presupuesto!$B$40='Flujo de Pagos'!$E256,40,9999)</f>
        <v>40</v>
      </c>
      <c r="BI256" s="0" t="n">
        <f aca="false">IF(Presupuesto!$B$41='Flujo de Pagos'!$E256,41,9999)</f>
        <v>41</v>
      </c>
      <c r="BJ256" s="0" t="n">
        <f aca="false">IF(Presupuesto!$B$42='Flujo de Pagos'!$E256,42,9999)</f>
        <v>42</v>
      </c>
      <c r="BK256" s="0" t="n">
        <f aca="false">IF(Presupuesto!$B$43='Flujo de Pagos'!$E256,43,9999)</f>
        <v>43</v>
      </c>
      <c r="BL256" s="0" t="n">
        <f aca="false">IF(Presupuesto!$B$44='Flujo de Pagos'!$E256,44,9999)</f>
        <v>44</v>
      </c>
      <c r="BM256" s="0" t="n">
        <f aca="false">IF(Presupuesto!$B$45='Flujo de Pagos'!$E256,45,9999)</f>
        <v>45</v>
      </c>
      <c r="BN256" s="0" t="n">
        <f aca="false">IF(Presupuesto!$B$46='Flujo de Pagos'!$E256,46,9999)</f>
        <v>46</v>
      </c>
      <c r="BO256" s="0" t="n">
        <f aca="false">IF(Presupuesto!$B$47='Flujo de Pagos'!$E256,47,9999)</f>
        <v>47</v>
      </c>
      <c r="BP256" s="0" t="n">
        <f aca="false">IF(Presupuesto!$B$48='Flujo de Pagos'!$E256,48,9999)</f>
        <v>48</v>
      </c>
      <c r="BQ256" s="0" t="n">
        <f aca="false">IF(Presupuesto!$B$49='Flujo de Pagos'!$E256,49,9999)</f>
        <v>49</v>
      </c>
      <c r="BR256" s="0" t="n">
        <f aca="false">IF(Presupuesto!$B$50='Flujo de Pagos'!$E256,50,9999)</f>
        <v>50</v>
      </c>
      <c r="BS256" s="0" t="n">
        <f aca="false">IF(Presupuesto!$B$51='Flujo de Pagos'!$E256,51,9999)</f>
        <v>51</v>
      </c>
      <c r="BT256" s="0" t="n">
        <f aca="false">IF(Presupuesto!$B$52='Flujo de Pagos'!$E256,52,9999)</f>
        <v>52</v>
      </c>
      <c r="BU256" s="0" t="n">
        <f aca="false">IF(Presupuesto!$B$53='Flujo de Pagos'!$E256,53,9999)</f>
        <v>53</v>
      </c>
      <c r="BV256" s="0" t="n">
        <f aca="false">IF(Presupuesto!$B$54='Flujo de Pagos'!$E256,54,9999)</f>
        <v>54</v>
      </c>
      <c r="BW256" s="0" t="n">
        <f aca="false">IF(Presupuesto!$B$55='Flujo de Pagos'!$E256,55,9999)</f>
        <v>55</v>
      </c>
      <c r="BX256" s="0" t="n">
        <f aca="false">IF(Presupuesto!$B$56='Flujo de Pagos'!$E256,56,9999)</f>
        <v>56</v>
      </c>
      <c r="BY256" s="0" t="n">
        <f aca="false">IF(Presupuesto!$B$57='Flujo de Pagos'!$E256,57,9999)</f>
        <v>57</v>
      </c>
      <c r="BZ256" s="0" t="n">
        <f aca="false">IF(Presupuesto!$B$58='Flujo de Pagos'!$E256,58,9999)</f>
        <v>58</v>
      </c>
      <c r="CA256" s="0" t="n">
        <f aca="false">IF(Presupuesto!$B$59='Flujo de Pagos'!$E256,59,9999)</f>
        <v>59</v>
      </c>
      <c r="CB256" s="0" t="n">
        <f aca="false">IF(Presupuesto!$B$60='Flujo de Pagos'!$E256,60,9999)</f>
        <v>60</v>
      </c>
      <c r="CC256" s="0" t="n">
        <f aca="false">IF(Presupuesto!$B$61='Flujo de Pagos'!$E256,61,9999)</f>
        <v>61</v>
      </c>
      <c r="CD256" s="0" t="n">
        <f aca="false">IF(Presupuesto!$B$62='Flujo de Pagos'!$E256,62,9999)</f>
        <v>62</v>
      </c>
      <c r="CE256" s="0" t="n">
        <f aca="false">IF(Presupuesto!$B$63='Flujo de Pagos'!$E256,63,9999)</f>
        <v>63</v>
      </c>
      <c r="CF256" s="0" t="n">
        <f aca="false">IF(Presupuesto!$B$64='Flujo de Pagos'!$E256,64,9999)</f>
        <v>64</v>
      </c>
      <c r="CG256" s="0" t="n">
        <f aca="false">IF(Presupuesto!$B$65='Flujo de Pagos'!$E256,65,9999)</f>
        <v>65</v>
      </c>
      <c r="CH256" s="0" t="n">
        <f aca="false">IF(Presupuesto!$B$66='Flujo de Pagos'!$E256,66,9999)</f>
        <v>66</v>
      </c>
    </row>
    <row r="257" customFormat="false" ht="15" hidden="false" customHeight="true" outlineLevel="0" collapsed="false">
      <c r="B257" s="1" t="n">
        <f aca="false">IF(AND('Flujo de Pagos'!E262=Carátula!$B$2,'Flujo de Pagos'!F262=Carátula!$B$4,'Flujo de Pagos'!H262&lt;&gt;""),262,99999)</f>
        <v>99999</v>
      </c>
      <c r="H257" s="1" t="n">
        <f aca="false">IF(SMALL($AA257:$CH257,1)&gt;=9999,"",INDEX(Presupuesto!$C:$C,SMALL($AA257:$CH257,1)))</f>
        <v>0</v>
      </c>
      <c r="I257" s="1" t="n">
        <f aca="false">IF(SMALL($AA257:$CH257,2)&gt;=9999,"",INDEX(Presupuesto!$C:$C,SMALL($AA257:$CH257,2)))</f>
        <v>0</v>
      </c>
      <c r="J257" s="1" t="n">
        <f aca="false">IF(SMALL($AA257:$CH257,3)&gt;=9999,"",INDEX(Presupuesto!$C:$C,SMALL($AA257:$CH257,3)))</f>
        <v>0</v>
      </c>
      <c r="K257" s="1" t="n">
        <f aca="false">IF(SMALL($AA257:$CH257,4)&gt;=9999,"",INDEX(Presupuesto!$C:$C,SMALL($AA257:$CH257,4)))</f>
        <v>0</v>
      </c>
      <c r="L257" s="1" t="n">
        <f aca="false">IF(SMALL($AA257:$CH257,5)&gt;=9999,"",INDEX(Presupuesto!$C:$C,SMALL($AA257:$CH257,5)))</f>
        <v>0</v>
      </c>
      <c r="M257" s="1" t="n">
        <f aca="false">IF(SMALL($AA257:$CH257,6)&gt;=9999,"",INDEX(Presupuesto!$C:$C,SMALL($AA257:$CH257,6)))</f>
        <v>0</v>
      </c>
      <c r="N257" s="1" t="n">
        <f aca="false">IF(SMALL($AA257:$CH257,7)&gt;=9999,"",INDEX(Presupuesto!$C:$C,SMALL($AA257:$CH257,7)))</f>
        <v>0</v>
      </c>
      <c r="O257" s="1" t="n">
        <f aca="false">IF(SMALL($AA257:$CH257,8)&gt;=9999,"",INDEX(Presupuesto!$C:$C,SMALL($AA257:$CH257,8)))</f>
        <v>0</v>
      </c>
      <c r="P257" s="1" t="n">
        <f aca="false">IF(SMALL($AA257:$CH257,9)&gt;=9999,"",INDEX(Presupuesto!$C:$C,SMALL($AA257:$CH257,9)))</f>
        <v>0</v>
      </c>
      <c r="Q257" s="1" t="n">
        <f aca="false">IF(SMALL($AA257:$CH257,10)&gt;=9999,"",INDEX(Presupuesto!$C:$C,SMALL($AA257:$CH257,10)))</f>
        <v>0</v>
      </c>
      <c r="AA257" s="0" t="n">
        <f aca="false">IF(Presupuesto!$B$7='Flujo de Pagos'!$E257,7,9999)</f>
        <v>9999</v>
      </c>
      <c r="AB257" s="0" t="n">
        <f aca="false">IF(Presupuesto!$B$8='Flujo de Pagos'!$E257,8,9999)</f>
        <v>9999</v>
      </c>
      <c r="AC257" s="0" t="n">
        <f aca="false">IF(Presupuesto!$B$9='Flujo de Pagos'!$E257,9,9999)</f>
        <v>9999</v>
      </c>
      <c r="AD257" s="0" t="n">
        <f aca="false">IF(Presupuesto!$B$10='Flujo de Pagos'!$E257,10,9999)</f>
        <v>9999</v>
      </c>
      <c r="AE257" s="0" t="n">
        <f aca="false">IF(Presupuesto!$B$11='Flujo de Pagos'!$E257,11,9999)</f>
        <v>9999</v>
      </c>
      <c r="AF257" s="0" t="n">
        <f aca="false">IF(Presupuesto!$B$12='Flujo de Pagos'!$E257,12,9999)</f>
        <v>12</v>
      </c>
      <c r="AG257" s="0" t="n">
        <f aca="false">IF(Presupuesto!$B$13='Flujo de Pagos'!$E257,13,9999)</f>
        <v>13</v>
      </c>
      <c r="AH257" s="0" t="n">
        <f aca="false">IF(Presupuesto!$B$14='Flujo de Pagos'!$E257,14,9999)</f>
        <v>14</v>
      </c>
      <c r="AI257" s="0" t="n">
        <f aca="false">IF(Presupuesto!$B$15='Flujo de Pagos'!$E257,15,9999)</f>
        <v>15</v>
      </c>
      <c r="AJ257" s="0" t="n">
        <f aca="false">IF(Presupuesto!$B$16='Flujo de Pagos'!$E257,16,9999)</f>
        <v>16</v>
      </c>
      <c r="AK257" s="0" t="n">
        <f aca="false">IF(Presupuesto!$B$17='Flujo de Pagos'!$E257,17,9999)</f>
        <v>17</v>
      </c>
      <c r="AL257" s="0" t="n">
        <f aca="false">IF(Presupuesto!$B$18='Flujo de Pagos'!$E257,18,9999)</f>
        <v>18</v>
      </c>
      <c r="AM257" s="0" t="n">
        <f aca="false">IF(Presupuesto!$B$19='Flujo de Pagos'!$E257,19,9999)</f>
        <v>19</v>
      </c>
      <c r="AN257" s="0" t="n">
        <f aca="false">IF(Presupuesto!$B$20='Flujo de Pagos'!$E257,20,9999)</f>
        <v>20</v>
      </c>
      <c r="AO257" s="0" t="n">
        <f aca="false">IF(Presupuesto!$B$21='Flujo de Pagos'!$E257,21,9999)</f>
        <v>21</v>
      </c>
      <c r="AP257" s="0" t="n">
        <f aca="false">IF(Presupuesto!$B$22='Flujo de Pagos'!$E257,22,9999)</f>
        <v>22</v>
      </c>
      <c r="AQ257" s="0" t="n">
        <f aca="false">IF(Presupuesto!$B$23='Flujo de Pagos'!$E257,23,9999)</f>
        <v>23</v>
      </c>
      <c r="AR257" s="0" t="n">
        <f aca="false">IF(Presupuesto!$B$24='Flujo de Pagos'!$E257,24,9999)</f>
        <v>24</v>
      </c>
      <c r="AS257" s="0" t="n">
        <f aca="false">IF(Presupuesto!$B$25='Flujo de Pagos'!$E257,25,9999)</f>
        <v>25</v>
      </c>
      <c r="AT257" s="0" t="n">
        <f aca="false">IF(Presupuesto!$B$26='Flujo de Pagos'!$E257,26,9999)</f>
        <v>26</v>
      </c>
      <c r="AU257" s="0" t="n">
        <f aca="false">IF(Presupuesto!$B$27='Flujo de Pagos'!$E257,27,9999)</f>
        <v>27</v>
      </c>
      <c r="AV257" s="0" t="n">
        <f aca="false">IF(Presupuesto!$B$28='Flujo de Pagos'!$E257,28,9999)</f>
        <v>28</v>
      </c>
      <c r="AW257" s="0" t="n">
        <f aca="false">IF(Presupuesto!$B$29='Flujo de Pagos'!$E257,29,9999)</f>
        <v>29</v>
      </c>
      <c r="AX257" s="0" t="n">
        <f aca="false">IF(Presupuesto!$B$30='Flujo de Pagos'!$E257,30,9999)</f>
        <v>30</v>
      </c>
      <c r="AY257" s="0" t="n">
        <f aca="false">IF(Presupuesto!$B$31='Flujo de Pagos'!$E257,31,9999)</f>
        <v>31</v>
      </c>
      <c r="AZ257" s="0" t="n">
        <f aca="false">IF(Presupuesto!$B$32='Flujo de Pagos'!$E257,32,9999)</f>
        <v>32</v>
      </c>
      <c r="BA257" s="0" t="n">
        <f aca="false">IF(Presupuesto!$B$33='Flujo de Pagos'!$E257,33,9999)</f>
        <v>33</v>
      </c>
      <c r="BB257" s="0" t="n">
        <f aca="false">IF(Presupuesto!$B$34='Flujo de Pagos'!$E257,34,9999)</f>
        <v>34</v>
      </c>
      <c r="BC257" s="0" t="n">
        <f aca="false">IF(Presupuesto!$B$35='Flujo de Pagos'!$E257,35,9999)</f>
        <v>35</v>
      </c>
      <c r="BD257" s="0" t="n">
        <f aca="false">IF(Presupuesto!$B$36='Flujo de Pagos'!$E257,36,9999)</f>
        <v>36</v>
      </c>
      <c r="BE257" s="0" t="n">
        <f aca="false">IF(Presupuesto!$B$37='Flujo de Pagos'!$E257,37,9999)</f>
        <v>37</v>
      </c>
      <c r="BF257" s="0" t="n">
        <f aca="false">IF(Presupuesto!$B$38='Flujo de Pagos'!$E257,38,9999)</f>
        <v>38</v>
      </c>
      <c r="BG257" s="0" t="n">
        <f aca="false">IF(Presupuesto!$B$39='Flujo de Pagos'!$E257,39,9999)</f>
        <v>39</v>
      </c>
      <c r="BH257" s="0" t="n">
        <f aca="false">IF(Presupuesto!$B$40='Flujo de Pagos'!$E257,40,9999)</f>
        <v>40</v>
      </c>
      <c r="BI257" s="0" t="n">
        <f aca="false">IF(Presupuesto!$B$41='Flujo de Pagos'!$E257,41,9999)</f>
        <v>41</v>
      </c>
      <c r="BJ257" s="0" t="n">
        <f aca="false">IF(Presupuesto!$B$42='Flujo de Pagos'!$E257,42,9999)</f>
        <v>42</v>
      </c>
      <c r="BK257" s="0" t="n">
        <f aca="false">IF(Presupuesto!$B$43='Flujo de Pagos'!$E257,43,9999)</f>
        <v>43</v>
      </c>
      <c r="BL257" s="0" t="n">
        <f aca="false">IF(Presupuesto!$B$44='Flujo de Pagos'!$E257,44,9999)</f>
        <v>44</v>
      </c>
      <c r="BM257" s="0" t="n">
        <f aca="false">IF(Presupuesto!$B$45='Flujo de Pagos'!$E257,45,9999)</f>
        <v>45</v>
      </c>
      <c r="BN257" s="0" t="n">
        <f aca="false">IF(Presupuesto!$B$46='Flujo de Pagos'!$E257,46,9999)</f>
        <v>46</v>
      </c>
      <c r="BO257" s="0" t="n">
        <f aca="false">IF(Presupuesto!$B$47='Flujo de Pagos'!$E257,47,9999)</f>
        <v>47</v>
      </c>
      <c r="BP257" s="0" t="n">
        <f aca="false">IF(Presupuesto!$B$48='Flujo de Pagos'!$E257,48,9999)</f>
        <v>48</v>
      </c>
      <c r="BQ257" s="0" t="n">
        <f aca="false">IF(Presupuesto!$B$49='Flujo de Pagos'!$E257,49,9999)</f>
        <v>49</v>
      </c>
      <c r="BR257" s="0" t="n">
        <f aca="false">IF(Presupuesto!$B$50='Flujo de Pagos'!$E257,50,9999)</f>
        <v>50</v>
      </c>
      <c r="BS257" s="0" t="n">
        <f aca="false">IF(Presupuesto!$B$51='Flujo de Pagos'!$E257,51,9999)</f>
        <v>51</v>
      </c>
      <c r="BT257" s="0" t="n">
        <f aca="false">IF(Presupuesto!$B$52='Flujo de Pagos'!$E257,52,9999)</f>
        <v>52</v>
      </c>
      <c r="BU257" s="0" t="n">
        <f aca="false">IF(Presupuesto!$B$53='Flujo de Pagos'!$E257,53,9999)</f>
        <v>53</v>
      </c>
      <c r="BV257" s="0" t="n">
        <f aca="false">IF(Presupuesto!$B$54='Flujo de Pagos'!$E257,54,9999)</f>
        <v>54</v>
      </c>
      <c r="BW257" s="0" t="n">
        <f aca="false">IF(Presupuesto!$B$55='Flujo de Pagos'!$E257,55,9999)</f>
        <v>55</v>
      </c>
      <c r="BX257" s="0" t="n">
        <f aca="false">IF(Presupuesto!$B$56='Flujo de Pagos'!$E257,56,9999)</f>
        <v>56</v>
      </c>
      <c r="BY257" s="0" t="n">
        <f aca="false">IF(Presupuesto!$B$57='Flujo de Pagos'!$E257,57,9999)</f>
        <v>57</v>
      </c>
      <c r="BZ257" s="0" t="n">
        <f aca="false">IF(Presupuesto!$B$58='Flujo de Pagos'!$E257,58,9999)</f>
        <v>58</v>
      </c>
      <c r="CA257" s="0" t="n">
        <f aca="false">IF(Presupuesto!$B$59='Flujo de Pagos'!$E257,59,9999)</f>
        <v>59</v>
      </c>
      <c r="CB257" s="0" t="n">
        <f aca="false">IF(Presupuesto!$B$60='Flujo de Pagos'!$E257,60,9999)</f>
        <v>60</v>
      </c>
      <c r="CC257" s="0" t="n">
        <f aca="false">IF(Presupuesto!$B$61='Flujo de Pagos'!$E257,61,9999)</f>
        <v>61</v>
      </c>
      <c r="CD257" s="0" t="n">
        <f aca="false">IF(Presupuesto!$B$62='Flujo de Pagos'!$E257,62,9999)</f>
        <v>62</v>
      </c>
      <c r="CE257" s="0" t="n">
        <f aca="false">IF(Presupuesto!$B$63='Flujo de Pagos'!$E257,63,9999)</f>
        <v>63</v>
      </c>
      <c r="CF257" s="0" t="n">
        <f aca="false">IF(Presupuesto!$B$64='Flujo de Pagos'!$E257,64,9999)</f>
        <v>64</v>
      </c>
      <c r="CG257" s="0" t="n">
        <f aca="false">IF(Presupuesto!$B$65='Flujo de Pagos'!$E257,65,9999)</f>
        <v>65</v>
      </c>
      <c r="CH257" s="0" t="n">
        <f aca="false">IF(Presupuesto!$B$66='Flujo de Pagos'!$E257,66,9999)</f>
        <v>66</v>
      </c>
    </row>
    <row r="258" customFormat="false" ht="15" hidden="false" customHeight="true" outlineLevel="0" collapsed="false">
      <c r="B258" s="1" t="n">
        <f aca="false">IF(AND('Flujo de Pagos'!E263=Carátula!$B$2,'Flujo de Pagos'!F263=Carátula!$B$4,'Flujo de Pagos'!H263&lt;&gt;""),263,99999)</f>
        <v>99999</v>
      </c>
      <c r="H258" s="1" t="n">
        <f aca="false">IF(SMALL($AA258:$CH258,1)&gt;=9999,"",INDEX(Presupuesto!$C:$C,SMALL($AA258:$CH258,1)))</f>
        <v>0</v>
      </c>
      <c r="I258" s="1" t="n">
        <f aca="false">IF(SMALL($AA258:$CH258,2)&gt;=9999,"",INDEX(Presupuesto!$C:$C,SMALL($AA258:$CH258,2)))</f>
        <v>0</v>
      </c>
      <c r="J258" s="1" t="n">
        <f aca="false">IF(SMALL($AA258:$CH258,3)&gt;=9999,"",INDEX(Presupuesto!$C:$C,SMALL($AA258:$CH258,3)))</f>
        <v>0</v>
      </c>
      <c r="K258" s="1" t="n">
        <f aca="false">IF(SMALL($AA258:$CH258,4)&gt;=9999,"",INDEX(Presupuesto!$C:$C,SMALL($AA258:$CH258,4)))</f>
        <v>0</v>
      </c>
      <c r="L258" s="1" t="n">
        <f aca="false">IF(SMALL($AA258:$CH258,5)&gt;=9999,"",INDEX(Presupuesto!$C:$C,SMALL($AA258:$CH258,5)))</f>
        <v>0</v>
      </c>
      <c r="M258" s="1" t="n">
        <f aca="false">IF(SMALL($AA258:$CH258,6)&gt;=9999,"",INDEX(Presupuesto!$C:$C,SMALL($AA258:$CH258,6)))</f>
        <v>0</v>
      </c>
      <c r="N258" s="1" t="n">
        <f aca="false">IF(SMALL($AA258:$CH258,7)&gt;=9999,"",INDEX(Presupuesto!$C:$C,SMALL($AA258:$CH258,7)))</f>
        <v>0</v>
      </c>
      <c r="O258" s="1" t="n">
        <f aca="false">IF(SMALL($AA258:$CH258,8)&gt;=9999,"",INDEX(Presupuesto!$C:$C,SMALL($AA258:$CH258,8)))</f>
        <v>0</v>
      </c>
      <c r="P258" s="1" t="n">
        <f aca="false">IF(SMALL($AA258:$CH258,9)&gt;=9999,"",INDEX(Presupuesto!$C:$C,SMALL($AA258:$CH258,9)))</f>
        <v>0</v>
      </c>
      <c r="Q258" s="1" t="n">
        <f aca="false">IF(SMALL($AA258:$CH258,10)&gt;=9999,"",INDEX(Presupuesto!$C:$C,SMALL($AA258:$CH258,10)))</f>
        <v>0</v>
      </c>
      <c r="AA258" s="0" t="n">
        <f aca="false">IF(Presupuesto!$B$7='Flujo de Pagos'!$E258,7,9999)</f>
        <v>9999</v>
      </c>
      <c r="AB258" s="0" t="n">
        <f aca="false">IF(Presupuesto!$B$8='Flujo de Pagos'!$E258,8,9999)</f>
        <v>9999</v>
      </c>
      <c r="AC258" s="0" t="n">
        <f aca="false">IF(Presupuesto!$B$9='Flujo de Pagos'!$E258,9,9999)</f>
        <v>9999</v>
      </c>
      <c r="AD258" s="0" t="n">
        <f aca="false">IF(Presupuesto!$B$10='Flujo de Pagos'!$E258,10,9999)</f>
        <v>9999</v>
      </c>
      <c r="AE258" s="0" t="n">
        <f aca="false">IF(Presupuesto!$B$11='Flujo de Pagos'!$E258,11,9999)</f>
        <v>9999</v>
      </c>
      <c r="AF258" s="0" t="n">
        <f aca="false">IF(Presupuesto!$B$12='Flujo de Pagos'!$E258,12,9999)</f>
        <v>12</v>
      </c>
      <c r="AG258" s="0" t="n">
        <f aca="false">IF(Presupuesto!$B$13='Flujo de Pagos'!$E258,13,9999)</f>
        <v>13</v>
      </c>
      <c r="AH258" s="0" t="n">
        <f aca="false">IF(Presupuesto!$B$14='Flujo de Pagos'!$E258,14,9999)</f>
        <v>14</v>
      </c>
      <c r="AI258" s="0" t="n">
        <f aca="false">IF(Presupuesto!$B$15='Flujo de Pagos'!$E258,15,9999)</f>
        <v>15</v>
      </c>
      <c r="AJ258" s="0" t="n">
        <f aca="false">IF(Presupuesto!$B$16='Flujo de Pagos'!$E258,16,9999)</f>
        <v>16</v>
      </c>
      <c r="AK258" s="0" t="n">
        <f aca="false">IF(Presupuesto!$B$17='Flujo de Pagos'!$E258,17,9999)</f>
        <v>17</v>
      </c>
      <c r="AL258" s="0" t="n">
        <f aca="false">IF(Presupuesto!$B$18='Flujo de Pagos'!$E258,18,9999)</f>
        <v>18</v>
      </c>
      <c r="AM258" s="0" t="n">
        <f aca="false">IF(Presupuesto!$B$19='Flujo de Pagos'!$E258,19,9999)</f>
        <v>19</v>
      </c>
      <c r="AN258" s="0" t="n">
        <f aca="false">IF(Presupuesto!$B$20='Flujo de Pagos'!$E258,20,9999)</f>
        <v>20</v>
      </c>
      <c r="AO258" s="0" t="n">
        <f aca="false">IF(Presupuesto!$B$21='Flujo de Pagos'!$E258,21,9999)</f>
        <v>21</v>
      </c>
      <c r="AP258" s="0" t="n">
        <f aca="false">IF(Presupuesto!$B$22='Flujo de Pagos'!$E258,22,9999)</f>
        <v>22</v>
      </c>
      <c r="AQ258" s="0" t="n">
        <f aca="false">IF(Presupuesto!$B$23='Flujo de Pagos'!$E258,23,9999)</f>
        <v>23</v>
      </c>
      <c r="AR258" s="0" t="n">
        <f aca="false">IF(Presupuesto!$B$24='Flujo de Pagos'!$E258,24,9999)</f>
        <v>24</v>
      </c>
      <c r="AS258" s="0" t="n">
        <f aca="false">IF(Presupuesto!$B$25='Flujo de Pagos'!$E258,25,9999)</f>
        <v>25</v>
      </c>
      <c r="AT258" s="0" t="n">
        <f aca="false">IF(Presupuesto!$B$26='Flujo de Pagos'!$E258,26,9999)</f>
        <v>26</v>
      </c>
      <c r="AU258" s="0" t="n">
        <f aca="false">IF(Presupuesto!$B$27='Flujo de Pagos'!$E258,27,9999)</f>
        <v>27</v>
      </c>
      <c r="AV258" s="0" t="n">
        <f aca="false">IF(Presupuesto!$B$28='Flujo de Pagos'!$E258,28,9999)</f>
        <v>28</v>
      </c>
      <c r="AW258" s="0" t="n">
        <f aca="false">IF(Presupuesto!$B$29='Flujo de Pagos'!$E258,29,9999)</f>
        <v>29</v>
      </c>
      <c r="AX258" s="0" t="n">
        <f aca="false">IF(Presupuesto!$B$30='Flujo de Pagos'!$E258,30,9999)</f>
        <v>30</v>
      </c>
      <c r="AY258" s="0" t="n">
        <f aca="false">IF(Presupuesto!$B$31='Flujo de Pagos'!$E258,31,9999)</f>
        <v>31</v>
      </c>
      <c r="AZ258" s="0" t="n">
        <f aca="false">IF(Presupuesto!$B$32='Flujo de Pagos'!$E258,32,9999)</f>
        <v>32</v>
      </c>
      <c r="BA258" s="0" t="n">
        <f aca="false">IF(Presupuesto!$B$33='Flujo de Pagos'!$E258,33,9999)</f>
        <v>33</v>
      </c>
      <c r="BB258" s="0" t="n">
        <f aca="false">IF(Presupuesto!$B$34='Flujo de Pagos'!$E258,34,9999)</f>
        <v>34</v>
      </c>
      <c r="BC258" s="0" t="n">
        <f aca="false">IF(Presupuesto!$B$35='Flujo de Pagos'!$E258,35,9999)</f>
        <v>35</v>
      </c>
      <c r="BD258" s="0" t="n">
        <f aca="false">IF(Presupuesto!$B$36='Flujo de Pagos'!$E258,36,9999)</f>
        <v>36</v>
      </c>
      <c r="BE258" s="0" t="n">
        <f aca="false">IF(Presupuesto!$B$37='Flujo de Pagos'!$E258,37,9999)</f>
        <v>37</v>
      </c>
      <c r="BF258" s="0" t="n">
        <f aca="false">IF(Presupuesto!$B$38='Flujo de Pagos'!$E258,38,9999)</f>
        <v>38</v>
      </c>
      <c r="BG258" s="0" t="n">
        <f aca="false">IF(Presupuesto!$B$39='Flujo de Pagos'!$E258,39,9999)</f>
        <v>39</v>
      </c>
      <c r="BH258" s="0" t="n">
        <f aca="false">IF(Presupuesto!$B$40='Flujo de Pagos'!$E258,40,9999)</f>
        <v>40</v>
      </c>
      <c r="BI258" s="0" t="n">
        <f aca="false">IF(Presupuesto!$B$41='Flujo de Pagos'!$E258,41,9999)</f>
        <v>41</v>
      </c>
      <c r="BJ258" s="0" t="n">
        <f aca="false">IF(Presupuesto!$B$42='Flujo de Pagos'!$E258,42,9999)</f>
        <v>42</v>
      </c>
      <c r="BK258" s="0" t="n">
        <f aca="false">IF(Presupuesto!$B$43='Flujo de Pagos'!$E258,43,9999)</f>
        <v>43</v>
      </c>
      <c r="BL258" s="0" t="n">
        <f aca="false">IF(Presupuesto!$B$44='Flujo de Pagos'!$E258,44,9999)</f>
        <v>44</v>
      </c>
      <c r="BM258" s="0" t="n">
        <f aca="false">IF(Presupuesto!$B$45='Flujo de Pagos'!$E258,45,9999)</f>
        <v>45</v>
      </c>
      <c r="BN258" s="0" t="n">
        <f aca="false">IF(Presupuesto!$B$46='Flujo de Pagos'!$E258,46,9999)</f>
        <v>46</v>
      </c>
      <c r="BO258" s="0" t="n">
        <f aca="false">IF(Presupuesto!$B$47='Flujo de Pagos'!$E258,47,9999)</f>
        <v>47</v>
      </c>
      <c r="BP258" s="0" t="n">
        <f aca="false">IF(Presupuesto!$B$48='Flujo de Pagos'!$E258,48,9999)</f>
        <v>48</v>
      </c>
      <c r="BQ258" s="0" t="n">
        <f aca="false">IF(Presupuesto!$B$49='Flujo de Pagos'!$E258,49,9999)</f>
        <v>49</v>
      </c>
      <c r="BR258" s="0" t="n">
        <f aca="false">IF(Presupuesto!$B$50='Flujo de Pagos'!$E258,50,9999)</f>
        <v>50</v>
      </c>
      <c r="BS258" s="0" t="n">
        <f aca="false">IF(Presupuesto!$B$51='Flujo de Pagos'!$E258,51,9999)</f>
        <v>51</v>
      </c>
      <c r="BT258" s="0" t="n">
        <f aca="false">IF(Presupuesto!$B$52='Flujo de Pagos'!$E258,52,9999)</f>
        <v>52</v>
      </c>
      <c r="BU258" s="0" t="n">
        <f aca="false">IF(Presupuesto!$B$53='Flujo de Pagos'!$E258,53,9999)</f>
        <v>53</v>
      </c>
      <c r="BV258" s="0" t="n">
        <f aca="false">IF(Presupuesto!$B$54='Flujo de Pagos'!$E258,54,9999)</f>
        <v>54</v>
      </c>
      <c r="BW258" s="0" t="n">
        <f aca="false">IF(Presupuesto!$B$55='Flujo de Pagos'!$E258,55,9999)</f>
        <v>55</v>
      </c>
      <c r="BX258" s="0" t="n">
        <f aca="false">IF(Presupuesto!$B$56='Flujo de Pagos'!$E258,56,9999)</f>
        <v>56</v>
      </c>
      <c r="BY258" s="0" t="n">
        <f aca="false">IF(Presupuesto!$B$57='Flujo de Pagos'!$E258,57,9999)</f>
        <v>57</v>
      </c>
      <c r="BZ258" s="0" t="n">
        <f aca="false">IF(Presupuesto!$B$58='Flujo de Pagos'!$E258,58,9999)</f>
        <v>58</v>
      </c>
      <c r="CA258" s="0" t="n">
        <f aca="false">IF(Presupuesto!$B$59='Flujo de Pagos'!$E258,59,9999)</f>
        <v>59</v>
      </c>
      <c r="CB258" s="0" t="n">
        <f aca="false">IF(Presupuesto!$B$60='Flujo de Pagos'!$E258,60,9999)</f>
        <v>60</v>
      </c>
      <c r="CC258" s="0" t="n">
        <f aca="false">IF(Presupuesto!$B$61='Flujo de Pagos'!$E258,61,9999)</f>
        <v>61</v>
      </c>
      <c r="CD258" s="0" t="n">
        <f aca="false">IF(Presupuesto!$B$62='Flujo de Pagos'!$E258,62,9999)</f>
        <v>62</v>
      </c>
      <c r="CE258" s="0" t="n">
        <f aca="false">IF(Presupuesto!$B$63='Flujo de Pagos'!$E258,63,9999)</f>
        <v>63</v>
      </c>
      <c r="CF258" s="0" t="n">
        <f aca="false">IF(Presupuesto!$B$64='Flujo de Pagos'!$E258,64,9999)</f>
        <v>64</v>
      </c>
      <c r="CG258" s="0" t="n">
        <f aca="false">IF(Presupuesto!$B$65='Flujo de Pagos'!$E258,65,9999)</f>
        <v>65</v>
      </c>
      <c r="CH258" s="0" t="n">
        <f aca="false">IF(Presupuesto!$B$66='Flujo de Pagos'!$E258,66,9999)</f>
        <v>66</v>
      </c>
    </row>
    <row r="259" customFormat="false" ht="15" hidden="false" customHeight="true" outlineLevel="0" collapsed="false">
      <c r="B259" s="1" t="n">
        <f aca="false">IF(AND('Flujo de Pagos'!E264=Carátula!$B$2,'Flujo de Pagos'!F264=Carátula!$B$4,'Flujo de Pagos'!H264&lt;&gt;""),264,99999)</f>
        <v>99999</v>
      </c>
      <c r="H259" s="1" t="n">
        <f aca="false">IF(SMALL($AA259:$CH259,1)&gt;=9999,"",INDEX(Presupuesto!$C:$C,SMALL($AA259:$CH259,1)))</f>
        <v>0</v>
      </c>
      <c r="I259" s="1" t="n">
        <f aca="false">IF(SMALL($AA259:$CH259,2)&gt;=9999,"",INDEX(Presupuesto!$C:$C,SMALL($AA259:$CH259,2)))</f>
        <v>0</v>
      </c>
      <c r="J259" s="1" t="n">
        <f aca="false">IF(SMALL($AA259:$CH259,3)&gt;=9999,"",INDEX(Presupuesto!$C:$C,SMALL($AA259:$CH259,3)))</f>
        <v>0</v>
      </c>
      <c r="K259" s="1" t="n">
        <f aca="false">IF(SMALL($AA259:$CH259,4)&gt;=9999,"",INDEX(Presupuesto!$C:$C,SMALL($AA259:$CH259,4)))</f>
        <v>0</v>
      </c>
      <c r="L259" s="1" t="n">
        <f aca="false">IF(SMALL($AA259:$CH259,5)&gt;=9999,"",INDEX(Presupuesto!$C:$C,SMALL($AA259:$CH259,5)))</f>
        <v>0</v>
      </c>
      <c r="M259" s="1" t="n">
        <f aca="false">IF(SMALL($AA259:$CH259,6)&gt;=9999,"",INDEX(Presupuesto!$C:$C,SMALL($AA259:$CH259,6)))</f>
        <v>0</v>
      </c>
      <c r="N259" s="1" t="n">
        <f aca="false">IF(SMALL($AA259:$CH259,7)&gt;=9999,"",INDEX(Presupuesto!$C:$C,SMALL($AA259:$CH259,7)))</f>
        <v>0</v>
      </c>
      <c r="O259" s="1" t="n">
        <f aca="false">IF(SMALL($AA259:$CH259,8)&gt;=9999,"",INDEX(Presupuesto!$C:$C,SMALL($AA259:$CH259,8)))</f>
        <v>0</v>
      </c>
      <c r="P259" s="1" t="n">
        <f aca="false">IF(SMALL($AA259:$CH259,9)&gt;=9999,"",INDEX(Presupuesto!$C:$C,SMALL($AA259:$CH259,9)))</f>
        <v>0</v>
      </c>
      <c r="Q259" s="1" t="n">
        <f aca="false">IF(SMALL($AA259:$CH259,10)&gt;=9999,"",INDEX(Presupuesto!$C:$C,SMALL($AA259:$CH259,10)))</f>
        <v>0</v>
      </c>
      <c r="AA259" s="0" t="n">
        <f aca="false">IF(Presupuesto!$B$7='Flujo de Pagos'!$E259,7,9999)</f>
        <v>9999</v>
      </c>
      <c r="AB259" s="0" t="n">
        <f aca="false">IF(Presupuesto!$B$8='Flujo de Pagos'!$E259,8,9999)</f>
        <v>9999</v>
      </c>
      <c r="AC259" s="0" t="n">
        <f aca="false">IF(Presupuesto!$B$9='Flujo de Pagos'!$E259,9,9999)</f>
        <v>9999</v>
      </c>
      <c r="AD259" s="0" t="n">
        <f aca="false">IF(Presupuesto!$B$10='Flujo de Pagos'!$E259,10,9999)</f>
        <v>9999</v>
      </c>
      <c r="AE259" s="0" t="n">
        <f aca="false">IF(Presupuesto!$B$11='Flujo de Pagos'!$E259,11,9999)</f>
        <v>9999</v>
      </c>
      <c r="AF259" s="0" t="n">
        <f aca="false">IF(Presupuesto!$B$12='Flujo de Pagos'!$E259,12,9999)</f>
        <v>12</v>
      </c>
      <c r="AG259" s="0" t="n">
        <f aca="false">IF(Presupuesto!$B$13='Flujo de Pagos'!$E259,13,9999)</f>
        <v>13</v>
      </c>
      <c r="AH259" s="0" t="n">
        <f aca="false">IF(Presupuesto!$B$14='Flujo de Pagos'!$E259,14,9999)</f>
        <v>14</v>
      </c>
      <c r="AI259" s="0" t="n">
        <f aca="false">IF(Presupuesto!$B$15='Flujo de Pagos'!$E259,15,9999)</f>
        <v>15</v>
      </c>
      <c r="AJ259" s="0" t="n">
        <f aca="false">IF(Presupuesto!$B$16='Flujo de Pagos'!$E259,16,9999)</f>
        <v>16</v>
      </c>
      <c r="AK259" s="0" t="n">
        <f aca="false">IF(Presupuesto!$B$17='Flujo de Pagos'!$E259,17,9999)</f>
        <v>17</v>
      </c>
      <c r="AL259" s="0" t="n">
        <f aca="false">IF(Presupuesto!$B$18='Flujo de Pagos'!$E259,18,9999)</f>
        <v>18</v>
      </c>
      <c r="AM259" s="0" t="n">
        <f aca="false">IF(Presupuesto!$B$19='Flujo de Pagos'!$E259,19,9999)</f>
        <v>19</v>
      </c>
      <c r="AN259" s="0" t="n">
        <f aca="false">IF(Presupuesto!$B$20='Flujo de Pagos'!$E259,20,9999)</f>
        <v>20</v>
      </c>
      <c r="AO259" s="0" t="n">
        <f aca="false">IF(Presupuesto!$B$21='Flujo de Pagos'!$E259,21,9999)</f>
        <v>21</v>
      </c>
      <c r="AP259" s="0" t="n">
        <f aca="false">IF(Presupuesto!$B$22='Flujo de Pagos'!$E259,22,9999)</f>
        <v>22</v>
      </c>
      <c r="AQ259" s="0" t="n">
        <f aca="false">IF(Presupuesto!$B$23='Flujo de Pagos'!$E259,23,9999)</f>
        <v>23</v>
      </c>
      <c r="AR259" s="0" t="n">
        <f aca="false">IF(Presupuesto!$B$24='Flujo de Pagos'!$E259,24,9999)</f>
        <v>24</v>
      </c>
      <c r="AS259" s="0" t="n">
        <f aca="false">IF(Presupuesto!$B$25='Flujo de Pagos'!$E259,25,9999)</f>
        <v>25</v>
      </c>
      <c r="AT259" s="0" t="n">
        <f aca="false">IF(Presupuesto!$B$26='Flujo de Pagos'!$E259,26,9999)</f>
        <v>26</v>
      </c>
      <c r="AU259" s="0" t="n">
        <f aca="false">IF(Presupuesto!$B$27='Flujo de Pagos'!$E259,27,9999)</f>
        <v>27</v>
      </c>
      <c r="AV259" s="0" t="n">
        <f aca="false">IF(Presupuesto!$B$28='Flujo de Pagos'!$E259,28,9999)</f>
        <v>28</v>
      </c>
      <c r="AW259" s="0" t="n">
        <f aca="false">IF(Presupuesto!$B$29='Flujo de Pagos'!$E259,29,9999)</f>
        <v>29</v>
      </c>
      <c r="AX259" s="0" t="n">
        <f aca="false">IF(Presupuesto!$B$30='Flujo de Pagos'!$E259,30,9999)</f>
        <v>30</v>
      </c>
      <c r="AY259" s="0" t="n">
        <f aca="false">IF(Presupuesto!$B$31='Flujo de Pagos'!$E259,31,9999)</f>
        <v>31</v>
      </c>
      <c r="AZ259" s="0" t="n">
        <f aca="false">IF(Presupuesto!$B$32='Flujo de Pagos'!$E259,32,9999)</f>
        <v>32</v>
      </c>
      <c r="BA259" s="0" t="n">
        <f aca="false">IF(Presupuesto!$B$33='Flujo de Pagos'!$E259,33,9999)</f>
        <v>33</v>
      </c>
      <c r="BB259" s="0" t="n">
        <f aca="false">IF(Presupuesto!$B$34='Flujo de Pagos'!$E259,34,9999)</f>
        <v>34</v>
      </c>
      <c r="BC259" s="0" t="n">
        <f aca="false">IF(Presupuesto!$B$35='Flujo de Pagos'!$E259,35,9999)</f>
        <v>35</v>
      </c>
      <c r="BD259" s="0" t="n">
        <f aca="false">IF(Presupuesto!$B$36='Flujo de Pagos'!$E259,36,9999)</f>
        <v>36</v>
      </c>
      <c r="BE259" s="0" t="n">
        <f aca="false">IF(Presupuesto!$B$37='Flujo de Pagos'!$E259,37,9999)</f>
        <v>37</v>
      </c>
      <c r="BF259" s="0" t="n">
        <f aca="false">IF(Presupuesto!$B$38='Flujo de Pagos'!$E259,38,9999)</f>
        <v>38</v>
      </c>
      <c r="BG259" s="0" t="n">
        <f aca="false">IF(Presupuesto!$B$39='Flujo de Pagos'!$E259,39,9999)</f>
        <v>39</v>
      </c>
      <c r="BH259" s="0" t="n">
        <f aca="false">IF(Presupuesto!$B$40='Flujo de Pagos'!$E259,40,9999)</f>
        <v>40</v>
      </c>
      <c r="BI259" s="0" t="n">
        <f aca="false">IF(Presupuesto!$B$41='Flujo de Pagos'!$E259,41,9999)</f>
        <v>41</v>
      </c>
      <c r="BJ259" s="0" t="n">
        <f aca="false">IF(Presupuesto!$B$42='Flujo de Pagos'!$E259,42,9999)</f>
        <v>42</v>
      </c>
      <c r="BK259" s="0" t="n">
        <f aca="false">IF(Presupuesto!$B$43='Flujo de Pagos'!$E259,43,9999)</f>
        <v>43</v>
      </c>
      <c r="BL259" s="0" t="n">
        <f aca="false">IF(Presupuesto!$B$44='Flujo de Pagos'!$E259,44,9999)</f>
        <v>44</v>
      </c>
      <c r="BM259" s="0" t="n">
        <f aca="false">IF(Presupuesto!$B$45='Flujo de Pagos'!$E259,45,9999)</f>
        <v>45</v>
      </c>
      <c r="BN259" s="0" t="n">
        <f aca="false">IF(Presupuesto!$B$46='Flujo de Pagos'!$E259,46,9999)</f>
        <v>46</v>
      </c>
      <c r="BO259" s="0" t="n">
        <f aca="false">IF(Presupuesto!$B$47='Flujo de Pagos'!$E259,47,9999)</f>
        <v>47</v>
      </c>
      <c r="BP259" s="0" t="n">
        <f aca="false">IF(Presupuesto!$B$48='Flujo de Pagos'!$E259,48,9999)</f>
        <v>48</v>
      </c>
      <c r="BQ259" s="0" t="n">
        <f aca="false">IF(Presupuesto!$B$49='Flujo de Pagos'!$E259,49,9999)</f>
        <v>49</v>
      </c>
      <c r="BR259" s="0" t="n">
        <f aca="false">IF(Presupuesto!$B$50='Flujo de Pagos'!$E259,50,9999)</f>
        <v>50</v>
      </c>
      <c r="BS259" s="0" t="n">
        <f aca="false">IF(Presupuesto!$B$51='Flujo de Pagos'!$E259,51,9999)</f>
        <v>51</v>
      </c>
      <c r="BT259" s="0" t="n">
        <f aca="false">IF(Presupuesto!$B$52='Flujo de Pagos'!$E259,52,9999)</f>
        <v>52</v>
      </c>
      <c r="BU259" s="0" t="n">
        <f aca="false">IF(Presupuesto!$B$53='Flujo de Pagos'!$E259,53,9999)</f>
        <v>53</v>
      </c>
      <c r="BV259" s="0" t="n">
        <f aca="false">IF(Presupuesto!$B$54='Flujo de Pagos'!$E259,54,9999)</f>
        <v>54</v>
      </c>
      <c r="BW259" s="0" t="n">
        <f aca="false">IF(Presupuesto!$B$55='Flujo de Pagos'!$E259,55,9999)</f>
        <v>55</v>
      </c>
      <c r="BX259" s="0" t="n">
        <f aca="false">IF(Presupuesto!$B$56='Flujo de Pagos'!$E259,56,9999)</f>
        <v>56</v>
      </c>
      <c r="BY259" s="0" t="n">
        <f aca="false">IF(Presupuesto!$B$57='Flujo de Pagos'!$E259,57,9999)</f>
        <v>57</v>
      </c>
      <c r="BZ259" s="0" t="n">
        <f aca="false">IF(Presupuesto!$B$58='Flujo de Pagos'!$E259,58,9999)</f>
        <v>58</v>
      </c>
      <c r="CA259" s="0" t="n">
        <f aca="false">IF(Presupuesto!$B$59='Flujo de Pagos'!$E259,59,9999)</f>
        <v>59</v>
      </c>
      <c r="CB259" s="0" t="n">
        <f aca="false">IF(Presupuesto!$B$60='Flujo de Pagos'!$E259,60,9999)</f>
        <v>60</v>
      </c>
      <c r="CC259" s="0" t="n">
        <f aca="false">IF(Presupuesto!$B$61='Flujo de Pagos'!$E259,61,9999)</f>
        <v>61</v>
      </c>
      <c r="CD259" s="0" t="n">
        <f aca="false">IF(Presupuesto!$B$62='Flujo de Pagos'!$E259,62,9999)</f>
        <v>62</v>
      </c>
      <c r="CE259" s="0" t="n">
        <f aca="false">IF(Presupuesto!$B$63='Flujo de Pagos'!$E259,63,9999)</f>
        <v>63</v>
      </c>
      <c r="CF259" s="0" t="n">
        <f aca="false">IF(Presupuesto!$B$64='Flujo de Pagos'!$E259,64,9999)</f>
        <v>64</v>
      </c>
      <c r="CG259" s="0" t="n">
        <f aca="false">IF(Presupuesto!$B$65='Flujo de Pagos'!$E259,65,9999)</f>
        <v>65</v>
      </c>
      <c r="CH259" s="0" t="n">
        <f aca="false">IF(Presupuesto!$B$66='Flujo de Pagos'!$E259,66,9999)</f>
        <v>66</v>
      </c>
    </row>
    <row r="260" customFormat="false" ht="15" hidden="false" customHeight="true" outlineLevel="0" collapsed="false">
      <c r="B260" s="1" t="n">
        <f aca="false">IF(AND('Flujo de Pagos'!E265=Carátula!$B$2,'Flujo de Pagos'!F265=Carátula!$B$4,'Flujo de Pagos'!H265&lt;&gt;""),265,99999)</f>
        <v>99999</v>
      </c>
      <c r="H260" s="1" t="n">
        <f aca="false">IF(SMALL($AA260:$CH260,1)&gt;=9999,"",INDEX(Presupuesto!$C:$C,SMALL($AA260:$CH260,1)))</f>
        <v>0</v>
      </c>
      <c r="I260" s="1" t="n">
        <f aca="false">IF(SMALL($AA260:$CH260,2)&gt;=9999,"",INDEX(Presupuesto!$C:$C,SMALL($AA260:$CH260,2)))</f>
        <v>0</v>
      </c>
      <c r="J260" s="1" t="n">
        <f aca="false">IF(SMALL($AA260:$CH260,3)&gt;=9999,"",INDEX(Presupuesto!$C:$C,SMALL($AA260:$CH260,3)))</f>
        <v>0</v>
      </c>
      <c r="K260" s="1" t="n">
        <f aca="false">IF(SMALL($AA260:$CH260,4)&gt;=9999,"",INDEX(Presupuesto!$C:$C,SMALL($AA260:$CH260,4)))</f>
        <v>0</v>
      </c>
      <c r="L260" s="1" t="n">
        <f aca="false">IF(SMALL($AA260:$CH260,5)&gt;=9999,"",INDEX(Presupuesto!$C:$C,SMALL($AA260:$CH260,5)))</f>
        <v>0</v>
      </c>
      <c r="M260" s="1" t="n">
        <f aca="false">IF(SMALL($AA260:$CH260,6)&gt;=9999,"",INDEX(Presupuesto!$C:$C,SMALL($AA260:$CH260,6)))</f>
        <v>0</v>
      </c>
      <c r="N260" s="1" t="n">
        <f aca="false">IF(SMALL($AA260:$CH260,7)&gt;=9999,"",INDEX(Presupuesto!$C:$C,SMALL($AA260:$CH260,7)))</f>
        <v>0</v>
      </c>
      <c r="O260" s="1" t="n">
        <f aca="false">IF(SMALL($AA260:$CH260,8)&gt;=9999,"",INDEX(Presupuesto!$C:$C,SMALL($AA260:$CH260,8)))</f>
        <v>0</v>
      </c>
      <c r="P260" s="1" t="n">
        <f aca="false">IF(SMALL($AA260:$CH260,9)&gt;=9999,"",INDEX(Presupuesto!$C:$C,SMALL($AA260:$CH260,9)))</f>
        <v>0</v>
      </c>
      <c r="Q260" s="1" t="n">
        <f aca="false">IF(SMALL($AA260:$CH260,10)&gt;=9999,"",INDEX(Presupuesto!$C:$C,SMALL($AA260:$CH260,10)))</f>
        <v>0</v>
      </c>
      <c r="AA260" s="0" t="n">
        <f aca="false">IF(Presupuesto!$B$7='Flujo de Pagos'!$E260,7,9999)</f>
        <v>9999</v>
      </c>
      <c r="AB260" s="0" t="n">
        <f aca="false">IF(Presupuesto!$B$8='Flujo de Pagos'!$E260,8,9999)</f>
        <v>9999</v>
      </c>
      <c r="AC260" s="0" t="n">
        <f aca="false">IF(Presupuesto!$B$9='Flujo de Pagos'!$E260,9,9999)</f>
        <v>9999</v>
      </c>
      <c r="AD260" s="0" t="n">
        <f aca="false">IF(Presupuesto!$B$10='Flujo de Pagos'!$E260,10,9999)</f>
        <v>9999</v>
      </c>
      <c r="AE260" s="0" t="n">
        <f aca="false">IF(Presupuesto!$B$11='Flujo de Pagos'!$E260,11,9999)</f>
        <v>9999</v>
      </c>
      <c r="AF260" s="0" t="n">
        <f aca="false">IF(Presupuesto!$B$12='Flujo de Pagos'!$E260,12,9999)</f>
        <v>12</v>
      </c>
      <c r="AG260" s="0" t="n">
        <f aca="false">IF(Presupuesto!$B$13='Flujo de Pagos'!$E260,13,9999)</f>
        <v>13</v>
      </c>
      <c r="AH260" s="0" t="n">
        <f aca="false">IF(Presupuesto!$B$14='Flujo de Pagos'!$E260,14,9999)</f>
        <v>14</v>
      </c>
      <c r="AI260" s="0" t="n">
        <f aca="false">IF(Presupuesto!$B$15='Flujo de Pagos'!$E260,15,9999)</f>
        <v>15</v>
      </c>
      <c r="AJ260" s="0" t="n">
        <f aca="false">IF(Presupuesto!$B$16='Flujo de Pagos'!$E260,16,9999)</f>
        <v>16</v>
      </c>
      <c r="AK260" s="0" t="n">
        <f aca="false">IF(Presupuesto!$B$17='Flujo de Pagos'!$E260,17,9999)</f>
        <v>17</v>
      </c>
      <c r="AL260" s="0" t="n">
        <f aca="false">IF(Presupuesto!$B$18='Flujo de Pagos'!$E260,18,9999)</f>
        <v>18</v>
      </c>
      <c r="AM260" s="0" t="n">
        <f aca="false">IF(Presupuesto!$B$19='Flujo de Pagos'!$E260,19,9999)</f>
        <v>19</v>
      </c>
      <c r="AN260" s="0" t="n">
        <f aca="false">IF(Presupuesto!$B$20='Flujo de Pagos'!$E260,20,9999)</f>
        <v>20</v>
      </c>
      <c r="AO260" s="0" t="n">
        <f aca="false">IF(Presupuesto!$B$21='Flujo de Pagos'!$E260,21,9999)</f>
        <v>21</v>
      </c>
      <c r="AP260" s="0" t="n">
        <f aca="false">IF(Presupuesto!$B$22='Flujo de Pagos'!$E260,22,9999)</f>
        <v>22</v>
      </c>
      <c r="AQ260" s="0" t="n">
        <f aca="false">IF(Presupuesto!$B$23='Flujo de Pagos'!$E260,23,9999)</f>
        <v>23</v>
      </c>
      <c r="AR260" s="0" t="n">
        <f aca="false">IF(Presupuesto!$B$24='Flujo de Pagos'!$E260,24,9999)</f>
        <v>24</v>
      </c>
      <c r="AS260" s="0" t="n">
        <f aca="false">IF(Presupuesto!$B$25='Flujo de Pagos'!$E260,25,9999)</f>
        <v>25</v>
      </c>
      <c r="AT260" s="0" t="n">
        <f aca="false">IF(Presupuesto!$B$26='Flujo de Pagos'!$E260,26,9999)</f>
        <v>26</v>
      </c>
      <c r="AU260" s="0" t="n">
        <f aca="false">IF(Presupuesto!$B$27='Flujo de Pagos'!$E260,27,9999)</f>
        <v>27</v>
      </c>
      <c r="AV260" s="0" t="n">
        <f aca="false">IF(Presupuesto!$B$28='Flujo de Pagos'!$E260,28,9999)</f>
        <v>28</v>
      </c>
      <c r="AW260" s="0" t="n">
        <f aca="false">IF(Presupuesto!$B$29='Flujo de Pagos'!$E260,29,9999)</f>
        <v>29</v>
      </c>
      <c r="AX260" s="0" t="n">
        <f aca="false">IF(Presupuesto!$B$30='Flujo de Pagos'!$E260,30,9999)</f>
        <v>30</v>
      </c>
      <c r="AY260" s="0" t="n">
        <f aca="false">IF(Presupuesto!$B$31='Flujo de Pagos'!$E260,31,9999)</f>
        <v>31</v>
      </c>
      <c r="AZ260" s="0" t="n">
        <f aca="false">IF(Presupuesto!$B$32='Flujo de Pagos'!$E260,32,9999)</f>
        <v>32</v>
      </c>
      <c r="BA260" s="0" t="n">
        <f aca="false">IF(Presupuesto!$B$33='Flujo de Pagos'!$E260,33,9999)</f>
        <v>33</v>
      </c>
      <c r="BB260" s="0" t="n">
        <f aca="false">IF(Presupuesto!$B$34='Flujo de Pagos'!$E260,34,9999)</f>
        <v>34</v>
      </c>
      <c r="BC260" s="0" t="n">
        <f aca="false">IF(Presupuesto!$B$35='Flujo de Pagos'!$E260,35,9999)</f>
        <v>35</v>
      </c>
      <c r="BD260" s="0" t="n">
        <f aca="false">IF(Presupuesto!$B$36='Flujo de Pagos'!$E260,36,9999)</f>
        <v>36</v>
      </c>
      <c r="BE260" s="0" t="n">
        <f aca="false">IF(Presupuesto!$B$37='Flujo de Pagos'!$E260,37,9999)</f>
        <v>37</v>
      </c>
      <c r="BF260" s="0" t="n">
        <f aca="false">IF(Presupuesto!$B$38='Flujo de Pagos'!$E260,38,9999)</f>
        <v>38</v>
      </c>
      <c r="BG260" s="0" t="n">
        <f aca="false">IF(Presupuesto!$B$39='Flujo de Pagos'!$E260,39,9999)</f>
        <v>39</v>
      </c>
      <c r="BH260" s="0" t="n">
        <f aca="false">IF(Presupuesto!$B$40='Flujo de Pagos'!$E260,40,9999)</f>
        <v>40</v>
      </c>
      <c r="BI260" s="0" t="n">
        <f aca="false">IF(Presupuesto!$B$41='Flujo de Pagos'!$E260,41,9999)</f>
        <v>41</v>
      </c>
      <c r="BJ260" s="0" t="n">
        <f aca="false">IF(Presupuesto!$B$42='Flujo de Pagos'!$E260,42,9999)</f>
        <v>42</v>
      </c>
      <c r="BK260" s="0" t="n">
        <f aca="false">IF(Presupuesto!$B$43='Flujo de Pagos'!$E260,43,9999)</f>
        <v>43</v>
      </c>
      <c r="BL260" s="0" t="n">
        <f aca="false">IF(Presupuesto!$B$44='Flujo de Pagos'!$E260,44,9999)</f>
        <v>44</v>
      </c>
      <c r="BM260" s="0" t="n">
        <f aca="false">IF(Presupuesto!$B$45='Flujo de Pagos'!$E260,45,9999)</f>
        <v>45</v>
      </c>
      <c r="BN260" s="0" t="n">
        <f aca="false">IF(Presupuesto!$B$46='Flujo de Pagos'!$E260,46,9999)</f>
        <v>46</v>
      </c>
      <c r="BO260" s="0" t="n">
        <f aca="false">IF(Presupuesto!$B$47='Flujo de Pagos'!$E260,47,9999)</f>
        <v>47</v>
      </c>
      <c r="BP260" s="0" t="n">
        <f aca="false">IF(Presupuesto!$B$48='Flujo de Pagos'!$E260,48,9999)</f>
        <v>48</v>
      </c>
      <c r="BQ260" s="0" t="n">
        <f aca="false">IF(Presupuesto!$B$49='Flujo de Pagos'!$E260,49,9999)</f>
        <v>49</v>
      </c>
      <c r="BR260" s="0" t="n">
        <f aca="false">IF(Presupuesto!$B$50='Flujo de Pagos'!$E260,50,9999)</f>
        <v>50</v>
      </c>
      <c r="BS260" s="0" t="n">
        <f aca="false">IF(Presupuesto!$B$51='Flujo de Pagos'!$E260,51,9999)</f>
        <v>51</v>
      </c>
      <c r="BT260" s="0" t="n">
        <f aca="false">IF(Presupuesto!$B$52='Flujo de Pagos'!$E260,52,9999)</f>
        <v>52</v>
      </c>
      <c r="BU260" s="0" t="n">
        <f aca="false">IF(Presupuesto!$B$53='Flujo de Pagos'!$E260,53,9999)</f>
        <v>53</v>
      </c>
      <c r="BV260" s="0" t="n">
        <f aca="false">IF(Presupuesto!$B$54='Flujo de Pagos'!$E260,54,9999)</f>
        <v>54</v>
      </c>
      <c r="BW260" s="0" t="n">
        <f aca="false">IF(Presupuesto!$B$55='Flujo de Pagos'!$E260,55,9999)</f>
        <v>55</v>
      </c>
      <c r="BX260" s="0" t="n">
        <f aca="false">IF(Presupuesto!$B$56='Flujo de Pagos'!$E260,56,9999)</f>
        <v>56</v>
      </c>
      <c r="BY260" s="0" t="n">
        <f aca="false">IF(Presupuesto!$B$57='Flujo de Pagos'!$E260,57,9999)</f>
        <v>57</v>
      </c>
      <c r="BZ260" s="0" t="n">
        <f aca="false">IF(Presupuesto!$B$58='Flujo de Pagos'!$E260,58,9999)</f>
        <v>58</v>
      </c>
      <c r="CA260" s="0" t="n">
        <f aca="false">IF(Presupuesto!$B$59='Flujo de Pagos'!$E260,59,9999)</f>
        <v>59</v>
      </c>
      <c r="CB260" s="0" t="n">
        <f aca="false">IF(Presupuesto!$B$60='Flujo de Pagos'!$E260,60,9999)</f>
        <v>60</v>
      </c>
      <c r="CC260" s="0" t="n">
        <f aca="false">IF(Presupuesto!$B$61='Flujo de Pagos'!$E260,61,9999)</f>
        <v>61</v>
      </c>
      <c r="CD260" s="0" t="n">
        <f aca="false">IF(Presupuesto!$B$62='Flujo de Pagos'!$E260,62,9999)</f>
        <v>62</v>
      </c>
      <c r="CE260" s="0" t="n">
        <f aca="false">IF(Presupuesto!$B$63='Flujo de Pagos'!$E260,63,9999)</f>
        <v>63</v>
      </c>
      <c r="CF260" s="0" t="n">
        <f aca="false">IF(Presupuesto!$B$64='Flujo de Pagos'!$E260,64,9999)</f>
        <v>64</v>
      </c>
      <c r="CG260" s="0" t="n">
        <f aca="false">IF(Presupuesto!$B$65='Flujo de Pagos'!$E260,65,9999)</f>
        <v>65</v>
      </c>
      <c r="CH260" s="0" t="n">
        <f aca="false">IF(Presupuesto!$B$66='Flujo de Pagos'!$E260,66,9999)</f>
        <v>66</v>
      </c>
    </row>
    <row r="261" customFormat="false" ht="15" hidden="false" customHeight="true" outlineLevel="0" collapsed="false">
      <c r="B261" s="1" t="n">
        <f aca="false">IF(AND('Flujo de Pagos'!E266=Carátula!$B$2,'Flujo de Pagos'!F266=Carátula!$B$4,'Flujo de Pagos'!H266&lt;&gt;""),266,99999)</f>
        <v>99999</v>
      </c>
      <c r="H261" s="1" t="n">
        <f aca="false">IF(SMALL($AA261:$CH261,1)&gt;=9999,"",INDEX(Presupuesto!$C:$C,SMALL($AA261:$CH261,1)))</f>
        <v>0</v>
      </c>
      <c r="I261" s="1" t="n">
        <f aca="false">IF(SMALL($AA261:$CH261,2)&gt;=9999,"",INDEX(Presupuesto!$C:$C,SMALL($AA261:$CH261,2)))</f>
        <v>0</v>
      </c>
      <c r="J261" s="1" t="n">
        <f aca="false">IF(SMALL($AA261:$CH261,3)&gt;=9999,"",INDEX(Presupuesto!$C:$C,SMALL($AA261:$CH261,3)))</f>
        <v>0</v>
      </c>
      <c r="K261" s="1" t="n">
        <f aca="false">IF(SMALL($AA261:$CH261,4)&gt;=9999,"",INDEX(Presupuesto!$C:$C,SMALL($AA261:$CH261,4)))</f>
        <v>0</v>
      </c>
      <c r="L261" s="1" t="n">
        <f aca="false">IF(SMALL($AA261:$CH261,5)&gt;=9999,"",INDEX(Presupuesto!$C:$C,SMALL($AA261:$CH261,5)))</f>
        <v>0</v>
      </c>
      <c r="M261" s="1" t="n">
        <f aca="false">IF(SMALL($AA261:$CH261,6)&gt;=9999,"",INDEX(Presupuesto!$C:$C,SMALL($AA261:$CH261,6)))</f>
        <v>0</v>
      </c>
      <c r="N261" s="1" t="n">
        <f aca="false">IF(SMALL($AA261:$CH261,7)&gt;=9999,"",INDEX(Presupuesto!$C:$C,SMALL($AA261:$CH261,7)))</f>
        <v>0</v>
      </c>
      <c r="O261" s="1" t="n">
        <f aca="false">IF(SMALL($AA261:$CH261,8)&gt;=9999,"",INDEX(Presupuesto!$C:$C,SMALL($AA261:$CH261,8)))</f>
        <v>0</v>
      </c>
      <c r="P261" s="1" t="n">
        <f aca="false">IF(SMALL($AA261:$CH261,9)&gt;=9999,"",INDEX(Presupuesto!$C:$C,SMALL($AA261:$CH261,9)))</f>
        <v>0</v>
      </c>
      <c r="Q261" s="1" t="n">
        <f aca="false">IF(SMALL($AA261:$CH261,10)&gt;=9999,"",INDEX(Presupuesto!$C:$C,SMALL($AA261:$CH261,10)))</f>
        <v>0</v>
      </c>
      <c r="AA261" s="0" t="n">
        <f aca="false">IF(Presupuesto!$B$7='Flujo de Pagos'!$E261,7,9999)</f>
        <v>9999</v>
      </c>
      <c r="AB261" s="0" t="n">
        <f aca="false">IF(Presupuesto!$B$8='Flujo de Pagos'!$E261,8,9999)</f>
        <v>9999</v>
      </c>
      <c r="AC261" s="0" t="n">
        <f aca="false">IF(Presupuesto!$B$9='Flujo de Pagos'!$E261,9,9999)</f>
        <v>9999</v>
      </c>
      <c r="AD261" s="0" t="n">
        <f aca="false">IF(Presupuesto!$B$10='Flujo de Pagos'!$E261,10,9999)</f>
        <v>9999</v>
      </c>
      <c r="AE261" s="0" t="n">
        <f aca="false">IF(Presupuesto!$B$11='Flujo de Pagos'!$E261,11,9999)</f>
        <v>9999</v>
      </c>
      <c r="AF261" s="0" t="n">
        <f aca="false">IF(Presupuesto!$B$12='Flujo de Pagos'!$E261,12,9999)</f>
        <v>12</v>
      </c>
      <c r="AG261" s="0" t="n">
        <f aca="false">IF(Presupuesto!$B$13='Flujo de Pagos'!$E261,13,9999)</f>
        <v>13</v>
      </c>
      <c r="AH261" s="0" t="n">
        <f aca="false">IF(Presupuesto!$B$14='Flujo de Pagos'!$E261,14,9999)</f>
        <v>14</v>
      </c>
      <c r="AI261" s="0" t="n">
        <f aca="false">IF(Presupuesto!$B$15='Flujo de Pagos'!$E261,15,9999)</f>
        <v>15</v>
      </c>
      <c r="AJ261" s="0" t="n">
        <f aca="false">IF(Presupuesto!$B$16='Flujo de Pagos'!$E261,16,9999)</f>
        <v>16</v>
      </c>
      <c r="AK261" s="0" t="n">
        <f aca="false">IF(Presupuesto!$B$17='Flujo de Pagos'!$E261,17,9999)</f>
        <v>17</v>
      </c>
      <c r="AL261" s="0" t="n">
        <f aca="false">IF(Presupuesto!$B$18='Flujo de Pagos'!$E261,18,9999)</f>
        <v>18</v>
      </c>
      <c r="AM261" s="0" t="n">
        <f aca="false">IF(Presupuesto!$B$19='Flujo de Pagos'!$E261,19,9999)</f>
        <v>19</v>
      </c>
      <c r="AN261" s="0" t="n">
        <f aca="false">IF(Presupuesto!$B$20='Flujo de Pagos'!$E261,20,9999)</f>
        <v>20</v>
      </c>
      <c r="AO261" s="0" t="n">
        <f aca="false">IF(Presupuesto!$B$21='Flujo de Pagos'!$E261,21,9999)</f>
        <v>21</v>
      </c>
      <c r="AP261" s="0" t="n">
        <f aca="false">IF(Presupuesto!$B$22='Flujo de Pagos'!$E261,22,9999)</f>
        <v>22</v>
      </c>
      <c r="AQ261" s="0" t="n">
        <f aca="false">IF(Presupuesto!$B$23='Flujo de Pagos'!$E261,23,9999)</f>
        <v>23</v>
      </c>
      <c r="AR261" s="0" t="n">
        <f aca="false">IF(Presupuesto!$B$24='Flujo de Pagos'!$E261,24,9999)</f>
        <v>24</v>
      </c>
      <c r="AS261" s="0" t="n">
        <f aca="false">IF(Presupuesto!$B$25='Flujo de Pagos'!$E261,25,9999)</f>
        <v>25</v>
      </c>
      <c r="AT261" s="0" t="n">
        <f aca="false">IF(Presupuesto!$B$26='Flujo de Pagos'!$E261,26,9999)</f>
        <v>26</v>
      </c>
      <c r="AU261" s="0" t="n">
        <f aca="false">IF(Presupuesto!$B$27='Flujo de Pagos'!$E261,27,9999)</f>
        <v>27</v>
      </c>
      <c r="AV261" s="0" t="n">
        <f aca="false">IF(Presupuesto!$B$28='Flujo de Pagos'!$E261,28,9999)</f>
        <v>28</v>
      </c>
      <c r="AW261" s="0" t="n">
        <f aca="false">IF(Presupuesto!$B$29='Flujo de Pagos'!$E261,29,9999)</f>
        <v>29</v>
      </c>
      <c r="AX261" s="0" t="n">
        <f aca="false">IF(Presupuesto!$B$30='Flujo de Pagos'!$E261,30,9999)</f>
        <v>30</v>
      </c>
      <c r="AY261" s="0" t="n">
        <f aca="false">IF(Presupuesto!$B$31='Flujo de Pagos'!$E261,31,9999)</f>
        <v>31</v>
      </c>
      <c r="AZ261" s="0" t="n">
        <f aca="false">IF(Presupuesto!$B$32='Flujo de Pagos'!$E261,32,9999)</f>
        <v>32</v>
      </c>
      <c r="BA261" s="0" t="n">
        <f aca="false">IF(Presupuesto!$B$33='Flujo de Pagos'!$E261,33,9999)</f>
        <v>33</v>
      </c>
      <c r="BB261" s="0" t="n">
        <f aca="false">IF(Presupuesto!$B$34='Flujo de Pagos'!$E261,34,9999)</f>
        <v>34</v>
      </c>
      <c r="BC261" s="0" t="n">
        <f aca="false">IF(Presupuesto!$B$35='Flujo de Pagos'!$E261,35,9999)</f>
        <v>35</v>
      </c>
      <c r="BD261" s="0" t="n">
        <f aca="false">IF(Presupuesto!$B$36='Flujo de Pagos'!$E261,36,9999)</f>
        <v>36</v>
      </c>
      <c r="BE261" s="0" t="n">
        <f aca="false">IF(Presupuesto!$B$37='Flujo de Pagos'!$E261,37,9999)</f>
        <v>37</v>
      </c>
      <c r="BF261" s="0" t="n">
        <f aca="false">IF(Presupuesto!$B$38='Flujo de Pagos'!$E261,38,9999)</f>
        <v>38</v>
      </c>
      <c r="BG261" s="0" t="n">
        <f aca="false">IF(Presupuesto!$B$39='Flujo de Pagos'!$E261,39,9999)</f>
        <v>39</v>
      </c>
      <c r="BH261" s="0" t="n">
        <f aca="false">IF(Presupuesto!$B$40='Flujo de Pagos'!$E261,40,9999)</f>
        <v>40</v>
      </c>
      <c r="BI261" s="0" t="n">
        <f aca="false">IF(Presupuesto!$B$41='Flujo de Pagos'!$E261,41,9999)</f>
        <v>41</v>
      </c>
      <c r="BJ261" s="0" t="n">
        <f aca="false">IF(Presupuesto!$B$42='Flujo de Pagos'!$E261,42,9999)</f>
        <v>42</v>
      </c>
      <c r="BK261" s="0" t="n">
        <f aca="false">IF(Presupuesto!$B$43='Flujo de Pagos'!$E261,43,9999)</f>
        <v>43</v>
      </c>
      <c r="BL261" s="0" t="n">
        <f aca="false">IF(Presupuesto!$B$44='Flujo de Pagos'!$E261,44,9999)</f>
        <v>44</v>
      </c>
      <c r="BM261" s="0" t="n">
        <f aca="false">IF(Presupuesto!$B$45='Flujo de Pagos'!$E261,45,9999)</f>
        <v>45</v>
      </c>
      <c r="BN261" s="0" t="n">
        <f aca="false">IF(Presupuesto!$B$46='Flujo de Pagos'!$E261,46,9999)</f>
        <v>46</v>
      </c>
      <c r="BO261" s="0" t="n">
        <f aca="false">IF(Presupuesto!$B$47='Flujo de Pagos'!$E261,47,9999)</f>
        <v>47</v>
      </c>
      <c r="BP261" s="0" t="n">
        <f aca="false">IF(Presupuesto!$B$48='Flujo de Pagos'!$E261,48,9999)</f>
        <v>48</v>
      </c>
      <c r="BQ261" s="0" t="n">
        <f aca="false">IF(Presupuesto!$B$49='Flujo de Pagos'!$E261,49,9999)</f>
        <v>49</v>
      </c>
      <c r="BR261" s="0" t="n">
        <f aca="false">IF(Presupuesto!$B$50='Flujo de Pagos'!$E261,50,9999)</f>
        <v>50</v>
      </c>
      <c r="BS261" s="0" t="n">
        <f aca="false">IF(Presupuesto!$B$51='Flujo de Pagos'!$E261,51,9999)</f>
        <v>51</v>
      </c>
      <c r="BT261" s="0" t="n">
        <f aca="false">IF(Presupuesto!$B$52='Flujo de Pagos'!$E261,52,9999)</f>
        <v>52</v>
      </c>
      <c r="BU261" s="0" t="n">
        <f aca="false">IF(Presupuesto!$B$53='Flujo de Pagos'!$E261,53,9999)</f>
        <v>53</v>
      </c>
      <c r="BV261" s="0" t="n">
        <f aca="false">IF(Presupuesto!$B$54='Flujo de Pagos'!$E261,54,9999)</f>
        <v>54</v>
      </c>
      <c r="BW261" s="0" t="n">
        <f aca="false">IF(Presupuesto!$B$55='Flujo de Pagos'!$E261,55,9999)</f>
        <v>55</v>
      </c>
      <c r="BX261" s="0" t="n">
        <f aca="false">IF(Presupuesto!$B$56='Flujo de Pagos'!$E261,56,9999)</f>
        <v>56</v>
      </c>
      <c r="BY261" s="0" t="n">
        <f aca="false">IF(Presupuesto!$B$57='Flujo de Pagos'!$E261,57,9999)</f>
        <v>57</v>
      </c>
      <c r="BZ261" s="0" t="n">
        <f aca="false">IF(Presupuesto!$B$58='Flujo de Pagos'!$E261,58,9999)</f>
        <v>58</v>
      </c>
      <c r="CA261" s="0" t="n">
        <f aca="false">IF(Presupuesto!$B$59='Flujo de Pagos'!$E261,59,9999)</f>
        <v>59</v>
      </c>
      <c r="CB261" s="0" t="n">
        <f aca="false">IF(Presupuesto!$B$60='Flujo de Pagos'!$E261,60,9999)</f>
        <v>60</v>
      </c>
      <c r="CC261" s="0" t="n">
        <f aca="false">IF(Presupuesto!$B$61='Flujo de Pagos'!$E261,61,9999)</f>
        <v>61</v>
      </c>
      <c r="CD261" s="0" t="n">
        <f aca="false">IF(Presupuesto!$B$62='Flujo de Pagos'!$E261,62,9999)</f>
        <v>62</v>
      </c>
      <c r="CE261" s="0" t="n">
        <f aca="false">IF(Presupuesto!$B$63='Flujo de Pagos'!$E261,63,9999)</f>
        <v>63</v>
      </c>
      <c r="CF261" s="0" t="n">
        <f aca="false">IF(Presupuesto!$B$64='Flujo de Pagos'!$E261,64,9999)</f>
        <v>64</v>
      </c>
      <c r="CG261" s="0" t="n">
        <f aca="false">IF(Presupuesto!$B$65='Flujo de Pagos'!$E261,65,9999)</f>
        <v>65</v>
      </c>
      <c r="CH261" s="0" t="n">
        <f aca="false">IF(Presupuesto!$B$66='Flujo de Pagos'!$E261,66,9999)</f>
        <v>66</v>
      </c>
    </row>
    <row r="262" customFormat="false" ht="15" hidden="false" customHeight="true" outlineLevel="0" collapsed="false">
      <c r="B262" s="1" t="n">
        <f aca="false">IF(AND('Flujo de Pagos'!E267=Carátula!$B$2,'Flujo de Pagos'!F267=Carátula!$B$4,'Flujo de Pagos'!H267&lt;&gt;""),267,99999)</f>
        <v>99999</v>
      </c>
      <c r="H262" s="1" t="n">
        <f aca="false">IF(SMALL($AA262:$CH262,1)&gt;=9999,"",INDEX(Presupuesto!$C:$C,SMALL($AA262:$CH262,1)))</f>
        <v>0</v>
      </c>
      <c r="I262" s="1" t="n">
        <f aca="false">IF(SMALL($AA262:$CH262,2)&gt;=9999,"",INDEX(Presupuesto!$C:$C,SMALL($AA262:$CH262,2)))</f>
        <v>0</v>
      </c>
      <c r="J262" s="1" t="n">
        <f aca="false">IF(SMALL($AA262:$CH262,3)&gt;=9999,"",INDEX(Presupuesto!$C:$C,SMALL($AA262:$CH262,3)))</f>
        <v>0</v>
      </c>
      <c r="K262" s="1" t="n">
        <f aca="false">IF(SMALL($AA262:$CH262,4)&gt;=9999,"",INDEX(Presupuesto!$C:$C,SMALL($AA262:$CH262,4)))</f>
        <v>0</v>
      </c>
      <c r="L262" s="1" t="n">
        <f aca="false">IF(SMALL($AA262:$CH262,5)&gt;=9999,"",INDEX(Presupuesto!$C:$C,SMALL($AA262:$CH262,5)))</f>
        <v>0</v>
      </c>
      <c r="M262" s="1" t="n">
        <f aca="false">IF(SMALL($AA262:$CH262,6)&gt;=9999,"",INDEX(Presupuesto!$C:$C,SMALL($AA262:$CH262,6)))</f>
        <v>0</v>
      </c>
      <c r="N262" s="1" t="n">
        <f aca="false">IF(SMALL($AA262:$CH262,7)&gt;=9999,"",INDEX(Presupuesto!$C:$C,SMALL($AA262:$CH262,7)))</f>
        <v>0</v>
      </c>
      <c r="O262" s="1" t="n">
        <f aca="false">IF(SMALL($AA262:$CH262,8)&gt;=9999,"",INDEX(Presupuesto!$C:$C,SMALL($AA262:$CH262,8)))</f>
        <v>0</v>
      </c>
      <c r="P262" s="1" t="n">
        <f aca="false">IF(SMALL($AA262:$CH262,9)&gt;=9999,"",INDEX(Presupuesto!$C:$C,SMALL($AA262:$CH262,9)))</f>
        <v>0</v>
      </c>
      <c r="Q262" s="1" t="n">
        <f aca="false">IF(SMALL($AA262:$CH262,10)&gt;=9999,"",INDEX(Presupuesto!$C:$C,SMALL($AA262:$CH262,10)))</f>
        <v>0</v>
      </c>
      <c r="AA262" s="0" t="n">
        <f aca="false">IF(Presupuesto!$B$7='Flujo de Pagos'!$E262,7,9999)</f>
        <v>9999</v>
      </c>
      <c r="AB262" s="0" t="n">
        <f aca="false">IF(Presupuesto!$B$8='Flujo de Pagos'!$E262,8,9999)</f>
        <v>9999</v>
      </c>
      <c r="AC262" s="0" t="n">
        <f aca="false">IF(Presupuesto!$B$9='Flujo de Pagos'!$E262,9,9999)</f>
        <v>9999</v>
      </c>
      <c r="AD262" s="0" t="n">
        <f aca="false">IF(Presupuesto!$B$10='Flujo de Pagos'!$E262,10,9999)</f>
        <v>9999</v>
      </c>
      <c r="AE262" s="0" t="n">
        <f aca="false">IF(Presupuesto!$B$11='Flujo de Pagos'!$E262,11,9999)</f>
        <v>9999</v>
      </c>
      <c r="AF262" s="0" t="n">
        <f aca="false">IF(Presupuesto!$B$12='Flujo de Pagos'!$E262,12,9999)</f>
        <v>12</v>
      </c>
      <c r="AG262" s="0" t="n">
        <f aca="false">IF(Presupuesto!$B$13='Flujo de Pagos'!$E262,13,9999)</f>
        <v>13</v>
      </c>
      <c r="AH262" s="0" t="n">
        <f aca="false">IF(Presupuesto!$B$14='Flujo de Pagos'!$E262,14,9999)</f>
        <v>14</v>
      </c>
      <c r="AI262" s="0" t="n">
        <f aca="false">IF(Presupuesto!$B$15='Flujo de Pagos'!$E262,15,9999)</f>
        <v>15</v>
      </c>
      <c r="AJ262" s="0" t="n">
        <f aca="false">IF(Presupuesto!$B$16='Flujo de Pagos'!$E262,16,9999)</f>
        <v>16</v>
      </c>
      <c r="AK262" s="0" t="n">
        <f aca="false">IF(Presupuesto!$B$17='Flujo de Pagos'!$E262,17,9999)</f>
        <v>17</v>
      </c>
      <c r="AL262" s="0" t="n">
        <f aca="false">IF(Presupuesto!$B$18='Flujo de Pagos'!$E262,18,9999)</f>
        <v>18</v>
      </c>
      <c r="AM262" s="0" t="n">
        <f aca="false">IF(Presupuesto!$B$19='Flujo de Pagos'!$E262,19,9999)</f>
        <v>19</v>
      </c>
      <c r="AN262" s="0" t="n">
        <f aca="false">IF(Presupuesto!$B$20='Flujo de Pagos'!$E262,20,9999)</f>
        <v>20</v>
      </c>
      <c r="AO262" s="0" t="n">
        <f aca="false">IF(Presupuesto!$B$21='Flujo de Pagos'!$E262,21,9999)</f>
        <v>21</v>
      </c>
      <c r="AP262" s="0" t="n">
        <f aca="false">IF(Presupuesto!$B$22='Flujo de Pagos'!$E262,22,9999)</f>
        <v>22</v>
      </c>
      <c r="AQ262" s="0" t="n">
        <f aca="false">IF(Presupuesto!$B$23='Flujo de Pagos'!$E262,23,9999)</f>
        <v>23</v>
      </c>
      <c r="AR262" s="0" t="n">
        <f aca="false">IF(Presupuesto!$B$24='Flujo de Pagos'!$E262,24,9999)</f>
        <v>24</v>
      </c>
      <c r="AS262" s="0" t="n">
        <f aca="false">IF(Presupuesto!$B$25='Flujo de Pagos'!$E262,25,9999)</f>
        <v>25</v>
      </c>
      <c r="AT262" s="0" t="n">
        <f aca="false">IF(Presupuesto!$B$26='Flujo de Pagos'!$E262,26,9999)</f>
        <v>26</v>
      </c>
      <c r="AU262" s="0" t="n">
        <f aca="false">IF(Presupuesto!$B$27='Flujo de Pagos'!$E262,27,9999)</f>
        <v>27</v>
      </c>
      <c r="AV262" s="0" t="n">
        <f aca="false">IF(Presupuesto!$B$28='Flujo de Pagos'!$E262,28,9999)</f>
        <v>28</v>
      </c>
      <c r="AW262" s="0" t="n">
        <f aca="false">IF(Presupuesto!$B$29='Flujo de Pagos'!$E262,29,9999)</f>
        <v>29</v>
      </c>
      <c r="AX262" s="0" t="n">
        <f aca="false">IF(Presupuesto!$B$30='Flujo de Pagos'!$E262,30,9999)</f>
        <v>30</v>
      </c>
      <c r="AY262" s="0" t="n">
        <f aca="false">IF(Presupuesto!$B$31='Flujo de Pagos'!$E262,31,9999)</f>
        <v>31</v>
      </c>
      <c r="AZ262" s="0" t="n">
        <f aca="false">IF(Presupuesto!$B$32='Flujo de Pagos'!$E262,32,9999)</f>
        <v>32</v>
      </c>
      <c r="BA262" s="0" t="n">
        <f aca="false">IF(Presupuesto!$B$33='Flujo de Pagos'!$E262,33,9999)</f>
        <v>33</v>
      </c>
      <c r="BB262" s="0" t="n">
        <f aca="false">IF(Presupuesto!$B$34='Flujo de Pagos'!$E262,34,9999)</f>
        <v>34</v>
      </c>
      <c r="BC262" s="0" t="n">
        <f aca="false">IF(Presupuesto!$B$35='Flujo de Pagos'!$E262,35,9999)</f>
        <v>35</v>
      </c>
      <c r="BD262" s="0" t="n">
        <f aca="false">IF(Presupuesto!$B$36='Flujo de Pagos'!$E262,36,9999)</f>
        <v>36</v>
      </c>
      <c r="BE262" s="0" t="n">
        <f aca="false">IF(Presupuesto!$B$37='Flujo de Pagos'!$E262,37,9999)</f>
        <v>37</v>
      </c>
      <c r="BF262" s="0" t="n">
        <f aca="false">IF(Presupuesto!$B$38='Flujo de Pagos'!$E262,38,9999)</f>
        <v>38</v>
      </c>
      <c r="BG262" s="0" t="n">
        <f aca="false">IF(Presupuesto!$B$39='Flujo de Pagos'!$E262,39,9999)</f>
        <v>39</v>
      </c>
      <c r="BH262" s="0" t="n">
        <f aca="false">IF(Presupuesto!$B$40='Flujo de Pagos'!$E262,40,9999)</f>
        <v>40</v>
      </c>
      <c r="BI262" s="0" t="n">
        <f aca="false">IF(Presupuesto!$B$41='Flujo de Pagos'!$E262,41,9999)</f>
        <v>41</v>
      </c>
      <c r="BJ262" s="0" t="n">
        <f aca="false">IF(Presupuesto!$B$42='Flujo de Pagos'!$E262,42,9999)</f>
        <v>42</v>
      </c>
      <c r="BK262" s="0" t="n">
        <f aca="false">IF(Presupuesto!$B$43='Flujo de Pagos'!$E262,43,9999)</f>
        <v>43</v>
      </c>
      <c r="BL262" s="0" t="n">
        <f aca="false">IF(Presupuesto!$B$44='Flujo de Pagos'!$E262,44,9999)</f>
        <v>44</v>
      </c>
      <c r="BM262" s="0" t="n">
        <f aca="false">IF(Presupuesto!$B$45='Flujo de Pagos'!$E262,45,9999)</f>
        <v>45</v>
      </c>
      <c r="BN262" s="0" t="n">
        <f aca="false">IF(Presupuesto!$B$46='Flujo de Pagos'!$E262,46,9999)</f>
        <v>46</v>
      </c>
      <c r="BO262" s="0" t="n">
        <f aca="false">IF(Presupuesto!$B$47='Flujo de Pagos'!$E262,47,9999)</f>
        <v>47</v>
      </c>
      <c r="BP262" s="0" t="n">
        <f aca="false">IF(Presupuesto!$B$48='Flujo de Pagos'!$E262,48,9999)</f>
        <v>48</v>
      </c>
      <c r="BQ262" s="0" t="n">
        <f aca="false">IF(Presupuesto!$B$49='Flujo de Pagos'!$E262,49,9999)</f>
        <v>49</v>
      </c>
      <c r="BR262" s="0" t="n">
        <f aca="false">IF(Presupuesto!$B$50='Flujo de Pagos'!$E262,50,9999)</f>
        <v>50</v>
      </c>
      <c r="BS262" s="0" t="n">
        <f aca="false">IF(Presupuesto!$B$51='Flujo de Pagos'!$E262,51,9999)</f>
        <v>51</v>
      </c>
      <c r="BT262" s="0" t="n">
        <f aca="false">IF(Presupuesto!$B$52='Flujo de Pagos'!$E262,52,9999)</f>
        <v>52</v>
      </c>
      <c r="BU262" s="0" t="n">
        <f aca="false">IF(Presupuesto!$B$53='Flujo de Pagos'!$E262,53,9999)</f>
        <v>53</v>
      </c>
      <c r="BV262" s="0" t="n">
        <f aca="false">IF(Presupuesto!$B$54='Flujo de Pagos'!$E262,54,9999)</f>
        <v>54</v>
      </c>
      <c r="BW262" s="0" t="n">
        <f aca="false">IF(Presupuesto!$B$55='Flujo de Pagos'!$E262,55,9999)</f>
        <v>55</v>
      </c>
      <c r="BX262" s="0" t="n">
        <f aca="false">IF(Presupuesto!$B$56='Flujo de Pagos'!$E262,56,9999)</f>
        <v>56</v>
      </c>
      <c r="BY262" s="0" t="n">
        <f aca="false">IF(Presupuesto!$B$57='Flujo de Pagos'!$E262,57,9999)</f>
        <v>57</v>
      </c>
      <c r="BZ262" s="0" t="n">
        <f aca="false">IF(Presupuesto!$B$58='Flujo de Pagos'!$E262,58,9999)</f>
        <v>58</v>
      </c>
      <c r="CA262" s="0" t="n">
        <f aca="false">IF(Presupuesto!$B$59='Flujo de Pagos'!$E262,59,9999)</f>
        <v>59</v>
      </c>
      <c r="CB262" s="0" t="n">
        <f aca="false">IF(Presupuesto!$B$60='Flujo de Pagos'!$E262,60,9999)</f>
        <v>60</v>
      </c>
      <c r="CC262" s="0" t="n">
        <f aca="false">IF(Presupuesto!$B$61='Flujo de Pagos'!$E262,61,9999)</f>
        <v>61</v>
      </c>
      <c r="CD262" s="0" t="n">
        <f aca="false">IF(Presupuesto!$B$62='Flujo de Pagos'!$E262,62,9999)</f>
        <v>62</v>
      </c>
      <c r="CE262" s="0" t="n">
        <f aca="false">IF(Presupuesto!$B$63='Flujo de Pagos'!$E262,63,9999)</f>
        <v>63</v>
      </c>
      <c r="CF262" s="0" t="n">
        <f aca="false">IF(Presupuesto!$B$64='Flujo de Pagos'!$E262,64,9999)</f>
        <v>64</v>
      </c>
      <c r="CG262" s="0" t="n">
        <f aca="false">IF(Presupuesto!$B$65='Flujo de Pagos'!$E262,65,9999)</f>
        <v>65</v>
      </c>
      <c r="CH262" s="0" t="n">
        <f aca="false">IF(Presupuesto!$B$66='Flujo de Pagos'!$E262,66,9999)</f>
        <v>66</v>
      </c>
    </row>
    <row r="263" customFormat="false" ht="15" hidden="false" customHeight="true" outlineLevel="0" collapsed="false">
      <c r="B263" s="1" t="n">
        <f aca="false">IF(AND('Flujo de Pagos'!E268=Carátula!$B$2,'Flujo de Pagos'!F268=Carátula!$B$4,'Flujo de Pagos'!H268&lt;&gt;""),268,99999)</f>
        <v>99999</v>
      </c>
      <c r="H263" s="1" t="n">
        <f aca="false">IF(SMALL($AA263:$CH263,1)&gt;=9999,"",INDEX(Presupuesto!$C:$C,SMALL($AA263:$CH263,1)))</f>
        <v>0</v>
      </c>
      <c r="I263" s="1" t="n">
        <f aca="false">IF(SMALL($AA263:$CH263,2)&gt;=9999,"",INDEX(Presupuesto!$C:$C,SMALL($AA263:$CH263,2)))</f>
        <v>0</v>
      </c>
      <c r="J263" s="1" t="n">
        <f aca="false">IF(SMALL($AA263:$CH263,3)&gt;=9999,"",INDEX(Presupuesto!$C:$C,SMALL($AA263:$CH263,3)))</f>
        <v>0</v>
      </c>
      <c r="K263" s="1" t="n">
        <f aca="false">IF(SMALL($AA263:$CH263,4)&gt;=9999,"",INDEX(Presupuesto!$C:$C,SMALL($AA263:$CH263,4)))</f>
        <v>0</v>
      </c>
      <c r="L263" s="1" t="n">
        <f aca="false">IF(SMALL($AA263:$CH263,5)&gt;=9999,"",INDEX(Presupuesto!$C:$C,SMALL($AA263:$CH263,5)))</f>
        <v>0</v>
      </c>
      <c r="M263" s="1" t="n">
        <f aca="false">IF(SMALL($AA263:$CH263,6)&gt;=9999,"",INDEX(Presupuesto!$C:$C,SMALL($AA263:$CH263,6)))</f>
        <v>0</v>
      </c>
      <c r="N263" s="1" t="n">
        <f aca="false">IF(SMALL($AA263:$CH263,7)&gt;=9999,"",INDEX(Presupuesto!$C:$C,SMALL($AA263:$CH263,7)))</f>
        <v>0</v>
      </c>
      <c r="O263" s="1" t="n">
        <f aca="false">IF(SMALL($AA263:$CH263,8)&gt;=9999,"",INDEX(Presupuesto!$C:$C,SMALL($AA263:$CH263,8)))</f>
        <v>0</v>
      </c>
      <c r="P263" s="1" t="n">
        <f aca="false">IF(SMALL($AA263:$CH263,9)&gt;=9999,"",INDEX(Presupuesto!$C:$C,SMALL($AA263:$CH263,9)))</f>
        <v>0</v>
      </c>
      <c r="Q263" s="1" t="n">
        <f aca="false">IF(SMALL($AA263:$CH263,10)&gt;=9999,"",INDEX(Presupuesto!$C:$C,SMALL($AA263:$CH263,10)))</f>
        <v>0</v>
      </c>
      <c r="AA263" s="0" t="n">
        <f aca="false">IF(Presupuesto!$B$7='Flujo de Pagos'!$E263,7,9999)</f>
        <v>9999</v>
      </c>
      <c r="AB263" s="0" t="n">
        <f aca="false">IF(Presupuesto!$B$8='Flujo de Pagos'!$E263,8,9999)</f>
        <v>9999</v>
      </c>
      <c r="AC263" s="0" t="n">
        <f aca="false">IF(Presupuesto!$B$9='Flujo de Pagos'!$E263,9,9999)</f>
        <v>9999</v>
      </c>
      <c r="AD263" s="0" t="n">
        <f aca="false">IF(Presupuesto!$B$10='Flujo de Pagos'!$E263,10,9999)</f>
        <v>9999</v>
      </c>
      <c r="AE263" s="0" t="n">
        <f aca="false">IF(Presupuesto!$B$11='Flujo de Pagos'!$E263,11,9999)</f>
        <v>9999</v>
      </c>
      <c r="AF263" s="0" t="n">
        <f aca="false">IF(Presupuesto!$B$12='Flujo de Pagos'!$E263,12,9999)</f>
        <v>12</v>
      </c>
      <c r="AG263" s="0" t="n">
        <f aca="false">IF(Presupuesto!$B$13='Flujo de Pagos'!$E263,13,9999)</f>
        <v>13</v>
      </c>
      <c r="AH263" s="0" t="n">
        <f aca="false">IF(Presupuesto!$B$14='Flujo de Pagos'!$E263,14,9999)</f>
        <v>14</v>
      </c>
      <c r="AI263" s="0" t="n">
        <f aca="false">IF(Presupuesto!$B$15='Flujo de Pagos'!$E263,15,9999)</f>
        <v>15</v>
      </c>
      <c r="AJ263" s="0" t="n">
        <f aca="false">IF(Presupuesto!$B$16='Flujo de Pagos'!$E263,16,9999)</f>
        <v>16</v>
      </c>
      <c r="AK263" s="0" t="n">
        <f aca="false">IF(Presupuesto!$B$17='Flujo de Pagos'!$E263,17,9999)</f>
        <v>17</v>
      </c>
      <c r="AL263" s="0" t="n">
        <f aca="false">IF(Presupuesto!$B$18='Flujo de Pagos'!$E263,18,9999)</f>
        <v>18</v>
      </c>
      <c r="AM263" s="0" t="n">
        <f aca="false">IF(Presupuesto!$B$19='Flujo de Pagos'!$E263,19,9999)</f>
        <v>19</v>
      </c>
      <c r="AN263" s="0" t="n">
        <f aca="false">IF(Presupuesto!$B$20='Flujo de Pagos'!$E263,20,9999)</f>
        <v>20</v>
      </c>
      <c r="AO263" s="0" t="n">
        <f aca="false">IF(Presupuesto!$B$21='Flujo de Pagos'!$E263,21,9999)</f>
        <v>21</v>
      </c>
      <c r="AP263" s="0" t="n">
        <f aca="false">IF(Presupuesto!$B$22='Flujo de Pagos'!$E263,22,9999)</f>
        <v>22</v>
      </c>
      <c r="AQ263" s="0" t="n">
        <f aca="false">IF(Presupuesto!$B$23='Flujo de Pagos'!$E263,23,9999)</f>
        <v>23</v>
      </c>
      <c r="AR263" s="0" t="n">
        <f aca="false">IF(Presupuesto!$B$24='Flujo de Pagos'!$E263,24,9999)</f>
        <v>24</v>
      </c>
      <c r="AS263" s="0" t="n">
        <f aca="false">IF(Presupuesto!$B$25='Flujo de Pagos'!$E263,25,9999)</f>
        <v>25</v>
      </c>
      <c r="AT263" s="0" t="n">
        <f aca="false">IF(Presupuesto!$B$26='Flujo de Pagos'!$E263,26,9999)</f>
        <v>26</v>
      </c>
      <c r="AU263" s="0" t="n">
        <f aca="false">IF(Presupuesto!$B$27='Flujo de Pagos'!$E263,27,9999)</f>
        <v>27</v>
      </c>
      <c r="AV263" s="0" t="n">
        <f aca="false">IF(Presupuesto!$B$28='Flujo de Pagos'!$E263,28,9999)</f>
        <v>28</v>
      </c>
      <c r="AW263" s="0" t="n">
        <f aca="false">IF(Presupuesto!$B$29='Flujo de Pagos'!$E263,29,9999)</f>
        <v>29</v>
      </c>
      <c r="AX263" s="0" t="n">
        <f aca="false">IF(Presupuesto!$B$30='Flujo de Pagos'!$E263,30,9999)</f>
        <v>30</v>
      </c>
      <c r="AY263" s="0" t="n">
        <f aca="false">IF(Presupuesto!$B$31='Flujo de Pagos'!$E263,31,9999)</f>
        <v>31</v>
      </c>
      <c r="AZ263" s="0" t="n">
        <f aca="false">IF(Presupuesto!$B$32='Flujo de Pagos'!$E263,32,9999)</f>
        <v>32</v>
      </c>
      <c r="BA263" s="0" t="n">
        <f aca="false">IF(Presupuesto!$B$33='Flujo de Pagos'!$E263,33,9999)</f>
        <v>33</v>
      </c>
      <c r="BB263" s="0" t="n">
        <f aca="false">IF(Presupuesto!$B$34='Flujo de Pagos'!$E263,34,9999)</f>
        <v>34</v>
      </c>
      <c r="BC263" s="0" t="n">
        <f aca="false">IF(Presupuesto!$B$35='Flujo de Pagos'!$E263,35,9999)</f>
        <v>35</v>
      </c>
      <c r="BD263" s="0" t="n">
        <f aca="false">IF(Presupuesto!$B$36='Flujo de Pagos'!$E263,36,9999)</f>
        <v>36</v>
      </c>
      <c r="BE263" s="0" t="n">
        <f aca="false">IF(Presupuesto!$B$37='Flujo de Pagos'!$E263,37,9999)</f>
        <v>37</v>
      </c>
      <c r="BF263" s="0" t="n">
        <f aca="false">IF(Presupuesto!$B$38='Flujo de Pagos'!$E263,38,9999)</f>
        <v>38</v>
      </c>
      <c r="BG263" s="0" t="n">
        <f aca="false">IF(Presupuesto!$B$39='Flujo de Pagos'!$E263,39,9999)</f>
        <v>39</v>
      </c>
      <c r="BH263" s="0" t="n">
        <f aca="false">IF(Presupuesto!$B$40='Flujo de Pagos'!$E263,40,9999)</f>
        <v>40</v>
      </c>
      <c r="BI263" s="0" t="n">
        <f aca="false">IF(Presupuesto!$B$41='Flujo de Pagos'!$E263,41,9999)</f>
        <v>41</v>
      </c>
      <c r="BJ263" s="0" t="n">
        <f aca="false">IF(Presupuesto!$B$42='Flujo de Pagos'!$E263,42,9999)</f>
        <v>42</v>
      </c>
      <c r="BK263" s="0" t="n">
        <f aca="false">IF(Presupuesto!$B$43='Flujo de Pagos'!$E263,43,9999)</f>
        <v>43</v>
      </c>
      <c r="BL263" s="0" t="n">
        <f aca="false">IF(Presupuesto!$B$44='Flujo de Pagos'!$E263,44,9999)</f>
        <v>44</v>
      </c>
      <c r="BM263" s="0" t="n">
        <f aca="false">IF(Presupuesto!$B$45='Flujo de Pagos'!$E263,45,9999)</f>
        <v>45</v>
      </c>
      <c r="BN263" s="0" t="n">
        <f aca="false">IF(Presupuesto!$B$46='Flujo de Pagos'!$E263,46,9999)</f>
        <v>46</v>
      </c>
      <c r="BO263" s="0" t="n">
        <f aca="false">IF(Presupuesto!$B$47='Flujo de Pagos'!$E263,47,9999)</f>
        <v>47</v>
      </c>
      <c r="BP263" s="0" t="n">
        <f aca="false">IF(Presupuesto!$B$48='Flujo de Pagos'!$E263,48,9999)</f>
        <v>48</v>
      </c>
      <c r="BQ263" s="0" t="n">
        <f aca="false">IF(Presupuesto!$B$49='Flujo de Pagos'!$E263,49,9999)</f>
        <v>49</v>
      </c>
      <c r="BR263" s="0" t="n">
        <f aca="false">IF(Presupuesto!$B$50='Flujo de Pagos'!$E263,50,9999)</f>
        <v>50</v>
      </c>
      <c r="BS263" s="0" t="n">
        <f aca="false">IF(Presupuesto!$B$51='Flujo de Pagos'!$E263,51,9999)</f>
        <v>51</v>
      </c>
      <c r="BT263" s="0" t="n">
        <f aca="false">IF(Presupuesto!$B$52='Flujo de Pagos'!$E263,52,9999)</f>
        <v>52</v>
      </c>
      <c r="BU263" s="0" t="n">
        <f aca="false">IF(Presupuesto!$B$53='Flujo de Pagos'!$E263,53,9999)</f>
        <v>53</v>
      </c>
      <c r="BV263" s="0" t="n">
        <f aca="false">IF(Presupuesto!$B$54='Flujo de Pagos'!$E263,54,9999)</f>
        <v>54</v>
      </c>
      <c r="BW263" s="0" t="n">
        <f aca="false">IF(Presupuesto!$B$55='Flujo de Pagos'!$E263,55,9999)</f>
        <v>55</v>
      </c>
      <c r="BX263" s="0" t="n">
        <f aca="false">IF(Presupuesto!$B$56='Flujo de Pagos'!$E263,56,9999)</f>
        <v>56</v>
      </c>
      <c r="BY263" s="0" t="n">
        <f aca="false">IF(Presupuesto!$B$57='Flujo de Pagos'!$E263,57,9999)</f>
        <v>57</v>
      </c>
      <c r="BZ263" s="0" t="n">
        <f aca="false">IF(Presupuesto!$B$58='Flujo de Pagos'!$E263,58,9999)</f>
        <v>58</v>
      </c>
      <c r="CA263" s="0" t="n">
        <f aca="false">IF(Presupuesto!$B$59='Flujo de Pagos'!$E263,59,9999)</f>
        <v>59</v>
      </c>
      <c r="CB263" s="0" t="n">
        <f aca="false">IF(Presupuesto!$B$60='Flujo de Pagos'!$E263,60,9999)</f>
        <v>60</v>
      </c>
      <c r="CC263" s="0" t="n">
        <f aca="false">IF(Presupuesto!$B$61='Flujo de Pagos'!$E263,61,9999)</f>
        <v>61</v>
      </c>
      <c r="CD263" s="0" t="n">
        <f aca="false">IF(Presupuesto!$B$62='Flujo de Pagos'!$E263,62,9999)</f>
        <v>62</v>
      </c>
      <c r="CE263" s="0" t="n">
        <f aca="false">IF(Presupuesto!$B$63='Flujo de Pagos'!$E263,63,9999)</f>
        <v>63</v>
      </c>
      <c r="CF263" s="0" t="n">
        <f aca="false">IF(Presupuesto!$B$64='Flujo de Pagos'!$E263,64,9999)</f>
        <v>64</v>
      </c>
      <c r="CG263" s="0" t="n">
        <f aca="false">IF(Presupuesto!$B$65='Flujo de Pagos'!$E263,65,9999)</f>
        <v>65</v>
      </c>
      <c r="CH263" s="0" t="n">
        <f aca="false">IF(Presupuesto!$B$66='Flujo de Pagos'!$E263,66,9999)</f>
        <v>66</v>
      </c>
    </row>
    <row r="264" customFormat="false" ht="15" hidden="false" customHeight="true" outlineLevel="0" collapsed="false">
      <c r="B264" s="1" t="n">
        <f aca="false">IF(AND('Flujo de Pagos'!E269=Carátula!$B$2,'Flujo de Pagos'!F269=Carátula!$B$4,'Flujo de Pagos'!H269&lt;&gt;""),269,99999)</f>
        <v>99999</v>
      </c>
      <c r="H264" s="1" t="n">
        <f aca="false">IF(SMALL($AA264:$CH264,1)&gt;=9999,"",INDEX(Presupuesto!$C:$C,SMALL($AA264:$CH264,1)))</f>
        <v>0</v>
      </c>
      <c r="I264" s="1" t="n">
        <f aca="false">IF(SMALL($AA264:$CH264,2)&gt;=9999,"",INDEX(Presupuesto!$C:$C,SMALL($AA264:$CH264,2)))</f>
        <v>0</v>
      </c>
      <c r="J264" s="1" t="n">
        <f aca="false">IF(SMALL($AA264:$CH264,3)&gt;=9999,"",INDEX(Presupuesto!$C:$C,SMALL($AA264:$CH264,3)))</f>
        <v>0</v>
      </c>
      <c r="K264" s="1" t="n">
        <f aca="false">IF(SMALL($AA264:$CH264,4)&gt;=9999,"",INDEX(Presupuesto!$C:$C,SMALL($AA264:$CH264,4)))</f>
        <v>0</v>
      </c>
      <c r="L264" s="1" t="n">
        <f aca="false">IF(SMALL($AA264:$CH264,5)&gt;=9999,"",INDEX(Presupuesto!$C:$C,SMALL($AA264:$CH264,5)))</f>
        <v>0</v>
      </c>
      <c r="M264" s="1" t="n">
        <f aca="false">IF(SMALL($AA264:$CH264,6)&gt;=9999,"",INDEX(Presupuesto!$C:$C,SMALL($AA264:$CH264,6)))</f>
        <v>0</v>
      </c>
      <c r="N264" s="1" t="n">
        <f aca="false">IF(SMALL($AA264:$CH264,7)&gt;=9999,"",INDEX(Presupuesto!$C:$C,SMALL($AA264:$CH264,7)))</f>
        <v>0</v>
      </c>
      <c r="O264" s="1" t="n">
        <f aca="false">IF(SMALL($AA264:$CH264,8)&gt;=9999,"",INDEX(Presupuesto!$C:$C,SMALL($AA264:$CH264,8)))</f>
        <v>0</v>
      </c>
      <c r="P264" s="1" t="n">
        <f aca="false">IF(SMALL($AA264:$CH264,9)&gt;=9999,"",INDEX(Presupuesto!$C:$C,SMALL($AA264:$CH264,9)))</f>
        <v>0</v>
      </c>
      <c r="Q264" s="1" t="n">
        <f aca="false">IF(SMALL($AA264:$CH264,10)&gt;=9999,"",INDEX(Presupuesto!$C:$C,SMALL($AA264:$CH264,10)))</f>
        <v>0</v>
      </c>
      <c r="AA264" s="0" t="n">
        <f aca="false">IF(Presupuesto!$B$7='Flujo de Pagos'!$E264,7,9999)</f>
        <v>9999</v>
      </c>
      <c r="AB264" s="0" t="n">
        <f aca="false">IF(Presupuesto!$B$8='Flujo de Pagos'!$E264,8,9999)</f>
        <v>9999</v>
      </c>
      <c r="AC264" s="0" t="n">
        <f aca="false">IF(Presupuesto!$B$9='Flujo de Pagos'!$E264,9,9999)</f>
        <v>9999</v>
      </c>
      <c r="AD264" s="0" t="n">
        <f aca="false">IF(Presupuesto!$B$10='Flujo de Pagos'!$E264,10,9999)</f>
        <v>9999</v>
      </c>
      <c r="AE264" s="0" t="n">
        <f aca="false">IF(Presupuesto!$B$11='Flujo de Pagos'!$E264,11,9999)</f>
        <v>9999</v>
      </c>
      <c r="AF264" s="0" t="n">
        <f aca="false">IF(Presupuesto!$B$12='Flujo de Pagos'!$E264,12,9999)</f>
        <v>12</v>
      </c>
      <c r="AG264" s="0" t="n">
        <f aca="false">IF(Presupuesto!$B$13='Flujo de Pagos'!$E264,13,9999)</f>
        <v>13</v>
      </c>
      <c r="AH264" s="0" t="n">
        <f aca="false">IF(Presupuesto!$B$14='Flujo de Pagos'!$E264,14,9999)</f>
        <v>14</v>
      </c>
      <c r="AI264" s="0" t="n">
        <f aca="false">IF(Presupuesto!$B$15='Flujo de Pagos'!$E264,15,9999)</f>
        <v>15</v>
      </c>
      <c r="AJ264" s="0" t="n">
        <f aca="false">IF(Presupuesto!$B$16='Flujo de Pagos'!$E264,16,9999)</f>
        <v>16</v>
      </c>
      <c r="AK264" s="0" t="n">
        <f aca="false">IF(Presupuesto!$B$17='Flujo de Pagos'!$E264,17,9999)</f>
        <v>17</v>
      </c>
      <c r="AL264" s="0" t="n">
        <f aca="false">IF(Presupuesto!$B$18='Flujo de Pagos'!$E264,18,9999)</f>
        <v>18</v>
      </c>
      <c r="AM264" s="0" t="n">
        <f aca="false">IF(Presupuesto!$B$19='Flujo de Pagos'!$E264,19,9999)</f>
        <v>19</v>
      </c>
      <c r="AN264" s="0" t="n">
        <f aca="false">IF(Presupuesto!$B$20='Flujo de Pagos'!$E264,20,9999)</f>
        <v>20</v>
      </c>
      <c r="AO264" s="0" t="n">
        <f aca="false">IF(Presupuesto!$B$21='Flujo de Pagos'!$E264,21,9999)</f>
        <v>21</v>
      </c>
      <c r="AP264" s="0" t="n">
        <f aca="false">IF(Presupuesto!$B$22='Flujo de Pagos'!$E264,22,9999)</f>
        <v>22</v>
      </c>
      <c r="AQ264" s="0" t="n">
        <f aca="false">IF(Presupuesto!$B$23='Flujo de Pagos'!$E264,23,9999)</f>
        <v>23</v>
      </c>
      <c r="AR264" s="0" t="n">
        <f aca="false">IF(Presupuesto!$B$24='Flujo de Pagos'!$E264,24,9999)</f>
        <v>24</v>
      </c>
      <c r="AS264" s="0" t="n">
        <f aca="false">IF(Presupuesto!$B$25='Flujo de Pagos'!$E264,25,9999)</f>
        <v>25</v>
      </c>
      <c r="AT264" s="0" t="n">
        <f aca="false">IF(Presupuesto!$B$26='Flujo de Pagos'!$E264,26,9999)</f>
        <v>26</v>
      </c>
      <c r="AU264" s="0" t="n">
        <f aca="false">IF(Presupuesto!$B$27='Flujo de Pagos'!$E264,27,9999)</f>
        <v>27</v>
      </c>
      <c r="AV264" s="0" t="n">
        <f aca="false">IF(Presupuesto!$B$28='Flujo de Pagos'!$E264,28,9999)</f>
        <v>28</v>
      </c>
      <c r="AW264" s="0" t="n">
        <f aca="false">IF(Presupuesto!$B$29='Flujo de Pagos'!$E264,29,9999)</f>
        <v>29</v>
      </c>
      <c r="AX264" s="0" t="n">
        <f aca="false">IF(Presupuesto!$B$30='Flujo de Pagos'!$E264,30,9999)</f>
        <v>30</v>
      </c>
      <c r="AY264" s="0" t="n">
        <f aca="false">IF(Presupuesto!$B$31='Flujo de Pagos'!$E264,31,9999)</f>
        <v>31</v>
      </c>
      <c r="AZ264" s="0" t="n">
        <f aca="false">IF(Presupuesto!$B$32='Flujo de Pagos'!$E264,32,9999)</f>
        <v>32</v>
      </c>
      <c r="BA264" s="0" t="n">
        <f aca="false">IF(Presupuesto!$B$33='Flujo de Pagos'!$E264,33,9999)</f>
        <v>33</v>
      </c>
      <c r="BB264" s="0" t="n">
        <f aca="false">IF(Presupuesto!$B$34='Flujo de Pagos'!$E264,34,9999)</f>
        <v>34</v>
      </c>
      <c r="BC264" s="0" t="n">
        <f aca="false">IF(Presupuesto!$B$35='Flujo de Pagos'!$E264,35,9999)</f>
        <v>35</v>
      </c>
      <c r="BD264" s="0" t="n">
        <f aca="false">IF(Presupuesto!$B$36='Flujo de Pagos'!$E264,36,9999)</f>
        <v>36</v>
      </c>
      <c r="BE264" s="0" t="n">
        <f aca="false">IF(Presupuesto!$B$37='Flujo de Pagos'!$E264,37,9999)</f>
        <v>37</v>
      </c>
      <c r="BF264" s="0" t="n">
        <f aca="false">IF(Presupuesto!$B$38='Flujo de Pagos'!$E264,38,9999)</f>
        <v>38</v>
      </c>
      <c r="BG264" s="0" t="n">
        <f aca="false">IF(Presupuesto!$B$39='Flujo de Pagos'!$E264,39,9999)</f>
        <v>39</v>
      </c>
      <c r="BH264" s="0" t="n">
        <f aca="false">IF(Presupuesto!$B$40='Flujo de Pagos'!$E264,40,9999)</f>
        <v>40</v>
      </c>
      <c r="BI264" s="0" t="n">
        <f aca="false">IF(Presupuesto!$B$41='Flujo de Pagos'!$E264,41,9999)</f>
        <v>41</v>
      </c>
      <c r="BJ264" s="0" t="n">
        <f aca="false">IF(Presupuesto!$B$42='Flujo de Pagos'!$E264,42,9999)</f>
        <v>42</v>
      </c>
      <c r="BK264" s="0" t="n">
        <f aca="false">IF(Presupuesto!$B$43='Flujo de Pagos'!$E264,43,9999)</f>
        <v>43</v>
      </c>
      <c r="BL264" s="0" t="n">
        <f aca="false">IF(Presupuesto!$B$44='Flujo de Pagos'!$E264,44,9999)</f>
        <v>44</v>
      </c>
      <c r="BM264" s="0" t="n">
        <f aca="false">IF(Presupuesto!$B$45='Flujo de Pagos'!$E264,45,9999)</f>
        <v>45</v>
      </c>
      <c r="BN264" s="0" t="n">
        <f aca="false">IF(Presupuesto!$B$46='Flujo de Pagos'!$E264,46,9999)</f>
        <v>46</v>
      </c>
      <c r="BO264" s="0" t="n">
        <f aca="false">IF(Presupuesto!$B$47='Flujo de Pagos'!$E264,47,9999)</f>
        <v>47</v>
      </c>
      <c r="BP264" s="0" t="n">
        <f aca="false">IF(Presupuesto!$B$48='Flujo de Pagos'!$E264,48,9999)</f>
        <v>48</v>
      </c>
      <c r="BQ264" s="0" t="n">
        <f aca="false">IF(Presupuesto!$B$49='Flujo de Pagos'!$E264,49,9999)</f>
        <v>49</v>
      </c>
      <c r="BR264" s="0" t="n">
        <f aca="false">IF(Presupuesto!$B$50='Flujo de Pagos'!$E264,50,9999)</f>
        <v>50</v>
      </c>
      <c r="BS264" s="0" t="n">
        <f aca="false">IF(Presupuesto!$B$51='Flujo de Pagos'!$E264,51,9999)</f>
        <v>51</v>
      </c>
      <c r="BT264" s="0" t="n">
        <f aca="false">IF(Presupuesto!$B$52='Flujo de Pagos'!$E264,52,9999)</f>
        <v>52</v>
      </c>
      <c r="BU264" s="0" t="n">
        <f aca="false">IF(Presupuesto!$B$53='Flujo de Pagos'!$E264,53,9999)</f>
        <v>53</v>
      </c>
      <c r="BV264" s="0" t="n">
        <f aca="false">IF(Presupuesto!$B$54='Flujo de Pagos'!$E264,54,9999)</f>
        <v>54</v>
      </c>
      <c r="BW264" s="0" t="n">
        <f aca="false">IF(Presupuesto!$B$55='Flujo de Pagos'!$E264,55,9999)</f>
        <v>55</v>
      </c>
      <c r="BX264" s="0" t="n">
        <f aca="false">IF(Presupuesto!$B$56='Flujo de Pagos'!$E264,56,9999)</f>
        <v>56</v>
      </c>
      <c r="BY264" s="0" t="n">
        <f aca="false">IF(Presupuesto!$B$57='Flujo de Pagos'!$E264,57,9999)</f>
        <v>57</v>
      </c>
      <c r="BZ264" s="0" t="n">
        <f aca="false">IF(Presupuesto!$B$58='Flujo de Pagos'!$E264,58,9999)</f>
        <v>58</v>
      </c>
      <c r="CA264" s="0" t="n">
        <f aca="false">IF(Presupuesto!$B$59='Flujo de Pagos'!$E264,59,9999)</f>
        <v>59</v>
      </c>
      <c r="CB264" s="0" t="n">
        <f aca="false">IF(Presupuesto!$B$60='Flujo de Pagos'!$E264,60,9999)</f>
        <v>60</v>
      </c>
      <c r="CC264" s="0" t="n">
        <f aca="false">IF(Presupuesto!$B$61='Flujo de Pagos'!$E264,61,9999)</f>
        <v>61</v>
      </c>
      <c r="CD264" s="0" t="n">
        <f aca="false">IF(Presupuesto!$B$62='Flujo de Pagos'!$E264,62,9999)</f>
        <v>62</v>
      </c>
      <c r="CE264" s="0" t="n">
        <f aca="false">IF(Presupuesto!$B$63='Flujo de Pagos'!$E264,63,9999)</f>
        <v>63</v>
      </c>
      <c r="CF264" s="0" t="n">
        <f aca="false">IF(Presupuesto!$B$64='Flujo de Pagos'!$E264,64,9999)</f>
        <v>64</v>
      </c>
      <c r="CG264" s="0" t="n">
        <f aca="false">IF(Presupuesto!$B$65='Flujo de Pagos'!$E264,65,9999)</f>
        <v>65</v>
      </c>
      <c r="CH264" s="0" t="n">
        <f aca="false">IF(Presupuesto!$B$66='Flujo de Pagos'!$E264,66,9999)</f>
        <v>66</v>
      </c>
    </row>
    <row r="265" customFormat="false" ht="15" hidden="false" customHeight="true" outlineLevel="0" collapsed="false">
      <c r="B265" s="1" t="n">
        <f aca="false">IF(AND('Flujo de Pagos'!E270=Carátula!$B$2,'Flujo de Pagos'!F270=Carátula!$B$4,'Flujo de Pagos'!H270&lt;&gt;""),270,99999)</f>
        <v>99999</v>
      </c>
      <c r="H265" s="1" t="n">
        <f aca="false">IF(SMALL($AA265:$CH265,1)&gt;=9999,"",INDEX(Presupuesto!$C:$C,SMALL($AA265:$CH265,1)))</f>
        <v>0</v>
      </c>
      <c r="I265" s="1" t="n">
        <f aca="false">IF(SMALL($AA265:$CH265,2)&gt;=9999,"",INDEX(Presupuesto!$C:$C,SMALL($AA265:$CH265,2)))</f>
        <v>0</v>
      </c>
      <c r="J265" s="1" t="n">
        <f aca="false">IF(SMALL($AA265:$CH265,3)&gt;=9999,"",INDEX(Presupuesto!$C:$C,SMALL($AA265:$CH265,3)))</f>
        <v>0</v>
      </c>
      <c r="K265" s="1" t="n">
        <f aca="false">IF(SMALL($AA265:$CH265,4)&gt;=9999,"",INDEX(Presupuesto!$C:$C,SMALL($AA265:$CH265,4)))</f>
        <v>0</v>
      </c>
      <c r="L265" s="1" t="n">
        <f aca="false">IF(SMALL($AA265:$CH265,5)&gt;=9999,"",INDEX(Presupuesto!$C:$C,SMALL($AA265:$CH265,5)))</f>
        <v>0</v>
      </c>
      <c r="M265" s="1" t="n">
        <f aca="false">IF(SMALL($AA265:$CH265,6)&gt;=9999,"",INDEX(Presupuesto!$C:$C,SMALL($AA265:$CH265,6)))</f>
        <v>0</v>
      </c>
      <c r="N265" s="1" t="n">
        <f aca="false">IF(SMALL($AA265:$CH265,7)&gt;=9999,"",INDEX(Presupuesto!$C:$C,SMALL($AA265:$CH265,7)))</f>
        <v>0</v>
      </c>
      <c r="O265" s="1" t="n">
        <f aca="false">IF(SMALL($AA265:$CH265,8)&gt;=9999,"",INDEX(Presupuesto!$C:$C,SMALL($AA265:$CH265,8)))</f>
        <v>0</v>
      </c>
      <c r="P265" s="1" t="n">
        <f aca="false">IF(SMALL($AA265:$CH265,9)&gt;=9999,"",INDEX(Presupuesto!$C:$C,SMALL($AA265:$CH265,9)))</f>
        <v>0</v>
      </c>
      <c r="Q265" s="1" t="n">
        <f aca="false">IF(SMALL($AA265:$CH265,10)&gt;=9999,"",INDEX(Presupuesto!$C:$C,SMALL($AA265:$CH265,10)))</f>
        <v>0</v>
      </c>
      <c r="AA265" s="0" t="n">
        <f aca="false">IF(Presupuesto!$B$7='Flujo de Pagos'!$E265,7,9999)</f>
        <v>9999</v>
      </c>
      <c r="AB265" s="0" t="n">
        <f aca="false">IF(Presupuesto!$B$8='Flujo de Pagos'!$E265,8,9999)</f>
        <v>9999</v>
      </c>
      <c r="AC265" s="0" t="n">
        <f aca="false">IF(Presupuesto!$B$9='Flujo de Pagos'!$E265,9,9999)</f>
        <v>9999</v>
      </c>
      <c r="AD265" s="0" t="n">
        <f aca="false">IF(Presupuesto!$B$10='Flujo de Pagos'!$E265,10,9999)</f>
        <v>9999</v>
      </c>
      <c r="AE265" s="0" t="n">
        <f aca="false">IF(Presupuesto!$B$11='Flujo de Pagos'!$E265,11,9999)</f>
        <v>9999</v>
      </c>
      <c r="AF265" s="0" t="n">
        <f aca="false">IF(Presupuesto!$B$12='Flujo de Pagos'!$E265,12,9999)</f>
        <v>12</v>
      </c>
      <c r="AG265" s="0" t="n">
        <f aca="false">IF(Presupuesto!$B$13='Flujo de Pagos'!$E265,13,9999)</f>
        <v>13</v>
      </c>
      <c r="AH265" s="0" t="n">
        <f aca="false">IF(Presupuesto!$B$14='Flujo de Pagos'!$E265,14,9999)</f>
        <v>14</v>
      </c>
      <c r="AI265" s="0" t="n">
        <f aca="false">IF(Presupuesto!$B$15='Flujo de Pagos'!$E265,15,9999)</f>
        <v>15</v>
      </c>
      <c r="AJ265" s="0" t="n">
        <f aca="false">IF(Presupuesto!$B$16='Flujo de Pagos'!$E265,16,9999)</f>
        <v>16</v>
      </c>
      <c r="AK265" s="0" t="n">
        <f aca="false">IF(Presupuesto!$B$17='Flujo de Pagos'!$E265,17,9999)</f>
        <v>17</v>
      </c>
      <c r="AL265" s="0" t="n">
        <f aca="false">IF(Presupuesto!$B$18='Flujo de Pagos'!$E265,18,9999)</f>
        <v>18</v>
      </c>
      <c r="AM265" s="0" t="n">
        <f aca="false">IF(Presupuesto!$B$19='Flujo de Pagos'!$E265,19,9999)</f>
        <v>19</v>
      </c>
      <c r="AN265" s="0" t="n">
        <f aca="false">IF(Presupuesto!$B$20='Flujo de Pagos'!$E265,20,9999)</f>
        <v>20</v>
      </c>
      <c r="AO265" s="0" t="n">
        <f aca="false">IF(Presupuesto!$B$21='Flujo de Pagos'!$E265,21,9999)</f>
        <v>21</v>
      </c>
      <c r="AP265" s="0" t="n">
        <f aca="false">IF(Presupuesto!$B$22='Flujo de Pagos'!$E265,22,9999)</f>
        <v>22</v>
      </c>
      <c r="AQ265" s="0" t="n">
        <f aca="false">IF(Presupuesto!$B$23='Flujo de Pagos'!$E265,23,9999)</f>
        <v>23</v>
      </c>
      <c r="AR265" s="0" t="n">
        <f aca="false">IF(Presupuesto!$B$24='Flujo de Pagos'!$E265,24,9999)</f>
        <v>24</v>
      </c>
      <c r="AS265" s="0" t="n">
        <f aca="false">IF(Presupuesto!$B$25='Flujo de Pagos'!$E265,25,9999)</f>
        <v>25</v>
      </c>
      <c r="AT265" s="0" t="n">
        <f aca="false">IF(Presupuesto!$B$26='Flujo de Pagos'!$E265,26,9999)</f>
        <v>26</v>
      </c>
      <c r="AU265" s="0" t="n">
        <f aca="false">IF(Presupuesto!$B$27='Flujo de Pagos'!$E265,27,9999)</f>
        <v>27</v>
      </c>
      <c r="AV265" s="0" t="n">
        <f aca="false">IF(Presupuesto!$B$28='Flujo de Pagos'!$E265,28,9999)</f>
        <v>28</v>
      </c>
      <c r="AW265" s="0" t="n">
        <f aca="false">IF(Presupuesto!$B$29='Flujo de Pagos'!$E265,29,9999)</f>
        <v>29</v>
      </c>
      <c r="AX265" s="0" t="n">
        <f aca="false">IF(Presupuesto!$B$30='Flujo de Pagos'!$E265,30,9999)</f>
        <v>30</v>
      </c>
      <c r="AY265" s="0" t="n">
        <f aca="false">IF(Presupuesto!$B$31='Flujo de Pagos'!$E265,31,9999)</f>
        <v>31</v>
      </c>
      <c r="AZ265" s="0" t="n">
        <f aca="false">IF(Presupuesto!$B$32='Flujo de Pagos'!$E265,32,9999)</f>
        <v>32</v>
      </c>
      <c r="BA265" s="0" t="n">
        <f aca="false">IF(Presupuesto!$B$33='Flujo de Pagos'!$E265,33,9999)</f>
        <v>33</v>
      </c>
      <c r="BB265" s="0" t="n">
        <f aca="false">IF(Presupuesto!$B$34='Flujo de Pagos'!$E265,34,9999)</f>
        <v>34</v>
      </c>
      <c r="BC265" s="0" t="n">
        <f aca="false">IF(Presupuesto!$B$35='Flujo de Pagos'!$E265,35,9999)</f>
        <v>35</v>
      </c>
      <c r="BD265" s="0" t="n">
        <f aca="false">IF(Presupuesto!$B$36='Flujo de Pagos'!$E265,36,9999)</f>
        <v>36</v>
      </c>
      <c r="BE265" s="0" t="n">
        <f aca="false">IF(Presupuesto!$B$37='Flujo de Pagos'!$E265,37,9999)</f>
        <v>37</v>
      </c>
      <c r="BF265" s="0" t="n">
        <f aca="false">IF(Presupuesto!$B$38='Flujo de Pagos'!$E265,38,9999)</f>
        <v>38</v>
      </c>
      <c r="BG265" s="0" t="n">
        <f aca="false">IF(Presupuesto!$B$39='Flujo de Pagos'!$E265,39,9999)</f>
        <v>39</v>
      </c>
      <c r="BH265" s="0" t="n">
        <f aca="false">IF(Presupuesto!$B$40='Flujo de Pagos'!$E265,40,9999)</f>
        <v>40</v>
      </c>
      <c r="BI265" s="0" t="n">
        <f aca="false">IF(Presupuesto!$B$41='Flujo de Pagos'!$E265,41,9999)</f>
        <v>41</v>
      </c>
      <c r="BJ265" s="0" t="n">
        <f aca="false">IF(Presupuesto!$B$42='Flujo de Pagos'!$E265,42,9999)</f>
        <v>42</v>
      </c>
      <c r="BK265" s="0" t="n">
        <f aca="false">IF(Presupuesto!$B$43='Flujo de Pagos'!$E265,43,9999)</f>
        <v>43</v>
      </c>
      <c r="BL265" s="0" t="n">
        <f aca="false">IF(Presupuesto!$B$44='Flujo de Pagos'!$E265,44,9999)</f>
        <v>44</v>
      </c>
      <c r="BM265" s="0" t="n">
        <f aca="false">IF(Presupuesto!$B$45='Flujo de Pagos'!$E265,45,9999)</f>
        <v>45</v>
      </c>
      <c r="BN265" s="0" t="n">
        <f aca="false">IF(Presupuesto!$B$46='Flujo de Pagos'!$E265,46,9999)</f>
        <v>46</v>
      </c>
      <c r="BO265" s="0" t="n">
        <f aca="false">IF(Presupuesto!$B$47='Flujo de Pagos'!$E265,47,9999)</f>
        <v>47</v>
      </c>
      <c r="BP265" s="0" t="n">
        <f aca="false">IF(Presupuesto!$B$48='Flujo de Pagos'!$E265,48,9999)</f>
        <v>48</v>
      </c>
      <c r="BQ265" s="0" t="n">
        <f aca="false">IF(Presupuesto!$B$49='Flujo de Pagos'!$E265,49,9999)</f>
        <v>49</v>
      </c>
      <c r="BR265" s="0" t="n">
        <f aca="false">IF(Presupuesto!$B$50='Flujo de Pagos'!$E265,50,9999)</f>
        <v>50</v>
      </c>
      <c r="BS265" s="0" t="n">
        <f aca="false">IF(Presupuesto!$B$51='Flujo de Pagos'!$E265,51,9999)</f>
        <v>51</v>
      </c>
      <c r="BT265" s="0" t="n">
        <f aca="false">IF(Presupuesto!$B$52='Flujo de Pagos'!$E265,52,9999)</f>
        <v>52</v>
      </c>
      <c r="BU265" s="0" t="n">
        <f aca="false">IF(Presupuesto!$B$53='Flujo de Pagos'!$E265,53,9999)</f>
        <v>53</v>
      </c>
      <c r="BV265" s="0" t="n">
        <f aca="false">IF(Presupuesto!$B$54='Flujo de Pagos'!$E265,54,9999)</f>
        <v>54</v>
      </c>
      <c r="BW265" s="0" t="n">
        <f aca="false">IF(Presupuesto!$B$55='Flujo de Pagos'!$E265,55,9999)</f>
        <v>55</v>
      </c>
      <c r="BX265" s="0" t="n">
        <f aca="false">IF(Presupuesto!$B$56='Flujo de Pagos'!$E265,56,9999)</f>
        <v>56</v>
      </c>
      <c r="BY265" s="0" t="n">
        <f aca="false">IF(Presupuesto!$B$57='Flujo de Pagos'!$E265,57,9999)</f>
        <v>57</v>
      </c>
      <c r="BZ265" s="0" t="n">
        <f aca="false">IF(Presupuesto!$B$58='Flujo de Pagos'!$E265,58,9999)</f>
        <v>58</v>
      </c>
      <c r="CA265" s="0" t="n">
        <f aca="false">IF(Presupuesto!$B$59='Flujo de Pagos'!$E265,59,9999)</f>
        <v>59</v>
      </c>
      <c r="CB265" s="0" t="n">
        <f aca="false">IF(Presupuesto!$B$60='Flujo de Pagos'!$E265,60,9999)</f>
        <v>60</v>
      </c>
      <c r="CC265" s="0" t="n">
        <f aca="false">IF(Presupuesto!$B$61='Flujo de Pagos'!$E265,61,9999)</f>
        <v>61</v>
      </c>
      <c r="CD265" s="0" t="n">
        <f aca="false">IF(Presupuesto!$B$62='Flujo de Pagos'!$E265,62,9999)</f>
        <v>62</v>
      </c>
      <c r="CE265" s="0" t="n">
        <f aca="false">IF(Presupuesto!$B$63='Flujo de Pagos'!$E265,63,9999)</f>
        <v>63</v>
      </c>
      <c r="CF265" s="0" t="n">
        <f aca="false">IF(Presupuesto!$B$64='Flujo de Pagos'!$E265,64,9999)</f>
        <v>64</v>
      </c>
      <c r="CG265" s="0" t="n">
        <f aca="false">IF(Presupuesto!$B$65='Flujo de Pagos'!$E265,65,9999)</f>
        <v>65</v>
      </c>
      <c r="CH265" s="0" t="n">
        <f aca="false">IF(Presupuesto!$B$66='Flujo de Pagos'!$E265,66,9999)</f>
        <v>66</v>
      </c>
    </row>
    <row r="266" customFormat="false" ht="15" hidden="false" customHeight="true" outlineLevel="0" collapsed="false">
      <c r="B266" s="1" t="n">
        <f aca="false">IF(AND('Flujo de Pagos'!E271=Carátula!$B$2,'Flujo de Pagos'!F271=Carátula!$B$4,'Flujo de Pagos'!H271&lt;&gt;""),271,99999)</f>
        <v>99999</v>
      </c>
      <c r="H266" s="1" t="n">
        <f aca="false">IF(SMALL($AA266:$CH266,1)&gt;=9999,"",INDEX(Presupuesto!$C:$C,SMALL($AA266:$CH266,1)))</f>
        <v>0</v>
      </c>
      <c r="I266" s="1" t="n">
        <f aca="false">IF(SMALL($AA266:$CH266,2)&gt;=9999,"",INDEX(Presupuesto!$C:$C,SMALL($AA266:$CH266,2)))</f>
        <v>0</v>
      </c>
      <c r="J266" s="1" t="n">
        <f aca="false">IF(SMALL($AA266:$CH266,3)&gt;=9999,"",INDEX(Presupuesto!$C:$C,SMALL($AA266:$CH266,3)))</f>
        <v>0</v>
      </c>
      <c r="K266" s="1" t="n">
        <f aca="false">IF(SMALL($AA266:$CH266,4)&gt;=9999,"",INDEX(Presupuesto!$C:$C,SMALL($AA266:$CH266,4)))</f>
        <v>0</v>
      </c>
      <c r="L266" s="1" t="n">
        <f aca="false">IF(SMALL($AA266:$CH266,5)&gt;=9999,"",INDEX(Presupuesto!$C:$C,SMALL($AA266:$CH266,5)))</f>
        <v>0</v>
      </c>
      <c r="M266" s="1" t="n">
        <f aca="false">IF(SMALL($AA266:$CH266,6)&gt;=9999,"",INDEX(Presupuesto!$C:$C,SMALL($AA266:$CH266,6)))</f>
        <v>0</v>
      </c>
      <c r="N266" s="1" t="n">
        <f aca="false">IF(SMALL($AA266:$CH266,7)&gt;=9999,"",INDEX(Presupuesto!$C:$C,SMALL($AA266:$CH266,7)))</f>
        <v>0</v>
      </c>
      <c r="O266" s="1" t="n">
        <f aca="false">IF(SMALL($AA266:$CH266,8)&gt;=9999,"",INDEX(Presupuesto!$C:$C,SMALL($AA266:$CH266,8)))</f>
        <v>0</v>
      </c>
      <c r="P266" s="1" t="n">
        <f aca="false">IF(SMALL($AA266:$CH266,9)&gt;=9999,"",INDEX(Presupuesto!$C:$C,SMALL($AA266:$CH266,9)))</f>
        <v>0</v>
      </c>
      <c r="Q266" s="1" t="n">
        <f aca="false">IF(SMALL($AA266:$CH266,10)&gt;=9999,"",INDEX(Presupuesto!$C:$C,SMALL($AA266:$CH266,10)))</f>
        <v>0</v>
      </c>
      <c r="AA266" s="0" t="n">
        <f aca="false">IF(Presupuesto!$B$7='Flujo de Pagos'!$E266,7,9999)</f>
        <v>9999</v>
      </c>
      <c r="AB266" s="0" t="n">
        <f aca="false">IF(Presupuesto!$B$8='Flujo de Pagos'!$E266,8,9999)</f>
        <v>9999</v>
      </c>
      <c r="AC266" s="0" t="n">
        <f aca="false">IF(Presupuesto!$B$9='Flujo de Pagos'!$E266,9,9999)</f>
        <v>9999</v>
      </c>
      <c r="AD266" s="0" t="n">
        <f aca="false">IF(Presupuesto!$B$10='Flujo de Pagos'!$E266,10,9999)</f>
        <v>9999</v>
      </c>
      <c r="AE266" s="0" t="n">
        <f aca="false">IF(Presupuesto!$B$11='Flujo de Pagos'!$E266,11,9999)</f>
        <v>9999</v>
      </c>
      <c r="AF266" s="0" t="n">
        <f aca="false">IF(Presupuesto!$B$12='Flujo de Pagos'!$E266,12,9999)</f>
        <v>12</v>
      </c>
      <c r="AG266" s="0" t="n">
        <f aca="false">IF(Presupuesto!$B$13='Flujo de Pagos'!$E266,13,9999)</f>
        <v>13</v>
      </c>
      <c r="AH266" s="0" t="n">
        <f aca="false">IF(Presupuesto!$B$14='Flujo de Pagos'!$E266,14,9999)</f>
        <v>14</v>
      </c>
      <c r="AI266" s="0" t="n">
        <f aca="false">IF(Presupuesto!$B$15='Flujo de Pagos'!$E266,15,9999)</f>
        <v>15</v>
      </c>
      <c r="AJ266" s="0" t="n">
        <f aca="false">IF(Presupuesto!$B$16='Flujo de Pagos'!$E266,16,9999)</f>
        <v>16</v>
      </c>
      <c r="AK266" s="0" t="n">
        <f aca="false">IF(Presupuesto!$B$17='Flujo de Pagos'!$E266,17,9999)</f>
        <v>17</v>
      </c>
      <c r="AL266" s="0" t="n">
        <f aca="false">IF(Presupuesto!$B$18='Flujo de Pagos'!$E266,18,9999)</f>
        <v>18</v>
      </c>
      <c r="AM266" s="0" t="n">
        <f aca="false">IF(Presupuesto!$B$19='Flujo de Pagos'!$E266,19,9999)</f>
        <v>19</v>
      </c>
      <c r="AN266" s="0" t="n">
        <f aca="false">IF(Presupuesto!$B$20='Flujo de Pagos'!$E266,20,9999)</f>
        <v>20</v>
      </c>
      <c r="AO266" s="0" t="n">
        <f aca="false">IF(Presupuesto!$B$21='Flujo de Pagos'!$E266,21,9999)</f>
        <v>21</v>
      </c>
      <c r="AP266" s="0" t="n">
        <f aca="false">IF(Presupuesto!$B$22='Flujo de Pagos'!$E266,22,9999)</f>
        <v>22</v>
      </c>
      <c r="AQ266" s="0" t="n">
        <f aca="false">IF(Presupuesto!$B$23='Flujo de Pagos'!$E266,23,9999)</f>
        <v>23</v>
      </c>
      <c r="AR266" s="0" t="n">
        <f aca="false">IF(Presupuesto!$B$24='Flujo de Pagos'!$E266,24,9999)</f>
        <v>24</v>
      </c>
      <c r="AS266" s="0" t="n">
        <f aca="false">IF(Presupuesto!$B$25='Flujo de Pagos'!$E266,25,9999)</f>
        <v>25</v>
      </c>
      <c r="AT266" s="0" t="n">
        <f aca="false">IF(Presupuesto!$B$26='Flujo de Pagos'!$E266,26,9999)</f>
        <v>26</v>
      </c>
      <c r="AU266" s="0" t="n">
        <f aca="false">IF(Presupuesto!$B$27='Flujo de Pagos'!$E266,27,9999)</f>
        <v>27</v>
      </c>
      <c r="AV266" s="0" t="n">
        <f aca="false">IF(Presupuesto!$B$28='Flujo de Pagos'!$E266,28,9999)</f>
        <v>28</v>
      </c>
      <c r="AW266" s="0" t="n">
        <f aca="false">IF(Presupuesto!$B$29='Flujo de Pagos'!$E266,29,9999)</f>
        <v>29</v>
      </c>
      <c r="AX266" s="0" t="n">
        <f aca="false">IF(Presupuesto!$B$30='Flujo de Pagos'!$E266,30,9999)</f>
        <v>30</v>
      </c>
      <c r="AY266" s="0" t="n">
        <f aca="false">IF(Presupuesto!$B$31='Flujo de Pagos'!$E266,31,9999)</f>
        <v>31</v>
      </c>
      <c r="AZ266" s="0" t="n">
        <f aca="false">IF(Presupuesto!$B$32='Flujo de Pagos'!$E266,32,9999)</f>
        <v>32</v>
      </c>
      <c r="BA266" s="0" t="n">
        <f aca="false">IF(Presupuesto!$B$33='Flujo de Pagos'!$E266,33,9999)</f>
        <v>33</v>
      </c>
      <c r="BB266" s="0" t="n">
        <f aca="false">IF(Presupuesto!$B$34='Flujo de Pagos'!$E266,34,9999)</f>
        <v>34</v>
      </c>
      <c r="BC266" s="0" t="n">
        <f aca="false">IF(Presupuesto!$B$35='Flujo de Pagos'!$E266,35,9999)</f>
        <v>35</v>
      </c>
      <c r="BD266" s="0" t="n">
        <f aca="false">IF(Presupuesto!$B$36='Flujo de Pagos'!$E266,36,9999)</f>
        <v>36</v>
      </c>
      <c r="BE266" s="0" t="n">
        <f aca="false">IF(Presupuesto!$B$37='Flujo de Pagos'!$E266,37,9999)</f>
        <v>37</v>
      </c>
      <c r="BF266" s="0" t="n">
        <f aca="false">IF(Presupuesto!$B$38='Flujo de Pagos'!$E266,38,9999)</f>
        <v>38</v>
      </c>
      <c r="BG266" s="0" t="n">
        <f aca="false">IF(Presupuesto!$B$39='Flujo de Pagos'!$E266,39,9999)</f>
        <v>39</v>
      </c>
      <c r="BH266" s="0" t="n">
        <f aca="false">IF(Presupuesto!$B$40='Flujo de Pagos'!$E266,40,9999)</f>
        <v>40</v>
      </c>
      <c r="BI266" s="0" t="n">
        <f aca="false">IF(Presupuesto!$B$41='Flujo de Pagos'!$E266,41,9999)</f>
        <v>41</v>
      </c>
      <c r="BJ266" s="0" t="n">
        <f aca="false">IF(Presupuesto!$B$42='Flujo de Pagos'!$E266,42,9999)</f>
        <v>42</v>
      </c>
      <c r="BK266" s="0" t="n">
        <f aca="false">IF(Presupuesto!$B$43='Flujo de Pagos'!$E266,43,9999)</f>
        <v>43</v>
      </c>
      <c r="BL266" s="0" t="n">
        <f aca="false">IF(Presupuesto!$B$44='Flujo de Pagos'!$E266,44,9999)</f>
        <v>44</v>
      </c>
      <c r="BM266" s="0" t="n">
        <f aca="false">IF(Presupuesto!$B$45='Flujo de Pagos'!$E266,45,9999)</f>
        <v>45</v>
      </c>
      <c r="BN266" s="0" t="n">
        <f aca="false">IF(Presupuesto!$B$46='Flujo de Pagos'!$E266,46,9999)</f>
        <v>46</v>
      </c>
      <c r="BO266" s="0" t="n">
        <f aca="false">IF(Presupuesto!$B$47='Flujo de Pagos'!$E266,47,9999)</f>
        <v>47</v>
      </c>
      <c r="BP266" s="0" t="n">
        <f aca="false">IF(Presupuesto!$B$48='Flujo de Pagos'!$E266,48,9999)</f>
        <v>48</v>
      </c>
      <c r="BQ266" s="0" t="n">
        <f aca="false">IF(Presupuesto!$B$49='Flujo de Pagos'!$E266,49,9999)</f>
        <v>49</v>
      </c>
      <c r="BR266" s="0" t="n">
        <f aca="false">IF(Presupuesto!$B$50='Flujo de Pagos'!$E266,50,9999)</f>
        <v>50</v>
      </c>
      <c r="BS266" s="0" t="n">
        <f aca="false">IF(Presupuesto!$B$51='Flujo de Pagos'!$E266,51,9999)</f>
        <v>51</v>
      </c>
      <c r="BT266" s="0" t="n">
        <f aca="false">IF(Presupuesto!$B$52='Flujo de Pagos'!$E266,52,9999)</f>
        <v>52</v>
      </c>
      <c r="BU266" s="0" t="n">
        <f aca="false">IF(Presupuesto!$B$53='Flujo de Pagos'!$E266,53,9999)</f>
        <v>53</v>
      </c>
      <c r="BV266" s="0" t="n">
        <f aca="false">IF(Presupuesto!$B$54='Flujo de Pagos'!$E266,54,9999)</f>
        <v>54</v>
      </c>
      <c r="BW266" s="0" t="n">
        <f aca="false">IF(Presupuesto!$B$55='Flujo de Pagos'!$E266,55,9999)</f>
        <v>55</v>
      </c>
      <c r="BX266" s="0" t="n">
        <f aca="false">IF(Presupuesto!$B$56='Flujo de Pagos'!$E266,56,9999)</f>
        <v>56</v>
      </c>
      <c r="BY266" s="0" t="n">
        <f aca="false">IF(Presupuesto!$B$57='Flujo de Pagos'!$E266,57,9999)</f>
        <v>57</v>
      </c>
      <c r="BZ266" s="0" t="n">
        <f aca="false">IF(Presupuesto!$B$58='Flujo de Pagos'!$E266,58,9999)</f>
        <v>58</v>
      </c>
      <c r="CA266" s="0" t="n">
        <f aca="false">IF(Presupuesto!$B$59='Flujo de Pagos'!$E266,59,9999)</f>
        <v>59</v>
      </c>
      <c r="CB266" s="0" t="n">
        <f aca="false">IF(Presupuesto!$B$60='Flujo de Pagos'!$E266,60,9999)</f>
        <v>60</v>
      </c>
      <c r="CC266" s="0" t="n">
        <f aca="false">IF(Presupuesto!$B$61='Flujo de Pagos'!$E266,61,9999)</f>
        <v>61</v>
      </c>
      <c r="CD266" s="0" t="n">
        <f aca="false">IF(Presupuesto!$B$62='Flujo de Pagos'!$E266,62,9999)</f>
        <v>62</v>
      </c>
      <c r="CE266" s="0" t="n">
        <f aca="false">IF(Presupuesto!$B$63='Flujo de Pagos'!$E266,63,9999)</f>
        <v>63</v>
      </c>
      <c r="CF266" s="0" t="n">
        <f aca="false">IF(Presupuesto!$B$64='Flujo de Pagos'!$E266,64,9999)</f>
        <v>64</v>
      </c>
      <c r="CG266" s="0" t="n">
        <f aca="false">IF(Presupuesto!$B$65='Flujo de Pagos'!$E266,65,9999)</f>
        <v>65</v>
      </c>
      <c r="CH266" s="0" t="n">
        <f aca="false">IF(Presupuesto!$B$66='Flujo de Pagos'!$E266,66,9999)</f>
        <v>66</v>
      </c>
    </row>
    <row r="267" customFormat="false" ht="15" hidden="false" customHeight="true" outlineLevel="0" collapsed="false">
      <c r="B267" s="1" t="n">
        <f aca="false">IF(AND('Flujo de Pagos'!E272=Carátula!$B$2,'Flujo de Pagos'!F272=Carátula!$B$4,'Flujo de Pagos'!H272&lt;&gt;""),272,99999)</f>
        <v>99999</v>
      </c>
      <c r="H267" s="1" t="n">
        <f aca="false">IF(SMALL($AA267:$CH267,1)&gt;=9999,"",INDEX(Presupuesto!$C:$C,SMALL($AA267:$CH267,1)))</f>
        <v>0</v>
      </c>
      <c r="I267" s="1" t="n">
        <f aca="false">IF(SMALL($AA267:$CH267,2)&gt;=9999,"",INDEX(Presupuesto!$C:$C,SMALL($AA267:$CH267,2)))</f>
        <v>0</v>
      </c>
      <c r="J267" s="1" t="n">
        <f aca="false">IF(SMALL($AA267:$CH267,3)&gt;=9999,"",INDEX(Presupuesto!$C:$C,SMALL($AA267:$CH267,3)))</f>
        <v>0</v>
      </c>
      <c r="K267" s="1" t="n">
        <f aca="false">IF(SMALL($AA267:$CH267,4)&gt;=9999,"",INDEX(Presupuesto!$C:$C,SMALL($AA267:$CH267,4)))</f>
        <v>0</v>
      </c>
      <c r="L267" s="1" t="n">
        <f aca="false">IF(SMALL($AA267:$CH267,5)&gt;=9999,"",INDEX(Presupuesto!$C:$C,SMALL($AA267:$CH267,5)))</f>
        <v>0</v>
      </c>
      <c r="M267" s="1" t="n">
        <f aca="false">IF(SMALL($AA267:$CH267,6)&gt;=9999,"",INDEX(Presupuesto!$C:$C,SMALL($AA267:$CH267,6)))</f>
        <v>0</v>
      </c>
      <c r="N267" s="1" t="n">
        <f aca="false">IF(SMALL($AA267:$CH267,7)&gt;=9999,"",INDEX(Presupuesto!$C:$C,SMALL($AA267:$CH267,7)))</f>
        <v>0</v>
      </c>
      <c r="O267" s="1" t="n">
        <f aca="false">IF(SMALL($AA267:$CH267,8)&gt;=9999,"",INDEX(Presupuesto!$C:$C,SMALL($AA267:$CH267,8)))</f>
        <v>0</v>
      </c>
      <c r="P267" s="1" t="n">
        <f aca="false">IF(SMALL($AA267:$CH267,9)&gt;=9999,"",INDEX(Presupuesto!$C:$C,SMALL($AA267:$CH267,9)))</f>
        <v>0</v>
      </c>
      <c r="Q267" s="1" t="n">
        <f aca="false">IF(SMALL($AA267:$CH267,10)&gt;=9999,"",INDEX(Presupuesto!$C:$C,SMALL($AA267:$CH267,10)))</f>
        <v>0</v>
      </c>
      <c r="AA267" s="0" t="n">
        <f aca="false">IF(Presupuesto!$B$7='Flujo de Pagos'!$E267,7,9999)</f>
        <v>9999</v>
      </c>
      <c r="AB267" s="0" t="n">
        <f aca="false">IF(Presupuesto!$B$8='Flujo de Pagos'!$E267,8,9999)</f>
        <v>9999</v>
      </c>
      <c r="AC267" s="0" t="n">
        <f aca="false">IF(Presupuesto!$B$9='Flujo de Pagos'!$E267,9,9999)</f>
        <v>9999</v>
      </c>
      <c r="AD267" s="0" t="n">
        <f aca="false">IF(Presupuesto!$B$10='Flujo de Pagos'!$E267,10,9999)</f>
        <v>9999</v>
      </c>
      <c r="AE267" s="0" t="n">
        <f aca="false">IF(Presupuesto!$B$11='Flujo de Pagos'!$E267,11,9999)</f>
        <v>9999</v>
      </c>
      <c r="AF267" s="0" t="n">
        <f aca="false">IF(Presupuesto!$B$12='Flujo de Pagos'!$E267,12,9999)</f>
        <v>12</v>
      </c>
      <c r="AG267" s="0" t="n">
        <f aca="false">IF(Presupuesto!$B$13='Flujo de Pagos'!$E267,13,9999)</f>
        <v>13</v>
      </c>
      <c r="AH267" s="0" t="n">
        <f aca="false">IF(Presupuesto!$B$14='Flujo de Pagos'!$E267,14,9999)</f>
        <v>14</v>
      </c>
      <c r="AI267" s="0" t="n">
        <f aca="false">IF(Presupuesto!$B$15='Flujo de Pagos'!$E267,15,9999)</f>
        <v>15</v>
      </c>
      <c r="AJ267" s="0" t="n">
        <f aca="false">IF(Presupuesto!$B$16='Flujo de Pagos'!$E267,16,9999)</f>
        <v>16</v>
      </c>
      <c r="AK267" s="0" t="n">
        <f aca="false">IF(Presupuesto!$B$17='Flujo de Pagos'!$E267,17,9999)</f>
        <v>17</v>
      </c>
      <c r="AL267" s="0" t="n">
        <f aca="false">IF(Presupuesto!$B$18='Flujo de Pagos'!$E267,18,9999)</f>
        <v>18</v>
      </c>
      <c r="AM267" s="0" t="n">
        <f aca="false">IF(Presupuesto!$B$19='Flujo de Pagos'!$E267,19,9999)</f>
        <v>19</v>
      </c>
      <c r="AN267" s="0" t="n">
        <f aca="false">IF(Presupuesto!$B$20='Flujo de Pagos'!$E267,20,9999)</f>
        <v>20</v>
      </c>
      <c r="AO267" s="0" t="n">
        <f aca="false">IF(Presupuesto!$B$21='Flujo de Pagos'!$E267,21,9999)</f>
        <v>21</v>
      </c>
      <c r="AP267" s="0" t="n">
        <f aca="false">IF(Presupuesto!$B$22='Flujo de Pagos'!$E267,22,9999)</f>
        <v>22</v>
      </c>
      <c r="AQ267" s="0" t="n">
        <f aca="false">IF(Presupuesto!$B$23='Flujo de Pagos'!$E267,23,9999)</f>
        <v>23</v>
      </c>
      <c r="AR267" s="0" t="n">
        <f aca="false">IF(Presupuesto!$B$24='Flujo de Pagos'!$E267,24,9999)</f>
        <v>24</v>
      </c>
      <c r="AS267" s="0" t="n">
        <f aca="false">IF(Presupuesto!$B$25='Flujo de Pagos'!$E267,25,9999)</f>
        <v>25</v>
      </c>
      <c r="AT267" s="0" t="n">
        <f aca="false">IF(Presupuesto!$B$26='Flujo de Pagos'!$E267,26,9999)</f>
        <v>26</v>
      </c>
      <c r="AU267" s="0" t="n">
        <f aca="false">IF(Presupuesto!$B$27='Flujo de Pagos'!$E267,27,9999)</f>
        <v>27</v>
      </c>
      <c r="AV267" s="0" t="n">
        <f aca="false">IF(Presupuesto!$B$28='Flujo de Pagos'!$E267,28,9999)</f>
        <v>28</v>
      </c>
      <c r="AW267" s="0" t="n">
        <f aca="false">IF(Presupuesto!$B$29='Flujo de Pagos'!$E267,29,9999)</f>
        <v>29</v>
      </c>
      <c r="AX267" s="0" t="n">
        <f aca="false">IF(Presupuesto!$B$30='Flujo de Pagos'!$E267,30,9999)</f>
        <v>30</v>
      </c>
      <c r="AY267" s="0" t="n">
        <f aca="false">IF(Presupuesto!$B$31='Flujo de Pagos'!$E267,31,9999)</f>
        <v>31</v>
      </c>
      <c r="AZ267" s="0" t="n">
        <f aca="false">IF(Presupuesto!$B$32='Flujo de Pagos'!$E267,32,9999)</f>
        <v>32</v>
      </c>
      <c r="BA267" s="0" t="n">
        <f aca="false">IF(Presupuesto!$B$33='Flujo de Pagos'!$E267,33,9999)</f>
        <v>33</v>
      </c>
      <c r="BB267" s="0" t="n">
        <f aca="false">IF(Presupuesto!$B$34='Flujo de Pagos'!$E267,34,9999)</f>
        <v>34</v>
      </c>
      <c r="BC267" s="0" t="n">
        <f aca="false">IF(Presupuesto!$B$35='Flujo de Pagos'!$E267,35,9999)</f>
        <v>35</v>
      </c>
      <c r="BD267" s="0" t="n">
        <f aca="false">IF(Presupuesto!$B$36='Flujo de Pagos'!$E267,36,9999)</f>
        <v>36</v>
      </c>
      <c r="BE267" s="0" t="n">
        <f aca="false">IF(Presupuesto!$B$37='Flujo de Pagos'!$E267,37,9999)</f>
        <v>37</v>
      </c>
      <c r="BF267" s="0" t="n">
        <f aca="false">IF(Presupuesto!$B$38='Flujo de Pagos'!$E267,38,9999)</f>
        <v>38</v>
      </c>
      <c r="BG267" s="0" t="n">
        <f aca="false">IF(Presupuesto!$B$39='Flujo de Pagos'!$E267,39,9999)</f>
        <v>39</v>
      </c>
      <c r="BH267" s="0" t="n">
        <f aca="false">IF(Presupuesto!$B$40='Flujo de Pagos'!$E267,40,9999)</f>
        <v>40</v>
      </c>
      <c r="BI267" s="0" t="n">
        <f aca="false">IF(Presupuesto!$B$41='Flujo de Pagos'!$E267,41,9999)</f>
        <v>41</v>
      </c>
      <c r="BJ267" s="0" t="n">
        <f aca="false">IF(Presupuesto!$B$42='Flujo de Pagos'!$E267,42,9999)</f>
        <v>42</v>
      </c>
      <c r="BK267" s="0" t="n">
        <f aca="false">IF(Presupuesto!$B$43='Flujo de Pagos'!$E267,43,9999)</f>
        <v>43</v>
      </c>
      <c r="BL267" s="0" t="n">
        <f aca="false">IF(Presupuesto!$B$44='Flujo de Pagos'!$E267,44,9999)</f>
        <v>44</v>
      </c>
      <c r="BM267" s="0" t="n">
        <f aca="false">IF(Presupuesto!$B$45='Flujo de Pagos'!$E267,45,9999)</f>
        <v>45</v>
      </c>
      <c r="BN267" s="0" t="n">
        <f aca="false">IF(Presupuesto!$B$46='Flujo de Pagos'!$E267,46,9999)</f>
        <v>46</v>
      </c>
      <c r="BO267" s="0" t="n">
        <f aca="false">IF(Presupuesto!$B$47='Flujo de Pagos'!$E267,47,9999)</f>
        <v>47</v>
      </c>
      <c r="BP267" s="0" t="n">
        <f aca="false">IF(Presupuesto!$B$48='Flujo de Pagos'!$E267,48,9999)</f>
        <v>48</v>
      </c>
      <c r="BQ267" s="0" t="n">
        <f aca="false">IF(Presupuesto!$B$49='Flujo de Pagos'!$E267,49,9999)</f>
        <v>49</v>
      </c>
      <c r="BR267" s="0" t="n">
        <f aca="false">IF(Presupuesto!$B$50='Flujo de Pagos'!$E267,50,9999)</f>
        <v>50</v>
      </c>
      <c r="BS267" s="0" t="n">
        <f aca="false">IF(Presupuesto!$B$51='Flujo de Pagos'!$E267,51,9999)</f>
        <v>51</v>
      </c>
      <c r="BT267" s="0" t="n">
        <f aca="false">IF(Presupuesto!$B$52='Flujo de Pagos'!$E267,52,9999)</f>
        <v>52</v>
      </c>
      <c r="BU267" s="0" t="n">
        <f aca="false">IF(Presupuesto!$B$53='Flujo de Pagos'!$E267,53,9999)</f>
        <v>53</v>
      </c>
      <c r="BV267" s="0" t="n">
        <f aca="false">IF(Presupuesto!$B$54='Flujo de Pagos'!$E267,54,9999)</f>
        <v>54</v>
      </c>
      <c r="BW267" s="0" t="n">
        <f aca="false">IF(Presupuesto!$B$55='Flujo de Pagos'!$E267,55,9999)</f>
        <v>55</v>
      </c>
      <c r="BX267" s="0" t="n">
        <f aca="false">IF(Presupuesto!$B$56='Flujo de Pagos'!$E267,56,9999)</f>
        <v>56</v>
      </c>
      <c r="BY267" s="0" t="n">
        <f aca="false">IF(Presupuesto!$B$57='Flujo de Pagos'!$E267,57,9999)</f>
        <v>57</v>
      </c>
      <c r="BZ267" s="0" t="n">
        <f aca="false">IF(Presupuesto!$B$58='Flujo de Pagos'!$E267,58,9999)</f>
        <v>58</v>
      </c>
      <c r="CA267" s="0" t="n">
        <f aca="false">IF(Presupuesto!$B$59='Flujo de Pagos'!$E267,59,9999)</f>
        <v>59</v>
      </c>
      <c r="CB267" s="0" t="n">
        <f aca="false">IF(Presupuesto!$B$60='Flujo de Pagos'!$E267,60,9999)</f>
        <v>60</v>
      </c>
      <c r="CC267" s="0" t="n">
        <f aca="false">IF(Presupuesto!$B$61='Flujo de Pagos'!$E267,61,9999)</f>
        <v>61</v>
      </c>
      <c r="CD267" s="0" t="n">
        <f aca="false">IF(Presupuesto!$B$62='Flujo de Pagos'!$E267,62,9999)</f>
        <v>62</v>
      </c>
      <c r="CE267" s="0" t="n">
        <f aca="false">IF(Presupuesto!$B$63='Flujo de Pagos'!$E267,63,9999)</f>
        <v>63</v>
      </c>
      <c r="CF267" s="0" t="n">
        <f aca="false">IF(Presupuesto!$B$64='Flujo de Pagos'!$E267,64,9999)</f>
        <v>64</v>
      </c>
      <c r="CG267" s="0" t="n">
        <f aca="false">IF(Presupuesto!$B$65='Flujo de Pagos'!$E267,65,9999)</f>
        <v>65</v>
      </c>
      <c r="CH267" s="0" t="n">
        <f aca="false">IF(Presupuesto!$B$66='Flujo de Pagos'!$E267,66,9999)</f>
        <v>66</v>
      </c>
    </row>
    <row r="268" customFormat="false" ht="15" hidden="false" customHeight="true" outlineLevel="0" collapsed="false">
      <c r="B268" s="1" t="n">
        <f aca="false">IF(AND('Flujo de Pagos'!E273=Carátula!$B$2,'Flujo de Pagos'!F273=Carátula!$B$4,'Flujo de Pagos'!H273&lt;&gt;""),273,99999)</f>
        <v>99999</v>
      </c>
      <c r="H268" s="1" t="n">
        <f aca="false">IF(SMALL($AA268:$CH268,1)&gt;=9999,"",INDEX(Presupuesto!$C:$C,SMALL($AA268:$CH268,1)))</f>
        <v>0</v>
      </c>
      <c r="I268" s="1" t="n">
        <f aca="false">IF(SMALL($AA268:$CH268,2)&gt;=9999,"",INDEX(Presupuesto!$C:$C,SMALL($AA268:$CH268,2)))</f>
        <v>0</v>
      </c>
      <c r="J268" s="1" t="n">
        <f aca="false">IF(SMALL($AA268:$CH268,3)&gt;=9999,"",INDEX(Presupuesto!$C:$C,SMALL($AA268:$CH268,3)))</f>
        <v>0</v>
      </c>
      <c r="K268" s="1" t="n">
        <f aca="false">IF(SMALL($AA268:$CH268,4)&gt;=9999,"",INDEX(Presupuesto!$C:$C,SMALL($AA268:$CH268,4)))</f>
        <v>0</v>
      </c>
      <c r="L268" s="1" t="n">
        <f aca="false">IF(SMALL($AA268:$CH268,5)&gt;=9999,"",INDEX(Presupuesto!$C:$C,SMALL($AA268:$CH268,5)))</f>
        <v>0</v>
      </c>
      <c r="M268" s="1" t="n">
        <f aca="false">IF(SMALL($AA268:$CH268,6)&gt;=9999,"",INDEX(Presupuesto!$C:$C,SMALL($AA268:$CH268,6)))</f>
        <v>0</v>
      </c>
      <c r="N268" s="1" t="n">
        <f aca="false">IF(SMALL($AA268:$CH268,7)&gt;=9999,"",INDEX(Presupuesto!$C:$C,SMALL($AA268:$CH268,7)))</f>
        <v>0</v>
      </c>
      <c r="O268" s="1" t="n">
        <f aca="false">IF(SMALL($AA268:$CH268,8)&gt;=9999,"",INDEX(Presupuesto!$C:$C,SMALL($AA268:$CH268,8)))</f>
        <v>0</v>
      </c>
      <c r="P268" s="1" t="n">
        <f aca="false">IF(SMALL($AA268:$CH268,9)&gt;=9999,"",INDEX(Presupuesto!$C:$C,SMALL($AA268:$CH268,9)))</f>
        <v>0</v>
      </c>
      <c r="Q268" s="1" t="n">
        <f aca="false">IF(SMALL($AA268:$CH268,10)&gt;=9999,"",INDEX(Presupuesto!$C:$C,SMALL($AA268:$CH268,10)))</f>
        <v>0</v>
      </c>
      <c r="AA268" s="0" t="n">
        <f aca="false">IF(Presupuesto!$B$7='Flujo de Pagos'!$E268,7,9999)</f>
        <v>9999</v>
      </c>
      <c r="AB268" s="0" t="n">
        <f aca="false">IF(Presupuesto!$B$8='Flujo de Pagos'!$E268,8,9999)</f>
        <v>9999</v>
      </c>
      <c r="AC268" s="0" t="n">
        <f aca="false">IF(Presupuesto!$B$9='Flujo de Pagos'!$E268,9,9999)</f>
        <v>9999</v>
      </c>
      <c r="AD268" s="0" t="n">
        <f aca="false">IF(Presupuesto!$B$10='Flujo de Pagos'!$E268,10,9999)</f>
        <v>9999</v>
      </c>
      <c r="AE268" s="0" t="n">
        <f aca="false">IF(Presupuesto!$B$11='Flujo de Pagos'!$E268,11,9999)</f>
        <v>9999</v>
      </c>
      <c r="AF268" s="0" t="n">
        <f aca="false">IF(Presupuesto!$B$12='Flujo de Pagos'!$E268,12,9999)</f>
        <v>12</v>
      </c>
      <c r="AG268" s="0" t="n">
        <f aca="false">IF(Presupuesto!$B$13='Flujo de Pagos'!$E268,13,9999)</f>
        <v>13</v>
      </c>
      <c r="AH268" s="0" t="n">
        <f aca="false">IF(Presupuesto!$B$14='Flujo de Pagos'!$E268,14,9999)</f>
        <v>14</v>
      </c>
      <c r="AI268" s="0" t="n">
        <f aca="false">IF(Presupuesto!$B$15='Flujo de Pagos'!$E268,15,9999)</f>
        <v>15</v>
      </c>
      <c r="AJ268" s="0" t="n">
        <f aca="false">IF(Presupuesto!$B$16='Flujo de Pagos'!$E268,16,9999)</f>
        <v>16</v>
      </c>
      <c r="AK268" s="0" t="n">
        <f aca="false">IF(Presupuesto!$B$17='Flujo de Pagos'!$E268,17,9999)</f>
        <v>17</v>
      </c>
      <c r="AL268" s="0" t="n">
        <f aca="false">IF(Presupuesto!$B$18='Flujo de Pagos'!$E268,18,9999)</f>
        <v>18</v>
      </c>
      <c r="AM268" s="0" t="n">
        <f aca="false">IF(Presupuesto!$B$19='Flujo de Pagos'!$E268,19,9999)</f>
        <v>19</v>
      </c>
      <c r="AN268" s="0" t="n">
        <f aca="false">IF(Presupuesto!$B$20='Flujo de Pagos'!$E268,20,9999)</f>
        <v>20</v>
      </c>
      <c r="AO268" s="0" t="n">
        <f aca="false">IF(Presupuesto!$B$21='Flujo de Pagos'!$E268,21,9999)</f>
        <v>21</v>
      </c>
      <c r="AP268" s="0" t="n">
        <f aca="false">IF(Presupuesto!$B$22='Flujo de Pagos'!$E268,22,9999)</f>
        <v>22</v>
      </c>
      <c r="AQ268" s="0" t="n">
        <f aca="false">IF(Presupuesto!$B$23='Flujo de Pagos'!$E268,23,9999)</f>
        <v>23</v>
      </c>
      <c r="AR268" s="0" t="n">
        <f aca="false">IF(Presupuesto!$B$24='Flujo de Pagos'!$E268,24,9999)</f>
        <v>24</v>
      </c>
      <c r="AS268" s="0" t="n">
        <f aca="false">IF(Presupuesto!$B$25='Flujo de Pagos'!$E268,25,9999)</f>
        <v>25</v>
      </c>
      <c r="AT268" s="0" t="n">
        <f aca="false">IF(Presupuesto!$B$26='Flujo de Pagos'!$E268,26,9999)</f>
        <v>26</v>
      </c>
      <c r="AU268" s="0" t="n">
        <f aca="false">IF(Presupuesto!$B$27='Flujo de Pagos'!$E268,27,9999)</f>
        <v>27</v>
      </c>
      <c r="AV268" s="0" t="n">
        <f aca="false">IF(Presupuesto!$B$28='Flujo de Pagos'!$E268,28,9999)</f>
        <v>28</v>
      </c>
      <c r="AW268" s="0" t="n">
        <f aca="false">IF(Presupuesto!$B$29='Flujo de Pagos'!$E268,29,9999)</f>
        <v>29</v>
      </c>
      <c r="AX268" s="0" t="n">
        <f aca="false">IF(Presupuesto!$B$30='Flujo de Pagos'!$E268,30,9999)</f>
        <v>30</v>
      </c>
      <c r="AY268" s="0" t="n">
        <f aca="false">IF(Presupuesto!$B$31='Flujo de Pagos'!$E268,31,9999)</f>
        <v>31</v>
      </c>
      <c r="AZ268" s="0" t="n">
        <f aca="false">IF(Presupuesto!$B$32='Flujo de Pagos'!$E268,32,9999)</f>
        <v>32</v>
      </c>
      <c r="BA268" s="0" t="n">
        <f aca="false">IF(Presupuesto!$B$33='Flujo de Pagos'!$E268,33,9999)</f>
        <v>33</v>
      </c>
      <c r="BB268" s="0" t="n">
        <f aca="false">IF(Presupuesto!$B$34='Flujo de Pagos'!$E268,34,9999)</f>
        <v>34</v>
      </c>
      <c r="BC268" s="0" t="n">
        <f aca="false">IF(Presupuesto!$B$35='Flujo de Pagos'!$E268,35,9999)</f>
        <v>35</v>
      </c>
      <c r="BD268" s="0" t="n">
        <f aca="false">IF(Presupuesto!$B$36='Flujo de Pagos'!$E268,36,9999)</f>
        <v>36</v>
      </c>
      <c r="BE268" s="0" t="n">
        <f aca="false">IF(Presupuesto!$B$37='Flujo de Pagos'!$E268,37,9999)</f>
        <v>37</v>
      </c>
      <c r="BF268" s="0" t="n">
        <f aca="false">IF(Presupuesto!$B$38='Flujo de Pagos'!$E268,38,9999)</f>
        <v>38</v>
      </c>
      <c r="BG268" s="0" t="n">
        <f aca="false">IF(Presupuesto!$B$39='Flujo de Pagos'!$E268,39,9999)</f>
        <v>39</v>
      </c>
      <c r="BH268" s="0" t="n">
        <f aca="false">IF(Presupuesto!$B$40='Flujo de Pagos'!$E268,40,9999)</f>
        <v>40</v>
      </c>
      <c r="BI268" s="0" t="n">
        <f aca="false">IF(Presupuesto!$B$41='Flujo de Pagos'!$E268,41,9999)</f>
        <v>41</v>
      </c>
      <c r="BJ268" s="0" t="n">
        <f aca="false">IF(Presupuesto!$B$42='Flujo de Pagos'!$E268,42,9999)</f>
        <v>42</v>
      </c>
      <c r="BK268" s="0" t="n">
        <f aca="false">IF(Presupuesto!$B$43='Flujo de Pagos'!$E268,43,9999)</f>
        <v>43</v>
      </c>
      <c r="BL268" s="0" t="n">
        <f aca="false">IF(Presupuesto!$B$44='Flujo de Pagos'!$E268,44,9999)</f>
        <v>44</v>
      </c>
      <c r="BM268" s="0" t="n">
        <f aca="false">IF(Presupuesto!$B$45='Flujo de Pagos'!$E268,45,9999)</f>
        <v>45</v>
      </c>
      <c r="BN268" s="0" t="n">
        <f aca="false">IF(Presupuesto!$B$46='Flujo de Pagos'!$E268,46,9999)</f>
        <v>46</v>
      </c>
      <c r="BO268" s="0" t="n">
        <f aca="false">IF(Presupuesto!$B$47='Flujo de Pagos'!$E268,47,9999)</f>
        <v>47</v>
      </c>
      <c r="BP268" s="0" t="n">
        <f aca="false">IF(Presupuesto!$B$48='Flujo de Pagos'!$E268,48,9999)</f>
        <v>48</v>
      </c>
      <c r="BQ268" s="0" t="n">
        <f aca="false">IF(Presupuesto!$B$49='Flujo de Pagos'!$E268,49,9999)</f>
        <v>49</v>
      </c>
      <c r="BR268" s="0" t="n">
        <f aca="false">IF(Presupuesto!$B$50='Flujo de Pagos'!$E268,50,9999)</f>
        <v>50</v>
      </c>
      <c r="BS268" s="0" t="n">
        <f aca="false">IF(Presupuesto!$B$51='Flujo de Pagos'!$E268,51,9999)</f>
        <v>51</v>
      </c>
      <c r="BT268" s="0" t="n">
        <f aca="false">IF(Presupuesto!$B$52='Flujo de Pagos'!$E268,52,9999)</f>
        <v>52</v>
      </c>
      <c r="BU268" s="0" t="n">
        <f aca="false">IF(Presupuesto!$B$53='Flujo de Pagos'!$E268,53,9999)</f>
        <v>53</v>
      </c>
      <c r="BV268" s="0" t="n">
        <f aca="false">IF(Presupuesto!$B$54='Flujo de Pagos'!$E268,54,9999)</f>
        <v>54</v>
      </c>
      <c r="BW268" s="0" t="n">
        <f aca="false">IF(Presupuesto!$B$55='Flujo de Pagos'!$E268,55,9999)</f>
        <v>55</v>
      </c>
      <c r="BX268" s="0" t="n">
        <f aca="false">IF(Presupuesto!$B$56='Flujo de Pagos'!$E268,56,9999)</f>
        <v>56</v>
      </c>
      <c r="BY268" s="0" t="n">
        <f aca="false">IF(Presupuesto!$B$57='Flujo de Pagos'!$E268,57,9999)</f>
        <v>57</v>
      </c>
      <c r="BZ268" s="0" t="n">
        <f aca="false">IF(Presupuesto!$B$58='Flujo de Pagos'!$E268,58,9999)</f>
        <v>58</v>
      </c>
      <c r="CA268" s="0" t="n">
        <f aca="false">IF(Presupuesto!$B$59='Flujo de Pagos'!$E268,59,9999)</f>
        <v>59</v>
      </c>
      <c r="CB268" s="0" t="n">
        <f aca="false">IF(Presupuesto!$B$60='Flujo de Pagos'!$E268,60,9999)</f>
        <v>60</v>
      </c>
      <c r="CC268" s="0" t="n">
        <f aca="false">IF(Presupuesto!$B$61='Flujo de Pagos'!$E268,61,9999)</f>
        <v>61</v>
      </c>
      <c r="CD268" s="0" t="n">
        <f aca="false">IF(Presupuesto!$B$62='Flujo de Pagos'!$E268,62,9999)</f>
        <v>62</v>
      </c>
      <c r="CE268" s="0" t="n">
        <f aca="false">IF(Presupuesto!$B$63='Flujo de Pagos'!$E268,63,9999)</f>
        <v>63</v>
      </c>
      <c r="CF268" s="0" t="n">
        <f aca="false">IF(Presupuesto!$B$64='Flujo de Pagos'!$E268,64,9999)</f>
        <v>64</v>
      </c>
      <c r="CG268" s="0" t="n">
        <f aca="false">IF(Presupuesto!$B$65='Flujo de Pagos'!$E268,65,9999)</f>
        <v>65</v>
      </c>
      <c r="CH268" s="0" t="n">
        <f aca="false">IF(Presupuesto!$B$66='Flujo de Pagos'!$E268,66,9999)</f>
        <v>66</v>
      </c>
    </row>
    <row r="269" customFormat="false" ht="15" hidden="false" customHeight="true" outlineLevel="0" collapsed="false">
      <c r="B269" s="1" t="n">
        <f aca="false">IF(AND('Flujo de Pagos'!E274=Carátula!$B$2,'Flujo de Pagos'!F274=Carátula!$B$4,'Flujo de Pagos'!H274&lt;&gt;""),274,99999)</f>
        <v>99999</v>
      </c>
      <c r="H269" s="1" t="n">
        <f aca="false">IF(SMALL($AA269:$CH269,1)&gt;=9999,"",INDEX(Presupuesto!$C:$C,SMALL($AA269:$CH269,1)))</f>
        <v>0</v>
      </c>
      <c r="I269" s="1" t="n">
        <f aca="false">IF(SMALL($AA269:$CH269,2)&gt;=9999,"",INDEX(Presupuesto!$C:$C,SMALL($AA269:$CH269,2)))</f>
        <v>0</v>
      </c>
      <c r="J269" s="1" t="n">
        <f aca="false">IF(SMALL($AA269:$CH269,3)&gt;=9999,"",INDEX(Presupuesto!$C:$C,SMALL($AA269:$CH269,3)))</f>
        <v>0</v>
      </c>
      <c r="K269" s="1" t="n">
        <f aca="false">IF(SMALL($AA269:$CH269,4)&gt;=9999,"",INDEX(Presupuesto!$C:$C,SMALL($AA269:$CH269,4)))</f>
        <v>0</v>
      </c>
      <c r="L269" s="1" t="n">
        <f aca="false">IF(SMALL($AA269:$CH269,5)&gt;=9999,"",INDEX(Presupuesto!$C:$C,SMALL($AA269:$CH269,5)))</f>
        <v>0</v>
      </c>
      <c r="M269" s="1" t="n">
        <f aca="false">IF(SMALL($AA269:$CH269,6)&gt;=9999,"",INDEX(Presupuesto!$C:$C,SMALL($AA269:$CH269,6)))</f>
        <v>0</v>
      </c>
      <c r="N269" s="1" t="n">
        <f aca="false">IF(SMALL($AA269:$CH269,7)&gt;=9999,"",INDEX(Presupuesto!$C:$C,SMALL($AA269:$CH269,7)))</f>
        <v>0</v>
      </c>
      <c r="O269" s="1" t="n">
        <f aca="false">IF(SMALL($AA269:$CH269,8)&gt;=9999,"",INDEX(Presupuesto!$C:$C,SMALL($AA269:$CH269,8)))</f>
        <v>0</v>
      </c>
      <c r="P269" s="1" t="n">
        <f aca="false">IF(SMALL($AA269:$CH269,9)&gt;=9999,"",INDEX(Presupuesto!$C:$C,SMALL($AA269:$CH269,9)))</f>
        <v>0</v>
      </c>
      <c r="Q269" s="1" t="n">
        <f aca="false">IF(SMALL($AA269:$CH269,10)&gt;=9999,"",INDEX(Presupuesto!$C:$C,SMALL($AA269:$CH269,10)))</f>
        <v>0</v>
      </c>
      <c r="AA269" s="0" t="n">
        <f aca="false">IF(Presupuesto!$B$7='Flujo de Pagos'!$E269,7,9999)</f>
        <v>9999</v>
      </c>
      <c r="AB269" s="0" t="n">
        <f aca="false">IF(Presupuesto!$B$8='Flujo de Pagos'!$E269,8,9999)</f>
        <v>9999</v>
      </c>
      <c r="AC269" s="0" t="n">
        <f aca="false">IF(Presupuesto!$B$9='Flujo de Pagos'!$E269,9,9999)</f>
        <v>9999</v>
      </c>
      <c r="AD269" s="0" t="n">
        <f aca="false">IF(Presupuesto!$B$10='Flujo de Pagos'!$E269,10,9999)</f>
        <v>9999</v>
      </c>
      <c r="AE269" s="0" t="n">
        <f aca="false">IF(Presupuesto!$B$11='Flujo de Pagos'!$E269,11,9999)</f>
        <v>9999</v>
      </c>
      <c r="AF269" s="0" t="n">
        <f aca="false">IF(Presupuesto!$B$12='Flujo de Pagos'!$E269,12,9999)</f>
        <v>12</v>
      </c>
      <c r="AG269" s="0" t="n">
        <f aca="false">IF(Presupuesto!$B$13='Flujo de Pagos'!$E269,13,9999)</f>
        <v>13</v>
      </c>
      <c r="AH269" s="0" t="n">
        <f aca="false">IF(Presupuesto!$B$14='Flujo de Pagos'!$E269,14,9999)</f>
        <v>14</v>
      </c>
      <c r="AI269" s="0" t="n">
        <f aca="false">IF(Presupuesto!$B$15='Flujo de Pagos'!$E269,15,9999)</f>
        <v>15</v>
      </c>
      <c r="AJ269" s="0" t="n">
        <f aca="false">IF(Presupuesto!$B$16='Flujo de Pagos'!$E269,16,9999)</f>
        <v>16</v>
      </c>
      <c r="AK269" s="0" t="n">
        <f aca="false">IF(Presupuesto!$B$17='Flujo de Pagos'!$E269,17,9999)</f>
        <v>17</v>
      </c>
      <c r="AL269" s="0" t="n">
        <f aca="false">IF(Presupuesto!$B$18='Flujo de Pagos'!$E269,18,9999)</f>
        <v>18</v>
      </c>
      <c r="AM269" s="0" t="n">
        <f aca="false">IF(Presupuesto!$B$19='Flujo de Pagos'!$E269,19,9999)</f>
        <v>19</v>
      </c>
      <c r="AN269" s="0" t="n">
        <f aca="false">IF(Presupuesto!$B$20='Flujo de Pagos'!$E269,20,9999)</f>
        <v>20</v>
      </c>
      <c r="AO269" s="0" t="n">
        <f aca="false">IF(Presupuesto!$B$21='Flujo de Pagos'!$E269,21,9999)</f>
        <v>21</v>
      </c>
      <c r="AP269" s="0" t="n">
        <f aca="false">IF(Presupuesto!$B$22='Flujo de Pagos'!$E269,22,9999)</f>
        <v>22</v>
      </c>
      <c r="AQ269" s="0" t="n">
        <f aca="false">IF(Presupuesto!$B$23='Flujo de Pagos'!$E269,23,9999)</f>
        <v>23</v>
      </c>
      <c r="AR269" s="0" t="n">
        <f aca="false">IF(Presupuesto!$B$24='Flujo de Pagos'!$E269,24,9999)</f>
        <v>24</v>
      </c>
      <c r="AS269" s="0" t="n">
        <f aca="false">IF(Presupuesto!$B$25='Flujo de Pagos'!$E269,25,9999)</f>
        <v>25</v>
      </c>
      <c r="AT269" s="0" t="n">
        <f aca="false">IF(Presupuesto!$B$26='Flujo de Pagos'!$E269,26,9999)</f>
        <v>26</v>
      </c>
      <c r="AU269" s="0" t="n">
        <f aca="false">IF(Presupuesto!$B$27='Flujo de Pagos'!$E269,27,9999)</f>
        <v>27</v>
      </c>
      <c r="AV269" s="0" t="n">
        <f aca="false">IF(Presupuesto!$B$28='Flujo de Pagos'!$E269,28,9999)</f>
        <v>28</v>
      </c>
      <c r="AW269" s="0" t="n">
        <f aca="false">IF(Presupuesto!$B$29='Flujo de Pagos'!$E269,29,9999)</f>
        <v>29</v>
      </c>
      <c r="AX269" s="0" t="n">
        <f aca="false">IF(Presupuesto!$B$30='Flujo de Pagos'!$E269,30,9999)</f>
        <v>30</v>
      </c>
      <c r="AY269" s="0" t="n">
        <f aca="false">IF(Presupuesto!$B$31='Flujo de Pagos'!$E269,31,9999)</f>
        <v>31</v>
      </c>
      <c r="AZ269" s="0" t="n">
        <f aca="false">IF(Presupuesto!$B$32='Flujo de Pagos'!$E269,32,9999)</f>
        <v>32</v>
      </c>
      <c r="BA269" s="0" t="n">
        <f aca="false">IF(Presupuesto!$B$33='Flujo de Pagos'!$E269,33,9999)</f>
        <v>33</v>
      </c>
      <c r="BB269" s="0" t="n">
        <f aca="false">IF(Presupuesto!$B$34='Flujo de Pagos'!$E269,34,9999)</f>
        <v>34</v>
      </c>
      <c r="BC269" s="0" t="n">
        <f aca="false">IF(Presupuesto!$B$35='Flujo de Pagos'!$E269,35,9999)</f>
        <v>35</v>
      </c>
      <c r="BD269" s="0" t="n">
        <f aca="false">IF(Presupuesto!$B$36='Flujo de Pagos'!$E269,36,9999)</f>
        <v>36</v>
      </c>
      <c r="BE269" s="0" t="n">
        <f aca="false">IF(Presupuesto!$B$37='Flujo de Pagos'!$E269,37,9999)</f>
        <v>37</v>
      </c>
      <c r="BF269" s="0" t="n">
        <f aca="false">IF(Presupuesto!$B$38='Flujo de Pagos'!$E269,38,9999)</f>
        <v>38</v>
      </c>
      <c r="BG269" s="0" t="n">
        <f aca="false">IF(Presupuesto!$B$39='Flujo de Pagos'!$E269,39,9999)</f>
        <v>39</v>
      </c>
      <c r="BH269" s="0" t="n">
        <f aca="false">IF(Presupuesto!$B$40='Flujo de Pagos'!$E269,40,9999)</f>
        <v>40</v>
      </c>
      <c r="BI269" s="0" t="n">
        <f aca="false">IF(Presupuesto!$B$41='Flujo de Pagos'!$E269,41,9999)</f>
        <v>41</v>
      </c>
      <c r="BJ269" s="0" t="n">
        <f aca="false">IF(Presupuesto!$B$42='Flujo de Pagos'!$E269,42,9999)</f>
        <v>42</v>
      </c>
      <c r="BK269" s="0" t="n">
        <f aca="false">IF(Presupuesto!$B$43='Flujo de Pagos'!$E269,43,9999)</f>
        <v>43</v>
      </c>
      <c r="BL269" s="0" t="n">
        <f aca="false">IF(Presupuesto!$B$44='Flujo de Pagos'!$E269,44,9999)</f>
        <v>44</v>
      </c>
      <c r="BM269" s="0" t="n">
        <f aca="false">IF(Presupuesto!$B$45='Flujo de Pagos'!$E269,45,9999)</f>
        <v>45</v>
      </c>
      <c r="BN269" s="0" t="n">
        <f aca="false">IF(Presupuesto!$B$46='Flujo de Pagos'!$E269,46,9999)</f>
        <v>46</v>
      </c>
      <c r="BO269" s="0" t="n">
        <f aca="false">IF(Presupuesto!$B$47='Flujo de Pagos'!$E269,47,9999)</f>
        <v>47</v>
      </c>
      <c r="BP269" s="0" t="n">
        <f aca="false">IF(Presupuesto!$B$48='Flujo de Pagos'!$E269,48,9999)</f>
        <v>48</v>
      </c>
      <c r="BQ269" s="0" t="n">
        <f aca="false">IF(Presupuesto!$B$49='Flujo de Pagos'!$E269,49,9999)</f>
        <v>49</v>
      </c>
      <c r="BR269" s="0" t="n">
        <f aca="false">IF(Presupuesto!$B$50='Flujo de Pagos'!$E269,50,9999)</f>
        <v>50</v>
      </c>
      <c r="BS269" s="0" t="n">
        <f aca="false">IF(Presupuesto!$B$51='Flujo de Pagos'!$E269,51,9999)</f>
        <v>51</v>
      </c>
      <c r="BT269" s="0" t="n">
        <f aca="false">IF(Presupuesto!$B$52='Flujo de Pagos'!$E269,52,9999)</f>
        <v>52</v>
      </c>
      <c r="BU269" s="0" t="n">
        <f aca="false">IF(Presupuesto!$B$53='Flujo de Pagos'!$E269,53,9999)</f>
        <v>53</v>
      </c>
      <c r="BV269" s="0" t="n">
        <f aca="false">IF(Presupuesto!$B$54='Flujo de Pagos'!$E269,54,9999)</f>
        <v>54</v>
      </c>
      <c r="BW269" s="0" t="n">
        <f aca="false">IF(Presupuesto!$B$55='Flujo de Pagos'!$E269,55,9999)</f>
        <v>55</v>
      </c>
      <c r="BX269" s="0" t="n">
        <f aca="false">IF(Presupuesto!$B$56='Flujo de Pagos'!$E269,56,9999)</f>
        <v>56</v>
      </c>
      <c r="BY269" s="0" t="n">
        <f aca="false">IF(Presupuesto!$B$57='Flujo de Pagos'!$E269,57,9999)</f>
        <v>57</v>
      </c>
      <c r="BZ269" s="0" t="n">
        <f aca="false">IF(Presupuesto!$B$58='Flujo de Pagos'!$E269,58,9999)</f>
        <v>58</v>
      </c>
      <c r="CA269" s="0" t="n">
        <f aca="false">IF(Presupuesto!$B$59='Flujo de Pagos'!$E269,59,9999)</f>
        <v>59</v>
      </c>
      <c r="CB269" s="0" t="n">
        <f aca="false">IF(Presupuesto!$B$60='Flujo de Pagos'!$E269,60,9999)</f>
        <v>60</v>
      </c>
      <c r="CC269" s="0" t="n">
        <f aca="false">IF(Presupuesto!$B$61='Flujo de Pagos'!$E269,61,9999)</f>
        <v>61</v>
      </c>
      <c r="CD269" s="0" t="n">
        <f aca="false">IF(Presupuesto!$B$62='Flujo de Pagos'!$E269,62,9999)</f>
        <v>62</v>
      </c>
      <c r="CE269" s="0" t="n">
        <f aca="false">IF(Presupuesto!$B$63='Flujo de Pagos'!$E269,63,9999)</f>
        <v>63</v>
      </c>
      <c r="CF269" s="0" t="n">
        <f aca="false">IF(Presupuesto!$B$64='Flujo de Pagos'!$E269,64,9999)</f>
        <v>64</v>
      </c>
      <c r="CG269" s="0" t="n">
        <f aca="false">IF(Presupuesto!$B$65='Flujo de Pagos'!$E269,65,9999)</f>
        <v>65</v>
      </c>
      <c r="CH269" s="0" t="n">
        <f aca="false">IF(Presupuesto!$B$66='Flujo de Pagos'!$E269,66,9999)</f>
        <v>66</v>
      </c>
    </row>
    <row r="270" customFormat="false" ht="15" hidden="false" customHeight="true" outlineLevel="0" collapsed="false">
      <c r="B270" s="1" t="n">
        <f aca="false">IF(AND('Flujo de Pagos'!E275=Carátula!$B$2,'Flujo de Pagos'!F275=Carátula!$B$4,'Flujo de Pagos'!H275&lt;&gt;""),275,99999)</f>
        <v>99999</v>
      </c>
      <c r="H270" s="1" t="n">
        <f aca="false">IF(SMALL($AA270:$CH270,1)&gt;=9999,"",INDEX(Presupuesto!$C:$C,SMALL($AA270:$CH270,1)))</f>
        <v>0</v>
      </c>
      <c r="I270" s="1" t="n">
        <f aca="false">IF(SMALL($AA270:$CH270,2)&gt;=9999,"",INDEX(Presupuesto!$C:$C,SMALL($AA270:$CH270,2)))</f>
        <v>0</v>
      </c>
      <c r="J270" s="1" t="n">
        <f aca="false">IF(SMALL($AA270:$CH270,3)&gt;=9999,"",INDEX(Presupuesto!$C:$C,SMALL($AA270:$CH270,3)))</f>
        <v>0</v>
      </c>
      <c r="K270" s="1" t="n">
        <f aca="false">IF(SMALL($AA270:$CH270,4)&gt;=9999,"",INDEX(Presupuesto!$C:$C,SMALL($AA270:$CH270,4)))</f>
        <v>0</v>
      </c>
      <c r="L270" s="1" t="n">
        <f aca="false">IF(SMALL($AA270:$CH270,5)&gt;=9999,"",INDEX(Presupuesto!$C:$C,SMALL($AA270:$CH270,5)))</f>
        <v>0</v>
      </c>
      <c r="M270" s="1" t="n">
        <f aca="false">IF(SMALL($AA270:$CH270,6)&gt;=9999,"",INDEX(Presupuesto!$C:$C,SMALL($AA270:$CH270,6)))</f>
        <v>0</v>
      </c>
      <c r="N270" s="1" t="n">
        <f aca="false">IF(SMALL($AA270:$CH270,7)&gt;=9999,"",INDEX(Presupuesto!$C:$C,SMALL($AA270:$CH270,7)))</f>
        <v>0</v>
      </c>
      <c r="O270" s="1" t="n">
        <f aca="false">IF(SMALL($AA270:$CH270,8)&gt;=9999,"",INDEX(Presupuesto!$C:$C,SMALL($AA270:$CH270,8)))</f>
        <v>0</v>
      </c>
      <c r="P270" s="1" t="n">
        <f aca="false">IF(SMALL($AA270:$CH270,9)&gt;=9999,"",INDEX(Presupuesto!$C:$C,SMALL($AA270:$CH270,9)))</f>
        <v>0</v>
      </c>
      <c r="Q270" s="1" t="n">
        <f aca="false">IF(SMALL($AA270:$CH270,10)&gt;=9999,"",INDEX(Presupuesto!$C:$C,SMALL($AA270:$CH270,10)))</f>
        <v>0</v>
      </c>
      <c r="AA270" s="0" t="n">
        <f aca="false">IF(Presupuesto!$B$7='Flujo de Pagos'!$E270,7,9999)</f>
        <v>9999</v>
      </c>
      <c r="AB270" s="0" t="n">
        <f aca="false">IF(Presupuesto!$B$8='Flujo de Pagos'!$E270,8,9999)</f>
        <v>9999</v>
      </c>
      <c r="AC270" s="0" t="n">
        <f aca="false">IF(Presupuesto!$B$9='Flujo de Pagos'!$E270,9,9999)</f>
        <v>9999</v>
      </c>
      <c r="AD270" s="0" t="n">
        <f aca="false">IF(Presupuesto!$B$10='Flujo de Pagos'!$E270,10,9999)</f>
        <v>9999</v>
      </c>
      <c r="AE270" s="0" t="n">
        <f aca="false">IF(Presupuesto!$B$11='Flujo de Pagos'!$E270,11,9999)</f>
        <v>9999</v>
      </c>
      <c r="AF270" s="0" t="n">
        <f aca="false">IF(Presupuesto!$B$12='Flujo de Pagos'!$E270,12,9999)</f>
        <v>12</v>
      </c>
      <c r="AG270" s="0" t="n">
        <f aca="false">IF(Presupuesto!$B$13='Flujo de Pagos'!$E270,13,9999)</f>
        <v>13</v>
      </c>
      <c r="AH270" s="0" t="n">
        <f aca="false">IF(Presupuesto!$B$14='Flujo de Pagos'!$E270,14,9999)</f>
        <v>14</v>
      </c>
      <c r="AI270" s="0" t="n">
        <f aca="false">IF(Presupuesto!$B$15='Flujo de Pagos'!$E270,15,9999)</f>
        <v>15</v>
      </c>
      <c r="AJ270" s="0" t="n">
        <f aca="false">IF(Presupuesto!$B$16='Flujo de Pagos'!$E270,16,9999)</f>
        <v>16</v>
      </c>
      <c r="AK270" s="0" t="n">
        <f aca="false">IF(Presupuesto!$B$17='Flujo de Pagos'!$E270,17,9999)</f>
        <v>17</v>
      </c>
      <c r="AL270" s="0" t="n">
        <f aca="false">IF(Presupuesto!$B$18='Flujo de Pagos'!$E270,18,9999)</f>
        <v>18</v>
      </c>
      <c r="AM270" s="0" t="n">
        <f aca="false">IF(Presupuesto!$B$19='Flujo de Pagos'!$E270,19,9999)</f>
        <v>19</v>
      </c>
      <c r="AN270" s="0" t="n">
        <f aca="false">IF(Presupuesto!$B$20='Flujo de Pagos'!$E270,20,9999)</f>
        <v>20</v>
      </c>
      <c r="AO270" s="0" t="n">
        <f aca="false">IF(Presupuesto!$B$21='Flujo de Pagos'!$E270,21,9999)</f>
        <v>21</v>
      </c>
      <c r="AP270" s="0" t="n">
        <f aca="false">IF(Presupuesto!$B$22='Flujo de Pagos'!$E270,22,9999)</f>
        <v>22</v>
      </c>
      <c r="AQ270" s="0" t="n">
        <f aca="false">IF(Presupuesto!$B$23='Flujo de Pagos'!$E270,23,9999)</f>
        <v>23</v>
      </c>
      <c r="AR270" s="0" t="n">
        <f aca="false">IF(Presupuesto!$B$24='Flujo de Pagos'!$E270,24,9999)</f>
        <v>24</v>
      </c>
      <c r="AS270" s="0" t="n">
        <f aca="false">IF(Presupuesto!$B$25='Flujo de Pagos'!$E270,25,9999)</f>
        <v>25</v>
      </c>
      <c r="AT270" s="0" t="n">
        <f aca="false">IF(Presupuesto!$B$26='Flujo de Pagos'!$E270,26,9999)</f>
        <v>26</v>
      </c>
      <c r="AU270" s="0" t="n">
        <f aca="false">IF(Presupuesto!$B$27='Flujo de Pagos'!$E270,27,9999)</f>
        <v>27</v>
      </c>
      <c r="AV270" s="0" t="n">
        <f aca="false">IF(Presupuesto!$B$28='Flujo de Pagos'!$E270,28,9999)</f>
        <v>28</v>
      </c>
      <c r="AW270" s="0" t="n">
        <f aca="false">IF(Presupuesto!$B$29='Flujo de Pagos'!$E270,29,9999)</f>
        <v>29</v>
      </c>
      <c r="AX270" s="0" t="n">
        <f aca="false">IF(Presupuesto!$B$30='Flujo de Pagos'!$E270,30,9999)</f>
        <v>30</v>
      </c>
      <c r="AY270" s="0" t="n">
        <f aca="false">IF(Presupuesto!$B$31='Flujo de Pagos'!$E270,31,9999)</f>
        <v>31</v>
      </c>
      <c r="AZ270" s="0" t="n">
        <f aca="false">IF(Presupuesto!$B$32='Flujo de Pagos'!$E270,32,9999)</f>
        <v>32</v>
      </c>
      <c r="BA270" s="0" t="n">
        <f aca="false">IF(Presupuesto!$B$33='Flujo de Pagos'!$E270,33,9999)</f>
        <v>33</v>
      </c>
      <c r="BB270" s="0" t="n">
        <f aca="false">IF(Presupuesto!$B$34='Flujo de Pagos'!$E270,34,9999)</f>
        <v>34</v>
      </c>
      <c r="BC270" s="0" t="n">
        <f aca="false">IF(Presupuesto!$B$35='Flujo de Pagos'!$E270,35,9999)</f>
        <v>35</v>
      </c>
      <c r="BD270" s="0" t="n">
        <f aca="false">IF(Presupuesto!$B$36='Flujo de Pagos'!$E270,36,9999)</f>
        <v>36</v>
      </c>
      <c r="BE270" s="0" t="n">
        <f aca="false">IF(Presupuesto!$B$37='Flujo de Pagos'!$E270,37,9999)</f>
        <v>37</v>
      </c>
      <c r="BF270" s="0" t="n">
        <f aca="false">IF(Presupuesto!$B$38='Flujo de Pagos'!$E270,38,9999)</f>
        <v>38</v>
      </c>
      <c r="BG270" s="0" t="n">
        <f aca="false">IF(Presupuesto!$B$39='Flujo de Pagos'!$E270,39,9999)</f>
        <v>39</v>
      </c>
      <c r="BH270" s="0" t="n">
        <f aca="false">IF(Presupuesto!$B$40='Flujo de Pagos'!$E270,40,9999)</f>
        <v>40</v>
      </c>
      <c r="BI270" s="0" t="n">
        <f aca="false">IF(Presupuesto!$B$41='Flujo de Pagos'!$E270,41,9999)</f>
        <v>41</v>
      </c>
      <c r="BJ270" s="0" t="n">
        <f aca="false">IF(Presupuesto!$B$42='Flujo de Pagos'!$E270,42,9999)</f>
        <v>42</v>
      </c>
      <c r="BK270" s="0" t="n">
        <f aca="false">IF(Presupuesto!$B$43='Flujo de Pagos'!$E270,43,9999)</f>
        <v>43</v>
      </c>
      <c r="BL270" s="0" t="n">
        <f aca="false">IF(Presupuesto!$B$44='Flujo de Pagos'!$E270,44,9999)</f>
        <v>44</v>
      </c>
      <c r="BM270" s="0" t="n">
        <f aca="false">IF(Presupuesto!$B$45='Flujo de Pagos'!$E270,45,9999)</f>
        <v>45</v>
      </c>
      <c r="BN270" s="0" t="n">
        <f aca="false">IF(Presupuesto!$B$46='Flujo de Pagos'!$E270,46,9999)</f>
        <v>46</v>
      </c>
      <c r="BO270" s="0" t="n">
        <f aca="false">IF(Presupuesto!$B$47='Flujo de Pagos'!$E270,47,9999)</f>
        <v>47</v>
      </c>
      <c r="BP270" s="0" t="n">
        <f aca="false">IF(Presupuesto!$B$48='Flujo de Pagos'!$E270,48,9999)</f>
        <v>48</v>
      </c>
      <c r="BQ270" s="0" t="n">
        <f aca="false">IF(Presupuesto!$B$49='Flujo de Pagos'!$E270,49,9999)</f>
        <v>49</v>
      </c>
      <c r="BR270" s="0" t="n">
        <f aca="false">IF(Presupuesto!$B$50='Flujo de Pagos'!$E270,50,9999)</f>
        <v>50</v>
      </c>
      <c r="BS270" s="0" t="n">
        <f aca="false">IF(Presupuesto!$B$51='Flujo de Pagos'!$E270,51,9999)</f>
        <v>51</v>
      </c>
      <c r="BT270" s="0" t="n">
        <f aca="false">IF(Presupuesto!$B$52='Flujo de Pagos'!$E270,52,9999)</f>
        <v>52</v>
      </c>
      <c r="BU270" s="0" t="n">
        <f aca="false">IF(Presupuesto!$B$53='Flujo de Pagos'!$E270,53,9999)</f>
        <v>53</v>
      </c>
      <c r="BV270" s="0" t="n">
        <f aca="false">IF(Presupuesto!$B$54='Flujo de Pagos'!$E270,54,9999)</f>
        <v>54</v>
      </c>
      <c r="BW270" s="0" t="n">
        <f aca="false">IF(Presupuesto!$B$55='Flujo de Pagos'!$E270,55,9999)</f>
        <v>55</v>
      </c>
      <c r="BX270" s="0" t="n">
        <f aca="false">IF(Presupuesto!$B$56='Flujo de Pagos'!$E270,56,9999)</f>
        <v>56</v>
      </c>
      <c r="BY270" s="0" t="n">
        <f aca="false">IF(Presupuesto!$B$57='Flujo de Pagos'!$E270,57,9999)</f>
        <v>57</v>
      </c>
      <c r="BZ270" s="0" t="n">
        <f aca="false">IF(Presupuesto!$B$58='Flujo de Pagos'!$E270,58,9999)</f>
        <v>58</v>
      </c>
      <c r="CA270" s="0" t="n">
        <f aca="false">IF(Presupuesto!$B$59='Flujo de Pagos'!$E270,59,9999)</f>
        <v>59</v>
      </c>
      <c r="CB270" s="0" t="n">
        <f aca="false">IF(Presupuesto!$B$60='Flujo de Pagos'!$E270,60,9999)</f>
        <v>60</v>
      </c>
      <c r="CC270" s="0" t="n">
        <f aca="false">IF(Presupuesto!$B$61='Flujo de Pagos'!$E270,61,9999)</f>
        <v>61</v>
      </c>
      <c r="CD270" s="0" t="n">
        <f aca="false">IF(Presupuesto!$B$62='Flujo de Pagos'!$E270,62,9999)</f>
        <v>62</v>
      </c>
      <c r="CE270" s="0" t="n">
        <f aca="false">IF(Presupuesto!$B$63='Flujo de Pagos'!$E270,63,9999)</f>
        <v>63</v>
      </c>
      <c r="CF270" s="0" t="n">
        <f aca="false">IF(Presupuesto!$B$64='Flujo de Pagos'!$E270,64,9999)</f>
        <v>64</v>
      </c>
      <c r="CG270" s="0" t="n">
        <f aca="false">IF(Presupuesto!$B$65='Flujo de Pagos'!$E270,65,9999)</f>
        <v>65</v>
      </c>
      <c r="CH270" s="0" t="n">
        <f aca="false">IF(Presupuesto!$B$66='Flujo de Pagos'!$E270,66,9999)</f>
        <v>66</v>
      </c>
    </row>
    <row r="271" customFormat="false" ht="15" hidden="false" customHeight="true" outlineLevel="0" collapsed="false">
      <c r="B271" s="1" t="n">
        <f aca="false">IF(AND('Flujo de Pagos'!E276=Carátula!$B$2,'Flujo de Pagos'!F276=Carátula!$B$4,'Flujo de Pagos'!H276&lt;&gt;""),276,99999)</f>
        <v>99999</v>
      </c>
      <c r="H271" s="1" t="n">
        <f aca="false">IF(SMALL($AA271:$CH271,1)&gt;=9999,"",INDEX(Presupuesto!$C:$C,SMALL($AA271:$CH271,1)))</f>
        <v>0</v>
      </c>
      <c r="I271" s="1" t="n">
        <f aca="false">IF(SMALL($AA271:$CH271,2)&gt;=9999,"",INDEX(Presupuesto!$C:$C,SMALL($AA271:$CH271,2)))</f>
        <v>0</v>
      </c>
      <c r="J271" s="1" t="n">
        <f aca="false">IF(SMALL($AA271:$CH271,3)&gt;=9999,"",INDEX(Presupuesto!$C:$C,SMALL($AA271:$CH271,3)))</f>
        <v>0</v>
      </c>
      <c r="K271" s="1" t="n">
        <f aca="false">IF(SMALL($AA271:$CH271,4)&gt;=9999,"",INDEX(Presupuesto!$C:$C,SMALL($AA271:$CH271,4)))</f>
        <v>0</v>
      </c>
      <c r="L271" s="1" t="n">
        <f aca="false">IF(SMALL($AA271:$CH271,5)&gt;=9999,"",INDEX(Presupuesto!$C:$C,SMALL($AA271:$CH271,5)))</f>
        <v>0</v>
      </c>
      <c r="M271" s="1" t="n">
        <f aca="false">IF(SMALL($AA271:$CH271,6)&gt;=9999,"",INDEX(Presupuesto!$C:$C,SMALL($AA271:$CH271,6)))</f>
        <v>0</v>
      </c>
      <c r="N271" s="1" t="n">
        <f aca="false">IF(SMALL($AA271:$CH271,7)&gt;=9999,"",INDEX(Presupuesto!$C:$C,SMALL($AA271:$CH271,7)))</f>
        <v>0</v>
      </c>
      <c r="O271" s="1" t="n">
        <f aca="false">IF(SMALL($AA271:$CH271,8)&gt;=9999,"",INDEX(Presupuesto!$C:$C,SMALL($AA271:$CH271,8)))</f>
        <v>0</v>
      </c>
      <c r="P271" s="1" t="n">
        <f aca="false">IF(SMALL($AA271:$CH271,9)&gt;=9999,"",INDEX(Presupuesto!$C:$C,SMALL($AA271:$CH271,9)))</f>
        <v>0</v>
      </c>
      <c r="Q271" s="1" t="n">
        <f aca="false">IF(SMALL($AA271:$CH271,10)&gt;=9999,"",INDEX(Presupuesto!$C:$C,SMALL($AA271:$CH271,10)))</f>
        <v>0</v>
      </c>
      <c r="AA271" s="0" t="n">
        <f aca="false">IF(Presupuesto!$B$7='Flujo de Pagos'!$E271,7,9999)</f>
        <v>9999</v>
      </c>
      <c r="AB271" s="0" t="n">
        <f aca="false">IF(Presupuesto!$B$8='Flujo de Pagos'!$E271,8,9999)</f>
        <v>9999</v>
      </c>
      <c r="AC271" s="0" t="n">
        <f aca="false">IF(Presupuesto!$B$9='Flujo de Pagos'!$E271,9,9999)</f>
        <v>9999</v>
      </c>
      <c r="AD271" s="0" t="n">
        <f aca="false">IF(Presupuesto!$B$10='Flujo de Pagos'!$E271,10,9999)</f>
        <v>9999</v>
      </c>
      <c r="AE271" s="0" t="n">
        <f aca="false">IF(Presupuesto!$B$11='Flujo de Pagos'!$E271,11,9999)</f>
        <v>9999</v>
      </c>
      <c r="AF271" s="0" t="n">
        <f aca="false">IF(Presupuesto!$B$12='Flujo de Pagos'!$E271,12,9999)</f>
        <v>12</v>
      </c>
      <c r="AG271" s="0" t="n">
        <f aca="false">IF(Presupuesto!$B$13='Flujo de Pagos'!$E271,13,9999)</f>
        <v>13</v>
      </c>
      <c r="AH271" s="0" t="n">
        <f aca="false">IF(Presupuesto!$B$14='Flujo de Pagos'!$E271,14,9999)</f>
        <v>14</v>
      </c>
      <c r="AI271" s="0" t="n">
        <f aca="false">IF(Presupuesto!$B$15='Flujo de Pagos'!$E271,15,9999)</f>
        <v>15</v>
      </c>
      <c r="AJ271" s="0" t="n">
        <f aca="false">IF(Presupuesto!$B$16='Flujo de Pagos'!$E271,16,9999)</f>
        <v>16</v>
      </c>
      <c r="AK271" s="0" t="n">
        <f aca="false">IF(Presupuesto!$B$17='Flujo de Pagos'!$E271,17,9999)</f>
        <v>17</v>
      </c>
      <c r="AL271" s="0" t="n">
        <f aca="false">IF(Presupuesto!$B$18='Flujo de Pagos'!$E271,18,9999)</f>
        <v>18</v>
      </c>
      <c r="AM271" s="0" t="n">
        <f aca="false">IF(Presupuesto!$B$19='Flujo de Pagos'!$E271,19,9999)</f>
        <v>19</v>
      </c>
      <c r="AN271" s="0" t="n">
        <f aca="false">IF(Presupuesto!$B$20='Flujo de Pagos'!$E271,20,9999)</f>
        <v>20</v>
      </c>
      <c r="AO271" s="0" t="n">
        <f aca="false">IF(Presupuesto!$B$21='Flujo de Pagos'!$E271,21,9999)</f>
        <v>21</v>
      </c>
      <c r="AP271" s="0" t="n">
        <f aca="false">IF(Presupuesto!$B$22='Flujo de Pagos'!$E271,22,9999)</f>
        <v>22</v>
      </c>
      <c r="AQ271" s="0" t="n">
        <f aca="false">IF(Presupuesto!$B$23='Flujo de Pagos'!$E271,23,9999)</f>
        <v>23</v>
      </c>
      <c r="AR271" s="0" t="n">
        <f aca="false">IF(Presupuesto!$B$24='Flujo de Pagos'!$E271,24,9999)</f>
        <v>24</v>
      </c>
      <c r="AS271" s="0" t="n">
        <f aca="false">IF(Presupuesto!$B$25='Flujo de Pagos'!$E271,25,9999)</f>
        <v>25</v>
      </c>
      <c r="AT271" s="0" t="n">
        <f aca="false">IF(Presupuesto!$B$26='Flujo de Pagos'!$E271,26,9999)</f>
        <v>26</v>
      </c>
      <c r="AU271" s="0" t="n">
        <f aca="false">IF(Presupuesto!$B$27='Flujo de Pagos'!$E271,27,9999)</f>
        <v>27</v>
      </c>
      <c r="AV271" s="0" t="n">
        <f aca="false">IF(Presupuesto!$B$28='Flujo de Pagos'!$E271,28,9999)</f>
        <v>28</v>
      </c>
      <c r="AW271" s="0" t="n">
        <f aca="false">IF(Presupuesto!$B$29='Flujo de Pagos'!$E271,29,9999)</f>
        <v>29</v>
      </c>
      <c r="AX271" s="0" t="n">
        <f aca="false">IF(Presupuesto!$B$30='Flujo de Pagos'!$E271,30,9999)</f>
        <v>30</v>
      </c>
      <c r="AY271" s="0" t="n">
        <f aca="false">IF(Presupuesto!$B$31='Flujo de Pagos'!$E271,31,9999)</f>
        <v>31</v>
      </c>
      <c r="AZ271" s="0" t="n">
        <f aca="false">IF(Presupuesto!$B$32='Flujo de Pagos'!$E271,32,9999)</f>
        <v>32</v>
      </c>
      <c r="BA271" s="0" t="n">
        <f aca="false">IF(Presupuesto!$B$33='Flujo de Pagos'!$E271,33,9999)</f>
        <v>33</v>
      </c>
      <c r="BB271" s="0" t="n">
        <f aca="false">IF(Presupuesto!$B$34='Flujo de Pagos'!$E271,34,9999)</f>
        <v>34</v>
      </c>
      <c r="BC271" s="0" t="n">
        <f aca="false">IF(Presupuesto!$B$35='Flujo de Pagos'!$E271,35,9999)</f>
        <v>35</v>
      </c>
      <c r="BD271" s="0" t="n">
        <f aca="false">IF(Presupuesto!$B$36='Flujo de Pagos'!$E271,36,9999)</f>
        <v>36</v>
      </c>
      <c r="BE271" s="0" t="n">
        <f aca="false">IF(Presupuesto!$B$37='Flujo de Pagos'!$E271,37,9999)</f>
        <v>37</v>
      </c>
      <c r="BF271" s="0" t="n">
        <f aca="false">IF(Presupuesto!$B$38='Flujo de Pagos'!$E271,38,9999)</f>
        <v>38</v>
      </c>
      <c r="BG271" s="0" t="n">
        <f aca="false">IF(Presupuesto!$B$39='Flujo de Pagos'!$E271,39,9999)</f>
        <v>39</v>
      </c>
      <c r="BH271" s="0" t="n">
        <f aca="false">IF(Presupuesto!$B$40='Flujo de Pagos'!$E271,40,9999)</f>
        <v>40</v>
      </c>
      <c r="BI271" s="0" t="n">
        <f aca="false">IF(Presupuesto!$B$41='Flujo de Pagos'!$E271,41,9999)</f>
        <v>41</v>
      </c>
      <c r="BJ271" s="0" t="n">
        <f aca="false">IF(Presupuesto!$B$42='Flujo de Pagos'!$E271,42,9999)</f>
        <v>42</v>
      </c>
      <c r="BK271" s="0" t="n">
        <f aca="false">IF(Presupuesto!$B$43='Flujo de Pagos'!$E271,43,9999)</f>
        <v>43</v>
      </c>
      <c r="BL271" s="0" t="n">
        <f aca="false">IF(Presupuesto!$B$44='Flujo de Pagos'!$E271,44,9999)</f>
        <v>44</v>
      </c>
      <c r="BM271" s="0" t="n">
        <f aca="false">IF(Presupuesto!$B$45='Flujo de Pagos'!$E271,45,9999)</f>
        <v>45</v>
      </c>
      <c r="BN271" s="0" t="n">
        <f aca="false">IF(Presupuesto!$B$46='Flujo de Pagos'!$E271,46,9999)</f>
        <v>46</v>
      </c>
      <c r="BO271" s="0" t="n">
        <f aca="false">IF(Presupuesto!$B$47='Flujo de Pagos'!$E271,47,9999)</f>
        <v>47</v>
      </c>
      <c r="BP271" s="0" t="n">
        <f aca="false">IF(Presupuesto!$B$48='Flujo de Pagos'!$E271,48,9999)</f>
        <v>48</v>
      </c>
      <c r="BQ271" s="0" t="n">
        <f aca="false">IF(Presupuesto!$B$49='Flujo de Pagos'!$E271,49,9999)</f>
        <v>49</v>
      </c>
      <c r="BR271" s="0" t="n">
        <f aca="false">IF(Presupuesto!$B$50='Flujo de Pagos'!$E271,50,9999)</f>
        <v>50</v>
      </c>
      <c r="BS271" s="0" t="n">
        <f aca="false">IF(Presupuesto!$B$51='Flujo de Pagos'!$E271,51,9999)</f>
        <v>51</v>
      </c>
      <c r="BT271" s="0" t="n">
        <f aca="false">IF(Presupuesto!$B$52='Flujo de Pagos'!$E271,52,9999)</f>
        <v>52</v>
      </c>
      <c r="BU271" s="0" t="n">
        <f aca="false">IF(Presupuesto!$B$53='Flujo de Pagos'!$E271,53,9999)</f>
        <v>53</v>
      </c>
      <c r="BV271" s="0" t="n">
        <f aca="false">IF(Presupuesto!$B$54='Flujo de Pagos'!$E271,54,9999)</f>
        <v>54</v>
      </c>
      <c r="BW271" s="0" t="n">
        <f aca="false">IF(Presupuesto!$B$55='Flujo de Pagos'!$E271,55,9999)</f>
        <v>55</v>
      </c>
      <c r="BX271" s="0" t="n">
        <f aca="false">IF(Presupuesto!$B$56='Flujo de Pagos'!$E271,56,9999)</f>
        <v>56</v>
      </c>
      <c r="BY271" s="0" t="n">
        <f aca="false">IF(Presupuesto!$B$57='Flujo de Pagos'!$E271,57,9999)</f>
        <v>57</v>
      </c>
      <c r="BZ271" s="0" t="n">
        <f aca="false">IF(Presupuesto!$B$58='Flujo de Pagos'!$E271,58,9999)</f>
        <v>58</v>
      </c>
      <c r="CA271" s="0" t="n">
        <f aca="false">IF(Presupuesto!$B$59='Flujo de Pagos'!$E271,59,9999)</f>
        <v>59</v>
      </c>
      <c r="CB271" s="0" t="n">
        <f aca="false">IF(Presupuesto!$B$60='Flujo de Pagos'!$E271,60,9999)</f>
        <v>60</v>
      </c>
      <c r="CC271" s="0" t="n">
        <f aca="false">IF(Presupuesto!$B$61='Flujo de Pagos'!$E271,61,9999)</f>
        <v>61</v>
      </c>
      <c r="CD271" s="0" t="n">
        <f aca="false">IF(Presupuesto!$B$62='Flujo de Pagos'!$E271,62,9999)</f>
        <v>62</v>
      </c>
      <c r="CE271" s="0" t="n">
        <f aca="false">IF(Presupuesto!$B$63='Flujo de Pagos'!$E271,63,9999)</f>
        <v>63</v>
      </c>
      <c r="CF271" s="0" t="n">
        <f aca="false">IF(Presupuesto!$B$64='Flujo de Pagos'!$E271,64,9999)</f>
        <v>64</v>
      </c>
      <c r="CG271" s="0" t="n">
        <f aca="false">IF(Presupuesto!$B$65='Flujo de Pagos'!$E271,65,9999)</f>
        <v>65</v>
      </c>
      <c r="CH271" s="0" t="n">
        <f aca="false">IF(Presupuesto!$B$66='Flujo de Pagos'!$E271,66,9999)</f>
        <v>66</v>
      </c>
    </row>
    <row r="272" customFormat="false" ht="15" hidden="false" customHeight="true" outlineLevel="0" collapsed="false">
      <c r="B272" s="1" t="n">
        <f aca="false">IF(AND('Flujo de Pagos'!E277=Carátula!$B$2,'Flujo de Pagos'!F277=Carátula!$B$4,'Flujo de Pagos'!H277&lt;&gt;""),277,99999)</f>
        <v>99999</v>
      </c>
      <c r="H272" s="1" t="n">
        <f aca="false">IF(SMALL($AA272:$CH272,1)&gt;=9999,"",INDEX(Presupuesto!$C:$C,SMALL($AA272:$CH272,1)))</f>
        <v>0</v>
      </c>
      <c r="I272" s="1" t="n">
        <f aca="false">IF(SMALL($AA272:$CH272,2)&gt;=9999,"",INDEX(Presupuesto!$C:$C,SMALL($AA272:$CH272,2)))</f>
        <v>0</v>
      </c>
      <c r="J272" s="1" t="n">
        <f aca="false">IF(SMALL($AA272:$CH272,3)&gt;=9999,"",INDEX(Presupuesto!$C:$C,SMALL($AA272:$CH272,3)))</f>
        <v>0</v>
      </c>
      <c r="K272" s="1" t="n">
        <f aca="false">IF(SMALL($AA272:$CH272,4)&gt;=9999,"",INDEX(Presupuesto!$C:$C,SMALL($AA272:$CH272,4)))</f>
        <v>0</v>
      </c>
      <c r="L272" s="1" t="n">
        <f aca="false">IF(SMALL($AA272:$CH272,5)&gt;=9999,"",INDEX(Presupuesto!$C:$C,SMALL($AA272:$CH272,5)))</f>
        <v>0</v>
      </c>
      <c r="M272" s="1" t="n">
        <f aca="false">IF(SMALL($AA272:$CH272,6)&gt;=9999,"",INDEX(Presupuesto!$C:$C,SMALL($AA272:$CH272,6)))</f>
        <v>0</v>
      </c>
      <c r="N272" s="1" t="n">
        <f aca="false">IF(SMALL($AA272:$CH272,7)&gt;=9999,"",INDEX(Presupuesto!$C:$C,SMALL($AA272:$CH272,7)))</f>
        <v>0</v>
      </c>
      <c r="O272" s="1" t="n">
        <f aca="false">IF(SMALL($AA272:$CH272,8)&gt;=9999,"",INDEX(Presupuesto!$C:$C,SMALL($AA272:$CH272,8)))</f>
        <v>0</v>
      </c>
      <c r="P272" s="1" t="n">
        <f aca="false">IF(SMALL($AA272:$CH272,9)&gt;=9999,"",INDEX(Presupuesto!$C:$C,SMALL($AA272:$CH272,9)))</f>
        <v>0</v>
      </c>
      <c r="Q272" s="1" t="n">
        <f aca="false">IF(SMALL($AA272:$CH272,10)&gt;=9999,"",INDEX(Presupuesto!$C:$C,SMALL($AA272:$CH272,10)))</f>
        <v>0</v>
      </c>
      <c r="AA272" s="0" t="n">
        <f aca="false">IF(Presupuesto!$B$7='Flujo de Pagos'!$E272,7,9999)</f>
        <v>9999</v>
      </c>
      <c r="AB272" s="0" t="n">
        <f aca="false">IF(Presupuesto!$B$8='Flujo de Pagos'!$E272,8,9999)</f>
        <v>9999</v>
      </c>
      <c r="AC272" s="0" t="n">
        <f aca="false">IF(Presupuesto!$B$9='Flujo de Pagos'!$E272,9,9999)</f>
        <v>9999</v>
      </c>
      <c r="AD272" s="0" t="n">
        <f aca="false">IF(Presupuesto!$B$10='Flujo de Pagos'!$E272,10,9999)</f>
        <v>9999</v>
      </c>
      <c r="AE272" s="0" t="n">
        <f aca="false">IF(Presupuesto!$B$11='Flujo de Pagos'!$E272,11,9999)</f>
        <v>9999</v>
      </c>
      <c r="AF272" s="0" t="n">
        <f aca="false">IF(Presupuesto!$B$12='Flujo de Pagos'!$E272,12,9999)</f>
        <v>12</v>
      </c>
      <c r="AG272" s="0" t="n">
        <f aca="false">IF(Presupuesto!$B$13='Flujo de Pagos'!$E272,13,9999)</f>
        <v>13</v>
      </c>
      <c r="AH272" s="0" t="n">
        <f aca="false">IF(Presupuesto!$B$14='Flujo de Pagos'!$E272,14,9999)</f>
        <v>14</v>
      </c>
      <c r="AI272" s="0" t="n">
        <f aca="false">IF(Presupuesto!$B$15='Flujo de Pagos'!$E272,15,9999)</f>
        <v>15</v>
      </c>
      <c r="AJ272" s="0" t="n">
        <f aca="false">IF(Presupuesto!$B$16='Flujo de Pagos'!$E272,16,9999)</f>
        <v>16</v>
      </c>
      <c r="AK272" s="0" t="n">
        <f aca="false">IF(Presupuesto!$B$17='Flujo de Pagos'!$E272,17,9999)</f>
        <v>17</v>
      </c>
      <c r="AL272" s="0" t="n">
        <f aca="false">IF(Presupuesto!$B$18='Flujo de Pagos'!$E272,18,9999)</f>
        <v>18</v>
      </c>
      <c r="AM272" s="0" t="n">
        <f aca="false">IF(Presupuesto!$B$19='Flujo de Pagos'!$E272,19,9999)</f>
        <v>19</v>
      </c>
      <c r="AN272" s="0" t="n">
        <f aca="false">IF(Presupuesto!$B$20='Flujo de Pagos'!$E272,20,9999)</f>
        <v>20</v>
      </c>
      <c r="AO272" s="0" t="n">
        <f aca="false">IF(Presupuesto!$B$21='Flujo de Pagos'!$E272,21,9999)</f>
        <v>21</v>
      </c>
      <c r="AP272" s="0" t="n">
        <f aca="false">IF(Presupuesto!$B$22='Flujo de Pagos'!$E272,22,9999)</f>
        <v>22</v>
      </c>
      <c r="AQ272" s="0" t="n">
        <f aca="false">IF(Presupuesto!$B$23='Flujo de Pagos'!$E272,23,9999)</f>
        <v>23</v>
      </c>
      <c r="AR272" s="0" t="n">
        <f aca="false">IF(Presupuesto!$B$24='Flujo de Pagos'!$E272,24,9999)</f>
        <v>24</v>
      </c>
      <c r="AS272" s="0" t="n">
        <f aca="false">IF(Presupuesto!$B$25='Flujo de Pagos'!$E272,25,9999)</f>
        <v>25</v>
      </c>
      <c r="AT272" s="0" t="n">
        <f aca="false">IF(Presupuesto!$B$26='Flujo de Pagos'!$E272,26,9999)</f>
        <v>26</v>
      </c>
      <c r="AU272" s="0" t="n">
        <f aca="false">IF(Presupuesto!$B$27='Flujo de Pagos'!$E272,27,9999)</f>
        <v>27</v>
      </c>
      <c r="AV272" s="0" t="n">
        <f aca="false">IF(Presupuesto!$B$28='Flujo de Pagos'!$E272,28,9999)</f>
        <v>28</v>
      </c>
      <c r="AW272" s="0" t="n">
        <f aca="false">IF(Presupuesto!$B$29='Flujo de Pagos'!$E272,29,9999)</f>
        <v>29</v>
      </c>
      <c r="AX272" s="0" t="n">
        <f aca="false">IF(Presupuesto!$B$30='Flujo de Pagos'!$E272,30,9999)</f>
        <v>30</v>
      </c>
      <c r="AY272" s="0" t="n">
        <f aca="false">IF(Presupuesto!$B$31='Flujo de Pagos'!$E272,31,9999)</f>
        <v>31</v>
      </c>
      <c r="AZ272" s="0" t="n">
        <f aca="false">IF(Presupuesto!$B$32='Flujo de Pagos'!$E272,32,9999)</f>
        <v>32</v>
      </c>
      <c r="BA272" s="0" t="n">
        <f aca="false">IF(Presupuesto!$B$33='Flujo de Pagos'!$E272,33,9999)</f>
        <v>33</v>
      </c>
      <c r="BB272" s="0" t="n">
        <f aca="false">IF(Presupuesto!$B$34='Flujo de Pagos'!$E272,34,9999)</f>
        <v>34</v>
      </c>
      <c r="BC272" s="0" t="n">
        <f aca="false">IF(Presupuesto!$B$35='Flujo de Pagos'!$E272,35,9999)</f>
        <v>35</v>
      </c>
      <c r="BD272" s="0" t="n">
        <f aca="false">IF(Presupuesto!$B$36='Flujo de Pagos'!$E272,36,9999)</f>
        <v>36</v>
      </c>
      <c r="BE272" s="0" t="n">
        <f aca="false">IF(Presupuesto!$B$37='Flujo de Pagos'!$E272,37,9999)</f>
        <v>37</v>
      </c>
      <c r="BF272" s="0" t="n">
        <f aca="false">IF(Presupuesto!$B$38='Flujo de Pagos'!$E272,38,9999)</f>
        <v>38</v>
      </c>
      <c r="BG272" s="0" t="n">
        <f aca="false">IF(Presupuesto!$B$39='Flujo de Pagos'!$E272,39,9999)</f>
        <v>39</v>
      </c>
      <c r="BH272" s="0" t="n">
        <f aca="false">IF(Presupuesto!$B$40='Flujo de Pagos'!$E272,40,9999)</f>
        <v>40</v>
      </c>
      <c r="BI272" s="0" t="n">
        <f aca="false">IF(Presupuesto!$B$41='Flujo de Pagos'!$E272,41,9999)</f>
        <v>41</v>
      </c>
      <c r="BJ272" s="0" t="n">
        <f aca="false">IF(Presupuesto!$B$42='Flujo de Pagos'!$E272,42,9999)</f>
        <v>42</v>
      </c>
      <c r="BK272" s="0" t="n">
        <f aca="false">IF(Presupuesto!$B$43='Flujo de Pagos'!$E272,43,9999)</f>
        <v>43</v>
      </c>
      <c r="BL272" s="0" t="n">
        <f aca="false">IF(Presupuesto!$B$44='Flujo de Pagos'!$E272,44,9999)</f>
        <v>44</v>
      </c>
      <c r="BM272" s="0" t="n">
        <f aca="false">IF(Presupuesto!$B$45='Flujo de Pagos'!$E272,45,9999)</f>
        <v>45</v>
      </c>
      <c r="BN272" s="0" t="n">
        <f aca="false">IF(Presupuesto!$B$46='Flujo de Pagos'!$E272,46,9999)</f>
        <v>46</v>
      </c>
      <c r="BO272" s="0" t="n">
        <f aca="false">IF(Presupuesto!$B$47='Flujo de Pagos'!$E272,47,9999)</f>
        <v>47</v>
      </c>
      <c r="BP272" s="0" t="n">
        <f aca="false">IF(Presupuesto!$B$48='Flujo de Pagos'!$E272,48,9999)</f>
        <v>48</v>
      </c>
      <c r="BQ272" s="0" t="n">
        <f aca="false">IF(Presupuesto!$B$49='Flujo de Pagos'!$E272,49,9999)</f>
        <v>49</v>
      </c>
      <c r="BR272" s="0" t="n">
        <f aca="false">IF(Presupuesto!$B$50='Flujo de Pagos'!$E272,50,9999)</f>
        <v>50</v>
      </c>
      <c r="BS272" s="0" t="n">
        <f aca="false">IF(Presupuesto!$B$51='Flujo de Pagos'!$E272,51,9999)</f>
        <v>51</v>
      </c>
      <c r="BT272" s="0" t="n">
        <f aca="false">IF(Presupuesto!$B$52='Flujo de Pagos'!$E272,52,9999)</f>
        <v>52</v>
      </c>
      <c r="BU272" s="0" t="n">
        <f aca="false">IF(Presupuesto!$B$53='Flujo de Pagos'!$E272,53,9999)</f>
        <v>53</v>
      </c>
      <c r="BV272" s="0" t="n">
        <f aca="false">IF(Presupuesto!$B$54='Flujo de Pagos'!$E272,54,9999)</f>
        <v>54</v>
      </c>
      <c r="BW272" s="0" t="n">
        <f aca="false">IF(Presupuesto!$B$55='Flujo de Pagos'!$E272,55,9999)</f>
        <v>55</v>
      </c>
      <c r="BX272" s="0" t="n">
        <f aca="false">IF(Presupuesto!$B$56='Flujo de Pagos'!$E272,56,9999)</f>
        <v>56</v>
      </c>
      <c r="BY272" s="0" t="n">
        <f aca="false">IF(Presupuesto!$B$57='Flujo de Pagos'!$E272,57,9999)</f>
        <v>57</v>
      </c>
      <c r="BZ272" s="0" t="n">
        <f aca="false">IF(Presupuesto!$B$58='Flujo de Pagos'!$E272,58,9999)</f>
        <v>58</v>
      </c>
      <c r="CA272" s="0" t="n">
        <f aca="false">IF(Presupuesto!$B$59='Flujo de Pagos'!$E272,59,9999)</f>
        <v>59</v>
      </c>
      <c r="CB272" s="0" t="n">
        <f aca="false">IF(Presupuesto!$B$60='Flujo de Pagos'!$E272,60,9999)</f>
        <v>60</v>
      </c>
      <c r="CC272" s="0" t="n">
        <f aca="false">IF(Presupuesto!$B$61='Flujo de Pagos'!$E272,61,9999)</f>
        <v>61</v>
      </c>
      <c r="CD272" s="0" t="n">
        <f aca="false">IF(Presupuesto!$B$62='Flujo de Pagos'!$E272,62,9999)</f>
        <v>62</v>
      </c>
      <c r="CE272" s="0" t="n">
        <f aca="false">IF(Presupuesto!$B$63='Flujo de Pagos'!$E272,63,9999)</f>
        <v>63</v>
      </c>
      <c r="CF272" s="0" t="n">
        <f aca="false">IF(Presupuesto!$B$64='Flujo de Pagos'!$E272,64,9999)</f>
        <v>64</v>
      </c>
      <c r="CG272" s="0" t="n">
        <f aca="false">IF(Presupuesto!$B$65='Flujo de Pagos'!$E272,65,9999)</f>
        <v>65</v>
      </c>
      <c r="CH272" s="0" t="n">
        <f aca="false">IF(Presupuesto!$B$66='Flujo de Pagos'!$E272,66,9999)</f>
        <v>66</v>
      </c>
    </row>
    <row r="273" customFormat="false" ht="15" hidden="false" customHeight="true" outlineLevel="0" collapsed="false">
      <c r="B273" s="1" t="n">
        <f aca="false">IF(AND('Flujo de Pagos'!E278=Carátula!$B$2,'Flujo de Pagos'!F278=Carátula!$B$4,'Flujo de Pagos'!H278&lt;&gt;""),278,99999)</f>
        <v>99999</v>
      </c>
      <c r="H273" s="1" t="n">
        <f aca="false">IF(SMALL($AA273:$CH273,1)&gt;=9999,"",INDEX(Presupuesto!$C:$C,SMALL($AA273:$CH273,1)))</f>
        <v>0</v>
      </c>
      <c r="I273" s="1" t="n">
        <f aca="false">IF(SMALL($AA273:$CH273,2)&gt;=9999,"",INDEX(Presupuesto!$C:$C,SMALL($AA273:$CH273,2)))</f>
        <v>0</v>
      </c>
      <c r="J273" s="1" t="n">
        <f aca="false">IF(SMALL($AA273:$CH273,3)&gt;=9999,"",INDEX(Presupuesto!$C:$C,SMALL($AA273:$CH273,3)))</f>
        <v>0</v>
      </c>
      <c r="K273" s="1" t="n">
        <f aca="false">IF(SMALL($AA273:$CH273,4)&gt;=9999,"",INDEX(Presupuesto!$C:$C,SMALL($AA273:$CH273,4)))</f>
        <v>0</v>
      </c>
      <c r="L273" s="1" t="n">
        <f aca="false">IF(SMALL($AA273:$CH273,5)&gt;=9999,"",INDEX(Presupuesto!$C:$C,SMALL($AA273:$CH273,5)))</f>
        <v>0</v>
      </c>
      <c r="M273" s="1" t="n">
        <f aca="false">IF(SMALL($AA273:$CH273,6)&gt;=9999,"",INDEX(Presupuesto!$C:$C,SMALL($AA273:$CH273,6)))</f>
        <v>0</v>
      </c>
      <c r="N273" s="1" t="n">
        <f aca="false">IF(SMALL($AA273:$CH273,7)&gt;=9999,"",INDEX(Presupuesto!$C:$C,SMALL($AA273:$CH273,7)))</f>
        <v>0</v>
      </c>
      <c r="O273" s="1" t="n">
        <f aca="false">IF(SMALL($AA273:$CH273,8)&gt;=9999,"",INDEX(Presupuesto!$C:$C,SMALL($AA273:$CH273,8)))</f>
        <v>0</v>
      </c>
      <c r="P273" s="1" t="n">
        <f aca="false">IF(SMALL($AA273:$CH273,9)&gt;=9999,"",INDEX(Presupuesto!$C:$C,SMALL($AA273:$CH273,9)))</f>
        <v>0</v>
      </c>
      <c r="Q273" s="1" t="n">
        <f aca="false">IF(SMALL($AA273:$CH273,10)&gt;=9999,"",INDEX(Presupuesto!$C:$C,SMALL($AA273:$CH273,10)))</f>
        <v>0</v>
      </c>
      <c r="AA273" s="0" t="n">
        <f aca="false">IF(Presupuesto!$B$7='Flujo de Pagos'!$E273,7,9999)</f>
        <v>9999</v>
      </c>
      <c r="AB273" s="0" t="n">
        <f aca="false">IF(Presupuesto!$B$8='Flujo de Pagos'!$E273,8,9999)</f>
        <v>9999</v>
      </c>
      <c r="AC273" s="0" t="n">
        <f aca="false">IF(Presupuesto!$B$9='Flujo de Pagos'!$E273,9,9999)</f>
        <v>9999</v>
      </c>
      <c r="AD273" s="0" t="n">
        <f aca="false">IF(Presupuesto!$B$10='Flujo de Pagos'!$E273,10,9999)</f>
        <v>9999</v>
      </c>
      <c r="AE273" s="0" t="n">
        <f aca="false">IF(Presupuesto!$B$11='Flujo de Pagos'!$E273,11,9999)</f>
        <v>9999</v>
      </c>
      <c r="AF273" s="0" t="n">
        <f aca="false">IF(Presupuesto!$B$12='Flujo de Pagos'!$E273,12,9999)</f>
        <v>12</v>
      </c>
      <c r="AG273" s="0" t="n">
        <f aca="false">IF(Presupuesto!$B$13='Flujo de Pagos'!$E273,13,9999)</f>
        <v>13</v>
      </c>
      <c r="AH273" s="0" t="n">
        <f aca="false">IF(Presupuesto!$B$14='Flujo de Pagos'!$E273,14,9999)</f>
        <v>14</v>
      </c>
      <c r="AI273" s="0" t="n">
        <f aca="false">IF(Presupuesto!$B$15='Flujo de Pagos'!$E273,15,9999)</f>
        <v>15</v>
      </c>
      <c r="AJ273" s="0" t="n">
        <f aca="false">IF(Presupuesto!$B$16='Flujo de Pagos'!$E273,16,9999)</f>
        <v>16</v>
      </c>
      <c r="AK273" s="0" t="n">
        <f aca="false">IF(Presupuesto!$B$17='Flujo de Pagos'!$E273,17,9999)</f>
        <v>17</v>
      </c>
      <c r="AL273" s="0" t="n">
        <f aca="false">IF(Presupuesto!$B$18='Flujo de Pagos'!$E273,18,9999)</f>
        <v>18</v>
      </c>
      <c r="AM273" s="0" t="n">
        <f aca="false">IF(Presupuesto!$B$19='Flujo de Pagos'!$E273,19,9999)</f>
        <v>19</v>
      </c>
      <c r="AN273" s="0" t="n">
        <f aca="false">IF(Presupuesto!$B$20='Flujo de Pagos'!$E273,20,9999)</f>
        <v>20</v>
      </c>
      <c r="AO273" s="0" t="n">
        <f aca="false">IF(Presupuesto!$B$21='Flujo de Pagos'!$E273,21,9999)</f>
        <v>21</v>
      </c>
      <c r="AP273" s="0" t="n">
        <f aca="false">IF(Presupuesto!$B$22='Flujo de Pagos'!$E273,22,9999)</f>
        <v>22</v>
      </c>
      <c r="AQ273" s="0" t="n">
        <f aca="false">IF(Presupuesto!$B$23='Flujo de Pagos'!$E273,23,9999)</f>
        <v>23</v>
      </c>
      <c r="AR273" s="0" t="n">
        <f aca="false">IF(Presupuesto!$B$24='Flujo de Pagos'!$E273,24,9999)</f>
        <v>24</v>
      </c>
      <c r="AS273" s="0" t="n">
        <f aca="false">IF(Presupuesto!$B$25='Flujo de Pagos'!$E273,25,9999)</f>
        <v>25</v>
      </c>
      <c r="AT273" s="0" t="n">
        <f aca="false">IF(Presupuesto!$B$26='Flujo de Pagos'!$E273,26,9999)</f>
        <v>26</v>
      </c>
      <c r="AU273" s="0" t="n">
        <f aca="false">IF(Presupuesto!$B$27='Flujo de Pagos'!$E273,27,9999)</f>
        <v>27</v>
      </c>
      <c r="AV273" s="0" t="n">
        <f aca="false">IF(Presupuesto!$B$28='Flujo de Pagos'!$E273,28,9999)</f>
        <v>28</v>
      </c>
      <c r="AW273" s="0" t="n">
        <f aca="false">IF(Presupuesto!$B$29='Flujo de Pagos'!$E273,29,9999)</f>
        <v>29</v>
      </c>
      <c r="AX273" s="0" t="n">
        <f aca="false">IF(Presupuesto!$B$30='Flujo de Pagos'!$E273,30,9999)</f>
        <v>30</v>
      </c>
      <c r="AY273" s="0" t="n">
        <f aca="false">IF(Presupuesto!$B$31='Flujo de Pagos'!$E273,31,9999)</f>
        <v>31</v>
      </c>
      <c r="AZ273" s="0" t="n">
        <f aca="false">IF(Presupuesto!$B$32='Flujo de Pagos'!$E273,32,9999)</f>
        <v>32</v>
      </c>
      <c r="BA273" s="0" t="n">
        <f aca="false">IF(Presupuesto!$B$33='Flujo de Pagos'!$E273,33,9999)</f>
        <v>33</v>
      </c>
      <c r="BB273" s="0" t="n">
        <f aca="false">IF(Presupuesto!$B$34='Flujo de Pagos'!$E273,34,9999)</f>
        <v>34</v>
      </c>
      <c r="BC273" s="0" t="n">
        <f aca="false">IF(Presupuesto!$B$35='Flujo de Pagos'!$E273,35,9999)</f>
        <v>35</v>
      </c>
      <c r="BD273" s="0" t="n">
        <f aca="false">IF(Presupuesto!$B$36='Flujo de Pagos'!$E273,36,9999)</f>
        <v>36</v>
      </c>
      <c r="BE273" s="0" t="n">
        <f aca="false">IF(Presupuesto!$B$37='Flujo de Pagos'!$E273,37,9999)</f>
        <v>37</v>
      </c>
      <c r="BF273" s="0" t="n">
        <f aca="false">IF(Presupuesto!$B$38='Flujo de Pagos'!$E273,38,9999)</f>
        <v>38</v>
      </c>
      <c r="BG273" s="0" t="n">
        <f aca="false">IF(Presupuesto!$B$39='Flujo de Pagos'!$E273,39,9999)</f>
        <v>39</v>
      </c>
      <c r="BH273" s="0" t="n">
        <f aca="false">IF(Presupuesto!$B$40='Flujo de Pagos'!$E273,40,9999)</f>
        <v>40</v>
      </c>
      <c r="BI273" s="0" t="n">
        <f aca="false">IF(Presupuesto!$B$41='Flujo de Pagos'!$E273,41,9999)</f>
        <v>41</v>
      </c>
      <c r="BJ273" s="0" t="n">
        <f aca="false">IF(Presupuesto!$B$42='Flujo de Pagos'!$E273,42,9999)</f>
        <v>42</v>
      </c>
      <c r="BK273" s="0" t="n">
        <f aca="false">IF(Presupuesto!$B$43='Flujo de Pagos'!$E273,43,9999)</f>
        <v>43</v>
      </c>
      <c r="BL273" s="0" t="n">
        <f aca="false">IF(Presupuesto!$B$44='Flujo de Pagos'!$E273,44,9999)</f>
        <v>44</v>
      </c>
      <c r="BM273" s="0" t="n">
        <f aca="false">IF(Presupuesto!$B$45='Flujo de Pagos'!$E273,45,9999)</f>
        <v>45</v>
      </c>
      <c r="BN273" s="0" t="n">
        <f aca="false">IF(Presupuesto!$B$46='Flujo de Pagos'!$E273,46,9999)</f>
        <v>46</v>
      </c>
      <c r="BO273" s="0" t="n">
        <f aca="false">IF(Presupuesto!$B$47='Flujo de Pagos'!$E273,47,9999)</f>
        <v>47</v>
      </c>
      <c r="BP273" s="0" t="n">
        <f aca="false">IF(Presupuesto!$B$48='Flujo de Pagos'!$E273,48,9999)</f>
        <v>48</v>
      </c>
      <c r="BQ273" s="0" t="n">
        <f aca="false">IF(Presupuesto!$B$49='Flujo de Pagos'!$E273,49,9999)</f>
        <v>49</v>
      </c>
      <c r="BR273" s="0" t="n">
        <f aca="false">IF(Presupuesto!$B$50='Flujo de Pagos'!$E273,50,9999)</f>
        <v>50</v>
      </c>
      <c r="BS273" s="0" t="n">
        <f aca="false">IF(Presupuesto!$B$51='Flujo de Pagos'!$E273,51,9999)</f>
        <v>51</v>
      </c>
      <c r="BT273" s="0" t="n">
        <f aca="false">IF(Presupuesto!$B$52='Flujo de Pagos'!$E273,52,9999)</f>
        <v>52</v>
      </c>
      <c r="BU273" s="0" t="n">
        <f aca="false">IF(Presupuesto!$B$53='Flujo de Pagos'!$E273,53,9999)</f>
        <v>53</v>
      </c>
      <c r="BV273" s="0" t="n">
        <f aca="false">IF(Presupuesto!$B$54='Flujo de Pagos'!$E273,54,9999)</f>
        <v>54</v>
      </c>
      <c r="BW273" s="0" t="n">
        <f aca="false">IF(Presupuesto!$B$55='Flujo de Pagos'!$E273,55,9999)</f>
        <v>55</v>
      </c>
      <c r="BX273" s="0" t="n">
        <f aca="false">IF(Presupuesto!$B$56='Flujo de Pagos'!$E273,56,9999)</f>
        <v>56</v>
      </c>
      <c r="BY273" s="0" t="n">
        <f aca="false">IF(Presupuesto!$B$57='Flujo de Pagos'!$E273,57,9999)</f>
        <v>57</v>
      </c>
      <c r="BZ273" s="0" t="n">
        <f aca="false">IF(Presupuesto!$B$58='Flujo de Pagos'!$E273,58,9999)</f>
        <v>58</v>
      </c>
      <c r="CA273" s="0" t="n">
        <f aca="false">IF(Presupuesto!$B$59='Flujo de Pagos'!$E273,59,9999)</f>
        <v>59</v>
      </c>
      <c r="CB273" s="0" t="n">
        <f aca="false">IF(Presupuesto!$B$60='Flujo de Pagos'!$E273,60,9999)</f>
        <v>60</v>
      </c>
      <c r="CC273" s="0" t="n">
        <f aca="false">IF(Presupuesto!$B$61='Flujo de Pagos'!$E273,61,9999)</f>
        <v>61</v>
      </c>
      <c r="CD273" s="0" t="n">
        <f aca="false">IF(Presupuesto!$B$62='Flujo de Pagos'!$E273,62,9999)</f>
        <v>62</v>
      </c>
      <c r="CE273" s="0" t="n">
        <f aca="false">IF(Presupuesto!$B$63='Flujo de Pagos'!$E273,63,9999)</f>
        <v>63</v>
      </c>
      <c r="CF273" s="0" t="n">
        <f aca="false">IF(Presupuesto!$B$64='Flujo de Pagos'!$E273,64,9999)</f>
        <v>64</v>
      </c>
      <c r="CG273" s="0" t="n">
        <f aca="false">IF(Presupuesto!$B$65='Flujo de Pagos'!$E273,65,9999)</f>
        <v>65</v>
      </c>
      <c r="CH273" s="0" t="n">
        <f aca="false">IF(Presupuesto!$B$66='Flujo de Pagos'!$E273,66,9999)</f>
        <v>66</v>
      </c>
    </row>
    <row r="274" customFormat="false" ht="15" hidden="false" customHeight="true" outlineLevel="0" collapsed="false">
      <c r="B274" s="1" t="n">
        <f aca="false">IF(AND('Flujo de Pagos'!E279=Carátula!$B$2,'Flujo de Pagos'!F279=Carátula!$B$4,'Flujo de Pagos'!H279&lt;&gt;""),279,99999)</f>
        <v>99999</v>
      </c>
      <c r="H274" s="1" t="n">
        <f aca="false">IF(SMALL($AA274:$CH274,1)&gt;=9999,"",INDEX(Presupuesto!$C:$C,SMALL($AA274:$CH274,1)))</f>
        <v>0</v>
      </c>
      <c r="I274" s="1" t="n">
        <f aca="false">IF(SMALL($AA274:$CH274,2)&gt;=9999,"",INDEX(Presupuesto!$C:$C,SMALL($AA274:$CH274,2)))</f>
        <v>0</v>
      </c>
      <c r="J274" s="1" t="n">
        <f aca="false">IF(SMALL($AA274:$CH274,3)&gt;=9999,"",INDEX(Presupuesto!$C:$C,SMALL($AA274:$CH274,3)))</f>
        <v>0</v>
      </c>
      <c r="K274" s="1" t="n">
        <f aca="false">IF(SMALL($AA274:$CH274,4)&gt;=9999,"",INDEX(Presupuesto!$C:$C,SMALL($AA274:$CH274,4)))</f>
        <v>0</v>
      </c>
      <c r="L274" s="1" t="n">
        <f aca="false">IF(SMALL($AA274:$CH274,5)&gt;=9999,"",INDEX(Presupuesto!$C:$C,SMALL($AA274:$CH274,5)))</f>
        <v>0</v>
      </c>
      <c r="M274" s="1" t="n">
        <f aca="false">IF(SMALL($AA274:$CH274,6)&gt;=9999,"",INDEX(Presupuesto!$C:$C,SMALL($AA274:$CH274,6)))</f>
        <v>0</v>
      </c>
      <c r="N274" s="1" t="n">
        <f aca="false">IF(SMALL($AA274:$CH274,7)&gt;=9999,"",INDEX(Presupuesto!$C:$C,SMALL($AA274:$CH274,7)))</f>
        <v>0</v>
      </c>
      <c r="O274" s="1" t="n">
        <f aca="false">IF(SMALL($AA274:$CH274,8)&gt;=9999,"",INDEX(Presupuesto!$C:$C,SMALL($AA274:$CH274,8)))</f>
        <v>0</v>
      </c>
      <c r="P274" s="1" t="n">
        <f aca="false">IF(SMALL($AA274:$CH274,9)&gt;=9999,"",INDEX(Presupuesto!$C:$C,SMALL($AA274:$CH274,9)))</f>
        <v>0</v>
      </c>
      <c r="Q274" s="1" t="n">
        <f aca="false">IF(SMALL($AA274:$CH274,10)&gt;=9999,"",INDEX(Presupuesto!$C:$C,SMALL($AA274:$CH274,10)))</f>
        <v>0</v>
      </c>
      <c r="AA274" s="0" t="n">
        <f aca="false">IF(Presupuesto!$B$7='Flujo de Pagos'!$E274,7,9999)</f>
        <v>9999</v>
      </c>
      <c r="AB274" s="0" t="n">
        <f aca="false">IF(Presupuesto!$B$8='Flujo de Pagos'!$E274,8,9999)</f>
        <v>9999</v>
      </c>
      <c r="AC274" s="0" t="n">
        <f aca="false">IF(Presupuesto!$B$9='Flujo de Pagos'!$E274,9,9999)</f>
        <v>9999</v>
      </c>
      <c r="AD274" s="0" t="n">
        <f aca="false">IF(Presupuesto!$B$10='Flujo de Pagos'!$E274,10,9999)</f>
        <v>9999</v>
      </c>
      <c r="AE274" s="0" t="n">
        <f aca="false">IF(Presupuesto!$B$11='Flujo de Pagos'!$E274,11,9999)</f>
        <v>9999</v>
      </c>
      <c r="AF274" s="0" t="n">
        <f aca="false">IF(Presupuesto!$B$12='Flujo de Pagos'!$E274,12,9999)</f>
        <v>12</v>
      </c>
      <c r="AG274" s="0" t="n">
        <f aca="false">IF(Presupuesto!$B$13='Flujo de Pagos'!$E274,13,9999)</f>
        <v>13</v>
      </c>
      <c r="AH274" s="0" t="n">
        <f aca="false">IF(Presupuesto!$B$14='Flujo de Pagos'!$E274,14,9999)</f>
        <v>14</v>
      </c>
      <c r="AI274" s="0" t="n">
        <f aca="false">IF(Presupuesto!$B$15='Flujo de Pagos'!$E274,15,9999)</f>
        <v>15</v>
      </c>
      <c r="AJ274" s="0" t="n">
        <f aca="false">IF(Presupuesto!$B$16='Flujo de Pagos'!$E274,16,9999)</f>
        <v>16</v>
      </c>
      <c r="AK274" s="0" t="n">
        <f aca="false">IF(Presupuesto!$B$17='Flujo de Pagos'!$E274,17,9999)</f>
        <v>17</v>
      </c>
      <c r="AL274" s="0" t="n">
        <f aca="false">IF(Presupuesto!$B$18='Flujo de Pagos'!$E274,18,9999)</f>
        <v>18</v>
      </c>
      <c r="AM274" s="0" t="n">
        <f aca="false">IF(Presupuesto!$B$19='Flujo de Pagos'!$E274,19,9999)</f>
        <v>19</v>
      </c>
      <c r="AN274" s="0" t="n">
        <f aca="false">IF(Presupuesto!$B$20='Flujo de Pagos'!$E274,20,9999)</f>
        <v>20</v>
      </c>
      <c r="AO274" s="0" t="n">
        <f aca="false">IF(Presupuesto!$B$21='Flujo de Pagos'!$E274,21,9999)</f>
        <v>21</v>
      </c>
      <c r="AP274" s="0" t="n">
        <f aca="false">IF(Presupuesto!$B$22='Flujo de Pagos'!$E274,22,9999)</f>
        <v>22</v>
      </c>
      <c r="AQ274" s="0" t="n">
        <f aca="false">IF(Presupuesto!$B$23='Flujo de Pagos'!$E274,23,9999)</f>
        <v>23</v>
      </c>
      <c r="AR274" s="0" t="n">
        <f aca="false">IF(Presupuesto!$B$24='Flujo de Pagos'!$E274,24,9999)</f>
        <v>24</v>
      </c>
      <c r="AS274" s="0" t="n">
        <f aca="false">IF(Presupuesto!$B$25='Flujo de Pagos'!$E274,25,9999)</f>
        <v>25</v>
      </c>
      <c r="AT274" s="0" t="n">
        <f aca="false">IF(Presupuesto!$B$26='Flujo de Pagos'!$E274,26,9999)</f>
        <v>26</v>
      </c>
      <c r="AU274" s="0" t="n">
        <f aca="false">IF(Presupuesto!$B$27='Flujo de Pagos'!$E274,27,9999)</f>
        <v>27</v>
      </c>
      <c r="AV274" s="0" t="n">
        <f aca="false">IF(Presupuesto!$B$28='Flujo de Pagos'!$E274,28,9999)</f>
        <v>28</v>
      </c>
      <c r="AW274" s="0" t="n">
        <f aca="false">IF(Presupuesto!$B$29='Flujo de Pagos'!$E274,29,9999)</f>
        <v>29</v>
      </c>
      <c r="AX274" s="0" t="n">
        <f aca="false">IF(Presupuesto!$B$30='Flujo de Pagos'!$E274,30,9999)</f>
        <v>30</v>
      </c>
      <c r="AY274" s="0" t="n">
        <f aca="false">IF(Presupuesto!$B$31='Flujo de Pagos'!$E274,31,9999)</f>
        <v>31</v>
      </c>
      <c r="AZ274" s="0" t="n">
        <f aca="false">IF(Presupuesto!$B$32='Flujo de Pagos'!$E274,32,9999)</f>
        <v>32</v>
      </c>
      <c r="BA274" s="0" t="n">
        <f aca="false">IF(Presupuesto!$B$33='Flujo de Pagos'!$E274,33,9999)</f>
        <v>33</v>
      </c>
      <c r="BB274" s="0" t="n">
        <f aca="false">IF(Presupuesto!$B$34='Flujo de Pagos'!$E274,34,9999)</f>
        <v>34</v>
      </c>
      <c r="BC274" s="0" t="n">
        <f aca="false">IF(Presupuesto!$B$35='Flujo de Pagos'!$E274,35,9999)</f>
        <v>35</v>
      </c>
      <c r="BD274" s="0" t="n">
        <f aca="false">IF(Presupuesto!$B$36='Flujo de Pagos'!$E274,36,9999)</f>
        <v>36</v>
      </c>
      <c r="BE274" s="0" t="n">
        <f aca="false">IF(Presupuesto!$B$37='Flujo de Pagos'!$E274,37,9999)</f>
        <v>37</v>
      </c>
      <c r="BF274" s="0" t="n">
        <f aca="false">IF(Presupuesto!$B$38='Flujo de Pagos'!$E274,38,9999)</f>
        <v>38</v>
      </c>
      <c r="BG274" s="0" t="n">
        <f aca="false">IF(Presupuesto!$B$39='Flujo de Pagos'!$E274,39,9999)</f>
        <v>39</v>
      </c>
      <c r="BH274" s="0" t="n">
        <f aca="false">IF(Presupuesto!$B$40='Flujo de Pagos'!$E274,40,9999)</f>
        <v>40</v>
      </c>
      <c r="BI274" s="0" t="n">
        <f aca="false">IF(Presupuesto!$B$41='Flujo de Pagos'!$E274,41,9999)</f>
        <v>41</v>
      </c>
      <c r="BJ274" s="0" t="n">
        <f aca="false">IF(Presupuesto!$B$42='Flujo de Pagos'!$E274,42,9999)</f>
        <v>42</v>
      </c>
      <c r="BK274" s="0" t="n">
        <f aca="false">IF(Presupuesto!$B$43='Flujo de Pagos'!$E274,43,9999)</f>
        <v>43</v>
      </c>
      <c r="BL274" s="0" t="n">
        <f aca="false">IF(Presupuesto!$B$44='Flujo de Pagos'!$E274,44,9999)</f>
        <v>44</v>
      </c>
      <c r="BM274" s="0" t="n">
        <f aca="false">IF(Presupuesto!$B$45='Flujo de Pagos'!$E274,45,9999)</f>
        <v>45</v>
      </c>
      <c r="BN274" s="0" t="n">
        <f aca="false">IF(Presupuesto!$B$46='Flujo de Pagos'!$E274,46,9999)</f>
        <v>46</v>
      </c>
      <c r="BO274" s="0" t="n">
        <f aca="false">IF(Presupuesto!$B$47='Flujo de Pagos'!$E274,47,9999)</f>
        <v>47</v>
      </c>
      <c r="BP274" s="0" t="n">
        <f aca="false">IF(Presupuesto!$B$48='Flujo de Pagos'!$E274,48,9999)</f>
        <v>48</v>
      </c>
      <c r="BQ274" s="0" t="n">
        <f aca="false">IF(Presupuesto!$B$49='Flujo de Pagos'!$E274,49,9999)</f>
        <v>49</v>
      </c>
      <c r="BR274" s="0" t="n">
        <f aca="false">IF(Presupuesto!$B$50='Flujo de Pagos'!$E274,50,9999)</f>
        <v>50</v>
      </c>
      <c r="BS274" s="0" t="n">
        <f aca="false">IF(Presupuesto!$B$51='Flujo de Pagos'!$E274,51,9999)</f>
        <v>51</v>
      </c>
      <c r="BT274" s="0" t="n">
        <f aca="false">IF(Presupuesto!$B$52='Flujo de Pagos'!$E274,52,9999)</f>
        <v>52</v>
      </c>
      <c r="BU274" s="0" t="n">
        <f aca="false">IF(Presupuesto!$B$53='Flujo de Pagos'!$E274,53,9999)</f>
        <v>53</v>
      </c>
      <c r="BV274" s="0" t="n">
        <f aca="false">IF(Presupuesto!$B$54='Flujo de Pagos'!$E274,54,9999)</f>
        <v>54</v>
      </c>
      <c r="BW274" s="0" t="n">
        <f aca="false">IF(Presupuesto!$B$55='Flujo de Pagos'!$E274,55,9999)</f>
        <v>55</v>
      </c>
      <c r="BX274" s="0" t="n">
        <f aca="false">IF(Presupuesto!$B$56='Flujo de Pagos'!$E274,56,9999)</f>
        <v>56</v>
      </c>
      <c r="BY274" s="0" t="n">
        <f aca="false">IF(Presupuesto!$B$57='Flujo de Pagos'!$E274,57,9999)</f>
        <v>57</v>
      </c>
      <c r="BZ274" s="0" t="n">
        <f aca="false">IF(Presupuesto!$B$58='Flujo de Pagos'!$E274,58,9999)</f>
        <v>58</v>
      </c>
      <c r="CA274" s="0" t="n">
        <f aca="false">IF(Presupuesto!$B$59='Flujo de Pagos'!$E274,59,9999)</f>
        <v>59</v>
      </c>
      <c r="CB274" s="0" t="n">
        <f aca="false">IF(Presupuesto!$B$60='Flujo de Pagos'!$E274,60,9999)</f>
        <v>60</v>
      </c>
      <c r="CC274" s="0" t="n">
        <f aca="false">IF(Presupuesto!$B$61='Flujo de Pagos'!$E274,61,9999)</f>
        <v>61</v>
      </c>
      <c r="CD274" s="0" t="n">
        <f aca="false">IF(Presupuesto!$B$62='Flujo de Pagos'!$E274,62,9999)</f>
        <v>62</v>
      </c>
      <c r="CE274" s="0" t="n">
        <f aca="false">IF(Presupuesto!$B$63='Flujo de Pagos'!$E274,63,9999)</f>
        <v>63</v>
      </c>
      <c r="CF274" s="0" t="n">
        <f aca="false">IF(Presupuesto!$B$64='Flujo de Pagos'!$E274,64,9999)</f>
        <v>64</v>
      </c>
      <c r="CG274" s="0" t="n">
        <f aca="false">IF(Presupuesto!$B$65='Flujo de Pagos'!$E274,65,9999)</f>
        <v>65</v>
      </c>
      <c r="CH274" s="0" t="n">
        <f aca="false">IF(Presupuesto!$B$66='Flujo de Pagos'!$E274,66,9999)</f>
        <v>66</v>
      </c>
    </row>
    <row r="275" customFormat="false" ht="15" hidden="false" customHeight="true" outlineLevel="0" collapsed="false">
      <c r="B275" s="1" t="n">
        <f aca="false">IF(AND('Flujo de Pagos'!E280=Carátula!$B$2,'Flujo de Pagos'!F280=Carátula!$B$4,'Flujo de Pagos'!H280&lt;&gt;""),280,99999)</f>
        <v>99999</v>
      </c>
      <c r="H275" s="1" t="n">
        <f aca="false">IF(SMALL($AA275:$CH275,1)&gt;=9999,"",INDEX(Presupuesto!$C:$C,SMALL($AA275:$CH275,1)))</f>
        <v>0</v>
      </c>
      <c r="I275" s="1" t="n">
        <f aca="false">IF(SMALL($AA275:$CH275,2)&gt;=9999,"",INDEX(Presupuesto!$C:$C,SMALL($AA275:$CH275,2)))</f>
        <v>0</v>
      </c>
      <c r="J275" s="1" t="n">
        <f aca="false">IF(SMALL($AA275:$CH275,3)&gt;=9999,"",INDEX(Presupuesto!$C:$C,SMALL($AA275:$CH275,3)))</f>
        <v>0</v>
      </c>
      <c r="K275" s="1" t="n">
        <f aca="false">IF(SMALL($AA275:$CH275,4)&gt;=9999,"",INDEX(Presupuesto!$C:$C,SMALL($AA275:$CH275,4)))</f>
        <v>0</v>
      </c>
      <c r="L275" s="1" t="n">
        <f aca="false">IF(SMALL($AA275:$CH275,5)&gt;=9999,"",INDEX(Presupuesto!$C:$C,SMALL($AA275:$CH275,5)))</f>
        <v>0</v>
      </c>
      <c r="M275" s="1" t="n">
        <f aca="false">IF(SMALL($AA275:$CH275,6)&gt;=9999,"",INDEX(Presupuesto!$C:$C,SMALL($AA275:$CH275,6)))</f>
        <v>0</v>
      </c>
      <c r="N275" s="1" t="n">
        <f aca="false">IF(SMALL($AA275:$CH275,7)&gt;=9999,"",INDEX(Presupuesto!$C:$C,SMALL($AA275:$CH275,7)))</f>
        <v>0</v>
      </c>
      <c r="O275" s="1" t="n">
        <f aca="false">IF(SMALL($AA275:$CH275,8)&gt;=9999,"",INDEX(Presupuesto!$C:$C,SMALL($AA275:$CH275,8)))</f>
        <v>0</v>
      </c>
      <c r="P275" s="1" t="n">
        <f aca="false">IF(SMALL($AA275:$CH275,9)&gt;=9999,"",INDEX(Presupuesto!$C:$C,SMALL($AA275:$CH275,9)))</f>
        <v>0</v>
      </c>
      <c r="Q275" s="1" t="n">
        <f aca="false">IF(SMALL($AA275:$CH275,10)&gt;=9999,"",INDEX(Presupuesto!$C:$C,SMALL($AA275:$CH275,10)))</f>
        <v>0</v>
      </c>
      <c r="AA275" s="0" t="n">
        <f aca="false">IF(Presupuesto!$B$7='Flujo de Pagos'!$E275,7,9999)</f>
        <v>9999</v>
      </c>
      <c r="AB275" s="0" t="n">
        <f aca="false">IF(Presupuesto!$B$8='Flujo de Pagos'!$E275,8,9999)</f>
        <v>9999</v>
      </c>
      <c r="AC275" s="0" t="n">
        <f aca="false">IF(Presupuesto!$B$9='Flujo de Pagos'!$E275,9,9999)</f>
        <v>9999</v>
      </c>
      <c r="AD275" s="0" t="n">
        <f aca="false">IF(Presupuesto!$B$10='Flujo de Pagos'!$E275,10,9999)</f>
        <v>9999</v>
      </c>
      <c r="AE275" s="0" t="n">
        <f aca="false">IF(Presupuesto!$B$11='Flujo de Pagos'!$E275,11,9999)</f>
        <v>9999</v>
      </c>
      <c r="AF275" s="0" t="n">
        <f aca="false">IF(Presupuesto!$B$12='Flujo de Pagos'!$E275,12,9999)</f>
        <v>12</v>
      </c>
      <c r="AG275" s="0" t="n">
        <f aca="false">IF(Presupuesto!$B$13='Flujo de Pagos'!$E275,13,9999)</f>
        <v>13</v>
      </c>
      <c r="AH275" s="0" t="n">
        <f aca="false">IF(Presupuesto!$B$14='Flujo de Pagos'!$E275,14,9999)</f>
        <v>14</v>
      </c>
      <c r="AI275" s="0" t="n">
        <f aca="false">IF(Presupuesto!$B$15='Flujo de Pagos'!$E275,15,9999)</f>
        <v>15</v>
      </c>
      <c r="AJ275" s="0" t="n">
        <f aca="false">IF(Presupuesto!$B$16='Flujo de Pagos'!$E275,16,9999)</f>
        <v>16</v>
      </c>
      <c r="AK275" s="0" t="n">
        <f aca="false">IF(Presupuesto!$B$17='Flujo de Pagos'!$E275,17,9999)</f>
        <v>17</v>
      </c>
      <c r="AL275" s="0" t="n">
        <f aca="false">IF(Presupuesto!$B$18='Flujo de Pagos'!$E275,18,9999)</f>
        <v>18</v>
      </c>
      <c r="AM275" s="0" t="n">
        <f aca="false">IF(Presupuesto!$B$19='Flujo de Pagos'!$E275,19,9999)</f>
        <v>19</v>
      </c>
      <c r="AN275" s="0" t="n">
        <f aca="false">IF(Presupuesto!$B$20='Flujo de Pagos'!$E275,20,9999)</f>
        <v>20</v>
      </c>
      <c r="AO275" s="0" t="n">
        <f aca="false">IF(Presupuesto!$B$21='Flujo de Pagos'!$E275,21,9999)</f>
        <v>21</v>
      </c>
      <c r="AP275" s="0" t="n">
        <f aca="false">IF(Presupuesto!$B$22='Flujo de Pagos'!$E275,22,9999)</f>
        <v>22</v>
      </c>
      <c r="AQ275" s="0" t="n">
        <f aca="false">IF(Presupuesto!$B$23='Flujo de Pagos'!$E275,23,9999)</f>
        <v>23</v>
      </c>
      <c r="AR275" s="0" t="n">
        <f aca="false">IF(Presupuesto!$B$24='Flujo de Pagos'!$E275,24,9999)</f>
        <v>24</v>
      </c>
      <c r="AS275" s="0" t="n">
        <f aca="false">IF(Presupuesto!$B$25='Flujo de Pagos'!$E275,25,9999)</f>
        <v>25</v>
      </c>
      <c r="AT275" s="0" t="n">
        <f aca="false">IF(Presupuesto!$B$26='Flujo de Pagos'!$E275,26,9999)</f>
        <v>26</v>
      </c>
      <c r="AU275" s="0" t="n">
        <f aca="false">IF(Presupuesto!$B$27='Flujo de Pagos'!$E275,27,9999)</f>
        <v>27</v>
      </c>
      <c r="AV275" s="0" t="n">
        <f aca="false">IF(Presupuesto!$B$28='Flujo de Pagos'!$E275,28,9999)</f>
        <v>28</v>
      </c>
      <c r="AW275" s="0" t="n">
        <f aca="false">IF(Presupuesto!$B$29='Flujo de Pagos'!$E275,29,9999)</f>
        <v>29</v>
      </c>
      <c r="AX275" s="0" t="n">
        <f aca="false">IF(Presupuesto!$B$30='Flujo de Pagos'!$E275,30,9999)</f>
        <v>30</v>
      </c>
      <c r="AY275" s="0" t="n">
        <f aca="false">IF(Presupuesto!$B$31='Flujo de Pagos'!$E275,31,9999)</f>
        <v>31</v>
      </c>
      <c r="AZ275" s="0" t="n">
        <f aca="false">IF(Presupuesto!$B$32='Flujo de Pagos'!$E275,32,9999)</f>
        <v>32</v>
      </c>
      <c r="BA275" s="0" t="n">
        <f aca="false">IF(Presupuesto!$B$33='Flujo de Pagos'!$E275,33,9999)</f>
        <v>33</v>
      </c>
      <c r="BB275" s="0" t="n">
        <f aca="false">IF(Presupuesto!$B$34='Flujo de Pagos'!$E275,34,9999)</f>
        <v>34</v>
      </c>
      <c r="BC275" s="0" t="n">
        <f aca="false">IF(Presupuesto!$B$35='Flujo de Pagos'!$E275,35,9999)</f>
        <v>35</v>
      </c>
      <c r="BD275" s="0" t="n">
        <f aca="false">IF(Presupuesto!$B$36='Flujo de Pagos'!$E275,36,9999)</f>
        <v>36</v>
      </c>
      <c r="BE275" s="0" t="n">
        <f aca="false">IF(Presupuesto!$B$37='Flujo de Pagos'!$E275,37,9999)</f>
        <v>37</v>
      </c>
      <c r="BF275" s="0" t="n">
        <f aca="false">IF(Presupuesto!$B$38='Flujo de Pagos'!$E275,38,9999)</f>
        <v>38</v>
      </c>
      <c r="BG275" s="0" t="n">
        <f aca="false">IF(Presupuesto!$B$39='Flujo de Pagos'!$E275,39,9999)</f>
        <v>39</v>
      </c>
      <c r="BH275" s="0" t="n">
        <f aca="false">IF(Presupuesto!$B$40='Flujo de Pagos'!$E275,40,9999)</f>
        <v>40</v>
      </c>
      <c r="BI275" s="0" t="n">
        <f aca="false">IF(Presupuesto!$B$41='Flujo de Pagos'!$E275,41,9999)</f>
        <v>41</v>
      </c>
      <c r="BJ275" s="0" t="n">
        <f aca="false">IF(Presupuesto!$B$42='Flujo de Pagos'!$E275,42,9999)</f>
        <v>42</v>
      </c>
      <c r="BK275" s="0" t="n">
        <f aca="false">IF(Presupuesto!$B$43='Flujo de Pagos'!$E275,43,9999)</f>
        <v>43</v>
      </c>
      <c r="BL275" s="0" t="n">
        <f aca="false">IF(Presupuesto!$B$44='Flujo de Pagos'!$E275,44,9999)</f>
        <v>44</v>
      </c>
      <c r="BM275" s="0" t="n">
        <f aca="false">IF(Presupuesto!$B$45='Flujo de Pagos'!$E275,45,9999)</f>
        <v>45</v>
      </c>
      <c r="BN275" s="0" t="n">
        <f aca="false">IF(Presupuesto!$B$46='Flujo de Pagos'!$E275,46,9999)</f>
        <v>46</v>
      </c>
      <c r="BO275" s="0" t="n">
        <f aca="false">IF(Presupuesto!$B$47='Flujo de Pagos'!$E275,47,9999)</f>
        <v>47</v>
      </c>
      <c r="BP275" s="0" t="n">
        <f aca="false">IF(Presupuesto!$B$48='Flujo de Pagos'!$E275,48,9999)</f>
        <v>48</v>
      </c>
      <c r="BQ275" s="0" t="n">
        <f aca="false">IF(Presupuesto!$B$49='Flujo de Pagos'!$E275,49,9999)</f>
        <v>49</v>
      </c>
      <c r="BR275" s="0" t="n">
        <f aca="false">IF(Presupuesto!$B$50='Flujo de Pagos'!$E275,50,9999)</f>
        <v>50</v>
      </c>
      <c r="BS275" s="0" t="n">
        <f aca="false">IF(Presupuesto!$B$51='Flujo de Pagos'!$E275,51,9999)</f>
        <v>51</v>
      </c>
      <c r="BT275" s="0" t="n">
        <f aca="false">IF(Presupuesto!$B$52='Flujo de Pagos'!$E275,52,9999)</f>
        <v>52</v>
      </c>
      <c r="BU275" s="0" t="n">
        <f aca="false">IF(Presupuesto!$B$53='Flujo de Pagos'!$E275,53,9999)</f>
        <v>53</v>
      </c>
      <c r="BV275" s="0" t="n">
        <f aca="false">IF(Presupuesto!$B$54='Flujo de Pagos'!$E275,54,9999)</f>
        <v>54</v>
      </c>
      <c r="BW275" s="0" t="n">
        <f aca="false">IF(Presupuesto!$B$55='Flujo de Pagos'!$E275,55,9999)</f>
        <v>55</v>
      </c>
      <c r="BX275" s="0" t="n">
        <f aca="false">IF(Presupuesto!$B$56='Flujo de Pagos'!$E275,56,9999)</f>
        <v>56</v>
      </c>
      <c r="BY275" s="0" t="n">
        <f aca="false">IF(Presupuesto!$B$57='Flujo de Pagos'!$E275,57,9999)</f>
        <v>57</v>
      </c>
      <c r="BZ275" s="0" t="n">
        <f aca="false">IF(Presupuesto!$B$58='Flujo de Pagos'!$E275,58,9999)</f>
        <v>58</v>
      </c>
      <c r="CA275" s="0" t="n">
        <f aca="false">IF(Presupuesto!$B$59='Flujo de Pagos'!$E275,59,9999)</f>
        <v>59</v>
      </c>
      <c r="CB275" s="0" t="n">
        <f aca="false">IF(Presupuesto!$B$60='Flujo de Pagos'!$E275,60,9999)</f>
        <v>60</v>
      </c>
      <c r="CC275" s="0" t="n">
        <f aca="false">IF(Presupuesto!$B$61='Flujo de Pagos'!$E275,61,9999)</f>
        <v>61</v>
      </c>
      <c r="CD275" s="0" t="n">
        <f aca="false">IF(Presupuesto!$B$62='Flujo de Pagos'!$E275,62,9999)</f>
        <v>62</v>
      </c>
      <c r="CE275" s="0" t="n">
        <f aca="false">IF(Presupuesto!$B$63='Flujo de Pagos'!$E275,63,9999)</f>
        <v>63</v>
      </c>
      <c r="CF275" s="0" t="n">
        <f aca="false">IF(Presupuesto!$B$64='Flujo de Pagos'!$E275,64,9999)</f>
        <v>64</v>
      </c>
      <c r="CG275" s="0" t="n">
        <f aca="false">IF(Presupuesto!$B$65='Flujo de Pagos'!$E275,65,9999)</f>
        <v>65</v>
      </c>
      <c r="CH275" s="0" t="n">
        <f aca="false">IF(Presupuesto!$B$66='Flujo de Pagos'!$E275,66,9999)</f>
        <v>66</v>
      </c>
    </row>
    <row r="276" customFormat="false" ht="15" hidden="false" customHeight="true" outlineLevel="0" collapsed="false">
      <c r="B276" s="1" t="n">
        <f aca="false">IF(AND('Flujo de Pagos'!E281=Carátula!$B$2,'Flujo de Pagos'!F281=Carátula!$B$4,'Flujo de Pagos'!H281&lt;&gt;""),281,99999)</f>
        <v>99999</v>
      </c>
      <c r="H276" s="1" t="n">
        <f aca="false">IF(SMALL($AA276:$CH276,1)&gt;=9999,"",INDEX(Presupuesto!$C:$C,SMALL($AA276:$CH276,1)))</f>
        <v>0</v>
      </c>
      <c r="I276" s="1" t="n">
        <f aca="false">IF(SMALL($AA276:$CH276,2)&gt;=9999,"",INDEX(Presupuesto!$C:$C,SMALL($AA276:$CH276,2)))</f>
        <v>0</v>
      </c>
      <c r="J276" s="1" t="n">
        <f aca="false">IF(SMALL($AA276:$CH276,3)&gt;=9999,"",INDEX(Presupuesto!$C:$C,SMALL($AA276:$CH276,3)))</f>
        <v>0</v>
      </c>
      <c r="K276" s="1" t="n">
        <f aca="false">IF(SMALL($AA276:$CH276,4)&gt;=9999,"",INDEX(Presupuesto!$C:$C,SMALL($AA276:$CH276,4)))</f>
        <v>0</v>
      </c>
      <c r="L276" s="1" t="n">
        <f aca="false">IF(SMALL($AA276:$CH276,5)&gt;=9999,"",INDEX(Presupuesto!$C:$C,SMALL($AA276:$CH276,5)))</f>
        <v>0</v>
      </c>
      <c r="M276" s="1" t="n">
        <f aca="false">IF(SMALL($AA276:$CH276,6)&gt;=9999,"",INDEX(Presupuesto!$C:$C,SMALL($AA276:$CH276,6)))</f>
        <v>0</v>
      </c>
      <c r="N276" s="1" t="n">
        <f aca="false">IF(SMALL($AA276:$CH276,7)&gt;=9999,"",INDEX(Presupuesto!$C:$C,SMALL($AA276:$CH276,7)))</f>
        <v>0</v>
      </c>
      <c r="O276" s="1" t="n">
        <f aca="false">IF(SMALL($AA276:$CH276,8)&gt;=9999,"",INDEX(Presupuesto!$C:$C,SMALL($AA276:$CH276,8)))</f>
        <v>0</v>
      </c>
      <c r="P276" s="1" t="n">
        <f aca="false">IF(SMALL($AA276:$CH276,9)&gt;=9999,"",INDEX(Presupuesto!$C:$C,SMALL($AA276:$CH276,9)))</f>
        <v>0</v>
      </c>
      <c r="Q276" s="1" t="n">
        <f aca="false">IF(SMALL($AA276:$CH276,10)&gt;=9999,"",INDEX(Presupuesto!$C:$C,SMALL($AA276:$CH276,10)))</f>
        <v>0</v>
      </c>
      <c r="AA276" s="0" t="n">
        <f aca="false">IF(Presupuesto!$B$7='Flujo de Pagos'!$E276,7,9999)</f>
        <v>9999</v>
      </c>
      <c r="AB276" s="0" t="n">
        <f aca="false">IF(Presupuesto!$B$8='Flujo de Pagos'!$E276,8,9999)</f>
        <v>9999</v>
      </c>
      <c r="AC276" s="0" t="n">
        <f aca="false">IF(Presupuesto!$B$9='Flujo de Pagos'!$E276,9,9999)</f>
        <v>9999</v>
      </c>
      <c r="AD276" s="0" t="n">
        <f aca="false">IF(Presupuesto!$B$10='Flujo de Pagos'!$E276,10,9999)</f>
        <v>9999</v>
      </c>
      <c r="AE276" s="0" t="n">
        <f aca="false">IF(Presupuesto!$B$11='Flujo de Pagos'!$E276,11,9999)</f>
        <v>9999</v>
      </c>
      <c r="AF276" s="0" t="n">
        <f aca="false">IF(Presupuesto!$B$12='Flujo de Pagos'!$E276,12,9999)</f>
        <v>12</v>
      </c>
      <c r="AG276" s="0" t="n">
        <f aca="false">IF(Presupuesto!$B$13='Flujo de Pagos'!$E276,13,9999)</f>
        <v>13</v>
      </c>
      <c r="AH276" s="0" t="n">
        <f aca="false">IF(Presupuesto!$B$14='Flujo de Pagos'!$E276,14,9999)</f>
        <v>14</v>
      </c>
      <c r="AI276" s="0" t="n">
        <f aca="false">IF(Presupuesto!$B$15='Flujo de Pagos'!$E276,15,9999)</f>
        <v>15</v>
      </c>
      <c r="AJ276" s="0" t="n">
        <f aca="false">IF(Presupuesto!$B$16='Flujo de Pagos'!$E276,16,9999)</f>
        <v>16</v>
      </c>
      <c r="AK276" s="0" t="n">
        <f aca="false">IF(Presupuesto!$B$17='Flujo de Pagos'!$E276,17,9999)</f>
        <v>17</v>
      </c>
      <c r="AL276" s="0" t="n">
        <f aca="false">IF(Presupuesto!$B$18='Flujo de Pagos'!$E276,18,9999)</f>
        <v>18</v>
      </c>
      <c r="AM276" s="0" t="n">
        <f aca="false">IF(Presupuesto!$B$19='Flujo de Pagos'!$E276,19,9999)</f>
        <v>19</v>
      </c>
      <c r="AN276" s="0" t="n">
        <f aca="false">IF(Presupuesto!$B$20='Flujo de Pagos'!$E276,20,9999)</f>
        <v>20</v>
      </c>
      <c r="AO276" s="0" t="n">
        <f aca="false">IF(Presupuesto!$B$21='Flujo de Pagos'!$E276,21,9999)</f>
        <v>21</v>
      </c>
      <c r="AP276" s="0" t="n">
        <f aca="false">IF(Presupuesto!$B$22='Flujo de Pagos'!$E276,22,9999)</f>
        <v>22</v>
      </c>
      <c r="AQ276" s="0" t="n">
        <f aca="false">IF(Presupuesto!$B$23='Flujo de Pagos'!$E276,23,9999)</f>
        <v>23</v>
      </c>
      <c r="AR276" s="0" t="n">
        <f aca="false">IF(Presupuesto!$B$24='Flujo de Pagos'!$E276,24,9999)</f>
        <v>24</v>
      </c>
      <c r="AS276" s="0" t="n">
        <f aca="false">IF(Presupuesto!$B$25='Flujo de Pagos'!$E276,25,9999)</f>
        <v>25</v>
      </c>
      <c r="AT276" s="0" t="n">
        <f aca="false">IF(Presupuesto!$B$26='Flujo de Pagos'!$E276,26,9999)</f>
        <v>26</v>
      </c>
      <c r="AU276" s="0" t="n">
        <f aca="false">IF(Presupuesto!$B$27='Flujo de Pagos'!$E276,27,9999)</f>
        <v>27</v>
      </c>
      <c r="AV276" s="0" t="n">
        <f aca="false">IF(Presupuesto!$B$28='Flujo de Pagos'!$E276,28,9999)</f>
        <v>28</v>
      </c>
      <c r="AW276" s="0" t="n">
        <f aca="false">IF(Presupuesto!$B$29='Flujo de Pagos'!$E276,29,9999)</f>
        <v>29</v>
      </c>
      <c r="AX276" s="0" t="n">
        <f aca="false">IF(Presupuesto!$B$30='Flujo de Pagos'!$E276,30,9999)</f>
        <v>30</v>
      </c>
      <c r="AY276" s="0" t="n">
        <f aca="false">IF(Presupuesto!$B$31='Flujo de Pagos'!$E276,31,9999)</f>
        <v>31</v>
      </c>
      <c r="AZ276" s="0" t="n">
        <f aca="false">IF(Presupuesto!$B$32='Flujo de Pagos'!$E276,32,9999)</f>
        <v>32</v>
      </c>
      <c r="BA276" s="0" t="n">
        <f aca="false">IF(Presupuesto!$B$33='Flujo de Pagos'!$E276,33,9999)</f>
        <v>33</v>
      </c>
      <c r="BB276" s="0" t="n">
        <f aca="false">IF(Presupuesto!$B$34='Flujo de Pagos'!$E276,34,9999)</f>
        <v>34</v>
      </c>
      <c r="BC276" s="0" t="n">
        <f aca="false">IF(Presupuesto!$B$35='Flujo de Pagos'!$E276,35,9999)</f>
        <v>35</v>
      </c>
      <c r="BD276" s="0" t="n">
        <f aca="false">IF(Presupuesto!$B$36='Flujo de Pagos'!$E276,36,9999)</f>
        <v>36</v>
      </c>
      <c r="BE276" s="0" t="n">
        <f aca="false">IF(Presupuesto!$B$37='Flujo de Pagos'!$E276,37,9999)</f>
        <v>37</v>
      </c>
      <c r="BF276" s="0" t="n">
        <f aca="false">IF(Presupuesto!$B$38='Flujo de Pagos'!$E276,38,9999)</f>
        <v>38</v>
      </c>
      <c r="BG276" s="0" t="n">
        <f aca="false">IF(Presupuesto!$B$39='Flujo de Pagos'!$E276,39,9999)</f>
        <v>39</v>
      </c>
      <c r="BH276" s="0" t="n">
        <f aca="false">IF(Presupuesto!$B$40='Flujo de Pagos'!$E276,40,9999)</f>
        <v>40</v>
      </c>
      <c r="BI276" s="0" t="n">
        <f aca="false">IF(Presupuesto!$B$41='Flujo de Pagos'!$E276,41,9999)</f>
        <v>41</v>
      </c>
      <c r="BJ276" s="0" t="n">
        <f aca="false">IF(Presupuesto!$B$42='Flujo de Pagos'!$E276,42,9999)</f>
        <v>42</v>
      </c>
      <c r="BK276" s="0" t="n">
        <f aca="false">IF(Presupuesto!$B$43='Flujo de Pagos'!$E276,43,9999)</f>
        <v>43</v>
      </c>
      <c r="BL276" s="0" t="n">
        <f aca="false">IF(Presupuesto!$B$44='Flujo de Pagos'!$E276,44,9999)</f>
        <v>44</v>
      </c>
      <c r="BM276" s="0" t="n">
        <f aca="false">IF(Presupuesto!$B$45='Flujo de Pagos'!$E276,45,9999)</f>
        <v>45</v>
      </c>
      <c r="BN276" s="0" t="n">
        <f aca="false">IF(Presupuesto!$B$46='Flujo de Pagos'!$E276,46,9999)</f>
        <v>46</v>
      </c>
      <c r="BO276" s="0" t="n">
        <f aca="false">IF(Presupuesto!$B$47='Flujo de Pagos'!$E276,47,9999)</f>
        <v>47</v>
      </c>
      <c r="BP276" s="0" t="n">
        <f aca="false">IF(Presupuesto!$B$48='Flujo de Pagos'!$E276,48,9999)</f>
        <v>48</v>
      </c>
      <c r="BQ276" s="0" t="n">
        <f aca="false">IF(Presupuesto!$B$49='Flujo de Pagos'!$E276,49,9999)</f>
        <v>49</v>
      </c>
      <c r="BR276" s="0" t="n">
        <f aca="false">IF(Presupuesto!$B$50='Flujo de Pagos'!$E276,50,9999)</f>
        <v>50</v>
      </c>
      <c r="BS276" s="0" t="n">
        <f aca="false">IF(Presupuesto!$B$51='Flujo de Pagos'!$E276,51,9999)</f>
        <v>51</v>
      </c>
      <c r="BT276" s="0" t="n">
        <f aca="false">IF(Presupuesto!$B$52='Flujo de Pagos'!$E276,52,9999)</f>
        <v>52</v>
      </c>
      <c r="BU276" s="0" t="n">
        <f aca="false">IF(Presupuesto!$B$53='Flujo de Pagos'!$E276,53,9999)</f>
        <v>53</v>
      </c>
      <c r="BV276" s="0" t="n">
        <f aca="false">IF(Presupuesto!$B$54='Flujo de Pagos'!$E276,54,9999)</f>
        <v>54</v>
      </c>
      <c r="BW276" s="0" t="n">
        <f aca="false">IF(Presupuesto!$B$55='Flujo de Pagos'!$E276,55,9999)</f>
        <v>55</v>
      </c>
      <c r="BX276" s="0" t="n">
        <f aca="false">IF(Presupuesto!$B$56='Flujo de Pagos'!$E276,56,9999)</f>
        <v>56</v>
      </c>
      <c r="BY276" s="0" t="n">
        <f aca="false">IF(Presupuesto!$B$57='Flujo de Pagos'!$E276,57,9999)</f>
        <v>57</v>
      </c>
      <c r="BZ276" s="0" t="n">
        <f aca="false">IF(Presupuesto!$B$58='Flujo de Pagos'!$E276,58,9999)</f>
        <v>58</v>
      </c>
      <c r="CA276" s="0" t="n">
        <f aca="false">IF(Presupuesto!$B$59='Flujo de Pagos'!$E276,59,9999)</f>
        <v>59</v>
      </c>
      <c r="CB276" s="0" t="n">
        <f aca="false">IF(Presupuesto!$B$60='Flujo de Pagos'!$E276,60,9999)</f>
        <v>60</v>
      </c>
      <c r="CC276" s="0" t="n">
        <f aca="false">IF(Presupuesto!$B$61='Flujo de Pagos'!$E276,61,9999)</f>
        <v>61</v>
      </c>
      <c r="CD276" s="0" t="n">
        <f aca="false">IF(Presupuesto!$B$62='Flujo de Pagos'!$E276,62,9999)</f>
        <v>62</v>
      </c>
      <c r="CE276" s="0" t="n">
        <f aca="false">IF(Presupuesto!$B$63='Flujo de Pagos'!$E276,63,9999)</f>
        <v>63</v>
      </c>
      <c r="CF276" s="0" t="n">
        <f aca="false">IF(Presupuesto!$B$64='Flujo de Pagos'!$E276,64,9999)</f>
        <v>64</v>
      </c>
      <c r="CG276" s="0" t="n">
        <f aca="false">IF(Presupuesto!$B$65='Flujo de Pagos'!$E276,65,9999)</f>
        <v>65</v>
      </c>
      <c r="CH276" s="0" t="n">
        <f aca="false">IF(Presupuesto!$B$66='Flujo de Pagos'!$E276,66,9999)</f>
        <v>66</v>
      </c>
    </row>
    <row r="277" customFormat="false" ht="15" hidden="false" customHeight="true" outlineLevel="0" collapsed="false">
      <c r="B277" s="1" t="n">
        <f aca="false">IF(AND('Flujo de Pagos'!E282=Carátula!$B$2,'Flujo de Pagos'!F282=Carátula!$B$4,'Flujo de Pagos'!H282&lt;&gt;""),282,99999)</f>
        <v>99999</v>
      </c>
      <c r="H277" s="1" t="n">
        <f aca="false">IF(SMALL($AA277:$CH277,1)&gt;=9999,"",INDEX(Presupuesto!$C:$C,SMALL($AA277:$CH277,1)))</f>
        <v>0</v>
      </c>
      <c r="I277" s="1" t="n">
        <f aca="false">IF(SMALL($AA277:$CH277,2)&gt;=9999,"",INDEX(Presupuesto!$C:$C,SMALL($AA277:$CH277,2)))</f>
        <v>0</v>
      </c>
      <c r="J277" s="1" t="n">
        <f aca="false">IF(SMALL($AA277:$CH277,3)&gt;=9999,"",INDEX(Presupuesto!$C:$C,SMALL($AA277:$CH277,3)))</f>
        <v>0</v>
      </c>
      <c r="K277" s="1" t="n">
        <f aca="false">IF(SMALL($AA277:$CH277,4)&gt;=9999,"",INDEX(Presupuesto!$C:$C,SMALL($AA277:$CH277,4)))</f>
        <v>0</v>
      </c>
      <c r="L277" s="1" t="n">
        <f aca="false">IF(SMALL($AA277:$CH277,5)&gt;=9999,"",INDEX(Presupuesto!$C:$C,SMALL($AA277:$CH277,5)))</f>
        <v>0</v>
      </c>
      <c r="M277" s="1" t="n">
        <f aca="false">IF(SMALL($AA277:$CH277,6)&gt;=9999,"",INDEX(Presupuesto!$C:$C,SMALL($AA277:$CH277,6)))</f>
        <v>0</v>
      </c>
      <c r="N277" s="1" t="n">
        <f aca="false">IF(SMALL($AA277:$CH277,7)&gt;=9999,"",INDEX(Presupuesto!$C:$C,SMALL($AA277:$CH277,7)))</f>
        <v>0</v>
      </c>
      <c r="O277" s="1" t="n">
        <f aca="false">IF(SMALL($AA277:$CH277,8)&gt;=9999,"",INDEX(Presupuesto!$C:$C,SMALL($AA277:$CH277,8)))</f>
        <v>0</v>
      </c>
      <c r="P277" s="1" t="n">
        <f aca="false">IF(SMALL($AA277:$CH277,9)&gt;=9999,"",INDEX(Presupuesto!$C:$C,SMALL($AA277:$CH277,9)))</f>
        <v>0</v>
      </c>
      <c r="Q277" s="1" t="n">
        <f aca="false">IF(SMALL($AA277:$CH277,10)&gt;=9999,"",INDEX(Presupuesto!$C:$C,SMALL($AA277:$CH277,10)))</f>
        <v>0</v>
      </c>
      <c r="AA277" s="0" t="n">
        <f aca="false">IF(Presupuesto!$B$7='Flujo de Pagos'!$E277,7,9999)</f>
        <v>9999</v>
      </c>
      <c r="AB277" s="0" t="n">
        <f aca="false">IF(Presupuesto!$B$8='Flujo de Pagos'!$E277,8,9999)</f>
        <v>9999</v>
      </c>
      <c r="AC277" s="0" t="n">
        <f aca="false">IF(Presupuesto!$B$9='Flujo de Pagos'!$E277,9,9999)</f>
        <v>9999</v>
      </c>
      <c r="AD277" s="0" t="n">
        <f aca="false">IF(Presupuesto!$B$10='Flujo de Pagos'!$E277,10,9999)</f>
        <v>9999</v>
      </c>
      <c r="AE277" s="0" t="n">
        <f aca="false">IF(Presupuesto!$B$11='Flujo de Pagos'!$E277,11,9999)</f>
        <v>9999</v>
      </c>
      <c r="AF277" s="0" t="n">
        <f aca="false">IF(Presupuesto!$B$12='Flujo de Pagos'!$E277,12,9999)</f>
        <v>12</v>
      </c>
      <c r="AG277" s="0" t="n">
        <f aca="false">IF(Presupuesto!$B$13='Flujo de Pagos'!$E277,13,9999)</f>
        <v>13</v>
      </c>
      <c r="AH277" s="0" t="n">
        <f aca="false">IF(Presupuesto!$B$14='Flujo de Pagos'!$E277,14,9999)</f>
        <v>14</v>
      </c>
      <c r="AI277" s="0" t="n">
        <f aca="false">IF(Presupuesto!$B$15='Flujo de Pagos'!$E277,15,9999)</f>
        <v>15</v>
      </c>
      <c r="AJ277" s="0" t="n">
        <f aca="false">IF(Presupuesto!$B$16='Flujo de Pagos'!$E277,16,9999)</f>
        <v>16</v>
      </c>
      <c r="AK277" s="0" t="n">
        <f aca="false">IF(Presupuesto!$B$17='Flujo de Pagos'!$E277,17,9999)</f>
        <v>17</v>
      </c>
      <c r="AL277" s="0" t="n">
        <f aca="false">IF(Presupuesto!$B$18='Flujo de Pagos'!$E277,18,9999)</f>
        <v>18</v>
      </c>
      <c r="AM277" s="0" t="n">
        <f aca="false">IF(Presupuesto!$B$19='Flujo de Pagos'!$E277,19,9999)</f>
        <v>19</v>
      </c>
      <c r="AN277" s="0" t="n">
        <f aca="false">IF(Presupuesto!$B$20='Flujo de Pagos'!$E277,20,9999)</f>
        <v>20</v>
      </c>
      <c r="AO277" s="0" t="n">
        <f aca="false">IF(Presupuesto!$B$21='Flujo de Pagos'!$E277,21,9999)</f>
        <v>21</v>
      </c>
      <c r="AP277" s="0" t="n">
        <f aca="false">IF(Presupuesto!$B$22='Flujo de Pagos'!$E277,22,9999)</f>
        <v>22</v>
      </c>
      <c r="AQ277" s="0" t="n">
        <f aca="false">IF(Presupuesto!$B$23='Flujo de Pagos'!$E277,23,9999)</f>
        <v>23</v>
      </c>
      <c r="AR277" s="0" t="n">
        <f aca="false">IF(Presupuesto!$B$24='Flujo de Pagos'!$E277,24,9999)</f>
        <v>24</v>
      </c>
      <c r="AS277" s="0" t="n">
        <f aca="false">IF(Presupuesto!$B$25='Flujo de Pagos'!$E277,25,9999)</f>
        <v>25</v>
      </c>
      <c r="AT277" s="0" t="n">
        <f aca="false">IF(Presupuesto!$B$26='Flujo de Pagos'!$E277,26,9999)</f>
        <v>26</v>
      </c>
      <c r="AU277" s="0" t="n">
        <f aca="false">IF(Presupuesto!$B$27='Flujo de Pagos'!$E277,27,9999)</f>
        <v>27</v>
      </c>
      <c r="AV277" s="0" t="n">
        <f aca="false">IF(Presupuesto!$B$28='Flujo de Pagos'!$E277,28,9999)</f>
        <v>28</v>
      </c>
      <c r="AW277" s="0" t="n">
        <f aca="false">IF(Presupuesto!$B$29='Flujo de Pagos'!$E277,29,9999)</f>
        <v>29</v>
      </c>
      <c r="AX277" s="0" t="n">
        <f aca="false">IF(Presupuesto!$B$30='Flujo de Pagos'!$E277,30,9999)</f>
        <v>30</v>
      </c>
      <c r="AY277" s="0" t="n">
        <f aca="false">IF(Presupuesto!$B$31='Flujo de Pagos'!$E277,31,9999)</f>
        <v>31</v>
      </c>
      <c r="AZ277" s="0" t="n">
        <f aca="false">IF(Presupuesto!$B$32='Flujo de Pagos'!$E277,32,9999)</f>
        <v>32</v>
      </c>
      <c r="BA277" s="0" t="n">
        <f aca="false">IF(Presupuesto!$B$33='Flujo de Pagos'!$E277,33,9999)</f>
        <v>33</v>
      </c>
      <c r="BB277" s="0" t="n">
        <f aca="false">IF(Presupuesto!$B$34='Flujo de Pagos'!$E277,34,9999)</f>
        <v>34</v>
      </c>
      <c r="BC277" s="0" t="n">
        <f aca="false">IF(Presupuesto!$B$35='Flujo de Pagos'!$E277,35,9999)</f>
        <v>35</v>
      </c>
      <c r="BD277" s="0" t="n">
        <f aca="false">IF(Presupuesto!$B$36='Flujo de Pagos'!$E277,36,9999)</f>
        <v>36</v>
      </c>
      <c r="BE277" s="0" t="n">
        <f aca="false">IF(Presupuesto!$B$37='Flujo de Pagos'!$E277,37,9999)</f>
        <v>37</v>
      </c>
      <c r="BF277" s="0" t="n">
        <f aca="false">IF(Presupuesto!$B$38='Flujo de Pagos'!$E277,38,9999)</f>
        <v>38</v>
      </c>
      <c r="BG277" s="0" t="n">
        <f aca="false">IF(Presupuesto!$B$39='Flujo de Pagos'!$E277,39,9999)</f>
        <v>39</v>
      </c>
      <c r="BH277" s="0" t="n">
        <f aca="false">IF(Presupuesto!$B$40='Flujo de Pagos'!$E277,40,9999)</f>
        <v>40</v>
      </c>
      <c r="BI277" s="0" t="n">
        <f aca="false">IF(Presupuesto!$B$41='Flujo de Pagos'!$E277,41,9999)</f>
        <v>41</v>
      </c>
      <c r="BJ277" s="0" t="n">
        <f aca="false">IF(Presupuesto!$B$42='Flujo de Pagos'!$E277,42,9999)</f>
        <v>42</v>
      </c>
      <c r="BK277" s="0" t="n">
        <f aca="false">IF(Presupuesto!$B$43='Flujo de Pagos'!$E277,43,9999)</f>
        <v>43</v>
      </c>
      <c r="BL277" s="0" t="n">
        <f aca="false">IF(Presupuesto!$B$44='Flujo de Pagos'!$E277,44,9999)</f>
        <v>44</v>
      </c>
      <c r="BM277" s="0" t="n">
        <f aca="false">IF(Presupuesto!$B$45='Flujo de Pagos'!$E277,45,9999)</f>
        <v>45</v>
      </c>
      <c r="BN277" s="0" t="n">
        <f aca="false">IF(Presupuesto!$B$46='Flujo de Pagos'!$E277,46,9999)</f>
        <v>46</v>
      </c>
      <c r="BO277" s="0" t="n">
        <f aca="false">IF(Presupuesto!$B$47='Flujo de Pagos'!$E277,47,9999)</f>
        <v>47</v>
      </c>
      <c r="BP277" s="0" t="n">
        <f aca="false">IF(Presupuesto!$B$48='Flujo de Pagos'!$E277,48,9999)</f>
        <v>48</v>
      </c>
      <c r="BQ277" s="0" t="n">
        <f aca="false">IF(Presupuesto!$B$49='Flujo de Pagos'!$E277,49,9999)</f>
        <v>49</v>
      </c>
      <c r="BR277" s="0" t="n">
        <f aca="false">IF(Presupuesto!$B$50='Flujo de Pagos'!$E277,50,9999)</f>
        <v>50</v>
      </c>
      <c r="BS277" s="0" t="n">
        <f aca="false">IF(Presupuesto!$B$51='Flujo de Pagos'!$E277,51,9999)</f>
        <v>51</v>
      </c>
      <c r="BT277" s="0" t="n">
        <f aca="false">IF(Presupuesto!$B$52='Flujo de Pagos'!$E277,52,9999)</f>
        <v>52</v>
      </c>
      <c r="BU277" s="0" t="n">
        <f aca="false">IF(Presupuesto!$B$53='Flujo de Pagos'!$E277,53,9999)</f>
        <v>53</v>
      </c>
      <c r="BV277" s="0" t="n">
        <f aca="false">IF(Presupuesto!$B$54='Flujo de Pagos'!$E277,54,9999)</f>
        <v>54</v>
      </c>
      <c r="BW277" s="0" t="n">
        <f aca="false">IF(Presupuesto!$B$55='Flujo de Pagos'!$E277,55,9999)</f>
        <v>55</v>
      </c>
      <c r="BX277" s="0" t="n">
        <f aca="false">IF(Presupuesto!$B$56='Flujo de Pagos'!$E277,56,9999)</f>
        <v>56</v>
      </c>
      <c r="BY277" s="0" t="n">
        <f aca="false">IF(Presupuesto!$B$57='Flujo de Pagos'!$E277,57,9999)</f>
        <v>57</v>
      </c>
      <c r="BZ277" s="0" t="n">
        <f aca="false">IF(Presupuesto!$B$58='Flujo de Pagos'!$E277,58,9999)</f>
        <v>58</v>
      </c>
      <c r="CA277" s="0" t="n">
        <f aca="false">IF(Presupuesto!$B$59='Flujo de Pagos'!$E277,59,9999)</f>
        <v>59</v>
      </c>
      <c r="CB277" s="0" t="n">
        <f aca="false">IF(Presupuesto!$B$60='Flujo de Pagos'!$E277,60,9999)</f>
        <v>60</v>
      </c>
      <c r="CC277" s="0" t="n">
        <f aca="false">IF(Presupuesto!$B$61='Flujo de Pagos'!$E277,61,9999)</f>
        <v>61</v>
      </c>
      <c r="CD277" s="0" t="n">
        <f aca="false">IF(Presupuesto!$B$62='Flujo de Pagos'!$E277,62,9999)</f>
        <v>62</v>
      </c>
      <c r="CE277" s="0" t="n">
        <f aca="false">IF(Presupuesto!$B$63='Flujo de Pagos'!$E277,63,9999)</f>
        <v>63</v>
      </c>
      <c r="CF277" s="0" t="n">
        <f aca="false">IF(Presupuesto!$B$64='Flujo de Pagos'!$E277,64,9999)</f>
        <v>64</v>
      </c>
      <c r="CG277" s="0" t="n">
        <f aca="false">IF(Presupuesto!$B$65='Flujo de Pagos'!$E277,65,9999)</f>
        <v>65</v>
      </c>
      <c r="CH277" s="0" t="n">
        <f aca="false">IF(Presupuesto!$B$66='Flujo de Pagos'!$E277,66,9999)</f>
        <v>66</v>
      </c>
    </row>
    <row r="278" customFormat="false" ht="15" hidden="false" customHeight="true" outlineLevel="0" collapsed="false">
      <c r="B278" s="1" t="n">
        <f aca="false">IF(AND('Flujo de Pagos'!E283=Carátula!$B$2,'Flujo de Pagos'!F283=Carátula!$B$4,'Flujo de Pagos'!H283&lt;&gt;""),283,99999)</f>
        <v>99999</v>
      </c>
      <c r="H278" s="1" t="n">
        <f aca="false">IF(SMALL($AA278:$CH278,1)&gt;=9999,"",INDEX(Presupuesto!$C:$C,SMALL($AA278:$CH278,1)))</f>
        <v>0</v>
      </c>
      <c r="I278" s="1" t="n">
        <f aca="false">IF(SMALL($AA278:$CH278,2)&gt;=9999,"",INDEX(Presupuesto!$C:$C,SMALL($AA278:$CH278,2)))</f>
        <v>0</v>
      </c>
      <c r="J278" s="1" t="n">
        <f aca="false">IF(SMALL($AA278:$CH278,3)&gt;=9999,"",INDEX(Presupuesto!$C:$C,SMALL($AA278:$CH278,3)))</f>
        <v>0</v>
      </c>
      <c r="K278" s="1" t="n">
        <f aca="false">IF(SMALL($AA278:$CH278,4)&gt;=9999,"",INDEX(Presupuesto!$C:$C,SMALL($AA278:$CH278,4)))</f>
        <v>0</v>
      </c>
      <c r="L278" s="1" t="n">
        <f aca="false">IF(SMALL($AA278:$CH278,5)&gt;=9999,"",INDEX(Presupuesto!$C:$C,SMALL($AA278:$CH278,5)))</f>
        <v>0</v>
      </c>
      <c r="M278" s="1" t="n">
        <f aca="false">IF(SMALL($AA278:$CH278,6)&gt;=9999,"",INDEX(Presupuesto!$C:$C,SMALL($AA278:$CH278,6)))</f>
        <v>0</v>
      </c>
      <c r="N278" s="1" t="n">
        <f aca="false">IF(SMALL($AA278:$CH278,7)&gt;=9999,"",INDEX(Presupuesto!$C:$C,SMALL($AA278:$CH278,7)))</f>
        <v>0</v>
      </c>
      <c r="O278" s="1" t="n">
        <f aca="false">IF(SMALL($AA278:$CH278,8)&gt;=9999,"",INDEX(Presupuesto!$C:$C,SMALL($AA278:$CH278,8)))</f>
        <v>0</v>
      </c>
      <c r="P278" s="1" t="n">
        <f aca="false">IF(SMALL($AA278:$CH278,9)&gt;=9999,"",INDEX(Presupuesto!$C:$C,SMALL($AA278:$CH278,9)))</f>
        <v>0</v>
      </c>
      <c r="Q278" s="1" t="n">
        <f aca="false">IF(SMALL($AA278:$CH278,10)&gt;=9999,"",INDEX(Presupuesto!$C:$C,SMALL($AA278:$CH278,10)))</f>
        <v>0</v>
      </c>
      <c r="AA278" s="0" t="n">
        <f aca="false">IF(Presupuesto!$B$7='Flujo de Pagos'!$E278,7,9999)</f>
        <v>9999</v>
      </c>
      <c r="AB278" s="0" t="n">
        <f aca="false">IF(Presupuesto!$B$8='Flujo de Pagos'!$E278,8,9999)</f>
        <v>9999</v>
      </c>
      <c r="AC278" s="0" t="n">
        <f aca="false">IF(Presupuesto!$B$9='Flujo de Pagos'!$E278,9,9999)</f>
        <v>9999</v>
      </c>
      <c r="AD278" s="0" t="n">
        <f aca="false">IF(Presupuesto!$B$10='Flujo de Pagos'!$E278,10,9999)</f>
        <v>9999</v>
      </c>
      <c r="AE278" s="0" t="n">
        <f aca="false">IF(Presupuesto!$B$11='Flujo de Pagos'!$E278,11,9999)</f>
        <v>9999</v>
      </c>
      <c r="AF278" s="0" t="n">
        <f aca="false">IF(Presupuesto!$B$12='Flujo de Pagos'!$E278,12,9999)</f>
        <v>12</v>
      </c>
      <c r="AG278" s="0" t="n">
        <f aca="false">IF(Presupuesto!$B$13='Flujo de Pagos'!$E278,13,9999)</f>
        <v>13</v>
      </c>
      <c r="AH278" s="0" t="n">
        <f aca="false">IF(Presupuesto!$B$14='Flujo de Pagos'!$E278,14,9999)</f>
        <v>14</v>
      </c>
      <c r="AI278" s="0" t="n">
        <f aca="false">IF(Presupuesto!$B$15='Flujo de Pagos'!$E278,15,9999)</f>
        <v>15</v>
      </c>
      <c r="AJ278" s="0" t="n">
        <f aca="false">IF(Presupuesto!$B$16='Flujo de Pagos'!$E278,16,9999)</f>
        <v>16</v>
      </c>
      <c r="AK278" s="0" t="n">
        <f aca="false">IF(Presupuesto!$B$17='Flujo de Pagos'!$E278,17,9999)</f>
        <v>17</v>
      </c>
      <c r="AL278" s="0" t="n">
        <f aca="false">IF(Presupuesto!$B$18='Flujo de Pagos'!$E278,18,9999)</f>
        <v>18</v>
      </c>
      <c r="AM278" s="0" t="n">
        <f aca="false">IF(Presupuesto!$B$19='Flujo de Pagos'!$E278,19,9999)</f>
        <v>19</v>
      </c>
      <c r="AN278" s="0" t="n">
        <f aca="false">IF(Presupuesto!$B$20='Flujo de Pagos'!$E278,20,9999)</f>
        <v>20</v>
      </c>
      <c r="AO278" s="0" t="n">
        <f aca="false">IF(Presupuesto!$B$21='Flujo de Pagos'!$E278,21,9999)</f>
        <v>21</v>
      </c>
      <c r="AP278" s="0" t="n">
        <f aca="false">IF(Presupuesto!$B$22='Flujo de Pagos'!$E278,22,9999)</f>
        <v>22</v>
      </c>
      <c r="AQ278" s="0" t="n">
        <f aca="false">IF(Presupuesto!$B$23='Flujo de Pagos'!$E278,23,9999)</f>
        <v>23</v>
      </c>
      <c r="AR278" s="0" t="n">
        <f aca="false">IF(Presupuesto!$B$24='Flujo de Pagos'!$E278,24,9999)</f>
        <v>24</v>
      </c>
      <c r="AS278" s="0" t="n">
        <f aca="false">IF(Presupuesto!$B$25='Flujo de Pagos'!$E278,25,9999)</f>
        <v>25</v>
      </c>
      <c r="AT278" s="0" t="n">
        <f aca="false">IF(Presupuesto!$B$26='Flujo de Pagos'!$E278,26,9999)</f>
        <v>26</v>
      </c>
      <c r="AU278" s="0" t="n">
        <f aca="false">IF(Presupuesto!$B$27='Flujo de Pagos'!$E278,27,9999)</f>
        <v>27</v>
      </c>
      <c r="AV278" s="0" t="n">
        <f aca="false">IF(Presupuesto!$B$28='Flujo de Pagos'!$E278,28,9999)</f>
        <v>28</v>
      </c>
      <c r="AW278" s="0" t="n">
        <f aca="false">IF(Presupuesto!$B$29='Flujo de Pagos'!$E278,29,9999)</f>
        <v>29</v>
      </c>
      <c r="AX278" s="0" t="n">
        <f aca="false">IF(Presupuesto!$B$30='Flujo de Pagos'!$E278,30,9999)</f>
        <v>30</v>
      </c>
      <c r="AY278" s="0" t="n">
        <f aca="false">IF(Presupuesto!$B$31='Flujo de Pagos'!$E278,31,9999)</f>
        <v>31</v>
      </c>
      <c r="AZ278" s="0" t="n">
        <f aca="false">IF(Presupuesto!$B$32='Flujo de Pagos'!$E278,32,9999)</f>
        <v>32</v>
      </c>
      <c r="BA278" s="0" t="n">
        <f aca="false">IF(Presupuesto!$B$33='Flujo de Pagos'!$E278,33,9999)</f>
        <v>33</v>
      </c>
      <c r="BB278" s="0" t="n">
        <f aca="false">IF(Presupuesto!$B$34='Flujo de Pagos'!$E278,34,9999)</f>
        <v>34</v>
      </c>
      <c r="BC278" s="0" t="n">
        <f aca="false">IF(Presupuesto!$B$35='Flujo de Pagos'!$E278,35,9999)</f>
        <v>35</v>
      </c>
      <c r="BD278" s="0" t="n">
        <f aca="false">IF(Presupuesto!$B$36='Flujo de Pagos'!$E278,36,9999)</f>
        <v>36</v>
      </c>
      <c r="BE278" s="0" t="n">
        <f aca="false">IF(Presupuesto!$B$37='Flujo de Pagos'!$E278,37,9999)</f>
        <v>37</v>
      </c>
      <c r="BF278" s="0" t="n">
        <f aca="false">IF(Presupuesto!$B$38='Flujo de Pagos'!$E278,38,9999)</f>
        <v>38</v>
      </c>
      <c r="BG278" s="0" t="n">
        <f aca="false">IF(Presupuesto!$B$39='Flujo de Pagos'!$E278,39,9999)</f>
        <v>39</v>
      </c>
      <c r="BH278" s="0" t="n">
        <f aca="false">IF(Presupuesto!$B$40='Flujo de Pagos'!$E278,40,9999)</f>
        <v>40</v>
      </c>
      <c r="BI278" s="0" t="n">
        <f aca="false">IF(Presupuesto!$B$41='Flujo de Pagos'!$E278,41,9999)</f>
        <v>41</v>
      </c>
      <c r="BJ278" s="0" t="n">
        <f aca="false">IF(Presupuesto!$B$42='Flujo de Pagos'!$E278,42,9999)</f>
        <v>42</v>
      </c>
      <c r="BK278" s="0" t="n">
        <f aca="false">IF(Presupuesto!$B$43='Flujo de Pagos'!$E278,43,9999)</f>
        <v>43</v>
      </c>
      <c r="BL278" s="0" t="n">
        <f aca="false">IF(Presupuesto!$B$44='Flujo de Pagos'!$E278,44,9999)</f>
        <v>44</v>
      </c>
      <c r="BM278" s="0" t="n">
        <f aca="false">IF(Presupuesto!$B$45='Flujo de Pagos'!$E278,45,9999)</f>
        <v>45</v>
      </c>
      <c r="BN278" s="0" t="n">
        <f aca="false">IF(Presupuesto!$B$46='Flujo de Pagos'!$E278,46,9999)</f>
        <v>46</v>
      </c>
      <c r="BO278" s="0" t="n">
        <f aca="false">IF(Presupuesto!$B$47='Flujo de Pagos'!$E278,47,9999)</f>
        <v>47</v>
      </c>
      <c r="BP278" s="0" t="n">
        <f aca="false">IF(Presupuesto!$B$48='Flujo de Pagos'!$E278,48,9999)</f>
        <v>48</v>
      </c>
      <c r="BQ278" s="0" t="n">
        <f aca="false">IF(Presupuesto!$B$49='Flujo de Pagos'!$E278,49,9999)</f>
        <v>49</v>
      </c>
      <c r="BR278" s="0" t="n">
        <f aca="false">IF(Presupuesto!$B$50='Flujo de Pagos'!$E278,50,9999)</f>
        <v>50</v>
      </c>
      <c r="BS278" s="0" t="n">
        <f aca="false">IF(Presupuesto!$B$51='Flujo de Pagos'!$E278,51,9999)</f>
        <v>51</v>
      </c>
      <c r="BT278" s="0" t="n">
        <f aca="false">IF(Presupuesto!$B$52='Flujo de Pagos'!$E278,52,9999)</f>
        <v>52</v>
      </c>
      <c r="BU278" s="0" t="n">
        <f aca="false">IF(Presupuesto!$B$53='Flujo de Pagos'!$E278,53,9999)</f>
        <v>53</v>
      </c>
      <c r="BV278" s="0" t="n">
        <f aca="false">IF(Presupuesto!$B$54='Flujo de Pagos'!$E278,54,9999)</f>
        <v>54</v>
      </c>
      <c r="BW278" s="0" t="n">
        <f aca="false">IF(Presupuesto!$B$55='Flujo de Pagos'!$E278,55,9999)</f>
        <v>55</v>
      </c>
      <c r="BX278" s="0" t="n">
        <f aca="false">IF(Presupuesto!$B$56='Flujo de Pagos'!$E278,56,9999)</f>
        <v>56</v>
      </c>
      <c r="BY278" s="0" t="n">
        <f aca="false">IF(Presupuesto!$B$57='Flujo de Pagos'!$E278,57,9999)</f>
        <v>57</v>
      </c>
      <c r="BZ278" s="0" t="n">
        <f aca="false">IF(Presupuesto!$B$58='Flujo de Pagos'!$E278,58,9999)</f>
        <v>58</v>
      </c>
      <c r="CA278" s="0" t="n">
        <f aca="false">IF(Presupuesto!$B$59='Flujo de Pagos'!$E278,59,9999)</f>
        <v>59</v>
      </c>
      <c r="CB278" s="0" t="n">
        <f aca="false">IF(Presupuesto!$B$60='Flujo de Pagos'!$E278,60,9999)</f>
        <v>60</v>
      </c>
      <c r="CC278" s="0" t="n">
        <f aca="false">IF(Presupuesto!$B$61='Flujo de Pagos'!$E278,61,9999)</f>
        <v>61</v>
      </c>
      <c r="CD278" s="0" t="n">
        <f aca="false">IF(Presupuesto!$B$62='Flujo de Pagos'!$E278,62,9999)</f>
        <v>62</v>
      </c>
      <c r="CE278" s="0" t="n">
        <f aca="false">IF(Presupuesto!$B$63='Flujo de Pagos'!$E278,63,9999)</f>
        <v>63</v>
      </c>
      <c r="CF278" s="0" t="n">
        <f aca="false">IF(Presupuesto!$B$64='Flujo de Pagos'!$E278,64,9999)</f>
        <v>64</v>
      </c>
      <c r="CG278" s="0" t="n">
        <f aca="false">IF(Presupuesto!$B$65='Flujo de Pagos'!$E278,65,9999)</f>
        <v>65</v>
      </c>
      <c r="CH278" s="0" t="n">
        <f aca="false">IF(Presupuesto!$B$66='Flujo de Pagos'!$E278,66,9999)</f>
        <v>66</v>
      </c>
    </row>
    <row r="279" customFormat="false" ht="15" hidden="false" customHeight="true" outlineLevel="0" collapsed="false">
      <c r="B279" s="1" t="n">
        <f aca="false">IF(AND('Flujo de Pagos'!E284=Carátula!$B$2,'Flujo de Pagos'!F284=Carátula!$B$4,'Flujo de Pagos'!H284&lt;&gt;""),284,99999)</f>
        <v>99999</v>
      </c>
      <c r="H279" s="1" t="n">
        <f aca="false">IF(SMALL($AA279:$CH279,1)&gt;=9999,"",INDEX(Presupuesto!$C:$C,SMALL($AA279:$CH279,1)))</f>
        <v>0</v>
      </c>
      <c r="I279" s="1" t="n">
        <f aca="false">IF(SMALL($AA279:$CH279,2)&gt;=9999,"",INDEX(Presupuesto!$C:$C,SMALL($AA279:$CH279,2)))</f>
        <v>0</v>
      </c>
      <c r="J279" s="1" t="n">
        <f aca="false">IF(SMALL($AA279:$CH279,3)&gt;=9999,"",INDEX(Presupuesto!$C:$C,SMALL($AA279:$CH279,3)))</f>
        <v>0</v>
      </c>
      <c r="K279" s="1" t="n">
        <f aca="false">IF(SMALL($AA279:$CH279,4)&gt;=9999,"",INDEX(Presupuesto!$C:$C,SMALL($AA279:$CH279,4)))</f>
        <v>0</v>
      </c>
      <c r="L279" s="1" t="n">
        <f aca="false">IF(SMALL($AA279:$CH279,5)&gt;=9999,"",INDEX(Presupuesto!$C:$C,SMALL($AA279:$CH279,5)))</f>
        <v>0</v>
      </c>
      <c r="M279" s="1" t="n">
        <f aca="false">IF(SMALL($AA279:$CH279,6)&gt;=9999,"",INDEX(Presupuesto!$C:$C,SMALL($AA279:$CH279,6)))</f>
        <v>0</v>
      </c>
      <c r="N279" s="1" t="n">
        <f aca="false">IF(SMALL($AA279:$CH279,7)&gt;=9999,"",INDEX(Presupuesto!$C:$C,SMALL($AA279:$CH279,7)))</f>
        <v>0</v>
      </c>
      <c r="O279" s="1" t="n">
        <f aca="false">IF(SMALL($AA279:$CH279,8)&gt;=9999,"",INDEX(Presupuesto!$C:$C,SMALL($AA279:$CH279,8)))</f>
        <v>0</v>
      </c>
      <c r="P279" s="1" t="n">
        <f aca="false">IF(SMALL($AA279:$CH279,9)&gt;=9999,"",INDEX(Presupuesto!$C:$C,SMALL($AA279:$CH279,9)))</f>
        <v>0</v>
      </c>
      <c r="Q279" s="1" t="n">
        <f aca="false">IF(SMALL($AA279:$CH279,10)&gt;=9999,"",INDEX(Presupuesto!$C:$C,SMALL($AA279:$CH279,10)))</f>
        <v>0</v>
      </c>
      <c r="AA279" s="0" t="n">
        <f aca="false">IF(Presupuesto!$B$7='Flujo de Pagos'!$E279,7,9999)</f>
        <v>9999</v>
      </c>
      <c r="AB279" s="0" t="n">
        <f aca="false">IF(Presupuesto!$B$8='Flujo de Pagos'!$E279,8,9999)</f>
        <v>9999</v>
      </c>
      <c r="AC279" s="0" t="n">
        <f aca="false">IF(Presupuesto!$B$9='Flujo de Pagos'!$E279,9,9999)</f>
        <v>9999</v>
      </c>
      <c r="AD279" s="0" t="n">
        <f aca="false">IF(Presupuesto!$B$10='Flujo de Pagos'!$E279,10,9999)</f>
        <v>9999</v>
      </c>
      <c r="AE279" s="0" t="n">
        <f aca="false">IF(Presupuesto!$B$11='Flujo de Pagos'!$E279,11,9999)</f>
        <v>9999</v>
      </c>
      <c r="AF279" s="0" t="n">
        <f aca="false">IF(Presupuesto!$B$12='Flujo de Pagos'!$E279,12,9999)</f>
        <v>12</v>
      </c>
      <c r="AG279" s="0" t="n">
        <f aca="false">IF(Presupuesto!$B$13='Flujo de Pagos'!$E279,13,9999)</f>
        <v>13</v>
      </c>
      <c r="AH279" s="0" t="n">
        <f aca="false">IF(Presupuesto!$B$14='Flujo de Pagos'!$E279,14,9999)</f>
        <v>14</v>
      </c>
      <c r="AI279" s="0" t="n">
        <f aca="false">IF(Presupuesto!$B$15='Flujo de Pagos'!$E279,15,9999)</f>
        <v>15</v>
      </c>
      <c r="AJ279" s="0" t="n">
        <f aca="false">IF(Presupuesto!$B$16='Flujo de Pagos'!$E279,16,9999)</f>
        <v>16</v>
      </c>
      <c r="AK279" s="0" t="n">
        <f aca="false">IF(Presupuesto!$B$17='Flujo de Pagos'!$E279,17,9999)</f>
        <v>17</v>
      </c>
      <c r="AL279" s="0" t="n">
        <f aca="false">IF(Presupuesto!$B$18='Flujo de Pagos'!$E279,18,9999)</f>
        <v>18</v>
      </c>
      <c r="AM279" s="0" t="n">
        <f aca="false">IF(Presupuesto!$B$19='Flujo de Pagos'!$E279,19,9999)</f>
        <v>19</v>
      </c>
      <c r="AN279" s="0" t="n">
        <f aca="false">IF(Presupuesto!$B$20='Flujo de Pagos'!$E279,20,9999)</f>
        <v>20</v>
      </c>
      <c r="AO279" s="0" t="n">
        <f aca="false">IF(Presupuesto!$B$21='Flujo de Pagos'!$E279,21,9999)</f>
        <v>21</v>
      </c>
      <c r="AP279" s="0" t="n">
        <f aca="false">IF(Presupuesto!$B$22='Flujo de Pagos'!$E279,22,9999)</f>
        <v>22</v>
      </c>
      <c r="AQ279" s="0" t="n">
        <f aca="false">IF(Presupuesto!$B$23='Flujo de Pagos'!$E279,23,9999)</f>
        <v>23</v>
      </c>
      <c r="AR279" s="0" t="n">
        <f aca="false">IF(Presupuesto!$B$24='Flujo de Pagos'!$E279,24,9999)</f>
        <v>24</v>
      </c>
      <c r="AS279" s="0" t="n">
        <f aca="false">IF(Presupuesto!$B$25='Flujo de Pagos'!$E279,25,9999)</f>
        <v>25</v>
      </c>
      <c r="AT279" s="0" t="n">
        <f aca="false">IF(Presupuesto!$B$26='Flujo de Pagos'!$E279,26,9999)</f>
        <v>26</v>
      </c>
      <c r="AU279" s="0" t="n">
        <f aca="false">IF(Presupuesto!$B$27='Flujo de Pagos'!$E279,27,9999)</f>
        <v>27</v>
      </c>
      <c r="AV279" s="0" t="n">
        <f aca="false">IF(Presupuesto!$B$28='Flujo de Pagos'!$E279,28,9999)</f>
        <v>28</v>
      </c>
      <c r="AW279" s="0" t="n">
        <f aca="false">IF(Presupuesto!$B$29='Flujo de Pagos'!$E279,29,9999)</f>
        <v>29</v>
      </c>
      <c r="AX279" s="0" t="n">
        <f aca="false">IF(Presupuesto!$B$30='Flujo de Pagos'!$E279,30,9999)</f>
        <v>30</v>
      </c>
      <c r="AY279" s="0" t="n">
        <f aca="false">IF(Presupuesto!$B$31='Flujo de Pagos'!$E279,31,9999)</f>
        <v>31</v>
      </c>
      <c r="AZ279" s="0" t="n">
        <f aca="false">IF(Presupuesto!$B$32='Flujo de Pagos'!$E279,32,9999)</f>
        <v>32</v>
      </c>
      <c r="BA279" s="0" t="n">
        <f aca="false">IF(Presupuesto!$B$33='Flujo de Pagos'!$E279,33,9999)</f>
        <v>33</v>
      </c>
      <c r="BB279" s="0" t="n">
        <f aca="false">IF(Presupuesto!$B$34='Flujo de Pagos'!$E279,34,9999)</f>
        <v>34</v>
      </c>
      <c r="BC279" s="0" t="n">
        <f aca="false">IF(Presupuesto!$B$35='Flujo de Pagos'!$E279,35,9999)</f>
        <v>35</v>
      </c>
      <c r="BD279" s="0" t="n">
        <f aca="false">IF(Presupuesto!$B$36='Flujo de Pagos'!$E279,36,9999)</f>
        <v>36</v>
      </c>
      <c r="BE279" s="0" t="n">
        <f aca="false">IF(Presupuesto!$B$37='Flujo de Pagos'!$E279,37,9999)</f>
        <v>37</v>
      </c>
      <c r="BF279" s="0" t="n">
        <f aca="false">IF(Presupuesto!$B$38='Flujo de Pagos'!$E279,38,9999)</f>
        <v>38</v>
      </c>
      <c r="BG279" s="0" t="n">
        <f aca="false">IF(Presupuesto!$B$39='Flujo de Pagos'!$E279,39,9999)</f>
        <v>39</v>
      </c>
      <c r="BH279" s="0" t="n">
        <f aca="false">IF(Presupuesto!$B$40='Flujo de Pagos'!$E279,40,9999)</f>
        <v>40</v>
      </c>
      <c r="BI279" s="0" t="n">
        <f aca="false">IF(Presupuesto!$B$41='Flujo de Pagos'!$E279,41,9999)</f>
        <v>41</v>
      </c>
      <c r="BJ279" s="0" t="n">
        <f aca="false">IF(Presupuesto!$B$42='Flujo de Pagos'!$E279,42,9999)</f>
        <v>42</v>
      </c>
      <c r="BK279" s="0" t="n">
        <f aca="false">IF(Presupuesto!$B$43='Flujo de Pagos'!$E279,43,9999)</f>
        <v>43</v>
      </c>
      <c r="BL279" s="0" t="n">
        <f aca="false">IF(Presupuesto!$B$44='Flujo de Pagos'!$E279,44,9999)</f>
        <v>44</v>
      </c>
      <c r="BM279" s="0" t="n">
        <f aca="false">IF(Presupuesto!$B$45='Flujo de Pagos'!$E279,45,9999)</f>
        <v>45</v>
      </c>
      <c r="BN279" s="0" t="n">
        <f aca="false">IF(Presupuesto!$B$46='Flujo de Pagos'!$E279,46,9999)</f>
        <v>46</v>
      </c>
      <c r="BO279" s="0" t="n">
        <f aca="false">IF(Presupuesto!$B$47='Flujo de Pagos'!$E279,47,9999)</f>
        <v>47</v>
      </c>
      <c r="BP279" s="0" t="n">
        <f aca="false">IF(Presupuesto!$B$48='Flujo de Pagos'!$E279,48,9999)</f>
        <v>48</v>
      </c>
      <c r="BQ279" s="0" t="n">
        <f aca="false">IF(Presupuesto!$B$49='Flujo de Pagos'!$E279,49,9999)</f>
        <v>49</v>
      </c>
      <c r="BR279" s="0" t="n">
        <f aca="false">IF(Presupuesto!$B$50='Flujo de Pagos'!$E279,50,9999)</f>
        <v>50</v>
      </c>
      <c r="BS279" s="0" t="n">
        <f aca="false">IF(Presupuesto!$B$51='Flujo de Pagos'!$E279,51,9999)</f>
        <v>51</v>
      </c>
      <c r="BT279" s="0" t="n">
        <f aca="false">IF(Presupuesto!$B$52='Flujo de Pagos'!$E279,52,9999)</f>
        <v>52</v>
      </c>
      <c r="BU279" s="0" t="n">
        <f aca="false">IF(Presupuesto!$B$53='Flujo de Pagos'!$E279,53,9999)</f>
        <v>53</v>
      </c>
      <c r="BV279" s="0" t="n">
        <f aca="false">IF(Presupuesto!$B$54='Flujo de Pagos'!$E279,54,9999)</f>
        <v>54</v>
      </c>
      <c r="BW279" s="0" t="n">
        <f aca="false">IF(Presupuesto!$B$55='Flujo de Pagos'!$E279,55,9999)</f>
        <v>55</v>
      </c>
      <c r="BX279" s="0" t="n">
        <f aca="false">IF(Presupuesto!$B$56='Flujo de Pagos'!$E279,56,9999)</f>
        <v>56</v>
      </c>
      <c r="BY279" s="0" t="n">
        <f aca="false">IF(Presupuesto!$B$57='Flujo de Pagos'!$E279,57,9999)</f>
        <v>57</v>
      </c>
      <c r="BZ279" s="0" t="n">
        <f aca="false">IF(Presupuesto!$B$58='Flujo de Pagos'!$E279,58,9999)</f>
        <v>58</v>
      </c>
      <c r="CA279" s="0" t="n">
        <f aca="false">IF(Presupuesto!$B$59='Flujo de Pagos'!$E279,59,9999)</f>
        <v>59</v>
      </c>
      <c r="CB279" s="0" t="n">
        <f aca="false">IF(Presupuesto!$B$60='Flujo de Pagos'!$E279,60,9999)</f>
        <v>60</v>
      </c>
      <c r="CC279" s="0" t="n">
        <f aca="false">IF(Presupuesto!$B$61='Flujo de Pagos'!$E279,61,9999)</f>
        <v>61</v>
      </c>
      <c r="CD279" s="0" t="n">
        <f aca="false">IF(Presupuesto!$B$62='Flujo de Pagos'!$E279,62,9999)</f>
        <v>62</v>
      </c>
      <c r="CE279" s="0" t="n">
        <f aca="false">IF(Presupuesto!$B$63='Flujo de Pagos'!$E279,63,9999)</f>
        <v>63</v>
      </c>
      <c r="CF279" s="0" t="n">
        <f aca="false">IF(Presupuesto!$B$64='Flujo de Pagos'!$E279,64,9999)</f>
        <v>64</v>
      </c>
      <c r="CG279" s="0" t="n">
        <f aca="false">IF(Presupuesto!$B$65='Flujo de Pagos'!$E279,65,9999)</f>
        <v>65</v>
      </c>
      <c r="CH279" s="0" t="n">
        <f aca="false">IF(Presupuesto!$B$66='Flujo de Pagos'!$E279,66,9999)</f>
        <v>66</v>
      </c>
    </row>
    <row r="280" customFormat="false" ht="15" hidden="false" customHeight="true" outlineLevel="0" collapsed="false">
      <c r="B280" s="1" t="n">
        <f aca="false">IF(AND('Flujo de Pagos'!E285=Carátula!$B$2,'Flujo de Pagos'!F285=Carátula!$B$4,'Flujo de Pagos'!H285&lt;&gt;""),285,99999)</f>
        <v>99999</v>
      </c>
      <c r="H280" s="1" t="n">
        <f aca="false">IF(SMALL($AA280:$CH280,1)&gt;=9999,"",INDEX(Presupuesto!$C:$C,SMALL($AA280:$CH280,1)))</f>
        <v>0</v>
      </c>
      <c r="I280" s="1" t="n">
        <f aca="false">IF(SMALL($AA280:$CH280,2)&gt;=9999,"",INDEX(Presupuesto!$C:$C,SMALL($AA280:$CH280,2)))</f>
        <v>0</v>
      </c>
      <c r="J280" s="1" t="n">
        <f aca="false">IF(SMALL($AA280:$CH280,3)&gt;=9999,"",INDEX(Presupuesto!$C:$C,SMALL($AA280:$CH280,3)))</f>
        <v>0</v>
      </c>
      <c r="K280" s="1" t="n">
        <f aca="false">IF(SMALL($AA280:$CH280,4)&gt;=9999,"",INDEX(Presupuesto!$C:$C,SMALL($AA280:$CH280,4)))</f>
        <v>0</v>
      </c>
      <c r="L280" s="1" t="n">
        <f aca="false">IF(SMALL($AA280:$CH280,5)&gt;=9999,"",INDEX(Presupuesto!$C:$C,SMALL($AA280:$CH280,5)))</f>
        <v>0</v>
      </c>
      <c r="M280" s="1" t="n">
        <f aca="false">IF(SMALL($AA280:$CH280,6)&gt;=9999,"",INDEX(Presupuesto!$C:$C,SMALL($AA280:$CH280,6)))</f>
        <v>0</v>
      </c>
      <c r="N280" s="1" t="n">
        <f aca="false">IF(SMALL($AA280:$CH280,7)&gt;=9999,"",INDEX(Presupuesto!$C:$C,SMALL($AA280:$CH280,7)))</f>
        <v>0</v>
      </c>
      <c r="O280" s="1" t="n">
        <f aca="false">IF(SMALL($AA280:$CH280,8)&gt;=9999,"",INDEX(Presupuesto!$C:$C,SMALL($AA280:$CH280,8)))</f>
        <v>0</v>
      </c>
      <c r="P280" s="1" t="n">
        <f aca="false">IF(SMALL($AA280:$CH280,9)&gt;=9999,"",INDEX(Presupuesto!$C:$C,SMALL($AA280:$CH280,9)))</f>
        <v>0</v>
      </c>
      <c r="Q280" s="1" t="n">
        <f aca="false">IF(SMALL($AA280:$CH280,10)&gt;=9999,"",INDEX(Presupuesto!$C:$C,SMALL($AA280:$CH280,10)))</f>
        <v>0</v>
      </c>
      <c r="AA280" s="0" t="n">
        <f aca="false">IF(Presupuesto!$B$7='Flujo de Pagos'!$E280,7,9999)</f>
        <v>9999</v>
      </c>
      <c r="AB280" s="0" t="n">
        <f aca="false">IF(Presupuesto!$B$8='Flujo de Pagos'!$E280,8,9999)</f>
        <v>9999</v>
      </c>
      <c r="AC280" s="0" t="n">
        <f aca="false">IF(Presupuesto!$B$9='Flujo de Pagos'!$E280,9,9999)</f>
        <v>9999</v>
      </c>
      <c r="AD280" s="0" t="n">
        <f aca="false">IF(Presupuesto!$B$10='Flujo de Pagos'!$E280,10,9999)</f>
        <v>9999</v>
      </c>
      <c r="AE280" s="0" t="n">
        <f aca="false">IF(Presupuesto!$B$11='Flujo de Pagos'!$E280,11,9999)</f>
        <v>9999</v>
      </c>
      <c r="AF280" s="0" t="n">
        <f aca="false">IF(Presupuesto!$B$12='Flujo de Pagos'!$E280,12,9999)</f>
        <v>12</v>
      </c>
      <c r="AG280" s="0" t="n">
        <f aca="false">IF(Presupuesto!$B$13='Flujo de Pagos'!$E280,13,9999)</f>
        <v>13</v>
      </c>
      <c r="AH280" s="0" t="n">
        <f aca="false">IF(Presupuesto!$B$14='Flujo de Pagos'!$E280,14,9999)</f>
        <v>14</v>
      </c>
      <c r="AI280" s="0" t="n">
        <f aca="false">IF(Presupuesto!$B$15='Flujo de Pagos'!$E280,15,9999)</f>
        <v>15</v>
      </c>
      <c r="AJ280" s="0" t="n">
        <f aca="false">IF(Presupuesto!$B$16='Flujo de Pagos'!$E280,16,9999)</f>
        <v>16</v>
      </c>
      <c r="AK280" s="0" t="n">
        <f aca="false">IF(Presupuesto!$B$17='Flujo de Pagos'!$E280,17,9999)</f>
        <v>17</v>
      </c>
      <c r="AL280" s="0" t="n">
        <f aca="false">IF(Presupuesto!$B$18='Flujo de Pagos'!$E280,18,9999)</f>
        <v>18</v>
      </c>
      <c r="AM280" s="0" t="n">
        <f aca="false">IF(Presupuesto!$B$19='Flujo de Pagos'!$E280,19,9999)</f>
        <v>19</v>
      </c>
      <c r="AN280" s="0" t="n">
        <f aca="false">IF(Presupuesto!$B$20='Flujo de Pagos'!$E280,20,9999)</f>
        <v>20</v>
      </c>
      <c r="AO280" s="0" t="n">
        <f aca="false">IF(Presupuesto!$B$21='Flujo de Pagos'!$E280,21,9999)</f>
        <v>21</v>
      </c>
      <c r="AP280" s="0" t="n">
        <f aca="false">IF(Presupuesto!$B$22='Flujo de Pagos'!$E280,22,9999)</f>
        <v>22</v>
      </c>
      <c r="AQ280" s="0" t="n">
        <f aca="false">IF(Presupuesto!$B$23='Flujo de Pagos'!$E280,23,9999)</f>
        <v>23</v>
      </c>
      <c r="AR280" s="0" t="n">
        <f aca="false">IF(Presupuesto!$B$24='Flujo de Pagos'!$E280,24,9999)</f>
        <v>24</v>
      </c>
      <c r="AS280" s="0" t="n">
        <f aca="false">IF(Presupuesto!$B$25='Flujo de Pagos'!$E280,25,9999)</f>
        <v>25</v>
      </c>
      <c r="AT280" s="0" t="n">
        <f aca="false">IF(Presupuesto!$B$26='Flujo de Pagos'!$E280,26,9999)</f>
        <v>26</v>
      </c>
      <c r="AU280" s="0" t="n">
        <f aca="false">IF(Presupuesto!$B$27='Flujo de Pagos'!$E280,27,9999)</f>
        <v>27</v>
      </c>
      <c r="AV280" s="0" t="n">
        <f aca="false">IF(Presupuesto!$B$28='Flujo de Pagos'!$E280,28,9999)</f>
        <v>28</v>
      </c>
      <c r="AW280" s="0" t="n">
        <f aca="false">IF(Presupuesto!$B$29='Flujo de Pagos'!$E280,29,9999)</f>
        <v>29</v>
      </c>
      <c r="AX280" s="0" t="n">
        <f aca="false">IF(Presupuesto!$B$30='Flujo de Pagos'!$E280,30,9999)</f>
        <v>30</v>
      </c>
      <c r="AY280" s="0" t="n">
        <f aca="false">IF(Presupuesto!$B$31='Flujo de Pagos'!$E280,31,9999)</f>
        <v>31</v>
      </c>
      <c r="AZ280" s="0" t="n">
        <f aca="false">IF(Presupuesto!$B$32='Flujo de Pagos'!$E280,32,9999)</f>
        <v>32</v>
      </c>
      <c r="BA280" s="0" t="n">
        <f aca="false">IF(Presupuesto!$B$33='Flujo de Pagos'!$E280,33,9999)</f>
        <v>33</v>
      </c>
      <c r="BB280" s="0" t="n">
        <f aca="false">IF(Presupuesto!$B$34='Flujo de Pagos'!$E280,34,9999)</f>
        <v>34</v>
      </c>
      <c r="BC280" s="0" t="n">
        <f aca="false">IF(Presupuesto!$B$35='Flujo de Pagos'!$E280,35,9999)</f>
        <v>35</v>
      </c>
      <c r="BD280" s="0" t="n">
        <f aca="false">IF(Presupuesto!$B$36='Flujo de Pagos'!$E280,36,9999)</f>
        <v>36</v>
      </c>
      <c r="BE280" s="0" t="n">
        <f aca="false">IF(Presupuesto!$B$37='Flujo de Pagos'!$E280,37,9999)</f>
        <v>37</v>
      </c>
      <c r="BF280" s="0" t="n">
        <f aca="false">IF(Presupuesto!$B$38='Flujo de Pagos'!$E280,38,9999)</f>
        <v>38</v>
      </c>
      <c r="BG280" s="0" t="n">
        <f aca="false">IF(Presupuesto!$B$39='Flujo de Pagos'!$E280,39,9999)</f>
        <v>39</v>
      </c>
      <c r="BH280" s="0" t="n">
        <f aca="false">IF(Presupuesto!$B$40='Flujo de Pagos'!$E280,40,9999)</f>
        <v>40</v>
      </c>
      <c r="BI280" s="0" t="n">
        <f aca="false">IF(Presupuesto!$B$41='Flujo de Pagos'!$E280,41,9999)</f>
        <v>41</v>
      </c>
      <c r="BJ280" s="0" t="n">
        <f aca="false">IF(Presupuesto!$B$42='Flujo de Pagos'!$E280,42,9999)</f>
        <v>42</v>
      </c>
      <c r="BK280" s="0" t="n">
        <f aca="false">IF(Presupuesto!$B$43='Flujo de Pagos'!$E280,43,9999)</f>
        <v>43</v>
      </c>
      <c r="BL280" s="0" t="n">
        <f aca="false">IF(Presupuesto!$B$44='Flujo de Pagos'!$E280,44,9999)</f>
        <v>44</v>
      </c>
      <c r="BM280" s="0" t="n">
        <f aca="false">IF(Presupuesto!$B$45='Flujo de Pagos'!$E280,45,9999)</f>
        <v>45</v>
      </c>
      <c r="BN280" s="0" t="n">
        <f aca="false">IF(Presupuesto!$B$46='Flujo de Pagos'!$E280,46,9999)</f>
        <v>46</v>
      </c>
      <c r="BO280" s="0" t="n">
        <f aca="false">IF(Presupuesto!$B$47='Flujo de Pagos'!$E280,47,9999)</f>
        <v>47</v>
      </c>
      <c r="BP280" s="0" t="n">
        <f aca="false">IF(Presupuesto!$B$48='Flujo de Pagos'!$E280,48,9999)</f>
        <v>48</v>
      </c>
      <c r="BQ280" s="0" t="n">
        <f aca="false">IF(Presupuesto!$B$49='Flujo de Pagos'!$E280,49,9999)</f>
        <v>49</v>
      </c>
      <c r="BR280" s="0" t="n">
        <f aca="false">IF(Presupuesto!$B$50='Flujo de Pagos'!$E280,50,9999)</f>
        <v>50</v>
      </c>
      <c r="BS280" s="0" t="n">
        <f aca="false">IF(Presupuesto!$B$51='Flujo de Pagos'!$E280,51,9999)</f>
        <v>51</v>
      </c>
      <c r="BT280" s="0" t="n">
        <f aca="false">IF(Presupuesto!$B$52='Flujo de Pagos'!$E280,52,9999)</f>
        <v>52</v>
      </c>
      <c r="BU280" s="0" t="n">
        <f aca="false">IF(Presupuesto!$B$53='Flujo de Pagos'!$E280,53,9999)</f>
        <v>53</v>
      </c>
      <c r="BV280" s="0" t="n">
        <f aca="false">IF(Presupuesto!$B$54='Flujo de Pagos'!$E280,54,9999)</f>
        <v>54</v>
      </c>
      <c r="BW280" s="0" t="n">
        <f aca="false">IF(Presupuesto!$B$55='Flujo de Pagos'!$E280,55,9999)</f>
        <v>55</v>
      </c>
      <c r="BX280" s="0" t="n">
        <f aca="false">IF(Presupuesto!$B$56='Flujo de Pagos'!$E280,56,9999)</f>
        <v>56</v>
      </c>
      <c r="BY280" s="0" t="n">
        <f aca="false">IF(Presupuesto!$B$57='Flujo de Pagos'!$E280,57,9999)</f>
        <v>57</v>
      </c>
      <c r="BZ280" s="0" t="n">
        <f aca="false">IF(Presupuesto!$B$58='Flujo de Pagos'!$E280,58,9999)</f>
        <v>58</v>
      </c>
      <c r="CA280" s="0" t="n">
        <f aca="false">IF(Presupuesto!$B$59='Flujo de Pagos'!$E280,59,9999)</f>
        <v>59</v>
      </c>
      <c r="CB280" s="0" t="n">
        <f aca="false">IF(Presupuesto!$B$60='Flujo de Pagos'!$E280,60,9999)</f>
        <v>60</v>
      </c>
      <c r="CC280" s="0" t="n">
        <f aca="false">IF(Presupuesto!$B$61='Flujo de Pagos'!$E280,61,9999)</f>
        <v>61</v>
      </c>
      <c r="CD280" s="0" t="n">
        <f aca="false">IF(Presupuesto!$B$62='Flujo de Pagos'!$E280,62,9999)</f>
        <v>62</v>
      </c>
      <c r="CE280" s="0" t="n">
        <f aca="false">IF(Presupuesto!$B$63='Flujo de Pagos'!$E280,63,9999)</f>
        <v>63</v>
      </c>
      <c r="CF280" s="0" t="n">
        <f aca="false">IF(Presupuesto!$B$64='Flujo de Pagos'!$E280,64,9999)</f>
        <v>64</v>
      </c>
      <c r="CG280" s="0" t="n">
        <f aca="false">IF(Presupuesto!$B$65='Flujo de Pagos'!$E280,65,9999)</f>
        <v>65</v>
      </c>
      <c r="CH280" s="0" t="n">
        <f aca="false">IF(Presupuesto!$B$66='Flujo de Pagos'!$E280,66,9999)</f>
        <v>66</v>
      </c>
    </row>
    <row r="281" customFormat="false" ht="15" hidden="false" customHeight="true" outlineLevel="0" collapsed="false">
      <c r="B281" s="1" t="n">
        <f aca="false">IF(AND('Flujo de Pagos'!E286=Carátula!$B$2,'Flujo de Pagos'!F286=Carátula!$B$4,'Flujo de Pagos'!H286&lt;&gt;""),286,99999)</f>
        <v>99999</v>
      </c>
      <c r="H281" s="1" t="n">
        <f aca="false">IF(SMALL($AA281:$CH281,1)&gt;=9999,"",INDEX(Presupuesto!$C:$C,SMALL($AA281:$CH281,1)))</f>
        <v>0</v>
      </c>
      <c r="I281" s="1" t="n">
        <f aca="false">IF(SMALL($AA281:$CH281,2)&gt;=9999,"",INDEX(Presupuesto!$C:$C,SMALL($AA281:$CH281,2)))</f>
        <v>0</v>
      </c>
      <c r="J281" s="1" t="n">
        <f aca="false">IF(SMALL($AA281:$CH281,3)&gt;=9999,"",INDEX(Presupuesto!$C:$C,SMALL($AA281:$CH281,3)))</f>
        <v>0</v>
      </c>
      <c r="K281" s="1" t="n">
        <f aca="false">IF(SMALL($AA281:$CH281,4)&gt;=9999,"",INDEX(Presupuesto!$C:$C,SMALL($AA281:$CH281,4)))</f>
        <v>0</v>
      </c>
      <c r="L281" s="1" t="n">
        <f aca="false">IF(SMALL($AA281:$CH281,5)&gt;=9999,"",INDEX(Presupuesto!$C:$C,SMALL($AA281:$CH281,5)))</f>
        <v>0</v>
      </c>
      <c r="M281" s="1" t="n">
        <f aca="false">IF(SMALL($AA281:$CH281,6)&gt;=9999,"",INDEX(Presupuesto!$C:$C,SMALL($AA281:$CH281,6)))</f>
        <v>0</v>
      </c>
      <c r="N281" s="1" t="n">
        <f aca="false">IF(SMALL($AA281:$CH281,7)&gt;=9999,"",INDEX(Presupuesto!$C:$C,SMALL($AA281:$CH281,7)))</f>
        <v>0</v>
      </c>
      <c r="O281" s="1" t="n">
        <f aca="false">IF(SMALL($AA281:$CH281,8)&gt;=9999,"",INDEX(Presupuesto!$C:$C,SMALL($AA281:$CH281,8)))</f>
        <v>0</v>
      </c>
      <c r="P281" s="1" t="n">
        <f aca="false">IF(SMALL($AA281:$CH281,9)&gt;=9999,"",INDEX(Presupuesto!$C:$C,SMALL($AA281:$CH281,9)))</f>
        <v>0</v>
      </c>
      <c r="Q281" s="1" t="n">
        <f aca="false">IF(SMALL($AA281:$CH281,10)&gt;=9999,"",INDEX(Presupuesto!$C:$C,SMALL($AA281:$CH281,10)))</f>
        <v>0</v>
      </c>
      <c r="AA281" s="0" t="n">
        <f aca="false">IF(Presupuesto!$B$7='Flujo de Pagos'!$E281,7,9999)</f>
        <v>9999</v>
      </c>
      <c r="AB281" s="0" t="n">
        <f aca="false">IF(Presupuesto!$B$8='Flujo de Pagos'!$E281,8,9999)</f>
        <v>9999</v>
      </c>
      <c r="AC281" s="0" t="n">
        <f aca="false">IF(Presupuesto!$B$9='Flujo de Pagos'!$E281,9,9999)</f>
        <v>9999</v>
      </c>
      <c r="AD281" s="0" t="n">
        <f aca="false">IF(Presupuesto!$B$10='Flujo de Pagos'!$E281,10,9999)</f>
        <v>9999</v>
      </c>
      <c r="AE281" s="0" t="n">
        <f aca="false">IF(Presupuesto!$B$11='Flujo de Pagos'!$E281,11,9999)</f>
        <v>9999</v>
      </c>
      <c r="AF281" s="0" t="n">
        <f aca="false">IF(Presupuesto!$B$12='Flujo de Pagos'!$E281,12,9999)</f>
        <v>12</v>
      </c>
      <c r="AG281" s="0" t="n">
        <f aca="false">IF(Presupuesto!$B$13='Flujo de Pagos'!$E281,13,9999)</f>
        <v>13</v>
      </c>
      <c r="AH281" s="0" t="n">
        <f aca="false">IF(Presupuesto!$B$14='Flujo de Pagos'!$E281,14,9999)</f>
        <v>14</v>
      </c>
      <c r="AI281" s="0" t="n">
        <f aca="false">IF(Presupuesto!$B$15='Flujo de Pagos'!$E281,15,9999)</f>
        <v>15</v>
      </c>
      <c r="AJ281" s="0" t="n">
        <f aca="false">IF(Presupuesto!$B$16='Flujo de Pagos'!$E281,16,9999)</f>
        <v>16</v>
      </c>
      <c r="AK281" s="0" t="n">
        <f aca="false">IF(Presupuesto!$B$17='Flujo de Pagos'!$E281,17,9999)</f>
        <v>17</v>
      </c>
      <c r="AL281" s="0" t="n">
        <f aca="false">IF(Presupuesto!$B$18='Flujo de Pagos'!$E281,18,9999)</f>
        <v>18</v>
      </c>
      <c r="AM281" s="0" t="n">
        <f aca="false">IF(Presupuesto!$B$19='Flujo de Pagos'!$E281,19,9999)</f>
        <v>19</v>
      </c>
      <c r="AN281" s="0" t="n">
        <f aca="false">IF(Presupuesto!$B$20='Flujo de Pagos'!$E281,20,9999)</f>
        <v>20</v>
      </c>
      <c r="AO281" s="0" t="n">
        <f aca="false">IF(Presupuesto!$B$21='Flujo de Pagos'!$E281,21,9999)</f>
        <v>21</v>
      </c>
      <c r="AP281" s="0" t="n">
        <f aca="false">IF(Presupuesto!$B$22='Flujo de Pagos'!$E281,22,9999)</f>
        <v>22</v>
      </c>
      <c r="AQ281" s="0" t="n">
        <f aca="false">IF(Presupuesto!$B$23='Flujo de Pagos'!$E281,23,9999)</f>
        <v>23</v>
      </c>
      <c r="AR281" s="0" t="n">
        <f aca="false">IF(Presupuesto!$B$24='Flujo de Pagos'!$E281,24,9999)</f>
        <v>24</v>
      </c>
      <c r="AS281" s="0" t="n">
        <f aca="false">IF(Presupuesto!$B$25='Flujo de Pagos'!$E281,25,9999)</f>
        <v>25</v>
      </c>
      <c r="AT281" s="0" t="n">
        <f aca="false">IF(Presupuesto!$B$26='Flujo de Pagos'!$E281,26,9999)</f>
        <v>26</v>
      </c>
      <c r="AU281" s="0" t="n">
        <f aca="false">IF(Presupuesto!$B$27='Flujo de Pagos'!$E281,27,9999)</f>
        <v>27</v>
      </c>
      <c r="AV281" s="0" t="n">
        <f aca="false">IF(Presupuesto!$B$28='Flujo de Pagos'!$E281,28,9999)</f>
        <v>28</v>
      </c>
      <c r="AW281" s="0" t="n">
        <f aca="false">IF(Presupuesto!$B$29='Flujo de Pagos'!$E281,29,9999)</f>
        <v>29</v>
      </c>
      <c r="AX281" s="0" t="n">
        <f aca="false">IF(Presupuesto!$B$30='Flujo de Pagos'!$E281,30,9999)</f>
        <v>30</v>
      </c>
      <c r="AY281" s="0" t="n">
        <f aca="false">IF(Presupuesto!$B$31='Flujo de Pagos'!$E281,31,9999)</f>
        <v>31</v>
      </c>
      <c r="AZ281" s="0" t="n">
        <f aca="false">IF(Presupuesto!$B$32='Flujo de Pagos'!$E281,32,9999)</f>
        <v>32</v>
      </c>
      <c r="BA281" s="0" t="n">
        <f aca="false">IF(Presupuesto!$B$33='Flujo de Pagos'!$E281,33,9999)</f>
        <v>33</v>
      </c>
      <c r="BB281" s="0" t="n">
        <f aca="false">IF(Presupuesto!$B$34='Flujo de Pagos'!$E281,34,9999)</f>
        <v>34</v>
      </c>
      <c r="BC281" s="0" t="n">
        <f aca="false">IF(Presupuesto!$B$35='Flujo de Pagos'!$E281,35,9999)</f>
        <v>35</v>
      </c>
      <c r="BD281" s="0" t="n">
        <f aca="false">IF(Presupuesto!$B$36='Flujo de Pagos'!$E281,36,9999)</f>
        <v>36</v>
      </c>
      <c r="BE281" s="0" t="n">
        <f aca="false">IF(Presupuesto!$B$37='Flujo de Pagos'!$E281,37,9999)</f>
        <v>37</v>
      </c>
      <c r="BF281" s="0" t="n">
        <f aca="false">IF(Presupuesto!$B$38='Flujo de Pagos'!$E281,38,9999)</f>
        <v>38</v>
      </c>
      <c r="BG281" s="0" t="n">
        <f aca="false">IF(Presupuesto!$B$39='Flujo de Pagos'!$E281,39,9999)</f>
        <v>39</v>
      </c>
      <c r="BH281" s="0" t="n">
        <f aca="false">IF(Presupuesto!$B$40='Flujo de Pagos'!$E281,40,9999)</f>
        <v>40</v>
      </c>
      <c r="BI281" s="0" t="n">
        <f aca="false">IF(Presupuesto!$B$41='Flujo de Pagos'!$E281,41,9999)</f>
        <v>41</v>
      </c>
      <c r="BJ281" s="0" t="n">
        <f aca="false">IF(Presupuesto!$B$42='Flujo de Pagos'!$E281,42,9999)</f>
        <v>42</v>
      </c>
      <c r="BK281" s="0" t="n">
        <f aca="false">IF(Presupuesto!$B$43='Flujo de Pagos'!$E281,43,9999)</f>
        <v>43</v>
      </c>
      <c r="BL281" s="0" t="n">
        <f aca="false">IF(Presupuesto!$B$44='Flujo de Pagos'!$E281,44,9999)</f>
        <v>44</v>
      </c>
      <c r="BM281" s="0" t="n">
        <f aca="false">IF(Presupuesto!$B$45='Flujo de Pagos'!$E281,45,9999)</f>
        <v>45</v>
      </c>
      <c r="BN281" s="0" t="n">
        <f aca="false">IF(Presupuesto!$B$46='Flujo de Pagos'!$E281,46,9999)</f>
        <v>46</v>
      </c>
      <c r="BO281" s="0" t="n">
        <f aca="false">IF(Presupuesto!$B$47='Flujo de Pagos'!$E281,47,9999)</f>
        <v>47</v>
      </c>
      <c r="BP281" s="0" t="n">
        <f aca="false">IF(Presupuesto!$B$48='Flujo de Pagos'!$E281,48,9999)</f>
        <v>48</v>
      </c>
      <c r="BQ281" s="0" t="n">
        <f aca="false">IF(Presupuesto!$B$49='Flujo de Pagos'!$E281,49,9999)</f>
        <v>49</v>
      </c>
      <c r="BR281" s="0" t="n">
        <f aca="false">IF(Presupuesto!$B$50='Flujo de Pagos'!$E281,50,9999)</f>
        <v>50</v>
      </c>
      <c r="BS281" s="0" t="n">
        <f aca="false">IF(Presupuesto!$B$51='Flujo de Pagos'!$E281,51,9999)</f>
        <v>51</v>
      </c>
      <c r="BT281" s="0" t="n">
        <f aca="false">IF(Presupuesto!$B$52='Flujo de Pagos'!$E281,52,9999)</f>
        <v>52</v>
      </c>
      <c r="BU281" s="0" t="n">
        <f aca="false">IF(Presupuesto!$B$53='Flujo de Pagos'!$E281,53,9999)</f>
        <v>53</v>
      </c>
      <c r="BV281" s="0" t="n">
        <f aca="false">IF(Presupuesto!$B$54='Flujo de Pagos'!$E281,54,9999)</f>
        <v>54</v>
      </c>
      <c r="BW281" s="0" t="n">
        <f aca="false">IF(Presupuesto!$B$55='Flujo de Pagos'!$E281,55,9999)</f>
        <v>55</v>
      </c>
      <c r="BX281" s="0" t="n">
        <f aca="false">IF(Presupuesto!$B$56='Flujo de Pagos'!$E281,56,9999)</f>
        <v>56</v>
      </c>
      <c r="BY281" s="0" t="n">
        <f aca="false">IF(Presupuesto!$B$57='Flujo de Pagos'!$E281,57,9999)</f>
        <v>57</v>
      </c>
      <c r="BZ281" s="0" t="n">
        <f aca="false">IF(Presupuesto!$B$58='Flujo de Pagos'!$E281,58,9999)</f>
        <v>58</v>
      </c>
      <c r="CA281" s="0" t="n">
        <f aca="false">IF(Presupuesto!$B$59='Flujo de Pagos'!$E281,59,9999)</f>
        <v>59</v>
      </c>
      <c r="CB281" s="0" t="n">
        <f aca="false">IF(Presupuesto!$B$60='Flujo de Pagos'!$E281,60,9999)</f>
        <v>60</v>
      </c>
      <c r="CC281" s="0" t="n">
        <f aca="false">IF(Presupuesto!$B$61='Flujo de Pagos'!$E281,61,9999)</f>
        <v>61</v>
      </c>
      <c r="CD281" s="0" t="n">
        <f aca="false">IF(Presupuesto!$B$62='Flujo de Pagos'!$E281,62,9999)</f>
        <v>62</v>
      </c>
      <c r="CE281" s="0" t="n">
        <f aca="false">IF(Presupuesto!$B$63='Flujo de Pagos'!$E281,63,9999)</f>
        <v>63</v>
      </c>
      <c r="CF281" s="0" t="n">
        <f aca="false">IF(Presupuesto!$B$64='Flujo de Pagos'!$E281,64,9999)</f>
        <v>64</v>
      </c>
      <c r="CG281" s="0" t="n">
        <f aca="false">IF(Presupuesto!$B$65='Flujo de Pagos'!$E281,65,9999)</f>
        <v>65</v>
      </c>
      <c r="CH281" s="0" t="n">
        <f aca="false">IF(Presupuesto!$B$66='Flujo de Pagos'!$E281,66,9999)</f>
        <v>66</v>
      </c>
    </row>
    <row r="282" customFormat="false" ht="15" hidden="false" customHeight="true" outlineLevel="0" collapsed="false">
      <c r="B282" s="1" t="n">
        <f aca="false">IF(AND('Flujo de Pagos'!E287=Carátula!$B$2,'Flujo de Pagos'!F287=Carátula!$B$4,'Flujo de Pagos'!H287&lt;&gt;""),287,99999)</f>
        <v>99999</v>
      </c>
      <c r="H282" s="1" t="n">
        <f aca="false">IF(SMALL($AA282:$CH282,1)&gt;=9999,"",INDEX(Presupuesto!$C:$C,SMALL($AA282:$CH282,1)))</f>
        <v>0</v>
      </c>
      <c r="I282" s="1" t="n">
        <f aca="false">IF(SMALL($AA282:$CH282,2)&gt;=9999,"",INDEX(Presupuesto!$C:$C,SMALL($AA282:$CH282,2)))</f>
        <v>0</v>
      </c>
      <c r="J282" s="1" t="n">
        <f aca="false">IF(SMALL($AA282:$CH282,3)&gt;=9999,"",INDEX(Presupuesto!$C:$C,SMALL($AA282:$CH282,3)))</f>
        <v>0</v>
      </c>
      <c r="K282" s="1" t="n">
        <f aca="false">IF(SMALL($AA282:$CH282,4)&gt;=9999,"",INDEX(Presupuesto!$C:$C,SMALL($AA282:$CH282,4)))</f>
        <v>0</v>
      </c>
      <c r="L282" s="1" t="n">
        <f aca="false">IF(SMALL($AA282:$CH282,5)&gt;=9999,"",INDEX(Presupuesto!$C:$C,SMALL($AA282:$CH282,5)))</f>
        <v>0</v>
      </c>
      <c r="M282" s="1" t="n">
        <f aca="false">IF(SMALL($AA282:$CH282,6)&gt;=9999,"",INDEX(Presupuesto!$C:$C,SMALL($AA282:$CH282,6)))</f>
        <v>0</v>
      </c>
      <c r="N282" s="1" t="n">
        <f aca="false">IF(SMALL($AA282:$CH282,7)&gt;=9999,"",INDEX(Presupuesto!$C:$C,SMALL($AA282:$CH282,7)))</f>
        <v>0</v>
      </c>
      <c r="O282" s="1" t="n">
        <f aca="false">IF(SMALL($AA282:$CH282,8)&gt;=9999,"",INDEX(Presupuesto!$C:$C,SMALL($AA282:$CH282,8)))</f>
        <v>0</v>
      </c>
      <c r="P282" s="1" t="n">
        <f aca="false">IF(SMALL($AA282:$CH282,9)&gt;=9999,"",INDEX(Presupuesto!$C:$C,SMALL($AA282:$CH282,9)))</f>
        <v>0</v>
      </c>
      <c r="Q282" s="1" t="n">
        <f aca="false">IF(SMALL($AA282:$CH282,10)&gt;=9999,"",INDEX(Presupuesto!$C:$C,SMALL($AA282:$CH282,10)))</f>
        <v>0</v>
      </c>
      <c r="AA282" s="0" t="n">
        <f aca="false">IF(Presupuesto!$B$7='Flujo de Pagos'!$E282,7,9999)</f>
        <v>9999</v>
      </c>
      <c r="AB282" s="0" t="n">
        <f aca="false">IF(Presupuesto!$B$8='Flujo de Pagos'!$E282,8,9999)</f>
        <v>9999</v>
      </c>
      <c r="AC282" s="0" t="n">
        <f aca="false">IF(Presupuesto!$B$9='Flujo de Pagos'!$E282,9,9999)</f>
        <v>9999</v>
      </c>
      <c r="AD282" s="0" t="n">
        <f aca="false">IF(Presupuesto!$B$10='Flujo de Pagos'!$E282,10,9999)</f>
        <v>9999</v>
      </c>
      <c r="AE282" s="0" t="n">
        <f aca="false">IF(Presupuesto!$B$11='Flujo de Pagos'!$E282,11,9999)</f>
        <v>9999</v>
      </c>
      <c r="AF282" s="0" t="n">
        <f aca="false">IF(Presupuesto!$B$12='Flujo de Pagos'!$E282,12,9999)</f>
        <v>12</v>
      </c>
      <c r="AG282" s="0" t="n">
        <f aca="false">IF(Presupuesto!$B$13='Flujo de Pagos'!$E282,13,9999)</f>
        <v>13</v>
      </c>
      <c r="AH282" s="0" t="n">
        <f aca="false">IF(Presupuesto!$B$14='Flujo de Pagos'!$E282,14,9999)</f>
        <v>14</v>
      </c>
      <c r="AI282" s="0" t="n">
        <f aca="false">IF(Presupuesto!$B$15='Flujo de Pagos'!$E282,15,9999)</f>
        <v>15</v>
      </c>
      <c r="AJ282" s="0" t="n">
        <f aca="false">IF(Presupuesto!$B$16='Flujo de Pagos'!$E282,16,9999)</f>
        <v>16</v>
      </c>
      <c r="AK282" s="0" t="n">
        <f aca="false">IF(Presupuesto!$B$17='Flujo de Pagos'!$E282,17,9999)</f>
        <v>17</v>
      </c>
      <c r="AL282" s="0" t="n">
        <f aca="false">IF(Presupuesto!$B$18='Flujo de Pagos'!$E282,18,9999)</f>
        <v>18</v>
      </c>
      <c r="AM282" s="0" t="n">
        <f aca="false">IF(Presupuesto!$B$19='Flujo de Pagos'!$E282,19,9999)</f>
        <v>19</v>
      </c>
      <c r="AN282" s="0" t="n">
        <f aca="false">IF(Presupuesto!$B$20='Flujo de Pagos'!$E282,20,9999)</f>
        <v>20</v>
      </c>
      <c r="AO282" s="0" t="n">
        <f aca="false">IF(Presupuesto!$B$21='Flujo de Pagos'!$E282,21,9999)</f>
        <v>21</v>
      </c>
      <c r="AP282" s="0" t="n">
        <f aca="false">IF(Presupuesto!$B$22='Flujo de Pagos'!$E282,22,9999)</f>
        <v>22</v>
      </c>
      <c r="AQ282" s="0" t="n">
        <f aca="false">IF(Presupuesto!$B$23='Flujo de Pagos'!$E282,23,9999)</f>
        <v>23</v>
      </c>
      <c r="AR282" s="0" t="n">
        <f aca="false">IF(Presupuesto!$B$24='Flujo de Pagos'!$E282,24,9999)</f>
        <v>24</v>
      </c>
      <c r="AS282" s="0" t="n">
        <f aca="false">IF(Presupuesto!$B$25='Flujo de Pagos'!$E282,25,9999)</f>
        <v>25</v>
      </c>
      <c r="AT282" s="0" t="n">
        <f aca="false">IF(Presupuesto!$B$26='Flujo de Pagos'!$E282,26,9999)</f>
        <v>26</v>
      </c>
      <c r="AU282" s="0" t="n">
        <f aca="false">IF(Presupuesto!$B$27='Flujo de Pagos'!$E282,27,9999)</f>
        <v>27</v>
      </c>
      <c r="AV282" s="0" t="n">
        <f aca="false">IF(Presupuesto!$B$28='Flujo de Pagos'!$E282,28,9999)</f>
        <v>28</v>
      </c>
      <c r="AW282" s="0" t="n">
        <f aca="false">IF(Presupuesto!$B$29='Flujo de Pagos'!$E282,29,9999)</f>
        <v>29</v>
      </c>
      <c r="AX282" s="0" t="n">
        <f aca="false">IF(Presupuesto!$B$30='Flujo de Pagos'!$E282,30,9999)</f>
        <v>30</v>
      </c>
      <c r="AY282" s="0" t="n">
        <f aca="false">IF(Presupuesto!$B$31='Flujo de Pagos'!$E282,31,9999)</f>
        <v>31</v>
      </c>
      <c r="AZ282" s="0" t="n">
        <f aca="false">IF(Presupuesto!$B$32='Flujo de Pagos'!$E282,32,9999)</f>
        <v>32</v>
      </c>
      <c r="BA282" s="0" t="n">
        <f aca="false">IF(Presupuesto!$B$33='Flujo de Pagos'!$E282,33,9999)</f>
        <v>33</v>
      </c>
      <c r="BB282" s="0" t="n">
        <f aca="false">IF(Presupuesto!$B$34='Flujo de Pagos'!$E282,34,9999)</f>
        <v>34</v>
      </c>
      <c r="BC282" s="0" t="n">
        <f aca="false">IF(Presupuesto!$B$35='Flujo de Pagos'!$E282,35,9999)</f>
        <v>35</v>
      </c>
      <c r="BD282" s="0" t="n">
        <f aca="false">IF(Presupuesto!$B$36='Flujo de Pagos'!$E282,36,9999)</f>
        <v>36</v>
      </c>
      <c r="BE282" s="0" t="n">
        <f aca="false">IF(Presupuesto!$B$37='Flujo de Pagos'!$E282,37,9999)</f>
        <v>37</v>
      </c>
      <c r="BF282" s="0" t="n">
        <f aca="false">IF(Presupuesto!$B$38='Flujo de Pagos'!$E282,38,9999)</f>
        <v>38</v>
      </c>
      <c r="BG282" s="0" t="n">
        <f aca="false">IF(Presupuesto!$B$39='Flujo de Pagos'!$E282,39,9999)</f>
        <v>39</v>
      </c>
      <c r="BH282" s="0" t="n">
        <f aca="false">IF(Presupuesto!$B$40='Flujo de Pagos'!$E282,40,9999)</f>
        <v>40</v>
      </c>
      <c r="BI282" s="0" t="n">
        <f aca="false">IF(Presupuesto!$B$41='Flujo de Pagos'!$E282,41,9999)</f>
        <v>41</v>
      </c>
      <c r="BJ282" s="0" t="n">
        <f aca="false">IF(Presupuesto!$B$42='Flujo de Pagos'!$E282,42,9999)</f>
        <v>42</v>
      </c>
      <c r="BK282" s="0" t="n">
        <f aca="false">IF(Presupuesto!$B$43='Flujo de Pagos'!$E282,43,9999)</f>
        <v>43</v>
      </c>
      <c r="BL282" s="0" t="n">
        <f aca="false">IF(Presupuesto!$B$44='Flujo de Pagos'!$E282,44,9999)</f>
        <v>44</v>
      </c>
      <c r="BM282" s="0" t="n">
        <f aca="false">IF(Presupuesto!$B$45='Flujo de Pagos'!$E282,45,9999)</f>
        <v>45</v>
      </c>
      <c r="BN282" s="0" t="n">
        <f aca="false">IF(Presupuesto!$B$46='Flujo de Pagos'!$E282,46,9999)</f>
        <v>46</v>
      </c>
      <c r="BO282" s="0" t="n">
        <f aca="false">IF(Presupuesto!$B$47='Flujo de Pagos'!$E282,47,9999)</f>
        <v>47</v>
      </c>
      <c r="BP282" s="0" t="n">
        <f aca="false">IF(Presupuesto!$B$48='Flujo de Pagos'!$E282,48,9999)</f>
        <v>48</v>
      </c>
      <c r="BQ282" s="0" t="n">
        <f aca="false">IF(Presupuesto!$B$49='Flujo de Pagos'!$E282,49,9999)</f>
        <v>49</v>
      </c>
      <c r="BR282" s="0" t="n">
        <f aca="false">IF(Presupuesto!$B$50='Flujo de Pagos'!$E282,50,9999)</f>
        <v>50</v>
      </c>
      <c r="BS282" s="0" t="n">
        <f aca="false">IF(Presupuesto!$B$51='Flujo de Pagos'!$E282,51,9999)</f>
        <v>51</v>
      </c>
      <c r="BT282" s="0" t="n">
        <f aca="false">IF(Presupuesto!$B$52='Flujo de Pagos'!$E282,52,9999)</f>
        <v>52</v>
      </c>
      <c r="BU282" s="0" t="n">
        <f aca="false">IF(Presupuesto!$B$53='Flujo de Pagos'!$E282,53,9999)</f>
        <v>53</v>
      </c>
      <c r="BV282" s="0" t="n">
        <f aca="false">IF(Presupuesto!$B$54='Flujo de Pagos'!$E282,54,9999)</f>
        <v>54</v>
      </c>
      <c r="BW282" s="0" t="n">
        <f aca="false">IF(Presupuesto!$B$55='Flujo de Pagos'!$E282,55,9999)</f>
        <v>55</v>
      </c>
      <c r="BX282" s="0" t="n">
        <f aca="false">IF(Presupuesto!$B$56='Flujo de Pagos'!$E282,56,9999)</f>
        <v>56</v>
      </c>
      <c r="BY282" s="0" t="n">
        <f aca="false">IF(Presupuesto!$B$57='Flujo de Pagos'!$E282,57,9999)</f>
        <v>57</v>
      </c>
      <c r="BZ282" s="0" t="n">
        <f aca="false">IF(Presupuesto!$B$58='Flujo de Pagos'!$E282,58,9999)</f>
        <v>58</v>
      </c>
      <c r="CA282" s="0" t="n">
        <f aca="false">IF(Presupuesto!$B$59='Flujo de Pagos'!$E282,59,9999)</f>
        <v>59</v>
      </c>
      <c r="CB282" s="0" t="n">
        <f aca="false">IF(Presupuesto!$B$60='Flujo de Pagos'!$E282,60,9999)</f>
        <v>60</v>
      </c>
      <c r="CC282" s="0" t="n">
        <f aca="false">IF(Presupuesto!$B$61='Flujo de Pagos'!$E282,61,9999)</f>
        <v>61</v>
      </c>
      <c r="CD282" s="0" t="n">
        <f aca="false">IF(Presupuesto!$B$62='Flujo de Pagos'!$E282,62,9999)</f>
        <v>62</v>
      </c>
      <c r="CE282" s="0" t="n">
        <f aca="false">IF(Presupuesto!$B$63='Flujo de Pagos'!$E282,63,9999)</f>
        <v>63</v>
      </c>
      <c r="CF282" s="0" t="n">
        <f aca="false">IF(Presupuesto!$B$64='Flujo de Pagos'!$E282,64,9999)</f>
        <v>64</v>
      </c>
      <c r="CG282" s="0" t="n">
        <f aca="false">IF(Presupuesto!$B$65='Flujo de Pagos'!$E282,65,9999)</f>
        <v>65</v>
      </c>
      <c r="CH282" s="0" t="n">
        <f aca="false">IF(Presupuesto!$B$66='Flujo de Pagos'!$E282,66,9999)</f>
        <v>66</v>
      </c>
    </row>
    <row r="283" customFormat="false" ht="15" hidden="false" customHeight="true" outlineLevel="0" collapsed="false">
      <c r="B283" s="1" t="n">
        <f aca="false">IF(AND('Flujo de Pagos'!E288=Carátula!$B$2,'Flujo de Pagos'!F288=Carátula!$B$4,'Flujo de Pagos'!H288&lt;&gt;""),288,99999)</f>
        <v>99999</v>
      </c>
      <c r="H283" s="1" t="n">
        <f aca="false">IF(SMALL($AA283:$CH283,1)&gt;=9999,"",INDEX(Presupuesto!$C:$C,SMALL($AA283:$CH283,1)))</f>
        <v>0</v>
      </c>
      <c r="I283" s="1" t="n">
        <f aca="false">IF(SMALL($AA283:$CH283,2)&gt;=9999,"",INDEX(Presupuesto!$C:$C,SMALL($AA283:$CH283,2)))</f>
        <v>0</v>
      </c>
      <c r="J283" s="1" t="n">
        <f aca="false">IF(SMALL($AA283:$CH283,3)&gt;=9999,"",INDEX(Presupuesto!$C:$C,SMALL($AA283:$CH283,3)))</f>
        <v>0</v>
      </c>
      <c r="K283" s="1" t="n">
        <f aca="false">IF(SMALL($AA283:$CH283,4)&gt;=9999,"",INDEX(Presupuesto!$C:$C,SMALL($AA283:$CH283,4)))</f>
        <v>0</v>
      </c>
      <c r="L283" s="1" t="n">
        <f aca="false">IF(SMALL($AA283:$CH283,5)&gt;=9999,"",INDEX(Presupuesto!$C:$C,SMALL($AA283:$CH283,5)))</f>
        <v>0</v>
      </c>
      <c r="M283" s="1" t="n">
        <f aca="false">IF(SMALL($AA283:$CH283,6)&gt;=9999,"",INDEX(Presupuesto!$C:$C,SMALL($AA283:$CH283,6)))</f>
        <v>0</v>
      </c>
      <c r="N283" s="1" t="n">
        <f aca="false">IF(SMALL($AA283:$CH283,7)&gt;=9999,"",INDEX(Presupuesto!$C:$C,SMALL($AA283:$CH283,7)))</f>
        <v>0</v>
      </c>
      <c r="O283" s="1" t="n">
        <f aca="false">IF(SMALL($AA283:$CH283,8)&gt;=9999,"",INDEX(Presupuesto!$C:$C,SMALL($AA283:$CH283,8)))</f>
        <v>0</v>
      </c>
      <c r="P283" s="1" t="n">
        <f aca="false">IF(SMALL($AA283:$CH283,9)&gt;=9999,"",INDEX(Presupuesto!$C:$C,SMALL($AA283:$CH283,9)))</f>
        <v>0</v>
      </c>
      <c r="Q283" s="1" t="n">
        <f aca="false">IF(SMALL($AA283:$CH283,10)&gt;=9999,"",INDEX(Presupuesto!$C:$C,SMALL($AA283:$CH283,10)))</f>
        <v>0</v>
      </c>
      <c r="AA283" s="0" t="n">
        <f aca="false">IF(Presupuesto!$B$7='Flujo de Pagos'!$E283,7,9999)</f>
        <v>9999</v>
      </c>
      <c r="AB283" s="0" t="n">
        <f aca="false">IF(Presupuesto!$B$8='Flujo de Pagos'!$E283,8,9999)</f>
        <v>9999</v>
      </c>
      <c r="AC283" s="0" t="n">
        <f aca="false">IF(Presupuesto!$B$9='Flujo de Pagos'!$E283,9,9999)</f>
        <v>9999</v>
      </c>
      <c r="AD283" s="0" t="n">
        <f aca="false">IF(Presupuesto!$B$10='Flujo de Pagos'!$E283,10,9999)</f>
        <v>9999</v>
      </c>
      <c r="AE283" s="0" t="n">
        <f aca="false">IF(Presupuesto!$B$11='Flujo de Pagos'!$E283,11,9999)</f>
        <v>9999</v>
      </c>
      <c r="AF283" s="0" t="n">
        <f aca="false">IF(Presupuesto!$B$12='Flujo de Pagos'!$E283,12,9999)</f>
        <v>12</v>
      </c>
      <c r="AG283" s="0" t="n">
        <f aca="false">IF(Presupuesto!$B$13='Flujo de Pagos'!$E283,13,9999)</f>
        <v>13</v>
      </c>
      <c r="AH283" s="0" t="n">
        <f aca="false">IF(Presupuesto!$B$14='Flujo de Pagos'!$E283,14,9999)</f>
        <v>14</v>
      </c>
      <c r="AI283" s="0" t="n">
        <f aca="false">IF(Presupuesto!$B$15='Flujo de Pagos'!$E283,15,9999)</f>
        <v>15</v>
      </c>
      <c r="AJ283" s="0" t="n">
        <f aca="false">IF(Presupuesto!$B$16='Flujo de Pagos'!$E283,16,9999)</f>
        <v>16</v>
      </c>
      <c r="AK283" s="0" t="n">
        <f aca="false">IF(Presupuesto!$B$17='Flujo de Pagos'!$E283,17,9999)</f>
        <v>17</v>
      </c>
      <c r="AL283" s="0" t="n">
        <f aca="false">IF(Presupuesto!$B$18='Flujo de Pagos'!$E283,18,9999)</f>
        <v>18</v>
      </c>
      <c r="AM283" s="0" t="n">
        <f aca="false">IF(Presupuesto!$B$19='Flujo de Pagos'!$E283,19,9999)</f>
        <v>19</v>
      </c>
      <c r="AN283" s="0" t="n">
        <f aca="false">IF(Presupuesto!$B$20='Flujo de Pagos'!$E283,20,9999)</f>
        <v>20</v>
      </c>
      <c r="AO283" s="0" t="n">
        <f aca="false">IF(Presupuesto!$B$21='Flujo de Pagos'!$E283,21,9999)</f>
        <v>21</v>
      </c>
      <c r="AP283" s="0" t="n">
        <f aca="false">IF(Presupuesto!$B$22='Flujo de Pagos'!$E283,22,9999)</f>
        <v>22</v>
      </c>
      <c r="AQ283" s="0" t="n">
        <f aca="false">IF(Presupuesto!$B$23='Flujo de Pagos'!$E283,23,9999)</f>
        <v>23</v>
      </c>
      <c r="AR283" s="0" t="n">
        <f aca="false">IF(Presupuesto!$B$24='Flujo de Pagos'!$E283,24,9999)</f>
        <v>24</v>
      </c>
      <c r="AS283" s="0" t="n">
        <f aca="false">IF(Presupuesto!$B$25='Flujo de Pagos'!$E283,25,9999)</f>
        <v>25</v>
      </c>
      <c r="AT283" s="0" t="n">
        <f aca="false">IF(Presupuesto!$B$26='Flujo de Pagos'!$E283,26,9999)</f>
        <v>26</v>
      </c>
      <c r="AU283" s="0" t="n">
        <f aca="false">IF(Presupuesto!$B$27='Flujo de Pagos'!$E283,27,9999)</f>
        <v>27</v>
      </c>
      <c r="AV283" s="0" t="n">
        <f aca="false">IF(Presupuesto!$B$28='Flujo de Pagos'!$E283,28,9999)</f>
        <v>28</v>
      </c>
      <c r="AW283" s="0" t="n">
        <f aca="false">IF(Presupuesto!$B$29='Flujo de Pagos'!$E283,29,9999)</f>
        <v>29</v>
      </c>
      <c r="AX283" s="0" t="n">
        <f aca="false">IF(Presupuesto!$B$30='Flujo de Pagos'!$E283,30,9999)</f>
        <v>30</v>
      </c>
      <c r="AY283" s="0" t="n">
        <f aca="false">IF(Presupuesto!$B$31='Flujo de Pagos'!$E283,31,9999)</f>
        <v>31</v>
      </c>
      <c r="AZ283" s="0" t="n">
        <f aca="false">IF(Presupuesto!$B$32='Flujo de Pagos'!$E283,32,9999)</f>
        <v>32</v>
      </c>
      <c r="BA283" s="0" t="n">
        <f aca="false">IF(Presupuesto!$B$33='Flujo de Pagos'!$E283,33,9999)</f>
        <v>33</v>
      </c>
      <c r="BB283" s="0" t="n">
        <f aca="false">IF(Presupuesto!$B$34='Flujo de Pagos'!$E283,34,9999)</f>
        <v>34</v>
      </c>
      <c r="BC283" s="0" t="n">
        <f aca="false">IF(Presupuesto!$B$35='Flujo de Pagos'!$E283,35,9999)</f>
        <v>35</v>
      </c>
      <c r="BD283" s="0" t="n">
        <f aca="false">IF(Presupuesto!$B$36='Flujo de Pagos'!$E283,36,9999)</f>
        <v>36</v>
      </c>
      <c r="BE283" s="0" t="n">
        <f aca="false">IF(Presupuesto!$B$37='Flujo de Pagos'!$E283,37,9999)</f>
        <v>37</v>
      </c>
      <c r="BF283" s="0" t="n">
        <f aca="false">IF(Presupuesto!$B$38='Flujo de Pagos'!$E283,38,9999)</f>
        <v>38</v>
      </c>
      <c r="BG283" s="0" t="n">
        <f aca="false">IF(Presupuesto!$B$39='Flujo de Pagos'!$E283,39,9999)</f>
        <v>39</v>
      </c>
      <c r="BH283" s="0" t="n">
        <f aca="false">IF(Presupuesto!$B$40='Flujo de Pagos'!$E283,40,9999)</f>
        <v>40</v>
      </c>
      <c r="BI283" s="0" t="n">
        <f aca="false">IF(Presupuesto!$B$41='Flujo de Pagos'!$E283,41,9999)</f>
        <v>41</v>
      </c>
      <c r="BJ283" s="0" t="n">
        <f aca="false">IF(Presupuesto!$B$42='Flujo de Pagos'!$E283,42,9999)</f>
        <v>42</v>
      </c>
      <c r="BK283" s="0" t="n">
        <f aca="false">IF(Presupuesto!$B$43='Flujo de Pagos'!$E283,43,9999)</f>
        <v>43</v>
      </c>
      <c r="BL283" s="0" t="n">
        <f aca="false">IF(Presupuesto!$B$44='Flujo de Pagos'!$E283,44,9999)</f>
        <v>44</v>
      </c>
      <c r="BM283" s="0" t="n">
        <f aca="false">IF(Presupuesto!$B$45='Flujo de Pagos'!$E283,45,9999)</f>
        <v>45</v>
      </c>
      <c r="BN283" s="0" t="n">
        <f aca="false">IF(Presupuesto!$B$46='Flujo de Pagos'!$E283,46,9999)</f>
        <v>46</v>
      </c>
      <c r="BO283" s="0" t="n">
        <f aca="false">IF(Presupuesto!$B$47='Flujo de Pagos'!$E283,47,9999)</f>
        <v>47</v>
      </c>
      <c r="BP283" s="0" t="n">
        <f aca="false">IF(Presupuesto!$B$48='Flujo de Pagos'!$E283,48,9999)</f>
        <v>48</v>
      </c>
      <c r="BQ283" s="0" t="n">
        <f aca="false">IF(Presupuesto!$B$49='Flujo de Pagos'!$E283,49,9999)</f>
        <v>49</v>
      </c>
      <c r="BR283" s="0" t="n">
        <f aca="false">IF(Presupuesto!$B$50='Flujo de Pagos'!$E283,50,9999)</f>
        <v>50</v>
      </c>
      <c r="BS283" s="0" t="n">
        <f aca="false">IF(Presupuesto!$B$51='Flujo de Pagos'!$E283,51,9999)</f>
        <v>51</v>
      </c>
      <c r="BT283" s="0" t="n">
        <f aca="false">IF(Presupuesto!$B$52='Flujo de Pagos'!$E283,52,9999)</f>
        <v>52</v>
      </c>
      <c r="BU283" s="0" t="n">
        <f aca="false">IF(Presupuesto!$B$53='Flujo de Pagos'!$E283,53,9999)</f>
        <v>53</v>
      </c>
      <c r="BV283" s="0" t="n">
        <f aca="false">IF(Presupuesto!$B$54='Flujo de Pagos'!$E283,54,9999)</f>
        <v>54</v>
      </c>
      <c r="BW283" s="0" t="n">
        <f aca="false">IF(Presupuesto!$B$55='Flujo de Pagos'!$E283,55,9999)</f>
        <v>55</v>
      </c>
      <c r="BX283" s="0" t="n">
        <f aca="false">IF(Presupuesto!$B$56='Flujo de Pagos'!$E283,56,9999)</f>
        <v>56</v>
      </c>
      <c r="BY283" s="0" t="n">
        <f aca="false">IF(Presupuesto!$B$57='Flujo de Pagos'!$E283,57,9999)</f>
        <v>57</v>
      </c>
      <c r="BZ283" s="0" t="n">
        <f aca="false">IF(Presupuesto!$B$58='Flujo de Pagos'!$E283,58,9999)</f>
        <v>58</v>
      </c>
      <c r="CA283" s="0" t="n">
        <f aca="false">IF(Presupuesto!$B$59='Flujo de Pagos'!$E283,59,9999)</f>
        <v>59</v>
      </c>
      <c r="CB283" s="0" t="n">
        <f aca="false">IF(Presupuesto!$B$60='Flujo de Pagos'!$E283,60,9999)</f>
        <v>60</v>
      </c>
      <c r="CC283" s="0" t="n">
        <f aca="false">IF(Presupuesto!$B$61='Flujo de Pagos'!$E283,61,9999)</f>
        <v>61</v>
      </c>
      <c r="CD283" s="0" t="n">
        <f aca="false">IF(Presupuesto!$B$62='Flujo de Pagos'!$E283,62,9999)</f>
        <v>62</v>
      </c>
      <c r="CE283" s="0" t="n">
        <f aca="false">IF(Presupuesto!$B$63='Flujo de Pagos'!$E283,63,9999)</f>
        <v>63</v>
      </c>
      <c r="CF283" s="0" t="n">
        <f aca="false">IF(Presupuesto!$B$64='Flujo de Pagos'!$E283,64,9999)</f>
        <v>64</v>
      </c>
      <c r="CG283" s="0" t="n">
        <f aca="false">IF(Presupuesto!$B$65='Flujo de Pagos'!$E283,65,9999)</f>
        <v>65</v>
      </c>
      <c r="CH283" s="0" t="n">
        <f aca="false">IF(Presupuesto!$B$66='Flujo de Pagos'!$E283,66,9999)</f>
        <v>66</v>
      </c>
    </row>
    <row r="284" customFormat="false" ht="15" hidden="false" customHeight="true" outlineLevel="0" collapsed="false">
      <c r="B284" s="1" t="n">
        <f aca="false">IF(AND('Flujo de Pagos'!E289=Carátula!$B$2,'Flujo de Pagos'!F289=Carátula!$B$4,'Flujo de Pagos'!H289&lt;&gt;""),289,99999)</f>
        <v>99999</v>
      </c>
      <c r="H284" s="1" t="n">
        <f aca="false">IF(SMALL($AA284:$CH284,1)&gt;=9999,"",INDEX(Presupuesto!$C:$C,SMALL($AA284:$CH284,1)))</f>
        <v>0</v>
      </c>
      <c r="I284" s="1" t="n">
        <f aca="false">IF(SMALL($AA284:$CH284,2)&gt;=9999,"",INDEX(Presupuesto!$C:$C,SMALL($AA284:$CH284,2)))</f>
        <v>0</v>
      </c>
      <c r="J284" s="1" t="n">
        <f aca="false">IF(SMALL($AA284:$CH284,3)&gt;=9999,"",INDEX(Presupuesto!$C:$C,SMALL($AA284:$CH284,3)))</f>
        <v>0</v>
      </c>
      <c r="K284" s="1" t="n">
        <f aca="false">IF(SMALL($AA284:$CH284,4)&gt;=9999,"",INDEX(Presupuesto!$C:$C,SMALL($AA284:$CH284,4)))</f>
        <v>0</v>
      </c>
      <c r="L284" s="1" t="n">
        <f aca="false">IF(SMALL($AA284:$CH284,5)&gt;=9999,"",INDEX(Presupuesto!$C:$C,SMALL($AA284:$CH284,5)))</f>
        <v>0</v>
      </c>
      <c r="M284" s="1" t="n">
        <f aca="false">IF(SMALL($AA284:$CH284,6)&gt;=9999,"",INDEX(Presupuesto!$C:$C,SMALL($AA284:$CH284,6)))</f>
        <v>0</v>
      </c>
      <c r="N284" s="1" t="n">
        <f aca="false">IF(SMALL($AA284:$CH284,7)&gt;=9999,"",INDEX(Presupuesto!$C:$C,SMALL($AA284:$CH284,7)))</f>
        <v>0</v>
      </c>
      <c r="O284" s="1" t="n">
        <f aca="false">IF(SMALL($AA284:$CH284,8)&gt;=9999,"",INDEX(Presupuesto!$C:$C,SMALL($AA284:$CH284,8)))</f>
        <v>0</v>
      </c>
      <c r="P284" s="1" t="n">
        <f aca="false">IF(SMALL($AA284:$CH284,9)&gt;=9999,"",INDEX(Presupuesto!$C:$C,SMALL($AA284:$CH284,9)))</f>
        <v>0</v>
      </c>
      <c r="Q284" s="1" t="n">
        <f aca="false">IF(SMALL($AA284:$CH284,10)&gt;=9999,"",INDEX(Presupuesto!$C:$C,SMALL($AA284:$CH284,10)))</f>
        <v>0</v>
      </c>
      <c r="AA284" s="0" t="n">
        <f aca="false">IF(Presupuesto!$B$7='Flujo de Pagos'!$E284,7,9999)</f>
        <v>9999</v>
      </c>
      <c r="AB284" s="0" t="n">
        <f aca="false">IF(Presupuesto!$B$8='Flujo de Pagos'!$E284,8,9999)</f>
        <v>9999</v>
      </c>
      <c r="AC284" s="0" t="n">
        <f aca="false">IF(Presupuesto!$B$9='Flujo de Pagos'!$E284,9,9999)</f>
        <v>9999</v>
      </c>
      <c r="AD284" s="0" t="n">
        <f aca="false">IF(Presupuesto!$B$10='Flujo de Pagos'!$E284,10,9999)</f>
        <v>9999</v>
      </c>
      <c r="AE284" s="0" t="n">
        <f aca="false">IF(Presupuesto!$B$11='Flujo de Pagos'!$E284,11,9999)</f>
        <v>9999</v>
      </c>
      <c r="AF284" s="0" t="n">
        <f aca="false">IF(Presupuesto!$B$12='Flujo de Pagos'!$E284,12,9999)</f>
        <v>12</v>
      </c>
      <c r="AG284" s="0" t="n">
        <f aca="false">IF(Presupuesto!$B$13='Flujo de Pagos'!$E284,13,9999)</f>
        <v>13</v>
      </c>
      <c r="AH284" s="0" t="n">
        <f aca="false">IF(Presupuesto!$B$14='Flujo de Pagos'!$E284,14,9999)</f>
        <v>14</v>
      </c>
      <c r="AI284" s="0" t="n">
        <f aca="false">IF(Presupuesto!$B$15='Flujo de Pagos'!$E284,15,9999)</f>
        <v>15</v>
      </c>
      <c r="AJ284" s="0" t="n">
        <f aca="false">IF(Presupuesto!$B$16='Flujo de Pagos'!$E284,16,9999)</f>
        <v>16</v>
      </c>
      <c r="AK284" s="0" t="n">
        <f aca="false">IF(Presupuesto!$B$17='Flujo de Pagos'!$E284,17,9999)</f>
        <v>17</v>
      </c>
      <c r="AL284" s="0" t="n">
        <f aca="false">IF(Presupuesto!$B$18='Flujo de Pagos'!$E284,18,9999)</f>
        <v>18</v>
      </c>
      <c r="AM284" s="0" t="n">
        <f aca="false">IF(Presupuesto!$B$19='Flujo de Pagos'!$E284,19,9999)</f>
        <v>19</v>
      </c>
      <c r="AN284" s="0" t="n">
        <f aca="false">IF(Presupuesto!$B$20='Flujo de Pagos'!$E284,20,9999)</f>
        <v>20</v>
      </c>
      <c r="AO284" s="0" t="n">
        <f aca="false">IF(Presupuesto!$B$21='Flujo de Pagos'!$E284,21,9999)</f>
        <v>21</v>
      </c>
      <c r="AP284" s="0" t="n">
        <f aca="false">IF(Presupuesto!$B$22='Flujo de Pagos'!$E284,22,9999)</f>
        <v>22</v>
      </c>
      <c r="AQ284" s="0" t="n">
        <f aca="false">IF(Presupuesto!$B$23='Flujo de Pagos'!$E284,23,9999)</f>
        <v>23</v>
      </c>
      <c r="AR284" s="0" t="n">
        <f aca="false">IF(Presupuesto!$B$24='Flujo de Pagos'!$E284,24,9999)</f>
        <v>24</v>
      </c>
      <c r="AS284" s="0" t="n">
        <f aca="false">IF(Presupuesto!$B$25='Flujo de Pagos'!$E284,25,9999)</f>
        <v>25</v>
      </c>
      <c r="AT284" s="0" t="n">
        <f aca="false">IF(Presupuesto!$B$26='Flujo de Pagos'!$E284,26,9999)</f>
        <v>26</v>
      </c>
      <c r="AU284" s="0" t="n">
        <f aca="false">IF(Presupuesto!$B$27='Flujo de Pagos'!$E284,27,9999)</f>
        <v>27</v>
      </c>
      <c r="AV284" s="0" t="n">
        <f aca="false">IF(Presupuesto!$B$28='Flujo de Pagos'!$E284,28,9999)</f>
        <v>28</v>
      </c>
      <c r="AW284" s="0" t="n">
        <f aca="false">IF(Presupuesto!$B$29='Flujo de Pagos'!$E284,29,9999)</f>
        <v>29</v>
      </c>
      <c r="AX284" s="0" t="n">
        <f aca="false">IF(Presupuesto!$B$30='Flujo de Pagos'!$E284,30,9999)</f>
        <v>30</v>
      </c>
      <c r="AY284" s="0" t="n">
        <f aca="false">IF(Presupuesto!$B$31='Flujo de Pagos'!$E284,31,9999)</f>
        <v>31</v>
      </c>
      <c r="AZ284" s="0" t="n">
        <f aca="false">IF(Presupuesto!$B$32='Flujo de Pagos'!$E284,32,9999)</f>
        <v>32</v>
      </c>
      <c r="BA284" s="0" t="n">
        <f aca="false">IF(Presupuesto!$B$33='Flujo de Pagos'!$E284,33,9999)</f>
        <v>33</v>
      </c>
      <c r="BB284" s="0" t="n">
        <f aca="false">IF(Presupuesto!$B$34='Flujo de Pagos'!$E284,34,9999)</f>
        <v>34</v>
      </c>
      <c r="BC284" s="0" t="n">
        <f aca="false">IF(Presupuesto!$B$35='Flujo de Pagos'!$E284,35,9999)</f>
        <v>35</v>
      </c>
      <c r="BD284" s="0" t="n">
        <f aca="false">IF(Presupuesto!$B$36='Flujo de Pagos'!$E284,36,9999)</f>
        <v>36</v>
      </c>
      <c r="BE284" s="0" t="n">
        <f aca="false">IF(Presupuesto!$B$37='Flujo de Pagos'!$E284,37,9999)</f>
        <v>37</v>
      </c>
      <c r="BF284" s="0" t="n">
        <f aca="false">IF(Presupuesto!$B$38='Flujo de Pagos'!$E284,38,9999)</f>
        <v>38</v>
      </c>
      <c r="BG284" s="0" t="n">
        <f aca="false">IF(Presupuesto!$B$39='Flujo de Pagos'!$E284,39,9999)</f>
        <v>39</v>
      </c>
      <c r="BH284" s="0" t="n">
        <f aca="false">IF(Presupuesto!$B$40='Flujo de Pagos'!$E284,40,9999)</f>
        <v>40</v>
      </c>
      <c r="BI284" s="0" t="n">
        <f aca="false">IF(Presupuesto!$B$41='Flujo de Pagos'!$E284,41,9999)</f>
        <v>41</v>
      </c>
      <c r="BJ284" s="0" t="n">
        <f aca="false">IF(Presupuesto!$B$42='Flujo de Pagos'!$E284,42,9999)</f>
        <v>42</v>
      </c>
      <c r="BK284" s="0" t="n">
        <f aca="false">IF(Presupuesto!$B$43='Flujo de Pagos'!$E284,43,9999)</f>
        <v>43</v>
      </c>
      <c r="BL284" s="0" t="n">
        <f aca="false">IF(Presupuesto!$B$44='Flujo de Pagos'!$E284,44,9999)</f>
        <v>44</v>
      </c>
      <c r="BM284" s="0" t="n">
        <f aca="false">IF(Presupuesto!$B$45='Flujo de Pagos'!$E284,45,9999)</f>
        <v>45</v>
      </c>
      <c r="BN284" s="0" t="n">
        <f aca="false">IF(Presupuesto!$B$46='Flujo de Pagos'!$E284,46,9999)</f>
        <v>46</v>
      </c>
      <c r="BO284" s="0" t="n">
        <f aca="false">IF(Presupuesto!$B$47='Flujo de Pagos'!$E284,47,9999)</f>
        <v>47</v>
      </c>
      <c r="BP284" s="0" t="n">
        <f aca="false">IF(Presupuesto!$B$48='Flujo de Pagos'!$E284,48,9999)</f>
        <v>48</v>
      </c>
      <c r="BQ284" s="0" t="n">
        <f aca="false">IF(Presupuesto!$B$49='Flujo de Pagos'!$E284,49,9999)</f>
        <v>49</v>
      </c>
      <c r="BR284" s="0" t="n">
        <f aca="false">IF(Presupuesto!$B$50='Flujo de Pagos'!$E284,50,9999)</f>
        <v>50</v>
      </c>
      <c r="BS284" s="0" t="n">
        <f aca="false">IF(Presupuesto!$B$51='Flujo de Pagos'!$E284,51,9999)</f>
        <v>51</v>
      </c>
      <c r="BT284" s="0" t="n">
        <f aca="false">IF(Presupuesto!$B$52='Flujo de Pagos'!$E284,52,9999)</f>
        <v>52</v>
      </c>
      <c r="BU284" s="0" t="n">
        <f aca="false">IF(Presupuesto!$B$53='Flujo de Pagos'!$E284,53,9999)</f>
        <v>53</v>
      </c>
      <c r="BV284" s="0" t="n">
        <f aca="false">IF(Presupuesto!$B$54='Flujo de Pagos'!$E284,54,9999)</f>
        <v>54</v>
      </c>
      <c r="BW284" s="0" t="n">
        <f aca="false">IF(Presupuesto!$B$55='Flujo de Pagos'!$E284,55,9999)</f>
        <v>55</v>
      </c>
      <c r="BX284" s="0" t="n">
        <f aca="false">IF(Presupuesto!$B$56='Flujo de Pagos'!$E284,56,9999)</f>
        <v>56</v>
      </c>
      <c r="BY284" s="0" t="n">
        <f aca="false">IF(Presupuesto!$B$57='Flujo de Pagos'!$E284,57,9999)</f>
        <v>57</v>
      </c>
      <c r="BZ284" s="0" t="n">
        <f aca="false">IF(Presupuesto!$B$58='Flujo de Pagos'!$E284,58,9999)</f>
        <v>58</v>
      </c>
      <c r="CA284" s="0" t="n">
        <f aca="false">IF(Presupuesto!$B$59='Flujo de Pagos'!$E284,59,9999)</f>
        <v>59</v>
      </c>
      <c r="CB284" s="0" t="n">
        <f aca="false">IF(Presupuesto!$B$60='Flujo de Pagos'!$E284,60,9999)</f>
        <v>60</v>
      </c>
      <c r="CC284" s="0" t="n">
        <f aca="false">IF(Presupuesto!$B$61='Flujo de Pagos'!$E284,61,9999)</f>
        <v>61</v>
      </c>
      <c r="CD284" s="0" t="n">
        <f aca="false">IF(Presupuesto!$B$62='Flujo de Pagos'!$E284,62,9999)</f>
        <v>62</v>
      </c>
      <c r="CE284" s="0" t="n">
        <f aca="false">IF(Presupuesto!$B$63='Flujo de Pagos'!$E284,63,9999)</f>
        <v>63</v>
      </c>
      <c r="CF284" s="0" t="n">
        <f aca="false">IF(Presupuesto!$B$64='Flujo de Pagos'!$E284,64,9999)</f>
        <v>64</v>
      </c>
      <c r="CG284" s="0" t="n">
        <f aca="false">IF(Presupuesto!$B$65='Flujo de Pagos'!$E284,65,9999)</f>
        <v>65</v>
      </c>
      <c r="CH284" s="0" t="n">
        <f aca="false">IF(Presupuesto!$B$66='Flujo de Pagos'!$E284,66,9999)</f>
        <v>66</v>
      </c>
    </row>
    <row r="285" customFormat="false" ht="15" hidden="false" customHeight="true" outlineLevel="0" collapsed="false">
      <c r="B285" s="1" t="n">
        <f aca="false">IF(AND('Flujo de Pagos'!E290=Carátula!$B$2,'Flujo de Pagos'!F290=Carátula!$B$4,'Flujo de Pagos'!H290&lt;&gt;""),290,99999)</f>
        <v>99999</v>
      </c>
      <c r="H285" s="1" t="n">
        <f aca="false">IF(SMALL($AA285:$CH285,1)&gt;=9999,"",INDEX(Presupuesto!$C:$C,SMALL($AA285:$CH285,1)))</f>
        <v>0</v>
      </c>
      <c r="I285" s="1" t="n">
        <f aca="false">IF(SMALL($AA285:$CH285,2)&gt;=9999,"",INDEX(Presupuesto!$C:$C,SMALL($AA285:$CH285,2)))</f>
        <v>0</v>
      </c>
      <c r="J285" s="1" t="n">
        <f aca="false">IF(SMALL($AA285:$CH285,3)&gt;=9999,"",INDEX(Presupuesto!$C:$C,SMALL($AA285:$CH285,3)))</f>
        <v>0</v>
      </c>
      <c r="K285" s="1" t="n">
        <f aca="false">IF(SMALL($AA285:$CH285,4)&gt;=9999,"",INDEX(Presupuesto!$C:$C,SMALL($AA285:$CH285,4)))</f>
        <v>0</v>
      </c>
      <c r="L285" s="1" t="n">
        <f aca="false">IF(SMALL($AA285:$CH285,5)&gt;=9999,"",INDEX(Presupuesto!$C:$C,SMALL($AA285:$CH285,5)))</f>
        <v>0</v>
      </c>
      <c r="M285" s="1" t="n">
        <f aca="false">IF(SMALL($AA285:$CH285,6)&gt;=9999,"",INDEX(Presupuesto!$C:$C,SMALL($AA285:$CH285,6)))</f>
        <v>0</v>
      </c>
      <c r="N285" s="1" t="n">
        <f aca="false">IF(SMALL($AA285:$CH285,7)&gt;=9999,"",INDEX(Presupuesto!$C:$C,SMALL($AA285:$CH285,7)))</f>
        <v>0</v>
      </c>
      <c r="O285" s="1" t="n">
        <f aca="false">IF(SMALL($AA285:$CH285,8)&gt;=9999,"",INDEX(Presupuesto!$C:$C,SMALL($AA285:$CH285,8)))</f>
        <v>0</v>
      </c>
      <c r="P285" s="1" t="n">
        <f aca="false">IF(SMALL($AA285:$CH285,9)&gt;=9999,"",INDEX(Presupuesto!$C:$C,SMALL($AA285:$CH285,9)))</f>
        <v>0</v>
      </c>
      <c r="Q285" s="1" t="n">
        <f aca="false">IF(SMALL($AA285:$CH285,10)&gt;=9999,"",INDEX(Presupuesto!$C:$C,SMALL($AA285:$CH285,10)))</f>
        <v>0</v>
      </c>
      <c r="AA285" s="0" t="n">
        <f aca="false">IF(Presupuesto!$B$7='Flujo de Pagos'!$E285,7,9999)</f>
        <v>9999</v>
      </c>
      <c r="AB285" s="0" t="n">
        <f aca="false">IF(Presupuesto!$B$8='Flujo de Pagos'!$E285,8,9999)</f>
        <v>9999</v>
      </c>
      <c r="AC285" s="0" t="n">
        <f aca="false">IF(Presupuesto!$B$9='Flujo de Pagos'!$E285,9,9999)</f>
        <v>9999</v>
      </c>
      <c r="AD285" s="0" t="n">
        <f aca="false">IF(Presupuesto!$B$10='Flujo de Pagos'!$E285,10,9999)</f>
        <v>9999</v>
      </c>
      <c r="AE285" s="0" t="n">
        <f aca="false">IF(Presupuesto!$B$11='Flujo de Pagos'!$E285,11,9999)</f>
        <v>9999</v>
      </c>
      <c r="AF285" s="0" t="n">
        <f aca="false">IF(Presupuesto!$B$12='Flujo de Pagos'!$E285,12,9999)</f>
        <v>12</v>
      </c>
      <c r="AG285" s="0" t="n">
        <f aca="false">IF(Presupuesto!$B$13='Flujo de Pagos'!$E285,13,9999)</f>
        <v>13</v>
      </c>
      <c r="AH285" s="0" t="n">
        <f aca="false">IF(Presupuesto!$B$14='Flujo de Pagos'!$E285,14,9999)</f>
        <v>14</v>
      </c>
      <c r="AI285" s="0" t="n">
        <f aca="false">IF(Presupuesto!$B$15='Flujo de Pagos'!$E285,15,9999)</f>
        <v>15</v>
      </c>
      <c r="AJ285" s="0" t="n">
        <f aca="false">IF(Presupuesto!$B$16='Flujo de Pagos'!$E285,16,9999)</f>
        <v>16</v>
      </c>
      <c r="AK285" s="0" t="n">
        <f aca="false">IF(Presupuesto!$B$17='Flujo de Pagos'!$E285,17,9999)</f>
        <v>17</v>
      </c>
      <c r="AL285" s="0" t="n">
        <f aca="false">IF(Presupuesto!$B$18='Flujo de Pagos'!$E285,18,9999)</f>
        <v>18</v>
      </c>
      <c r="AM285" s="0" t="n">
        <f aca="false">IF(Presupuesto!$B$19='Flujo de Pagos'!$E285,19,9999)</f>
        <v>19</v>
      </c>
      <c r="AN285" s="0" t="n">
        <f aca="false">IF(Presupuesto!$B$20='Flujo de Pagos'!$E285,20,9999)</f>
        <v>20</v>
      </c>
      <c r="AO285" s="0" t="n">
        <f aca="false">IF(Presupuesto!$B$21='Flujo de Pagos'!$E285,21,9999)</f>
        <v>21</v>
      </c>
      <c r="AP285" s="0" t="n">
        <f aca="false">IF(Presupuesto!$B$22='Flujo de Pagos'!$E285,22,9999)</f>
        <v>22</v>
      </c>
      <c r="AQ285" s="0" t="n">
        <f aca="false">IF(Presupuesto!$B$23='Flujo de Pagos'!$E285,23,9999)</f>
        <v>23</v>
      </c>
      <c r="AR285" s="0" t="n">
        <f aca="false">IF(Presupuesto!$B$24='Flujo de Pagos'!$E285,24,9999)</f>
        <v>24</v>
      </c>
      <c r="AS285" s="0" t="n">
        <f aca="false">IF(Presupuesto!$B$25='Flujo de Pagos'!$E285,25,9999)</f>
        <v>25</v>
      </c>
      <c r="AT285" s="0" t="n">
        <f aca="false">IF(Presupuesto!$B$26='Flujo de Pagos'!$E285,26,9999)</f>
        <v>26</v>
      </c>
      <c r="AU285" s="0" t="n">
        <f aca="false">IF(Presupuesto!$B$27='Flujo de Pagos'!$E285,27,9999)</f>
        <v>27</v>
      </c>
      <c r="AV285" s="0" t="n">
        <f aca="false">IF(Presupuesto!$B$28='Flujo de Pagos'!$E285,28,9999)</f>
        <v>28</v>
      </c>
      <c r="AW285" s="0" t="n">
        <f aca="false">IF(Presupuesto!$B$29='Flujo de Pagos'!$E285,29,9999)</f>
        <v>29</v>
      </c>
      <c r="AX285" s="0" t="n">
        <f aca="false">IF(Presupuesto!$B$30='Flujo de Pagos'!$E285,30,9999)</f>
        <v>30</v>
      </c>
      <c r="AY285" s="0" t="n">
        <f aca="false">IF(Presupuesto!$B$31='Flujo de Pagos'!$E285,31,9999)</f>
        <v>31</v>
      </c>
      <c r="AZ285" s="0" t="n">
        <f aca="false">IF(Presupuesto!$B$32='Flujo de Pagos'!$E285,32,9999)</f>
        <v>32</v>
      </c>
      <c r="BA285" s="0" t="n">
        <f aca="false">IF(Presupuesto!$B$33='Flujo de Pagos'!$E285,33,9999)</f>
        <v>33</v>
      </c>
      <c r="BB285" s="0" t="n">
        <f aca="false">IF(Presupuesto!$B$34='Flujo de Pagos'!$E285,34,9999)</f>
        <v>34</v>
      </c>
      <c r="BC285" s="0" t="n">
        <f aca="false">IF(Presupuesto!$B$35='Flujo de Pagos'!$E285,35,9999)</f>
        <v>35</v>
      </c>
      <c r="BD285" s="0" t="n">
        <f aca="false">IF(Presupuesto!$B$36='Flujo de Pagos'!$E285,36,9999)</f>
        <v>36</v>
      </c>
      <c r="BE285" s="0" t="n">
        <f aca="false">IF(Presupuesto!$B$37='Flujo de Pagos'!$E285,37,9999)</f>
        <v>37</v>
      </c>
      <c r="BF285" s="0" t="n">
        <f aca="false">IF(Presupuesto!$B$38='Flujo de Pagos'!$E285,38,9999)</f>
        <v>38</v>
      </c>
      <c r="BG285" s="0" t="n">
        <f aca="false">IF(Presupuesto!$B$39='Flujo de Pagos'!$E285,39,9999)</f>
        <v>39</v>
      </c>
      <c r="BH285" s="0" t="n">
        <f aca="false">IF(Presupuesto!$B$40='Flujo de Pagos'!$E285,40,9999)</f>
        <v>40</v>
      </c>
      <c r="BI285" s="0" t="n">
        <f aca="false">IF(Presupuesto!$B$41='Flujo de Pagos'!$E285,41,9999)</f>
        <v>41</v>
      </c>
      <c r="BJ285" s="0" t="n">
        <f aca="false">IF(Presupuesto!$B$42='Flujo de Pagos'!$E285,42,9999)</f>
        <v>42</v>
      </c>
      <c r="BK285" s="0" t="n">
        <f aca="false">IF(Presupuesto!$B$43='Flujo de Pagos'!$E285,43,9999)</f>
        <v>43</v>
      </c>
      <c r="BL285" s="0" t="n">
        <f aca="false">IF(Presupuesto!$B$44='Flujo de Pagos'!$E285,44,9999)</f>
        <v>44</v>
      </c>
      <c r="BM285" s="0" t="n">
        <f aca="false">IF(Presupuesto!$B$45='Flujo de Pagos'!$E285,45,9999)</f>
        <v>45</v>
      </c>
      <c r="BN285" s="0" t="n">
        <f aca="false">IF(Presupuesto!$B$46='Flujo de Pagos'!$E285,46,9999)</f>
        <v>46</v>
      </c>
      <c r="BO285" s="0" t="n">
        <f aca="false">IF(Presupuesto!$B$47='Flujo de Pagos'!$E285,47,9999)</f>
        <v>47</v>
      </c>
      <c r="BP285" s="0" t="n">
        <f aca="false">IF(Presupuesto!$B$48='Flujo de Pagos'!$E285,48,9999)</f>
        <v>48</v>
      </c>
      <c r="BQ285" s="0" t="n">
        <f aca="false">IF(Presupuesto!$B$49='Flujo de Pagos'!$E285,49,9999)</f>
        <v>49</v>
      </c>
      <c r="BR285" s="0" t="n">
        <f aca="false">IF(Presupuesto!$B$50='Flujo de Pagos'!$E285,50,9999)</f>
        <v>50</v>
      </c>
      <c r="BS285" s="0" t="n">
        <f aca="false">IF(Presupuesto!$B$51='Flujo de Pagos'!$E285,51,9999)</f>
        <v>51</v>
      </c>
      <c r="BT285" s="0" t="n">
        <f aca="false">IF(Presupuesto!$B$52='Flujo de Pagos'!$E285,52,9999)</f>
        <v>52</v>
      </c>
      <c r="BU285" s="0" t="n">
        <f aca="false">IF(Presupuesto!$B$53='Flujo de Pagos'!$E285,53,9999)</f>
        <v>53</v>
      </c>
      <c r="BV285" s="0" t="n">
        <f aca="false">IF(Presupuesto!$B$54='Flujo de Pagos'!$E285,54,9999)</f>
        <v>54</v>
      </c>
      <c r="BW285" s="0" t="n">
        <f aca="false">IF(Presupuesto!$B$55='Flujo de Pagos'!$E285,55,9999)</f>
        <v>55</v>
      </c>
      <c r="BX285" s="0" t="n">
        <f aca="false">IF(Presupuesto!$B$56='Flujo de Pagos'!$E285,56,9999)</f>
        <v>56</v>
      </c>
      <c r="BY285" s="0" t="n">
        <f aca="false">IF(Presupuesto!$B$57='Flujo de Pagos'!$E285,57,9999)</f>
        <v>57</v>
      </c>
      <c r="BZ285" s="0" t="n">
        <f aca="false">IF(Presupuesto!$B$58='Flujo de Pagos'!$E285,58,9999)</f>
        <v>58</v>
      </c>
      <c r="CA285" s="0" t="n">
        <f aca="false">IF(Presupuesto!$B$59='Flujo de Pagos'!$E285,59,9999)</f>
        <v>59</v>
      </c>
      <c r="CB285" s="0" t="n">
        <f aca="false">IF(Presupuesto!$B$60='Flujo de Pagos'!$E285,60,9999)</f>
        <v>60</v>
      </c>
      <c r="CC285" s="0" t="n">
        <f aca="false">IF(Presupuesto!$B$61='Flujo de Pagos'!$E285,61,9999)</f>
        <v>61</v>
      </c>
      <c r="CD285" s="0" t="n">
        <f aca="false">IF(Presupuesto!$B$62='Flujo de Pagos'!$E285,62,9999)</f>
        <v>62</v>
      </c>
      <c r="CE285" s="0" t="n">
        <f aca="false">IF(Presupuesto!$B$63='Flujo de Pagos'!$E285,63,9999)</f>
        <v>63</v>
      </c>
      <c r="CF285" s="0" t="n">
        <f aca="false">IF(Presupuesto!$B$64='Flujo de Pagos'!$E285,64,9999)</f>
        <v>64</v>
      </c>
      <c r="CG285" s="0" t="n">
        <f aca="false">IF(Presupuesto!$B$65='Flujo de Pagos'!$E285,65,9999)</f>
        <v>65</v>
      </c>
      <c r="CH285" s="0" t="n">
        <f aca="false">IF(Presupuesto!$B$66='Flujo de Pagos'!$E285,66,9999)</f>
        <v>66</v>
      </c>
    </row>
    <row r="286" customFormat="false" ht="15" hidden="false" customHeight="true" outlineLevel="0" collapsed="false">
      <c r="B286" s="1" t="n">
        <f aca="false">IF(AND('Flujo de Pagos'!E291=Carátula!$B$2,'Flujo de Pagos'!F291=Carátula!$B$4,'Flujo de Pagos'!H291&lt;&gt;""),291,99999)</f>
        <v>99999</v>
      </c>
      <c r="H286" s="1" t="n">
        <f aca="false">IF(SMALL($AA286:$CH286,1)&gt;=9999,"",INDEX(Presupuesto!$C:$C,SMALL($AA286:$CH286,1)))</f>
        <v>0</v>
      </c>
      <c r="I286" s="1" t="n">
        <f aca="false">IF(SMALL($AA286:$CH286,2)&gt;=9999,"",INDEX(Presupuesto!$C:$C,SMALL($AA286:$CH286,2)))</f>
        <v>0</v>
      </c>
      <c r="J286" s="1" t="n">
        <f aca="false">IF(SMALL($AA286:$CH286,3)&gt;=9999,"",INDEX(Presupuesto!$C:$C,SMALL($AA286:$CH286,3)))</f>
        <v>0</v>
      </c>
      <c r="K286" s="1" t="n">
        <f aca="false">IF(SMALL($AA286:$CH286,4)&gt;=9999,"",INDEX(Presupuesto!$C:$C,SMALL($AA286:$CH286,4)))</f>
        <v>0</v>
      </c>
      <c r="L286" s="1" t="n">
        <f aca="false">IF(SMALL($AA286:$CH286,5)&gt;=9999,"",INDEX(Presupuesto!$C:$C,SMALL($AA286:$CH286,5)))</f>
        <v>0</v>
      </c>
      <c r="M286" s="1" t="n">
        <f aca="false">IF(SMALL($AA286:$CH286,6)&gt;=9999,"",INDEX(Presupuesto!$C:$C,SMALL($AA286:$CH286,6)))</f>
        <v>0</v>
      </c>
      <c r="N286" s="1" t="n">
        <f aca="false">IF(SMALL($AA286:$CH286,7)&gt;=9999,"",INDEX(Presupuesto!$C:$C,SMALL($AA286:$CH286,7)))</f>
        <v>0</v>
      </c>
      <c r="O286" s="1" t="n">
        <f aca="false">IF(SMALL($AA286:$CH286,8)&gt;=9999,"",INDEX(Presupuesto!$C:$C,SMALL($AA286:$CH286,8)))</f>
        <v>0</v>
      </c>
      <c r="P286" s="1" t="n">
        <f aca="false">IF(SMALL($AA286:$CH286,9)&gt;=9999,"",INDEX(Presupuesto!$C:$C,SMALL($AA286:$CH286,9)))</f>
        <v>0</v>
      </c>
      <c r="Q286" s="1" t="n">
        <f aca="false">IF(SMALL($AA286:$CH286,10)&gt;=9999,"",INDEX(Presupuesto!$C:$C,SMALL($AA286:$CH286,10)))</f>
        <v>0</v>
      </c>
      <c r="AA286" s="0" t="n">
        <f aca="false">IF(Presupuesto!$B$7='Flujo de Pagos'!$E286,7,9999)</f>
        <v>9999</v>
      </c>
      <c r="AB286" s="0" t="n">
        <f aca="false">IF(Presupuesto!$B$8='Flujo de Pagos'!$E286,8,9999)</f>
        <v>9999</v>
      </c>
      <c r="AC286" s="0" t="n">
        <f aca="false">IF(Presupuesto!$B$9='Flujo de Pagos'!$E286,9,9999)</f>
        <v>9999</v>
      </c>
      <c r="AD286" s="0" t="n">
        <f aca="false">IF(Presupuesto!$B$10='Flujo de Pagos'!$E286,10,9999)</f>
        <v>9999</v>
      </c>
      <c r="AE286" s="0" t="n">
        <f aca="false">IF(Presupuesto!$B$11='Flujo de Pagos'!$E286,11,9999)</f>
        <v>9999</v>
      </c>
      <c r="AF286" s="0" t="n">
        <f aca="false">IF(Presupuesto!$B$12='Flujo de Pagos'!$E286,12,9999)</f>
        <v>12</v>
      </c>
      <c r="AG286" s="0" t="n">
        <f aca="false">IF(Presupuesto!$B$13='Flujo de Pagos'!$E286,13,9999)</f>
        <v>13</v>
      </c>
      <c r="AH286" s="0" t="n">
        <f aca="false">IF(Presupuesto!$B$14='Flujo de Pagos'!$E286,14,9999)</f>
        <v>14</v>
      </c>
      <c r="AI286" s="0" t="n">
        <f aca="false">IF(Presupuesto!$B$15='Flujo de Pagos'!$E286,15,9999)</f>
        <v>15</v>
      </c>
      <c r="AJ286" s="0" t="n">
        <f aca="false">IF(Presupuesto!$B$16='Flujo de Pagos'!$E286,16,9999)</f>
        <v>16</v>
      </c>
      <c r="AK286" s="0" t="n">
        <f aca="false">IF(Presupuesto!$B$17='Flujo de Pagos'!$E286,17,9999)</f>
        <v>17</v>
      </c>
      <c r="AL286" s="0" t="n">
        <f aca="false">IF(Presupuesto!$B$18='Flujo de Pagos'!$E286,18,9999)</f>
        <v>18</v>
      </c>
      <c r="AM286" s="0" t="n">
        <f aca="false">IF(Presupuesto!$B$19='Flujo de Pagos'!$E286,19,9999)</f>
        <v>19</v>
      </c>
      <c r="AN286" s="0" t="n">
        <f aca="false">IF(Presupuesto!$B$20='Flujo de Pagos'!$E286,20,9999)</f>
        <v>20</v>
      </c>
      <c r="AO286" s="0" t="n">
        <f aca="false">IF(Presupuesto!$B$21='Flujo de Pagos'!$E286,21,9999)</f>
        <v>21</v>
      </c>
      <c r="AP286" s="0" t="n">
        <f aca="false">IF(Presupuesto!$B$22='Flujo de Pagos'!$E286,22,9999)</f>
        <v>22</v>
      </c>
      <c r="AQ286" s="0" t="n">
        <f aca="false">IF(Presupuesto!$B$23='Flujo de Pagos'!$E286,23,9999)</f>
        <v>23</v>
      </c>
      <c r="AR286" s="0" t="n">
        <f aca="false">IF(Presupuesto!$B$24='Flujo de Pagos'!$E286,24,9999)</f>
        <v>24</v>
      </c>
      <c r="AS286" s="0" t="n">
        <f aca="false">IF(Presupuesto!$B$25='Flujo de Pagos'!$E286,25,9999)</f>
        <v>25</v>
      </c>
      <c r="AT286" s="0" t="n">
        <f aca="false">IF(Presupuesto!$B$26='Flujo de Pagos'!$E286,26,9999)</f>
        <v>26</v>
      </c>
      <c r="AU286" s="0" t="n">
        <f aca="false">IF(Presupuesto!$B$27='Flujo de Pagos'!$E286,27,9999)</f>
        <v>27</v>
      </c>
      <c r="AV286" s="0" t="n">
        <f aca="false">IF(Presupuesto!$B$28='Flujo de Pagos'!$E286,28,9999)</f>
        <v>28</v>
      </c>
      <c r="AW286" s="0" t="n">
        <f aca="false">IF(Presupuesto!$B$29='Flujo de Pagos'!$E286,29,9999)</f>
        <v>29</v>
      </c>
      <c r="AX286" s="0" t="n">
        <f aca="false">IF(Presupuesto!$B$30='Flujo de Pagos'!$E286,30,9999)</f>
        <v>30</v>
      </c>
      <c r="AY286" s="0" t="n">
        <f aca="false">IF(Presupuesto!$B$31='Flujo de Pagos'!$E286,31,9999)</f>
        <v>31</v>
      </c>
      <c r="AZ286" s="0" t="n">
        <f aca="false">IF(Presupuesto!$B$32='Flujo de Pagos'!$E286,32,9999)</f>
        <v>32</v>
      </c>
      <c r="BA286" s="0" t="n">
        <f aca="false">IF(Presupuesto!$B$33='Flujo de Pagos'!$E286,33,9999)</f>
        <v>33</v>
      </c>
      <c r="BB286" s="0" t="n">
        <f aca="false">IF(Presupuesto!$B$34='Flujo de Pagos'!$E286,34,9999)</f>
        <v>34</v>
      </c>
      <c r="BC286" s="0" t="n">
        <f aca="false">IF(Presupuesto!$B$35='Flujo de Pagos'!$E286,35,9999)</f>
        <v>35</v>
      </c>
      <c r="BD286" s="0" t="n">
        <f aca="false">IF(Presupuesto!$B$36='Flujo de Pagos'!$E286,36,9999)</f>
        <v>36</v>
      </c>
      <c r="BE286" s="0" t="n">
        <f aca="false">IF(Presupuesto!$B$37='Flujo de Pagos'!$E286,37,9999)</f>
        <v>37</v>
      </c>
      <c r="BF286" s="0" t="n">
        <f aca="false">IF(Presupuesto!$B$38='Flujo de Pagos'!$E286,38,9999)</f>
        <v>38</v>
      </c>
      <c r="BG286" s="0" t="n">
        <f aca="false">IF(Presupuesto!$B$39='Flujo de Pagos'!$E286,39,9999)</f>
        <v>39</v>
      </c>
      <c r="BH286" s="0" t="n">
        <f aca="false">IF(Presupuesto!$B$40='Flujo de Pagos'!$E286,40,9999)</f>
        <v>40</v>
      </c>
      <c r="BI286" s="0" t="n">
        <f aca="false">IF(Presupuesto!$B$41='Flujo de Pagos'!$E286,41,9999)</f>
        <v>41</v>
      </c>
      <c r="BJ286" s="0" t="n">
        <f aca="false">IF(Presupuesto!$B$42='Flujo de Pagos'!$E286,42,9999)</f>
        <v>42</v>
      </c>
      <c r="BK286" s="0" t="n">
        <f aca="false">IF(Presupuesto!$B$43='Flujo de Pagos'!$E286,43,9999)</f>
        <v>43</v>
      </c>
      <c r="BL286" s="0" t="n">
        <f aca="false">IF(Presupuesto!$B$44='Flujo de Pagos'!$E286,44,9999)</f>
        <v>44</v>
      </c>
      <c r="BM286" s="0" t="n">
        <f aca="false">IF(Presupuesto!$B$45='Flujo de Pagos'!$E286,45,9999)</f>
        <v>45</v>
      </c>
      <c r="BN286" s="0" t="n">
        <f aca="false">IF(Presupuesto!$B$46='Flujo de Pagos'!$E286,46,9999)</f>
        <v>46</v>
      </c>
      <c r="BO286" s="0" t="n">
        <f aca="false">IF(Presupuesto!$B$47='Flujo de Pagos'!$E286,47,9999)</f>
        <v>47</v>
      </c>
      <c r="BP286" s="0" t="n">
        <f aca="false">IF(Presupuesto!$B$48='Flujo de Pagos'!$E286,48,9999)</f>
        <v>48</v>
      </c>
      <c r="BQ286" s="0" t="n">
        <f aca="false">IF(Presupuesto!$B$49='Flujo de Pagos'!$E286,49,9999)</f>
        <v>49</v>
      </c>
      <c r="BR286" s="0" t="n">
        <f aca="false">IF(Presupuesto!$B$50='Flujo de Pagos'!$E286,50,9999)</f>
        <v>50</v>
      </c>
      <c r="BS286" s="0" t="n">
        <f aca="false">IF(Presupuesto!$B$51='Flujo de Pagos'!$E286,51,9999)</f>
        <v>51</v>
      </c>
      <c r="BT286" s="0" t="n">
        <f aca="false">IF(Presupuesto!$B$52='Flujo de Pagos'!$E286,52,9999)</f>
        <v>52</v>
      </c>
      <c r="BU286" s="0" t="n">
        <f aca="false">IF(Presupuesto!$B$53='Flujo de Pagos'!$E286,53,9999)</f>
        <v>53</v>
      </c>
      <c r="BV286" s="0" t="n">
        <f aca="false">IF(Presupuesto!$B$54='Flujo de Pagos'!$E286,54,9999)</f>
        <v>54</v>
      </c>
      <c r="BW286" s="0" t="n">
        <f aca="false">IF(Presupuesto!$B$55='Flujo de Pagos'!$E286,55,9999)</f>
        <v>55</v>
      </c>
      <c r="BX286" s="0" t="n">
        <f aca="false">IF(Presupuesto!$B$56='Flujo de Pagos'!$E286,56,9999)</f>
        <v>56</v>
      </c>
      <c r="BY286" s="0" t="n">
        <f aca="false">IF(Presupuesto!$B$57='Flujo de Pagos'!$E286,57,9999)</f>
        <v>57</v>
      </c>
      <c r="BZ286" s="0" t="n">
        <f aca="false">IF(Presupuesto!$B$58='Flujo de Pagos'!$E286,58,9999)</f>
        <v>58</v>
      </c>
      <c r="CA286" s="0" t="n">
        <f aca="false">IF(Presupuesto!$B$59='Flujo de Pagos'!$E286,59,9999)</f>
        <v>59</v>
      </c>
      <c r="CB286" s="0" t="n">
        <f aca="false">IF(Presupuesto!$B$60='Flujo de Pagos'!$E286,60,9999)</f>
        <v>60</v>
      </c>
      <c r="CC286" s="0" t="n">
        <f aca="false">IF(Presupuesto!$B$61='Flujo de Pagos'!$E286,61,9999)</f>
        <v>61</v>
      </c>
      <c r="CD286" s="0" t="n">
        <f aca="false">IF(Presupuesto!$B$62='Flujo de Pagos'!$E286,62,9999)</f>
        <v>62</v>
      </c>
      <c r="CE286" s="0" t="n">
        <f aca="false">IF(Presupuesto!$B$63='Flujo de Pagos'!$E286,63,9999)</f>
        <v>63</v>
      </c>
      <c r="CF286" s="0" t="n">
        <f aca="false">IF(Presupuesto!$B$64='Flujo de Pagos'!$E286,64,9999)</f>
        <v>64</v>
      </c>
      <c r="CG286" s="0" t="n">
        <f aca="false">IF(Presupuesto!$B$65='Flujo de Pagos'!$E286,65,9999)</f>
        <v>65</v>
      </c>
      <c r="CH286" s="0" t="n">
        <f aca="false">IF(Presupuesto!$B$66='Flujo de Pagos'!$E286,66,9999)</f>
        <v>66</v>
      </c>
    </row>
    <row r="287" customFormat="false" ht="15" hidden="false" customHeight="true" outlineLevel="0" collapsed="false">
      <c r="B287" s="1" t="n">
        <f aca="false">IF(AND('Flujo de Pagos'!E292=Carátula!$B$2,'Flujo de Pagos'!F292=Carátula!$B$4,'Flujo de Pagos'!H292&lt;&gt;""),292,99999)</f>
        <v>99999</v>
      </c>
      <c r="H287" s="1" t="n">
        <f aca="false">IF(SMALL($AA287:$CH287,1)&gt;=9999,"",INDEX(Presupuesto!$C:$C,SMALL($AA287:$CH287,1)))</f>
        <v>0</v>
      </c>
      <c r="I287" s="1" t="n">
        <f aca="false">IF(SMALL($AA287:$CH287,2)&gt;=9999,"",INDEX(Presupuesto!$C:$C,SMALL($AA287:$CH287,2)))</f>
        <v>0</v>
      </c>
      <c r="J287" s="1" t="n">
        <f aca="false">IF(SMALL($AA287:$CH287,3)&gt;=9999,"",INDEX(Presupuesto!$C:$C,SMALL($AA287:$CH287,3)))</f>
        <v>0</v>
      </c>
      <c r="K287" s="1" t="n">
        <f aca="false">IF(SMALL($AA287:$CH287,4)&gt;=9999,"",INDEX(Presupuesto!$C:$C,SMALL($AA287:$CH287,4)))</f>
        <v>0</v>
      </c>
      <c r="L287" s="1" t="n">
        <f aca="false">IF(SMALL($AA287:$CH287,5)&gt;=9999,"",INDEX(Presupuesto!$C:$C,SMALL($AA287:$CH287,5)))</f>
        <v>0</v>
      </c>
      <c r="M287" s="1" t="n">
        <f aca="false">IF(SMALL($AA287:$CH287,6)&gt;=9999,"",INDEX(Presupuesto!$C:$C,SMALL($AA287:$CH287,6)))</f>
        <v>0</v>
      </c>
      <c r="N287" s="1" t="n">
        <f aca="false">IF(SMALL($AA287:$CH287,7)&gt;=9999,"",INDEX(Presupuesto!$C:$C,SMALL($AA287:$CH287,7)))</f>
        <v>0</v>
      </c>
      <c r="O287" s="1" t="n">
        <f aca="false">IF(SMALL($AA287:$CH287,8)&gt;=9999,"",INDEX(Presupuesto!$C:$C,SMALL($AA287:$CH287,8)))</f>
        <v>0</v>
      </c>
      <c r="P287" s="1" t="n">
        <f aca="false">IF(SMALL($AA287:$CH287,9)&gt;=9999,"",INDEX(Presupuesto!$C:$C,SMALL($AA287:$CH287,9)))</f>
        <v>0</v>
      </c>
      <c r="Q287" s="1" t="n">
        <f aca="false">IF(SMALL($AA287:$CH287,10)&gt;=9999,"",INDEX(Presupuesto!$C:$C,SMALL($AA287:$CH287,10)))</f>
        <v>0</v>
      </c>
      <c r="AA287" s="0" t="n">
        <f aca="false">IF(Presupuesto!$B$7='Flujo de Pagos'!$E287,7,9999)</f>
        <v>9999</v>
      </c>
      <c r="AB287" s="0" t="n">
        <f aca="false">IF(Presupuesto!$B$8='Flujo de Pagos'!$E287,8,9999)</f>
        <v>9999</v>
      </c>
      <c r="AC287" s="0" t="n">
        <f aca="false">IF(Presupuesto!$B$9='Flujo de Pagos'!$E287,9,9999)</f>
        <v>9999</v>
      </c>
      <c r="AD287" s="0" t="n">
        <f aca="false">IF(Presupuesto!$B$10='Flujo de Pagos'!$E287,10,9999)</f>
        <v>9999</v>
      </c>
      <c r="AE287" s="0" t="n">
        <f aca="false">IF(Presupuesto!$B$11='Flujo de Pagos'!$E287,11,9999)</f>
        <v>9999</v>
      </c>
      <c r="AF287" s="0" t="n">
        <f aca="false">IF(Presupuesto!$B$12='Flujo de Pagos'!$E287,12,9999)</f>
        <v>12</v>
      </c>
      <c r="AG287" s="0" t="n">
        <f aca="false">IF(Presupuesto!$B$13='Flujo de Pagos'!$E287,13,9999)</f>
        <v>13</v>
      </c>
      <c r="AH287" s="0" t="n">
        <f aca="false">IF(Presupuesto!$B$14='Flujo de Pagos'!$E287,14,9999)</f>
        <v>14</v>
      </c>
      <c r="AI287" s="0" t="n">
        <f aca="false">IF(Presupuesto!$B$15='Flujo de Pagos'!$E287,15,9999)</f>
        <v>15</v>
      </c>
      <c r="AJ287" s="0" t="n">
        <f aca="false">IF(Presupuesto!$B$16='Flujo de Pagos'!$E287,16,9999)</f>
        <v>16</v>
      </c>
      <c r="AK287" s="0" t="n">
        <f aca="false">IF(Presupuesto!$B$17='Flujo de Pagos'!$E287,17,9999)</f>
        <v>17</v>
      </c>
      <c r="AL287" s="0" t="n">
        <f aca="false">IF(Presupuesto!$B$18='Flujo de Pagos'!$E287,18,9999)</f>
        <v>18</v>
      </c>
      <c r="AM287" s="0" t="n">
        <f aca="false">IF(Presupuesto!$B$19='Flujo de Pagos'!$E287,19,9999)</f>
        <v>19</v>
      </c>
      <c r="AN287" s="0" t="n">
        <f aca="false">IF(Presupuesto!$B$20='Flujo de Pagos'!$E287,20,9999)</f>
        <v>20</v>
      </c>
      <c r="AO287" s="0" t="n">
        <f aca="false">IF(Presupuesto!$B$21='Flujo de Pagos'!$E287,21,9999)</f>
        <v>21</v>
      </c>
      <c r="AP287" s="0" t="n">
        <f aca="false">IF(Presupuesto!$B$22='Flujo de Pagos'!$E287,22,9999)</f>
        <v>22</v>
      </c>
      <c r="AQ287" s="0" t="n">
        <f aca="false">IF(Presupuesto!$B$23='Flujo de Pagos'!$E287,23,9999)</f>
        <v>23</v>
      </c>
      <c r="AR287" s="0" t="n">
        <f aca="false">IF(Presupuesto!$B$24='Flujo de Pagos'!$E287,24,9999)</f>
        <v>24</v>
      </c>
      <c r="AS287" s="0" t="n">
        <f aca="false">IF(Presupuesto!$B$25='Flujo de Pagos'!$E287,25,9999)</f>
        <v>25</v>
      </c>
      <c r="AT287" s="0" t="n">
        <f aca="false">IF(Presupuesto!$B$26='Flujo de Pagos'!$E287,26,9999)</f>
        <v>26</v>
      </c>
      <c r="AU287" s="0" t="n">
        <f aca="false">IF(Presupuesto!$B$27='Flujo de Pagos'!$E287,27,9999)</f>
        <v>27</v>
      </c>
      <c r="AV287" s="0" t="n">
        <f aca="false">IF(Presupuesto!$B$28='Flujo de Pagos'!$E287,28,9999)</f>
        <v>28</v>
      </c>
      <c r="AW287" s="0" t="n">
        <f aca="false">IF(Presupuesto!$B$29='Flujo de Pagos'!$E287,29,9999)</f>
        <v>29</v>
      </c>
      <c r="AX287" s="0" t="n">
        <f aca="false">IF(Presupuesto!$B$30='Flujo de Pagos'!$E287,30,9999)</f>
        <v>30</v>
      </c>
      <c r="AY287" s="0" t="n">
        <f aca="false">IF(Presupuesto!$B$31='Flujo de Pagos'!$E287,31,9999)</f>
        <v>31</v>
      </c>
      <c r="AZ287" s="0" t="n">
        <f aca="false">IF(Presupuesto!$B$32='Flujo de Pagos'!$E287,32,9999)</f>
        <v>32</v>
      </c>
      <c r="BA287" s="0" t="n">
        <f aca="false">IF(Presupuesto!$B$33='Flujo de Pagos'!$E287,33,9999)</f>
        <v>33</v>
      </c>
      <c r="BB287" s="0" t="n">
        <f aca="false">IF(Presupuesto!$B$34='Flujo de Pagos'!$E287,34,9999)</f>
        <v>34</v>
      </c>
      <c r="BC287" s="0" t="n">
        <f aca="false">IF(Presupuesto!$B$35='Flujo de Pagos'!$E287,35,9999)</f>
        <v>35</v>
      </c>
      <c r="BD287" s="0" t="n">
        <f aca="false">IF(Presupuesto!$B$36='Flujo de Pagos'!$E287,36,9999)</f>
        <v>36</v>
      </c>
      <c r="BE287" s="0" t="n">
        <f aca="false">IF(Presupuesto!$B$37='Flujo de Pagos'!$E287,37,9999)</f>
        <v>37</v>
      </c>
      <c r="BF287" s="0" t="n">
        <f aca="false">IF(Presupuesto!$B$38='Flujo de Pagos'!$E287,38,9999)</f>
        <v>38</v>
      </c>
      <c r="BG287" s="0" t="n">
        <f aca="false">IF(Presupuesto!$B$39='Flujo de Pagos'!$E287,39,9999)</f>
        <v>39</v>
      </c>
      <c r="BH287" s="0" t="n">
        <f aca="false">IF(Presupuesto!$B$40='Flujo de Pagos'!$E287,40,9999)</f>
        <v>40</v>
      </c>
      <c r="BI287" s="0" t="n">
        <f aca="false">IF(Presupuesto!$B$41='Flujo de Pagos'!$E287,41,9999)</f>
        <v>41</v>
      </c>
      <c r="BJ287" s="0" t="n">
        <f aca="false">IF(Presupuesto!$B$42='Flujo de Pagos'!$E287,42,9999)</f>
        <v>42</v>
      </c>
      <c r="BK287" s="0" t="n">
        <f aca="false">IF(Presupuesto!$B$43='Flujo de Pagos'!$E287,43,9999)</f>
        <v>43</v>
      </c>
      <c r="BL287" s="0" t="n">
        <f aca="false">IF(Presupuesto!$B$44='Flujo de Pagos'!$E287,44,9999)</f>
        <v>44</v>
      </c>
      <c r="BM287" s="0" t="n">
        <f aca="false">IF(Presupuesto!$B$45='Flujo de Pagos'!$E287,45,9999)</f>
        <v>45</v>
      </c>
      <c r="BN287" s="0" t="n">
        <f aca="false">IF(Presupuesto!$B$46='Flujo de Pagos'!$E287,46,9999)</f>
        <v>46</v>
      </c>
      <c r="BO287" s="0" t="n">
        <f aca="false">IF(Presupuesto!$B$47='Flujo de Pagos'!$E287,47,9999)</f>
        <v>47</v>
      </c>
      <c r="BP287" s="0" t="n">
        <f aca="false">IF(Presupuesto!$B$48='Flujo de Pagos'!$E287,48,9999)</f>
        <v>48</v>
      </c>
      <c r="BQ287" s="0" t="n">
        <f aca="false">IF(Presupuesto!$B$49='Flujo de Pagos'!$E287,49,9999)</f>
        <v>49</v>
      </c>
      <c r="BR287" s="0" t="n">
        <f aca="false">IF(Presupuesto!$B$50='Flujo de Pagos'!$E287,50,9999)</f>
        <v>50</v>
      </c>
      <c r="BS287" s="0" t="n">
        <f aca="false">IF(Presupuesto!$B$51='Flujo de Pagos'!$E287,51,9999)</f>
        <v>51</v>
      </c>
      <c r="BT287" s="0" t="n">
        <f aca="false">IF(Presupuesto!$B$52='Flujo de Pagos'!$E287,52,9999)</f>
        <v>52</v>
      </c>
      <c r="BU287" s="0" t="n">
        <f aca="false">IF(Presupuesto!$B$53='Flujo de Pagos'!$E287,53,9999)</f>
        <v>53</v>
      </c>
      <c r="BV287" s="0" t="n">
        <f aca="false">IF(Presupuesto!$B$54='Flujo de Pagos'!$E287,54,9999)</f>
        <v>54</v>
      </c>
      <c r="BW287" s="0" t="n">
        <f aca="false">IF(Presupuesto!$B$55='Flujo de Pagos'!$E287,55,9999)</f>
        <v>55</v>
      </c>
      <c r="BX287" s="0" t="n">
        <f aca="false">IF(Presupuesto!$B$56='Flujo de Pagos'!$E287,56,9999)</f>
        <v>56</v>
      </c>
      <c r="BY287" s="0" t="n">
        <f aca="false">IF(Presupuesto!$B$57='Flujo de Pagos'!$E287,57,9999)</f>
        <v>57</v>
      </c>
      <c r="BZ287" s="0" t="n">
        <f aca="false">IF(Presupuesto!$B$58='Flujo de Pagos'!$E287,58,9999)</f>
        <v>58</v>
      </c>
      <c r="CA287" s="0" t="n">
        <f aca="false">IF(Presupuesto!$B$59='Flujo de Pagos'!$E287,59,9999)</f>
        <v>59</v>
      </c>
      <c r="CB287" s="0" t="n">
        <f aca="false">IF(Presupuesto!$B$60='Flujo de Pagos'!$E287,60,9999)</f>
        <v>60</v>
      </c>
      <c r="CC287" s="0" t="n">
        <f aca="false">IF(Presupuesto!$B$61='Flujo de Pagos'!$E287,61,9999)</f>
        <v>61</v>
      </c>
      <c r="CD287" s="0" t="n">
        <f aca="false">IF(Presupuesto!$B$62='Flujo de Pagos'!$E287,62,9999)</f>
        <v>62</v>
      </c>
      <c r="CE287" s="0" t="n">
        <f aca="false">IF(Presupuesto!$B$63='Flujo de Pagos'!$E287,63,9999)</f>
        <v>63</v>
      </c>
      <c r="CF287" s="0" t="n">
        <f aca="false">IF(Presupuesto!$B$64='Flujo de Pagos'!$E287,64,9999)</f>
        <v>64</v>
      </c>
      <c r="CG287" s="0" t="n">
        <f aca="false">IF(Presupuesto!$B$65='Flujo de Pagos'!$E287,65,9999)</f>
        <v>65</v>
      </c>
      <c r="CH287" s="0" t="n">
        <f aca="false">IF(Presupuesto!$B$66='Flujo de Pagos'!$E287,66,9999)</f>
        <v>66</v>
      </c>
    </row>
    <row r="288" customFormat="false" ht="15" hidden="false" customHeight="true" outlineLevel="0" collapsed="false">
      <c r="B288" s="1" t="n">
        <f aca="false">IF(AND('Flujo de Pagos'!E293=Carátula!$B$2,'Flujo de Pagos'!F293=Carátula!$B$4,'Flujo de Pagos'!H293&lt;&gt;""),293,99999)</f>
        <v>99999</v>
      </c>
      <c r="H288" s="1" t="n">
        <f aca="false">IF(SMALL($AA288:$CH288,1)&gt;=9999,"",INDEX(Presupuesto!$C:$C,SMALL($AA288:$CH288,1)))</f>
        <v>0</v>
      </c>
      <c r="I288" s="1" t="n">
        <f aca="false">IF(SMALL($AA288:$CH288,2)&gt;=9999,"",INDEX(Presupuesto!$C:$C,SMALL($AA288:$CH288,2)))</f>
        <v>0</v>
      </c>
      <c r="J288" s="1" t="n">
        <f aca="false">IF(SMALL($AA288:$CH288,3)&gt;=9999,"",INDEX(Presupuesto!$C:$C,SMALL($AA288:$CH288,3)))</f>
        <v>0</v>
      </c>
      <c r="K288" s="1" t="n">
        <f aca="false">IF(SMALL($AA288:$CH288,4)&gt;=9999,"",INDEX(Presupuesto!$C:$C,SMALL($AA288:$CH288,4)))</f>
        <v>0</v>
      </c>
      <c r="L288" s="1" t="n">
        <f aca="false">IF(SMALL($AA288:$CH288,5)&gt;=9999,"",INDEX(Presupuesto!$C:$C,SMALL($AA288:$CH288,5)))</f>
        <v>0</v>
      </c>
      <c r="M288" s="1" t="n">
        <f aca="false">IF(SMALL($AA288:$CH288,6)&gt;=9999,"",INDEX(Presupuesto!$C:$C,SMALL($AA288:$CH288,6)))</f>
        <v>0</v>
      </c>
      <c r="N288" s="1" t="n">
        <f aca="false">IF(SMALL($AA288:$CH288,7)&gt;=9999,"",INDEX(Presupuesto!$C:$C,SMALL($AA288:$CH288,7)))</f>
        <v>0</v>
      </c>
      <c r="O288" s="1" t="n">
        <f aca="false">IF(SMALL($AA288:$CH288,8)&gt;=9999,"",INDEX(Presupuesto!$C:$C,SMALL($AA288:$CH288,8)))</f>
        <v>0</v>
      </c>
      <c r="P288" s="1" t="n">
        <f aca="false">IF(SMALL($AA288:$CH288,9)&gt;=9999,"",INDEX(Presupuesto!$C:$C,SMALL($AA288:$CH288,9)))</f>
        <v>0</v>
      </c>
      <c r="Q288" s="1" t="n">
        <f aca="false">IF(SMALL($AA288:$CH288,10)&gt;=9999,"",INDEX(Presupuesto!$C:$C,SMALL($AA288:$CH288,10)))</f>
        <v>0</v>
      </c>
      <c r="AA288" s="0" t="n">
        <f aca="false">IF(Presupuesto!$B$7='Flujo de Pagos'!$E288,7,9999)</f>
        <v>9999</v>
      </c>
      <c r="AB288" s="0" t="n">
        <f aca="false">IF(Presupuesto!$B$8='Flujo de Pagos'!$E288,8,9999)</f>
        <v>9999</v>
      </c>
      <c r="AC288" s="0" t="n">
        <f aca="false">IF(Presupuesto!$B$9='Flujo de Pagos'!$E288,9,9999)</f>
        <v>9999</v>
      </c>
      <c r="AD288" s="0" t="n">
        <f aca="false">IF(Presupuesto!$B$10='Flujo de Pagos'!$E288,10,9999)</f>
        <v>9999</v>
      </c>
      <c r="AE288" s="0" t="n">
        <f aca="false">IF(Presupuesto!$B$11='Flujo de Pagos'!$E288,11,9999)</f>
        <v>9999</v>
      </c>
      <c r="AF288" s="0" t="n">
        <f aca="false">IF(Presupuesto!$B$12='Flujo de Pagos'!$E288,12,9999)</f>
        <v>12</v>
      </c>
      <c r="AG288" s="0" t="n">
        <f aca="false">IF(Presupuesto!$B$13='Flujo de Pagos'!$E288,13,9999)</f>
        <v>13</v>
      </c>
      <c r="AH288" s="0" t="n">
        <f aca="false">IF(Presupuesto!$B$14='Flujo de Pagos'!$E288,14,9999)</f>
        <v>14</v>
      </c>
      <c r="AI288" s="0" t="n">
        <f aca="false">IF(Presupuesto!$B$15='Flujo de Pagos'!$E288,15,9999)</f>
        <v>15</v>
      </c>
      <c r="AJ288" s="0" t="n">
        <f aca="false">IF(Presupuesto!$B$16='Flujo de Pagos'!$E288,16,9999)</f>
        <v>16</v>
      </c>
      <c r="AK288" s="0" t="n">
        <f aca="false">IF(Presupuesto!$B$17='Flujo de Pagos'!$E288,17,9999)</f>
        <v>17</v>
      </c>
      <c r="AL288" s="0" t="n">
        <f aca="false">IF(Presupuesto!$B$18='Flujo de Pagos'!$E288,18,9999)</f>
        <v>18</v>
      </c>
      <c r="AM288" s="0" t="n">
        <f aca="false">IF(Presupuesto!$B$19='Flujo de Pagos'!$E288,19,9999)</f>
        <v>19</v>
      </c>
      <c r="AN288" s="0" t="n">
        <f aca="false">IF(Presupuesto!$B$20='Flujo de Pagos'!$E288,20,9999)</f>
        <v>20</v>
      </c>
      <c r="AO288" s="0" t="n">
        <f aca="false">IF(Presupuesto!$B$21='Flujo de Pagos'!$E288,21,9999)</f>
        <v>21</v>
      </c>
      <c r="AP288" s="0" t="n">
        <f aca="false">IF(Presupuesto!$B$22='Flujo de Pagos'!$E288,22,9999)</f>
        <v>22</v>
      </c>
      <c r="AQ288" s="0" t="n">
        <f aca="false">IF(Presupuesto!$B$23='Flujo de Pagos'!$E288,23,9999)</f>
        <v>23</v>
      </c>
      <c r="AR288" s="0" t="n">
        <f aca="false">IF(Presupuesto!$B$24='Flujo de Pagos'!$E288,24,9999)</f>
        <v>24</v>
      </c>
      <c r="AS288" s="0" t="n">
        <f aca="false">IF(Presupuesto!$B$25='Flujo de Pagos'!$E288,25,9999)</f>
        <v>25</v>
      </c>
      <c r="AT288" s="0" t="n">
        <f aca="false">IF(Presupuesto!$B$26='Flujo de Pagos'!$E288,26,9999)</f>
        <v>26</v>
      </c>
      <c r="AU288" s="0" t="n">
        <f aca="false">IF(Presupuesto!$B$27='Flujo de Pagos'!$E288,27,9999)</f>
        <v>27</v>
      </c>
      <c r="AV288" s="0" t="n">
        <f aca="false">IF(Presupuesto!$B$28='Flujo de Pagos'!$E288,28,9999)</f>
        <v>28</v>
      </c>
      <c r="AW288" s="0" t="n">
        <f aca="false">IF(Presupuesto!$B$29='Flujo de Pagos'!$E288,29,9999)</f>
        <v>29</v>
      </c>
      <c r="AX288" s="0" t="n">
        <f aca="false">IF(Presupuesto!$B$30='Flujo de Pagos'!$E288,30,9999)</f>
        <v>30</v>
      </c>
      <c r="AY288" s="0" t="n">
        <f aca="false">IF(Presupuesto!$B$31='Flujo de Pagos'!$E288,31,9999)</f>
        <v>31</v>
      </c>
      <c r="AZ288" s="0" t="n">
        <f aca="false">IF(Presupuesto!$B$32='Flujo de Pagos'!$E288,32,9999)</f>
        <v>32</v>
      </c>
      <c r="BA288" s="0" t="n">
        <f aca="false">IF(Presupuesto!$B$33='Flujo de Pagos'!$E288,33,9999)</f>
        <v>33</v>
      </c>
      <c r="BB288" s="0" t="n">
        <f aca="false">IF(Presupuesto!$B$34='Flujo de Pagos'!$E288,34,9999)</f>
        <v>34</v>
      </c>
      <c r="BC288" s="0" t="n">
        <f aca="false">IF(Presupuesto!$B$35='Flujo de Pagos'!$E288,35,9999)</f>
        <v>35</v>
      </c>
      <c r="BD288" s="0" t="n">
        <f aca="false">IF(Presupuesto!$B$36='Flujo de Pagos'!$E288,36,9999)</f>
        <v>36</v>
      </c>
      <c r="BE288" s="0" t="n">
        <f aca="false">IF(Presupuesto!$B$37='Flujo de Pagos'!$E288,37,9999)</f>
        <v>37</v>
      </c>
      <c r="BF288" s="0" t="n">
        <f aca="false">IF(Presupuesto!$B$38='Flujo de Pagos'!$E288,38,9999)</f>
        <v>38</v>
      </c>
      <c r="BG288" s="0" t="n">
        <f aca="false">IF(Presupuesto!$B$39='Flujo de Pagos'!$E288,39,9999)</f>
        <v>39</v>
      </c>
      <c r="BH288" s="0" t="n">
        <f aca="false">IF(Presupuesto!$B$40='Flujo de Pagos'!$E288,40,9999)</f>
        <v>40</v>
      </c>
      <c r="BI288" s="0" t="n">
        <f aca="false">IF(Presupuesto!$B$41='Flujo de Pagos'!$E288,41,9999)</f>
        <v>41</v>
      </c>
      <c r="BJ288" s="0" t="n">
        <f aca="false">IF(Presupuesto!$B$42='Flujo de Pagos'!$E288,42,9999)</f>
        <v>42</v>
      </c>
      <c r="BK288" s="0" t="n">
        <f aca="false">IF(Presupuesto!$B$43='Flujo de Pagos'!$E288,43,9999)</f>
        <v>43</v>
      </c>
      <c r="BL288" s="0" t="n">
        <f aca="false">IF(Presupuesto!$B$44='Flujo de Pagos'!$E288,44,9999)</f>
        <v>44</v>
      </c>
      <c r="BM288" s="0" t="n">
        <f aca="false">IF(Presupuesto!$B$45='Flujo de Pagos'!$E288,45,9999)</f>
        <v>45</v>
      </c>
      <c r="BN288" s="0" t="n">
        <f aca="false">IF(Presupuesto!$B$46='Flujo de Pagos'!$E288,46,9999)</f>
        <v>46</v>
      </c>
      <c r="BO288" s="0" t="n">
        <f aca="false">IF(Presupuesto!$B$47='Flujo de Pagos'!$E288,47,9999)</f>
        <v>47</v>
      </c>
      <c r="BP288" s="0" t="n">
        <f aca="false">IF(Presupuesto!$B$48='Flujo de Pagos'!$E288,48,9999)</f>
        <v>48</v>
      </c>
      <c r="BQ288" s="0" t="n">
        <f aca="false">IF(Presupuesto!$B$49='Flujo de Pagos'!$E288,49,9999)</f>
        <v>49</v>
      </c>
      <c r="BR288" s="0" t="n">
        <f aca="false">IF(Presupuesto!$B$50='Flujo de Pagos'!$E288,50,9999)</f>
        <v>50</v>
      </c>
      <c r="BS288" s="0" t="n">
        <f aca="false">IF(Presupuesto!$B$51='Flujo de Pagos'!$E288,51,9999)</f>
        <v>51</v>
      </c>
      <c r="BT288" s="0" t="n">
        <f aca="false">IF(Presupuesto!$B$52='Flujo de Pagos'!$E288,52,9999)</f>
        <v>52</v>
      </c>
      <c r="BU288" s="0" t="n">
        <f aca="false">IF(Presupuesto!$B$53='Flujo de Pagos'!$E288,53,9999)</f>
        <v>53</v>
      </c>
      <c r="BV288" s="0" t="n">
        <f aca="false">IF(Presupuesto!$B$54='Flujo de Pagos'!$E288,54,9999)</f>
        <v>54</v>
      </c>
      <c r="BW288" s="0" t="n">
        <f aca="false">IF(Presupuesto!$B$55='Flujo de Pagos'!$E288,55,9999)</f>
        <v>55</v>
      </c>
      <c r="BX288" s="0" t="n">
        <f aca="false">IF(Presupuesto!$B$56='Flujo de Pagos'!$E288,56,9999)</f>
        <v>56</v>
      </c>
      <c r="BY288" s="0" t="n">
        <f aca="false">IF(Presupuesto!$B$57='Flujo de Pagos'!$E288,57,9999)</f>
        <v>57</v>
      </c>
      <c r="BZ288" s="0" t="n">
        <f aca="false">IF(Presupuesto!$B$58='Flujo de Pagos'!$E288,58,9999)</f>
        <v>58</v>
      </c>
      <c r="CA288" s="0" t="n">
        <f aca="false">IF(Presupuesto!$B$59='Flujo de Pagos'!$E288,59,9999)</f>
        <v>59</v>
      </c>
      <c r="CB288" s="0" t="n">
        <f aca="false">IF(Presupuesto!$B$60='Flujo de Pagos'!$E288,60,9999)</f>
        <v>60</v>
      </c>
      <c r="CC288" s="0" t="n">
        <f aca="false">IF(Presupuesto!$B$61='Flujo de Pagos'!$E288,61,9999)</f>
        <v>61</v>
      </c>
      <c r="CD288" s="0" t="n">
        <f aca="false">IF(Presupuesto!$B$62='Flujo de Pagos'!$E288,62,9999)</f>
        <v>62</v>
      </c>
      <c r="CE288" s="0" t="n">
        <f aca="false">IF(Presupuesto!$B$63='Flujo de Pagos'!$E288,63,9999)</f>
        <v>63</v>
      </c>
      <c r="CF288" s="0" t="n">
        <f aca="false">IF(Presupuesto!$B$64='Flujo de Pagos'!$E288,64,9999)</f>
        <v>64</v>
      </c>
      <c r="CG288" s="0" t="n">
        <f aca="false">IF(Presupuesto!$B$65='Flujo de Pagos'!$E288,65,9999)</f>
        <v>65</v>
      </c>
      <c r="CH288" s="0" t="n">
        <f aca="false">IF(Presupuesto!$B$66='Flujo de Pagos'!$E288,66,9999)</f>
        <v>66</v>
      </c>
    </row>
    <row r="289" customFormat="false" ht="15" hidden="false" customHeight="true" outlineLevel="0" collapsed="false">
      <c r="B289" s="1" t="n">
        <f aca="false">IF(AND('Flujo de Pagos'!E294=Carátula!$B$2,'Flujo de Pagos'!F294=Carátula!$B$4,'Flujo de Pagos'!H294&lt;&gt;""),294,99999)</f>
        <v>99999</v>
      </c>
      <c r="H289" s="1" t="n">
        <f aca="false">IF(SMALL($AA289:$CH289,1)&gt;=9999,"",INDEX(Presupuesto!$C:$C,SMALL($AA289:$CH289,1)))</f>
        <v>0</v>
      </c>
      <c r="I289" s="1" t="n">
        <f aca="false">IF(SMALL($AA289:$CH289,2)&gt;=9999,"",INDEX(Presupuesto!$C:$C,SMALL($AA289:$CH289,2)))</f>
        <v>0</v>
      </c>
      <c r="J289" s="1" t="n">
        <f aca="false">IF(SMALL($AA289:$CH289,3)&gt;=9999,"",INDEX(Presupuesto!$C:$C,SMALL($AA289:$CH289,3)))</f>
        <v>0</v>
      </c>
      <c r="K289" s="1" t="n">
        <f aca="false">IF(SMALL($AA289:$CH289,4)&gt;=9999,"",INDEX(Presupuesto!$C:$C,SMALL($AA289:$CH289,4)))</f>
        <v>0</v>
      </c>
      <c r="L289" s="1" t="n">
        <f aca="false">IF(SMALL($AA289:$CH289,5)&gt;=9999,"",INDEX(Presupuesto!$C:$C,SMALL($AA289:$CH289,5)))</f>
        <v>0</v>
      </c>
      <c r="M289" s="1" t="n">
        <f aca="false">IF(SMALL($AA289:$CH289,6)&gt;=9999,"",INDEX(Presupuesto!$C:$C,SMALL($AA289:$CH289,6)))</f>
        <v>0</v>
      </c>
      <c r="N289" s="1" t="n">
        <f aca="false">IF(SMALL($AA289:$CH289,7)&gt;=9999,"",INDEX(Presupuesto!$C:$C,SMALL($AA289:$CH289,7)))</f>
        <v>0</v>
      </c>
      <c r="O289" s="1" t="n">
        <f aca="false">IF(SMALL($AA289:$CH289,8)&gt;=9999,"",INDEX(Presupuesto!$C:$C,SMALL($AA289:$CH289,8)))</f>
        <v>0</v>
      </c>
      <c r="P289" s="1" t="n">
        <f aca="false">IF(SMALL($AA289:$CH289,9)&gt;=9999,"",INDEX(Presupuesto!$C:$C,SMALL($AA289:$CH289,9)))</f>
        <v>0</v>
      </c>
      <c r="Q289" s="1" t="n">
        <f aca="false">IF(SMALL($AA289:$CH289,10)&gt;=9999,"",INDEX(Presupuesto!$C:$C,SMALL($AA289:$CH289,10)))</f>
        <v>0</v>
      </c>
      <c r="AA289" s="0" t="n">
        <f aca="false">IF(Presupuesto!$B$7='Flujo de Pagos'!$E289,7,9999)</f>
        <v>9999</v>
      </c>
      <c r="AB289" s="0" t="n">
        <f aca="false">IF(Presupuesto!$B$8='Flujo de Pagos'!$E289,8,9999)</f>
        <v>9999</v>
      </c>
      <c r="AC289" s="0" t="n">
        <f aca="false">IF(Presupuesto!$B$9='Flujo de Pagos'!$E289,9,9999)</f>
        <v>9999</v>
      </c>
      <c r="AD289" s="0" t="n">
        <f aca="false">IF(Presupuesto!$B$10='Flujo de Pagos'!$E289,10,9999)</f>
        <v>9999</v>
      </c>
      <c r="AE289" s="0" t="n">
        <f aca="false">IF(Presupuesto!$B$11='Flujo de Pagos'!$E289,11,9999)</f>
        <v>9999</v>
      </c>
      <c r="AF289" s="0" t="n">
        <f aca="false">IF(Presupuesto!$B$12='Flujo de Pagos'!$E289,12,9999)</f>
        <v>12</v>
      </c>
      <c r="AG289" s="0" t="n">
        <f aca="false">IF(Presupuesto!$B$13='Flujo de Pagos'!$E289,13,9999)</f>
        <v>13</v>
      </c>
      <c r="AH289" s="0" t="n">
        <f aca="false">IF(Presupuesto!$B$14='Flujo de Pagos'!$E289,14,9999)</f>
        <v>14</v>
      </c>
      <c r="AI289" s="0" t="n">
        <f aca="false">IF(Presupuesto!$B$15='Flujo de Pagos'!$E289,15,9999)</f>
        <v>15</v>
      </c>
      <c r="AJ289" s="0" t="n">
        <f aca="false">IF(Presupuesto!$B$16='Flujo de Pagos'!$E289,16,9999)</f>
        <v>16</v>
      </c>
      <c r="AK289" s="0" t="n">
        <f aca="false">IF(Presupuesto!$B$17='Flujo de Pagos'!$E289,17,9999)</f>
        <v>17</v>
      </c>
      <c r="AL289" s="0" t="n">
        <f aca="false">IF(Presupuesto!$B$18='Flujo de Pagos'!$E289,18,9999)</f>
        <v>18</v>
      </c>
      <c r="AM289" s="0" t="n">
        <f aca="false">IF(Presupuesto!$B$19='Flujo de Pagos'!$E289,19,9999)</f>
        <v>19</v>
      </c>
      <c r="AN289" s="0" t="n">
        <f aca="false">IF(Presupuesto!$B$20='Flujo de Pagos'!$E289,20,9999)</f>
        <v>20</v>
      </c>
      <c r="AO289" s="0" t="n">
        <f aca="false">IF(Presupuesto!$B$21='Flujo de Pagos'!$E289,21,9999)</f>
        <v>21</v>
      </c>
      <c r="AP289" s="0" t="n">
        <f aca="false">IF(Presupuesto!$B$22='Flujo de Pagos'!$E289,22,9999)</f>
        <v>22</v>
      </c>
      <c r="AQ289" s="0" t="n">
        <f aca="false">IF(Presupuesto!$B$23='Flujo de Pagos'!$E289,23,9999)</f>
        <v>23</v>
      </c>
      <c r="AR289" s="0" t="n">
        <f aca="false">IF(Presupuesto!$B$24='Flujo de Pagos'!$E289,24,9999)</f>
        <v>24</v>
      </c>
      <c r="AS289" s="0" t="n">
        <f aca="false">IF(Presupuesto!$B$25='Flujo de Pagos'!$E289,25,9999)</f>
        <v>25</v>
      </c>
      <c r="AT289" s="0" t="n">
        <f aca="false">IF(Presupuesto!$B$26='Flujo de Pagos'!$E289,26,9999)</f>
        <v>26</v>
      </c>
      <c r="AU289" s="0" t="n">
        <f aca="false">IF(Presupuesto!$B$27='Flujo de Pagos'!$E289,27,9999)</f>
        <v>27</v>
      </c>
      <c r="AV289" s="0" t="n">
        <f aca="false">IF(Presupuesto!$B$28='Flujo de Pagos'!$E289,28,9999)</f>
        <v>28</v>
      </c>
      <c r="AW289" s="0" t="n">
        <f aca="false">IF(Presupuesto!$B$29='Flujo de Pagos'!$E289,29,9999)</f>
        <v>29</v>
      </c>
      <c r="AX289" s="0" t="n">
        <f aca="false">IF(Presupuesto!$B$30='Flujo de Pagos'!$E289,30,9999)</f>
        <v>30</v>
      </c>
      <c r="AY289" s="0" t="n">
        <f aca="false">IF(Presupuesto!$B$31='Flujo de Pagos'!$E289,31,9999)</f>
        <v>31</v>
      </c>
      <c r="AZ289" s="0" t="n">
        <f aca="false">IF(Presupuesto!$B$32='Flujo de Pagos'!$E289,32,9999)</f>
        <v>32</v>
      </c>
      <c r="BA289" s="0" t="n">
        <f aca="false">IF(Presupuesto!$B$33='Flujo de Pagos'!$E289,33,9999)</f>
        <v>33</v>
      </c>
      <c r="BB289" s="0" t="n">
        <f aca="false">IF(Presupuesto!$B$34='Flujo de Pagos'!$E289,34,9999)</f>
        <v>34</v>
      </c>
      <c r="BC289" s="0" t="n">
        <f aca="false">IF(Presupuesto!$B$35='Flujo de Pagos'!$E289,35,9999)</f>
        <v>35</v>
      </c>
      <c r="BD289" s="0" t="n">
        <f aca="false">IF(Presupuesto!$B$36='Flujo de Pagos'!$E289,36,9999)</f>
        <v>36</v>
      </c>
      <c r="BE289" s="0" t="n">
        <f aca="false">IF(Presupuesto!$B$37='Flujo de Pagos'!$E289,37,9999)</f>
        <v>37</v>
      </c>
      <c r="BF289" s="0" t="n">
        <f aca="false">IF(Presupuesto!$B$38='Flujo de Pagos'!$E289,38,9999)</f>
        <v>38</v>
      </c>
      <c r="BG289" s="0" t="n">
        <f aca="false">IF(Presupuesto!$B$39='Flujo de Pagos'!$E289,39,9999)</f>
        <v>39</v>
      </c>
      <c r="BH289" s="0" t="n">
        <f aca="false">IF(Presupuesto!$B$40='Flujo de Pagos'!$E289,40,9999)</f>
        <v>40</v>
      </c>
      <c r="BI289" s="0" t="n">
        <f aca="false">IF(Presupuesto!$B$41='Flujo de Pagos'!$E289,41,9999)</f>
        <v>41</v>
      </c>
      <c r="BJ289" s="0" t="n">
        <f aca="false">IF(Presupuesto!$B$42='Flujo de Pagos'!$E289,42,9999)</f>
        <v>42</v>
      </c>
      <c r="BK289" s="0" t="n">
        <f aca="false">IF(Presupuesto!$B$43='Flujo de Pagos'!$E289,43,9999)</f>
        <v>43</v>
      </c>
      <c r="BL289" s="0" t="n">
        <f aca="false">IF(Presupuesto!$B$44='Flujo de Pagos'!$E289,44,9999)</f>
        <v>44</v>
      </c>
      <c r="BM289" s="0" t="n">
        <f aca="false">IF(Presupuesto!$B$45='Flujo de Pagos'!$E289,45,9999)</f>
        <v>45</v>
      </c>
      <c r="BN289" s="0" t="n">
        <f aca="false">IF(Presupuesto!$B$46='Flujo de Pagos'!$E289,46,9999)</f>
        <v>46</v>
      </c>
      <c r="BO289" s="0" t="n">
        <f aca="false">IF(Presupuesto!$B$47='Flujo de Pagos'!$E289,47,9999)</f>
        <v>47</v>
      </c>
      <c r="BP289" s="0" t="n">
        <f aca="false">IF(Presupuesto!$B$48='Flujo de Pagos'!$E289,48,9999)</f>
        <v>48</v>
      </c>
      <c r="BQ289" s="0" t="n">
        <f aca="false">IF(Presupuesto!$B$49='Flujo de Pagos'!$E289,49,9999)</f>
        <v>49</v>
      </c>
      <c r="BR289" s="0" t="n">
        <f aca="false">IF(Presupuesto!$B$50='Flujo de Pagos'!$E289,50,9999)</f>
        <v>50</v>
      </c>
      <c r="BS289" s="0" t="n">
        <f aca="false">IF(Presupuesto!$B$51='Flujo de Pagos'!$E289,51,9999)</f>
        <v>51</v>
      </c>
      <c r="BT289" s="0" t="n">
        <f aca="false">IF(Presupuesto!$B$52='Flujo de Pagos'!$E289,52,9999)</f>
        <v>52</v>
      </c>
      <c r="BU289" s="0" t="n">
        <f aca="false">IF(Presupuesto!$B$53='Flujo de Pagos'!$E289,53,9999)</f>
        <v>53</v>
      </c>
      <c r="BV289" s="0" t="n">
        <f aca="false">IF(Presupuesto!$B$54='Flujo de Pagos'!$E289,54,9999)</f>
        <v>54</v>
      </c>
      <c r="BW289" s="0" t="n">
        <f aca="false">IF(Presupuesto!$B$55='Flujo de Pagos'!$E289,55,9999)</f>
        <v>55</v>
      </c>
      <c r="BX289" s="0" t="n">
        <f aca="false">IF(Presupuesto!$B$56='Flujo de Pagos'!$E289,56,9999)</f>
        <v>56</v>
      </c>
      <c r="BY289" s="0" t="n">
        <f aca="false">IF(Presupuesto!$B$57='Flujo de Pagos'!$E289,57,9999)</f>
        <v>57</v>
      </c>
      <c r="BZ289" s="0" t="n">
        <f aca="false">IF(Presupuesto!$B$58='Flujo de Pagos'!$E289,58,9999)</f>
        <v>58</v>
      </c>
      <c r="CA289" s="0" t="n">
        <f aca="false">IF(Presupuesto!$B$59='Flujo de Pagos'!$E289,59,9999)</f>
        <v>59</v>
      </c>
      <c r="CB289" s="0" t="n">
        <f aca="false">IF(Presupuesto!$B$60='Flujo de Pagos'!$E289,60,9999)</f>
        <v>60</v>
      </c>
      <c r="CC289" s="0" t="n">
        <f aca="false">IF(Presupuesto!$B$61='Flujo de Pagos'!$E289,61,9999)</f>
        <v>61</v>
      </c>
      <c r="CD289" s="0" t="n">
        <f aca="false">IF(Presupuesto!$B$62='Flujo de Pagos'!$E289,62,9999)</f>
        <v>62</v>
      </c>
      <c r="CE289" s="0" t="n">
        <f aca="false">IF(Presupuesto!$B$63='Flujo de Pagos'!$E289,63,9999)</f>
        <v>63</v>
      </c>
      <c r="CF289" s="0" t="n">
        <f aca="false">IF(Presupuesto!$B$64='Flujo de Pagos'!$E289,64,9999)</f>
        <v>64</v>
      </c>
      <c r="CG289" s="0" t="n">
        <f aca="false">IF(Presupuesto!$B$65='Flujo de Pagos'!$E289,65,9999)</f>
        <v>65</v>
      </c>
      <c r="CH289" s="0" t="n">
        <f aca="false">IF(Presupuesto!$B$66='Flujo de Pagos'!$E289,66,9999)</f>
        <v>66</v>
      </c>
    </row>
    <row r="290" customFormat="false" ht="15" hidden="false" customHeight="true" outlineLevel="0" collapsed="false">
      <c r="B290" s="1" t="n">
        <f aca="false">IF(AND('Flujo de Pagos'!E295=Carátula!$B$2,'Flujo de Pagos'!F295=Carátula!$B$4,'Flujo de Pagos'!H295&lt;&gt;""),295,99999)</f>
        <v>99999</v>
      </c>
      <c r="H290" s="1" t="n">
        <f aca="false">IF(SMALL($AA290:$CH290,1)&gt;=9999,"",INDEX(Presupuesto!$C:$C,SMALL($AA290:$CH290,1)))</f>
        <v>0</v>
      </c>
      <c r="I290" s="1" t="n">
        <f aca="false">IF(SMALL($AA290:$CH290,2)&gt;=9999,"",INDEX(Presupuesto!$C:$C,SMALL($AA290:$CH290,2)))</f>
        <v>0</v>
      </c>
      <c r="J290" s="1" t="n">
        <f aca="false">IF(SMALL($AA290:$CH290,3)&gt;=9999,"",INDEX(Presupuesto!$C:$C,SMALL($AA290:$CH290,3)))</f>
        <v>0</v>
      </c>
      <c r="K290" s="1" t="n">
        <f aca="false">IF(SMALL($AA290:$CH290,4)&gt;=9999,"",INDEX(Presupuesto!$C:$C,SMALL($AA290:$CH290,4)))</f>
        <v>0</v>
      </c>
      <c r="L290" s="1" t="n">
        <f aca="false">IF(SMALL($AA290:$CH290,5)&gt;=9999,"",INDEX(Presupuesto!$C:$C,SMALL($AA290:$CH290,5)))</f>
        <v>0</v>
      </c>
      <c r="M290" s="1" t="n">
        <f aca="false">IF(SMALL($AA290:$CH290,6)&gt;=9999,"",INDEX(Presupuesto!$C:$C,SMALL($AA290:$CH290,6)))</f>
        <v>0</v>
      </c>
      <c r="N290" s="1" t="n">
        <f aca="false">IF(SMALL($AA290:$CH290,7)&gt;=9999,"",INDEX(Presupuesto!$C:$C,SMALL($AA290:$CH290,7)))</f>
        <v>0</v>
      </c>
      <c r="O290" s="1" t="n">
        <f aca="false">IF(SMALL($AA290:$CH290,8)&gt;=9999,"",INDEX(Presupuesto!$C:$C,SMALL($AA290:$CH290,8)))</f>
        <v>0</v>
      </c>
      <c r="P290" s="1" t="n">
        <f aca="false">IF(SMALL($AA290:$CH290,9)&gt;=9999,"",INDEX(Presupuesto!$C:$C,SMALL($AA290:$CH290,9)))</f>
        <v>0</v>
      </c>
      <c r="Q290" s="1" t="n">
        <f aca="false">IF(SMALL($AA290:$CH290,10)&gt;=9999,"",INDEX(Presupuesto!$C:$C,SMALL($AA290:$CH290,10)))</f>
        <v>0</v>
      </c>
      <c r="AA290" s="0" t="n">
        <f aca="false">IF(Presupuesto!$B$7='Flujo de Pagos'!$E290,7,9999)</f>
        <v>9999</v>
      </c>
      <c r="AB290" s="0" t="n">
        <f aca="false">IF(Presupuesto!$B$8='Flujo de Pagos'!$E290,8,9999)</f>
        <v>9999</v>
      </c>
      <c r="AC290" s="0" t="n">
        <f aca="false">IF(Presupuesto!$B$9='Flujo de Pagos'!$E290,9,9999)</f>
        <v>9999</v>
      </c>
      <c r="AD290" s="0" t="n">
        <f aca="false">IF(Presupuesto!$B$10='Flujo de Pagos'!$E290,10,9999)</f>
        <v>9999</v>
      </c>
      <c r="AE290" s="0" t="n">
        <f aca="false">IF(Presupuesto!$B$11='Flujo de Pagos'!$E290,11,9999)</f>
        <v>9999</v>
      </c>
      <c r="AF290" s="0" t="n">
        <f aca="false">IF(Presupuesto!$B$12='Flujo de Pagos'!$E290,12,9999)</f>
        <v>12</v>
      </c>
      <c r="AG290" s="0" t="n">
        <f aca="false">IF(Presupuesto!$B$13='Flujo de Pagos'!$E290,13,9999)</f>
        <v>13</v>
      </c>
      <c r="AH290" s="0" t="n">
        <f aca="false">IF(Presupuesto!$B$14='Flujo de Pagos'!$E290,14,9999)</f>
        <v>14</v>
      </c>
      <c r="AI290" s="0" t="n">
        <f aca="false">IF(Presupuesto!$B$15='Flujo de Pagos'!$E290,15,9999)</f>
        <v>15</v>
      </c>
      <c r="AJ290" s="0" t="n">
        <f aca="false">IF(Presupuesto!$B$16='Flujo de Pagos'!$E290,16,9999)</f>
        <v>16</v>
      </c>
      <c r="AK290" s="0" t="n">
        <f aca="false">IF(Presupuesto!$B$17='Flujo de Pagos'!$E290,17,9999)</f>
        <v>17</v>
      </c>
      <c r="AL290" s="0" t="n">
        <f aca="false">IF(Presupuesto!$B$18='Flujo de Pagos'!$E290,18,9999)</f>
        <v>18</v>
      </c>
      <c r="AM290" s="0" t="n">
        <f aca="false">IF(Presupuesto!$B$19='Flujo de Pagos'!$E290,19,9999)</f>
        <v>19</v>
      </c>
      <c r="AN290" s="0" t="n">
        <f aca="false">IF(Presupuesto!$B$20='Flujo de Pagos'!$E290,20,9999)</f>
        <v>20</v>
      </c>
      <c r="AO290" s="0" t="n">
        <f aca="false">IF(Presupuesto!$B$21='Flujo de Pagos'!$E290,21,9999)</f>
        <v>21</v>
      </c>
      <c r="AP290" s="0" t="n">
        <f aca="false">IF(Presupuesto!$B$22='Flujo de Pagos'!$E290,22,9999)</f>
        <v>22</v>
      </c>
      <c r="AQ290" s="0" t="n">
        <f aca="false">IF(Presupuesto!$B$23='Flujo de Pagos'!$E290,23,9999)</f>
        <v>23</v>
      </c>
      <c r="AR290" s="0" t="n">
        <f aca="false">IF(Presupuesto!$B$24='Flujo de Pagos'!$E290,24,9999)</f>
        <v>24</v>
      </c>
      <c r="AS290" s="0" t="n">
        <f aca="false">IF(Presupuesto!$B$25='Flujo de Pagos'!$E290,25,9999)</f>
        <v>25</v>
      </c>
      <c r="AT290" s="0" t="n">
        <f aca="false">IF(Presupuesto!$B$26='Flujo de Pagos'!$E290,26,9999)</f>
        <v>26</v>
      </c>
      <c r="AU290" s="0" t="n">
        <f aca="false">IF(Presupuesto!$B$27='Flujo de Pagos'!$E290,27,9999)</f>
        <v>27</v>
      </c>
      <c r="AV290" s="0" t="n">
        <f aca="false">IF(Presupuesto!$B$28='Flujo de Pagos'!$E290,28,9999)</f>
        <v>28</v>
      </c>
      <c r="AW290" s="0" t="n">
        <f aca="false">IF(Presupuesto!$B$29='Flujo de Pagos'!$E290,29,9999)</f>
        <v>29</v>
      </c>
      <c r="AX290" s="0" t="n">
        <f aca="false">IF(Presupuesto!$B$30='Flujo de Pagos'!$E290,30,9999)</f>
        <v>30</v>
      </c>
      <c r="AY290" s="0" t="n">
        <f aca="false">IF(Presupuesto!$B$31='Flujo de Pagos'!$E290,31,9999)</f>
        <v>31</v>
      </c>
      <c r="AZ290" s="0" t="n">
        <f aca="false">IF(Presupuesto!$B$32='Flujo de Pagos'!$E290,32,9999)</f>
        <v>32</v>
      </c>
      <c r="BA290" s="0" t="n">
        <f aca="false">IF(Presupuesto!$B$33='Flujo de Pagos'!$E290,33,9999)</f>
        <v>33</v>
      </c>
      <c r="BB290" s="0" t="n">
        <f aca="false">IF(Presupuesto!$B$34='Flujo de Pagos'!$E290,34,9999)</f>
        <v>34</v>
      </c>
      <c r="BC290" s="0" t="n">
        <f aca="false">IF(Presupuesto!$B$35='Flujo de Pagos'!$E290,35,9999)</f>
        <v>35</v>
      </c>
      <c r="BD290" s="0" t="n">
        <f aca="false">IF(Presupuesto!$B$36='Flujo de Pagos'!$E290,36,9999)</f>
        <v>36</v>
      </c>
      <c r="BE290" s="0" t="n">
        <f aca="false">IF(Presupuesto!$B$37='Flujo de Pagos'!$E290,37,9999)</f>
        <v>37</v>
      </c>
      <c r="BF290" s="0" t="n">
        <f aca="false">IF(Presupuesto!$B$38='Flujo de Pagos'!$E290,38,9999)</f>
        <v>38</v>
      </c>
      <c r="BG290" s="0" t="n">
        <f aca="false">IF(Presupuesto!$B$39='Flujo de Pagos'!$E290,39,9999)</f>
        <v>39</v>
      </c>
      <c r="BH290" s="0" t="n">
        <f aca="false">IF(Presupuesto!$B$40='Flujo de Pagos'!$E290,40,9999)</f>
        <v>40</v>
      </c>
      <c r="BI290" s="0" t="n">
        <f aca="false">IF(Presupuesto!$B$41='Flujo de Pagos'!$E290,41,9999)</f>
        <v>41</v>
      </c>
      <c r="BJ290" s="0" t="n">
        <f aca="false">IF(Presupuesto!$B$42='Flujo de Pagos'!$E290,42,9999)</f>
        <v>42</v>
      </c>
      <c r="BK290" s="0" t="n">
        <f aca="false">IF(Presupuesto!$B$43='Flujo de Pagos'!$E290,43,9999)</f>
        <v>43</v>
      </c>
      <c r="BL290" s="0" t="n">
        <f aca="false">IF(Presupuesto!$B$44='Flujo de Pagos'!$E290,44,9999)</f>
        <v>44</v>
      </c>
      <c r="BM290" s="0" t="n">
        <f aca="false">IF(Presupuesto!$B$45='Flujo de Pagos'!$E290,45,9999)</f>
        <v>45</v>
      </c>
      <c r="BN290" s="0" t="n">
        <f aca="false">IF(Presupuesto!$B$46='Flujo de Pagos'!$E290,46,9999)</f>
        <v>46</v>
      </c>
      <c r="BO290" s="0" t="n">
        <f aca="false">IF(Presupuesto!$B$47='Flujo de Pagos'!$E290,47,9999)</f>
        <v>47</v>
      </c>
      <c r="BP290" s="0" t="n">
        <f aca="false">IF(Presupuesto!$B$48='Flujo de Pagos'!$E290,48,9999)</f>
        <v>48</v>
      </c>
      <c r="BQ290" s="0" t="n">
        <f aca="false">IF(Presupuesto!$B$49='Flujo de Pagos'!$E290,49,9999)</f>
        <v>49</v>
      </c>
      <c r="BR290" s="0" t="n">
        <f aca="false">IF(Presupuesto!$B$50='Flujo de Pagos'!$E290,50,9999)</f>
        <v>50</v>
      </c>
      <c r="BS290" s="0" t="n">
        <f aca="false">IF(Presupuesto!$B$51='Flujo de Pagos'!$E290,51,9999)</f>
        <v>51</v>
      </c>
      <c r="BT290" s="0" t="n">
        <f aca="false">IF(Presupuesto!$B$52='Flujo de Pagos'!$E290,52,9999)</f>
        <v>52</v>
      </c>
      <c r="BU290" s="0" t="n">
        <f aca="false">IF(Presupuesto!$B$53='Flujo de Pagos'!$E290,53,9999)</f>
        <v>53</v>
      </c>
      <c r="BV290" s="0" t="n">
        <f aca="false">IF(Presupuesto!$B$54='Flujo de Pagos'!$E290,54,9999)</f>
        <v>54</v>
      </c>
      <c r="BW290" s="0" t="n">
        <f aca="false">IF(Presupuesto!$B$55='Flujo de Pagos'!$E290,55,9999)</f>
        <v>55</v>
      </c>
      <c r="BX290" s="0" t="n">
        <f aca="false">IF(Presupuesto!$B$56='Flujo de Pagos'!$E290,56,9999)</f>
        <v>56</v>
      </c>
      <c r="BY290" s="0" t="n">
        <f aca="false">IF(Presupuesto!$B$57='Flujo de Pagos'!$E290,57,9999)</f>
        <v>57</v>
      </c>
      <c r="BZ290" s="0" t="n">
        <f aca="false">IF(Presupuesto!$B$58='Flujo de Pagos'!$E290,58,9999)</f>
        <v>58</v>
      </c>
      <c r="CA290" s="0" t="n">
        <f aca="false">IF(Presupuesto!$B$59='Flujo de Pagos'!$E290,59,9999)</f>
        <v>59</v>
      </c>
      <c r="CB290" s="0" t="n">
        <f aca="false">IF(Presupuesto!$B$60='Flujo de Pagos'!$E290,60,9999)</f>
        <v>60</v>
      </c>
      <c r="CC290" s="0" t="n">
        <f aca="false">IF(Presupuesto!$B$61='Flujo de Pagos'!$E290,61,9999)</f>
        <v>61</v>
      </c>
      <c r="CD290" s="0" t="n">
        <f aca="false">IF(Presupuesto!$B$62='Flujo de Pagos'!$E290,62,9999)</f>
        <v>62</v>
      </c>
      <c r="CE290" s="0" t="n">
        <f aca="false">IF(Presupuesto!$B$63='Flujo de Pagos'!$E290,63,9999)</f>
        <v>63</v>
      </c>
      <c r="CF290" s="0" t="n">
        <f aca="false">IF(Presupuesto!$B$64='Flujo de Pagos'!$E290,64,9999)</f>
        <v>64</v>
      </c>
      <c r="CG290" s="0" t="n">
        <f aca="false">IF(Presupuesto!$B$65='Flujo de Pagos'!$E290,65,9999)</f>
        <v>65</v>
      </c>
      <c r="CH290" s="0" t="n">
        <f aca="false">IF(Presupuesto!$B$66='Flujo de Pagos'!$E290,66,9999)</f>
        <v>66</v>
      </c>
    </row>
    <row r="291" customFormat="false" ht="15" hidden="false" customHeight="true" outlineLevel="0" collapsed="false">
      <c r="B291" s="1" t="n">
        <f aca="false">IF(AND('Flujo de Pagos'!E296=Carátula!$B$2,'Flujo de Pagos'!F296=Carátula!$B$4,'Flujo de Pagos'!H296&lt;&gt;""),296,99999)</f>
        <v>99999</v>
      </c>
      <c r="H291" s="1" t="n">
        <f aca="false">IF(SMALL($AA291:$CH291,1)&gt;=9999,"",INDEX(Presupuesto!$C:$C,SMALL($AA291:$CH291,1)))</f>
        <v>0</v>
      </c>
      <c r="I291" s="1" t="n">
        <f aca="false">IF(SMALL($AA291:$CH291,2)&gt;=9999,"",INDEX(Presupuesto!$C:$C,SMALL($AA291:$CH291,2)))</f>
        <v>0</v>
      </c>
      <c r="J291" s="1" t="n">
        <f aca="false">IF(SMALL($AA291:$CH291,3)&gt;=9999,"",INDEX(Presupuesto!$C:$C,SMALL($AA291:$CH291,3)))</f>
        <v>0</v>
      </c>
      <c r="K291" s="1" t="n">
        <f aca="false">IF(SMALL($AA291:$CH291,4)&gt;=9999,"",INDEX(Presupuesto!$C:$C,SMALL($AA291:$CH291,4)))</f>
        <v>0</v>
      </c>
      <c r="L291" s="1" t="n">
        <f aca="false">IF(SMALL($AA291:$CH291,5)&gt;=9999,"",INDEX(Presupuesto!$C:$C,SMALL($AA291:$CH291,5)))</f>
        <v>0</v>
      </c>
      <c r="M291" s="1" t="n">
        <f aca="false">IF(SMALL($AA291:$CH291,6)&gt;=9999,"",INDEX(Presupuesto!$C:$C,SMALL($AA291:$CH291,6)))</f>
        <v>0</v>
      </c>
      <c r="N291" s="1" t="n">
        <f aca="false">IF(SMALL($AA291:$CH291,7)&gt;=9999,"",INDEX(Presupuesto!$C:$C,SMALL($AA291:$CH291,7)))</f>
        <v>0</v>
      </c>
      <c r="O291" s="1" t="n">
        <f aca="false">IF(SMALL($AA291:$CH291,8)&gt;=9999,"",INDEX(Presupuesto!$C:$C,SMALL($AA291:$CH291,8)))</f>
        <v>0</v>
      </c>
      <c r="P291" s="1" t="n">
        <f aca="false">IF(SMALL($AA291:$CH291,9)&gt;=9999,"",INDEX(Presupuesto!$C:$C,SMALL($AA291:$CH291,9)))</f>
        <v>0</v>
      </c>
      <c r="Q291" s="1" t="n">
        <f aca="false">IF(SMALL($AA291:$CH291,10)&gt;=9999,"",INDEX(Presupuesto!$C:$C,SMALL($AA291:$CH291,10)))</f>
        <v>0</v>
      </c>
      <c r="AA291" s="0" t="n">
        <f aca="false">IF(Presupuesto!$B$7='Flujo de Pagos'!$E291,7,9999)</f>
        <v>9999</v>
      </c>
      <c r="AB291" s="0" t="n">
        <f aca="false">IF(Presupuesto!$B$8='Flujo de Pagos'!$E291,8,9999)</f>
        <v>9999</v>
      </c>
      <c r="AC291" s="0" t="n">
        <f aca="false">IF(Presupuesto!$B$9='Flujo de Pagos'!$E291,9,9999)</f>
        <v>9999</v>
      </c>
      <c r="AD291" s="0" t="n">
        <f aca="false">IF(Presupuesto!$B$10='Flujo de Pagos'!$E291,10,9999)</f>
        <v>9999</v>
      </c>
      <c r="AE291" s="0" t="n">
        <f aca="false">IF(Presupuesto!$B$11='Flujo de Pagos'!$E291,11,9999)</f>
        <v>9999</v>
      </c>
      <c r="AF291" s="0" t="n">
        <f aca="false">IF(Presupuesto!$B$12='Flujo de Pagos'!$E291,12,9999)</f>
        <v>12</v>
      </c>
      <c r="AG291" s="0" t="n">
        <f aca="false">IF(Presupuesto!$B$13='Flujo de Pagos'!$E291,13,9999)</f>
        <v>13</v>
      </c>
      <c r="AH291" s="0" t="n">
        <f aca="false">IF(Presupuesto!$B$14='Flujo de Pagos'!$E291,14,9999)</f>
        <v>14</v>
      </c>
      <c r="AI291" s="0" t="n">
        <f aca="false">IF(Presupuesto!$B$15='Flujo de Pagos'!$E291,15,9999)</f>
        <v>15</v>
      </c>
      <c r="AJ291" s="0" t="n">
        <f aca="false">IF(Presupuesto!$B$16='Flujo de Pagos'!$E291,16,9999)</f>
        <v>16</v>
      </c>
      <c r="AK291" s="0" t="n">
        <f aca="false">IF(Presupuesto!$B$17='Flujo de Pagos'!$E291,17,9999)</f>
        <v>17</v>
      </c>
      <c r="AL291" s="0" t="n">
        <f aca="false">IF(Presupuesto!$B$18='Flujo de Pagos'!$E291,18,9999)</f>
        <v>18</v>
      </c>
      <c r="AM291" s="0" t="n">
        <f aca="false">IF(Presupuesto!$B$19='Flujo de Pagos'!$E291,19,9999)</f>
        <v>19</v>
      </c>
      <c r="AN291" s="0" t="n">
        <f aca="false">IF(Presupuesto!$B$20='Flujo de Pagos'!$E291,20,9999)</f>
        <v>20</v>
      </c>
      <c r="AO291" s="0" t="n">
        <f aca="false">IF(Presupuesto!$B$21='Flujo de Pagos'!$E291,21,9999)</f>
        <v>21</v>
      </c>
      <c r="AP291" s="0" t="n">
        <f aca="false">IF(Presupuesto!$B$22='Flujo de Pagos'!$E291,22,9999)</f>
        <v>22</v>
      </c>
      <c r="AQ291" s="0" t="n">
        <f aca="false">IF(Presupuesto!$B$23='Flujo de Pagos'!$E291,23,9999)</f>
        <v>23</v>
      </c>
      <c r="AR291" s="0" t="n">
        <f aca="false">IF(Presupuesto!$B$24='Flujo de Pagos'!$E291,24,9999)</f>
        <v>24</v>
      </c>
      <c r="AS291" s="0" t="n">
        <f aca="false">IF(Presupuesto!$B$25='Flujo de Pagos'!$E291,25,9999)</f>
        <v>25</v>
      </c>
      <c r="AT291" s="0" t="n">
        <f aca="false">IF(Presupuesto!$B$26='Flujo de Pagos'!$E291,26,9999)</f>
        <v>26</v>
      </c>
      <c r="AU291" s="0" t="n">
        <f aca="false">IF(Presupuesto!$B$27='Flujo de Pagos'!$E291,27,9999)</f>
        <v>27</v>
      </c>
      <c r="AV291" s="0" t="n">
        <f aca="false">IF(Presupuesto!$B$28='Flujo de Pagos'!$E291,28,9999)</f>
        <v>28</v>
      </c>
      <c r="AW291" s="0" t="n">
        <f aca="false">IF(Presupuesto!$B$29='Flujo de Pagos'!$E291,29,9999)</f>
        <v>29</v>
      </c>
      <c r="AX291" s="0" t="n">
        <f aca="false">IF(Presupuesto!$B$30='Flujo de Pagos'!$E291,30,9999)</f>
        <v>30</v>
      </c>
      <c r="AY291" s="0" t="n">
        <f aca="false">IF(Presupuesto!$B$31='Flujo de Pagos'!$E291,31,9999)</f>
        <v>31</v>
      </c>
      <c r="AZ291" s="0" t="n">
        <f aca="false">IF(Presupuesto!$B$32='Flujo de Pagos'!$E291,32,9999)</f>
        <v>32</v>
      </c>
      <c r="BA291" s="0" t="n">
        <f aca="false">IF(Presupuesto!$B$33='Flujo de Pagos'!$E291,33,9999)</f>
        <v>33</v>
      </c>
      <c r="BB291" s="0" t="n">
        <f aca="false">IF(Presupuesto!$B$34='Flujo de Pagos'!$E291,34,9999)</f>
        <v>34</v>
      </c>
      <c r="BC291" s="0" t="n">
        <f aca="false">IF(Presupuesto!$B$35='Flujo de Pagos'!$E291,35,9999)</f>
        <v>35</v>
      </c>
      <c r="BD291" s="0" t="n">
        <f aca="false">IF(Presupuesto!$B$36='Flujo de Pagos'!$E291,36,9999)</f>
        <v>36</v>
      </c>
      <c r="BE291" s="0" t="n">
        <f aca="false">IF(Presupuesto!$B$37='Flujo de Pagos'!$E291,37,9999)</f>
        <v>37</v>
      </c>
      <c r="BF291" s="0" t="n">
        <f aca="false">IF(Presupuesto!$B$38='Flujo de Pagos'!$E291,38,9999)</f>
        <v>38</v>
      </c>
      <c r="BG291" s="0" t="n">
        <f aca="false">IF(Presupuesto!$B$39='Flujo de Pagos'!$E291,39,9999)</f>
        <v>39</v>
      </c>
      <c r="BH291" s="0" t="n">
        <f aca="false">IF(Presupuesto!$B$40='Flujo de Pagos'!$E291,40,9999)</f>
        <v>40</v>
      </c>
      <c r="BI291" s="0" t="n">
        <f aca="false">IF(Presupuesto!$B$41='Flujo de Pagos'!$E291,41,9999)</f>
        <v>41</v>
      </c>
      <c r="BJ291" s="0" t="n">
        <f aca="false">IF(Presupuesto!$B$42='Flujo de Pagos'!$E291,42,9999)</f>
        <v>42</v>
      </c>
      <c r="BK291" s="0" t="n">
        <f aca="false">IF(Presupuesto!$B$43='Flujo de Pagos'!$E291,43,9999)</f>
        <v>43</v>
      </c>
      <c r="BL291" s="0" t="n">
        <f aca="false">IF(Presupuesto!$B$44='Flujo de Pagos'!$E291,44,9999)</f>
        <v>44</v>
      </c>
      <c r="BM291" s="0" t="n">
        <f aca="false">IF(Presupuesto!$B$45='Flujo de Pagos'!$E291,45,9999)</f>
        <v>45</v>
      </c>
      <c r="BN291" s="0" t="n">
        <f aca="false">IF(Presupuesto!$B$46='Flujo de Pagos'!$E291,46,9999)</f>
        <v>46</v>
      </c>
      <c r="BO291" s="0" t="n">
        <f aca="false">IF(Presupuesto!$B$47='Flujo de Pagos'!$E291,47,9999)</f>
        <v>47</v>
      </c>
      <c r="BP291" s="0" t="n">
        <f aca="false">IF(Presupuesto!$B$48='Flujo de Pagos'!$E291,48,9999)</f>
        <v>48</v>
      </c>
      <c r="BQ291" s="0" t="n">
        <f aca="false">IF(Presupuesto!$B$49='Flujo de Pagos'!$E291,49,9999)</f>
        <v>49</v>
      </c>
      <c r="BR291" s="0" t="n">
        <f aca="false">IF(Presupuesto!$B$50='Flujo de Pagos'!$E291,50,9999)</f>
        <v>50</v>
      </c>
      <c r="BS291" s="0" t="n">
        <f aca="false">IF(Presupuesto!$B$51='Flujo de Pagos'!$E291,51,9999)</f>
        <v>51</v>
      </c>
      <c r="BT291" s="0" t="n">
        <f aca="false">IF(Presupuesto!$B$52='Flujo de Pagos'!$E291,52,9999)</f>
        <v>52</v>
      </c>
      <c r="BU291" s="0" t="n">
        <f aca="false">IF(Presupuesto!$B$53='Flujo de Pagos'!$E291,53,9999)</f>
        <v>53</v>
      </c>
      <c r="BV291" s="0" t="n">
        <f aca="false">IF(Presupuesto!$B$54='Flujo de Pagos'!$E291,54,9999)</f>
        <v>54</v>
      </c>
      <c r="BW291" s="0" t="n">
        <f aca="false">IF(Presupuesto!$B$55='Flujo de Pagos'!$E291,55,9999)</f>
        <v>55</v>
      </c>
      <c r="BX291" s="0" t="n">
        <f aca="false">IF(Presupuesto!$B$56='Flujo de Pagos'!$E291,56,9999)</f>
        <v>56</v>
      </c>
      <c r="BY291" s="0" t="n">
        <f aca="false">IF(Presupuesto!$B$57='Flujo de Pagos'!$E291,57,9999)</f>
        <v>57</v>
      </c>
      <c r="BZ291" s="0" t="n">
        <f aca="false">IF(Presupuesto!$B$58='Flujo de Pagos'!$E291,58,9999)</f>
        <v>58</v>
      </c>
      <c r="CA291" s="0" t="n">
        <f aca="false">IF(Presupuesto!$B$59='Flujo de Pagos'!$E291,59,9999)</f>
        <v>59</v>
      </c>
      <c r="CB291" s="0" t="n">
        <f aca="false">IF(Presupuesto!$B$60='Flujo de Pagos'!$E291,60,9999)</f>
        <v>60</v>
      </c>
      <c r="CC291" s="0" t="n">
        <f aca="false">IF(Presupuesto!$B$61='Flujo de Pagos'!$E291,61,9999)</f>
        <v>61</v>
      </c>
      <c r="CD291" s="0" t="n">
        <f aca="false">IF(Presupuesto!$B$62='Flujo de Pagos'!$E291,62,9999)</f>
        <v>62</v>
      </c>
      <c r="CE291" s="0" t="n">
        <f aca="false">IF(Presupuesto!$B$63='Flujo de Pagos'!$E291,63,9999)</f>
        <v>63</v>
      </c>
      <c r="CF291" s="0" t="n">
        <f aca="false">IF(Presupuesto!$B$64='Flujo de Pagos'!$E291,64,9999)</f>
        <v>64</v>
      </c>
      <c r="CG291" s="0" t="n">
        <f aca="false">IF(Presupuesto!$B$65='Flujo de Pagos'!$E291,65,9999)</f>
        <v>65</v>
      </c>
      <c r="CH291" s="0" t="n">
        <f aca="false">IF(Presupuesto!$B$66='Flujo de Pagos'!$E291,66,9999)</f>
        <v>66</v>
      </c>
    </row>
    <row r="292" customFormat="false" ht="15" hidden="false" customHeight="true" outlineLevel="0" collapsed="false">
      <c r="B292" s="1" t="n">
        <f aca="false">IF(AND('Flujo de Pagos'!E297=Carátula!$B$2,'Flujo de Pagos'!F297=Carátula!$B$4,'Flujo de Pagos'!H297&lt;&gt;""),297,99999)</f>
        <v>99999</v>
      </c>
      <c r="H292" s="1" t="n">
        <f aca="false">IF(SMALL($AA292:$CH292,1)&gt;=9999,"",INDEX(Presupuesto!$C:$C,SMALL($AA292:$CH292,1)))</f>
        <v>0</v>
      </c>
      <c r="I292" s="1" t="n">
        <f aca="false">IF(SMALL($AA292:$CH292,2)&gt;=9999,"",INDEX(Presupuesto!$C:$C,SMALL($AA292:$CH292,2)))</f>
        <v>0</v>
      </c>
      <c r="J292" s="1" t="n">
        <f aca="false">IF(SMALL($AA292:$CH292,3)&gt;=9999,"",INDEX(Presupuesto!$C:$C,SMALL($AA292:$CH292,3)))</f>
        <v>0</v>
      </c>
      <c r="K292" s="1" t="n">
        <f aca="false">IF(SMALL($AA292:$CH292,4)&gt;=9999,"",INDEX(Presupuesto!$C:$C,SMALL($AA292:$CH292,4)))</f>
        <v>0</v>
      </c>
      <c r="L292" s="1" t="n">
        <f aca="false">IF(SMALL($AA292:$CH292,5)&gt;=9999,"",INDEX(Presupuesto!$C:$C,SMALL($AA292:$CH292,5)))</f>
        <v>0</v>
      </c>
      <c r="M292" s="1" t="n">
        <f aca="false">IF(SMALL($AA292:$CH292,6)&gt;=9999,"",INDEX(Presupuesto!$C:$C,SMALL($AA292:$CH292,6)))</f>
        <v>0</v>
      </c>
      <c r="N292" s="1" t="n">
        <f aca="false">IF(SMALL($AA292:$CH292,7)&gt;=9999,"",INDEX(Presupuesto!$C:$C,SMALL($AA292:$CH292,7)))</f>
        <v>0</v>
      </c>
      <c r="O292" s="1" t="n">
        <f aca="false">IF(SMALL($AA292:$CH292,8)&gt;=9999,"",INDEX(Presupuesto!$C:$C,SMALL($AA292:$CH292,8)))</f>
        <v>0</v>
      </c>
      <c r="P292" s="1" t="n">
        <f aca="false">IF(SMALL($AA292:$CH292,9)&gt;=9999,"",INDEX(Presupuesto!$C:$C,SMALL($AA292:$CH292,9)))</f>
        <v>0</v>
      </c>
      <c r="Q292" s="1" t="n">
        <f aca="false">IF(SMALL($AA292:$CH292,10)&gt;=9999,"",INDEX(Presupuesto!$C:$C,SMALL($AA292:$CH292,10)))</f>
        <v>0</v>
      </c>
      <c r="AA292" s="0" t="n">
        <f aca="false">IF(Presupuesto!$B$7='Flujo de Pagos'!$E292,7,9999)</f>
        <v>9999</v>
      </c>
      <c r="AB292" s="0" t="n">
        <f aca="false">IF(Presupuesto!$B$8='Flujo de Pagos'!$E292,8,9999)</f>
        <v>9999</v>
      </c>
      <c r="AC292" s="0" t="n">
        <f aca="false">IF(Presupuesto!$B$9='Flujo de Pagos'!$E292,9,9999)</f>
        <v>9999</v>
      </c>
      <c r="AD292" s="0" t="n">
        <f aca="false">IF(Presupuesto!$B$10='Flujo de Pagos'!$E292,10,9999)</f>
        <v>9999</v>
      </c>
      <c r="AE292" s="0" t="n">
        <f aca="false">IF(Presupuesto!$B$11='Flujo de Pagos'!$E292,11,9999)</f>
        <v>9999</v>
      </c>
      <c r="AF292" s="0" t="n">
        <f aca="false">IF(Presupuesto!$B$12='Flujo de Pagos'!$E292,12,9999)</f>
        <v>12</v>
      </c>
      <c r="AG292" s="0" t="n">
        <f aca="false">IF(Presupuesto!$B$13='Flujo de Pagos'!$E292,13,9999)</f>
        <v>13</v>
      </c>
      <c r="AH292" s="0" t="n">
        <f aca="false">IF(Presupuesto!$B$14='Flujo de Pagos'!$E292,14,9999)</f>
        <v>14</v>
      </c>
      <c r="AI292" s="0" t="n">
        <f aca="false">IF(Presupuesto!$B$15='Flujo de Pagos'!$E292,15,9999)</f>
        <v>15</v>
      </c>
      <c r="AJ292" s="0" t="n">
        <f aca="false">IF(Presupuesto!$B$16='Flujo de Pagos'!$E292,16,9999)</f>
        <v>16</v>
      </c>
      <c r="AK292" s="0" t="n">
        <f aca="false">IF(Presupuesto!$B$17='Flujo de Pagos'!$E292,17,9999)</f>
        <v>17</v>
      </c>
      <c r="AL292" s="0" t="n">
        <f aca="false">IF(Presupuesto!$B$18='Flujo de Pagos'!$E292,18,9999)</f>
        <v>18</v>
      </c>
      <c r="AM292" s="0" t="n">
        <f aca="false">IF(Presupuesto!$B$19='Flujo de Pagos'!$E292,19,9999)</f>
        <v>19</v>
      </c>
      <c r="AN292" s="0" t="n">
        <f aca="false">IF(Presupuesto!$B$20='Flujo de Pagos'!$E292,20,9999)</f>
        <v>20</v>
      </c>
      <c r="AO292" s="0" t="n">
        <f aca="false">IF(Presupuesto!$B$21='Flujo de Pagos'!$E292,21,9999)</f>
        <v>21</v>
      </c>
      <c r="AP292" s="0" t="n">
        <f aca="false">IF(Presupuesto!$B$22='Flujo de Pagos'!$E292,22,9999)</f>
        <v>22</v>
      </c>
      <c r="AQ292" s="0" t="n">
        <f aca="false">IF(Presupuesto!$B$23='Flujo de Pagos'!$E292,23,9999)</f>
        <v>23</v>
      </c>
      <c r="AR292" s="0" t="n">
        <f aca="false">IF(Presupuesto!$B$24='Flujo de Pagos'!$E292,24,9999)</f>
        <v>24</v>
      </c>
      <c r="AS292" s="0" t="n">
        <f aca="false">IF(Presupuesto!$B$25='Flujo de Pagos'!$E292,25,9999)</f>
        <v>25</v>
      </c>
      <c r="AT292" s="0" t="n">
        <f aca="false">IF(Presupuesto!$B$26='Flujo de Pagos'!$E292,26,9999)</f>
        <v>26</v>
      </c>
      <c r="AU292" s="0" t="n">
        <f aca="false">IF(Presupuesto!$B$27='Flujo de Pagos'!$E292,27,9999)</f>
        <v>27</v>
      </c>
      <c r="AV292" s="0" t="n">
        <f aca="false">IF(Presupuesto!$B$28='Flujo de Pagos'!$E292,28,9999)</f>
        <v>28</v>
      </c>
      <c r="AW292" s="0" t="n">
        <f aca="false">IF(Presupuesto!$B$29='Flujo de Pagos'!$E292,29,9999)</f>
        <v>29</v>
      </c>
      <c r="AX292" s="0" t="n">
        <f aca="false">IF(Presupuesto!$B$30='Flujo de Pagos'!$E292,30,9999)</f>
        <v>30</v>
      </c>
      <c r="AY292" s="0" t="n">
        <f aca="false">IF(Presupuesto!$B$31='Flujo de Pagos'!$E292,31,9999)</f>
        <v>31</v>
      </c>
      <c r="AZ292" s="0" t="n">
        <f aca="false">IF(Presupuesto!$B$32='Flujo de Pagos'!$E292,32,9999)</f>
        <v>32</v>
      </c>
      <c r="BA292" s="0" t="n">
        <f aca="false">IF(Presupuesto!$B$33='Flujo de Pagos'!$E292,33,9999)</f>
        <v>33</v>
      </c>
      <c r="BB292" s="0" t="n">
        <f aca="false">IF(Presupuesto!$B$34='Flujo de Pagos'!$E292,34,9999)</f>
        <v>34</v>
      </c>
      <c r="BC292" s="0" t="n">
        <f aca="false">IF(Presupuesto!$B$35='Flujo de Pagos'!$E292,35,9999)</f>
        <v>35</v>
      </c>
      <c r="BD292" s="0" t="n">
        <f aca="false">IF(Presupuesto!$B$36='Flujo de Pagos'!$E292,36,9999)</f>
        <v>36</v>
      </c>
      <c r="BE292" s="0" t="n">
        <f aca="false">IF(Presupuesto!$B$37='Flujo de Pagos'!$E292,37,9999)</f>
        <v>37</v>
      </c>
      <c r="BF292" s="0" t="n">
        <f aca="false">IF(Presupuesto!$B$38='Flujo de Pagos'!$E292,38,9999)</f>
        <v>38</v>
      </c>
      <c r="BG292" s="0" t="n">
        <f aca="false">IF(Presupuesto!$B$39='Flujo de Pagos'!$E292,39,9999)</f>
        <v>39</v>
      </c>
      <c r="BH292" s="0" t="n">
        <f aca="false">IF(Presupuesto!$B$40='Flujo de Pagos'!$E292,40,9999)</f>
        <v>40</v>
      </c>
      <c r="BI292" s="0" t="n">
        <f aca="false">IF(Presupuesto!$B$41='Flujo de Pagos'!$E292,41,9999)</f>
        <v>41</v>
      </c>
      <c r="BJ292" s="0" t="n">
        <f aca="false">IF(Presupuesto!$B$42='Flujo de Pagos'!$E292,42,9999)</f>
        <v>42</v>
      </c>
      <c r="BK292" s="0" t="n">
        <f aca="false">IF(Presupuesto!$B$43='Flujo de Pagos'!$E292,43,9999)</f>
        <v>43</v>
      </c>
      <c r="BL292" s="0" t="n">
        <f aca="false">IF(Presupuesto!$B$44='Flujo de Pagos'!$E292,44,9999)</f>
        <v>44</v>
      </c>
      <c r="BM292" s="0" t="n">
        <f aca="false">IF(Presupuesto!$B$45='Flujo de Pagos'!$E292,45,9999)</f>
        <v>45</v>
      </c>
      <c r="BN292" s="0" t="n">
        <f aca="false">IF(Presupuesto!$B$46='Flujo de Pagos'!$E292,46,9999)</f>
        <v>46</v>
      </c>
      <c r="BO292" s="0" t="n">
        <f aca="false">IF(Presupuesto!$B$47='Flujo de Pagos'!$E292,47,9999)</f>
        <v>47</v>
      </c>
      <c r="BP292" s="0" t="n">
        <f aca="false">IF(Presupuesto!$B$48='Flujo de Pagos'!$E292,48,9999)</f>
        <v>48</v>
      </c>
      <c r="BQ292" s="0" t="n">
        <f aca="false">IF(Presupuesto!$B$49='Flujo de Pagos'!$E292,49,9999)</f>
        <v>49</v>
      </c>
      <c r="BR292" s="0" t="n">
        <f aca="false">IF(Presupuesto!$B$50='Flujo de Pagos'!$E292,50,9999)</f>
        <v>50</v>
      </c>
      <c r="BS292" s="0" t="n">
        <f aca="false">IF(Presupuesto!$B$51='Flujo de Pagos'!$E292,51,9999)</f>
        <v>51</v>
      </c>
      <c r="BT292" s="0" t="n">
        <f aca="false">IF(Presupuesto!$B$52='Flujo de Pagos'!$E292,52,9999)</f>
        <v>52</v>
      </c>
      <c r="BU292" s="0" t="n">
        <f aca="false">IF(Presupuesto!$B$53='Flujo de Pagos'!$E292,53,9999)</f>
        <v>53</v>
      </c>
      <c r="BV292" s="0" t="n">
        <f aca="false">IF(Presupuesto!$B$54='Flujo de Pagos'!$E292,54,9999)</f>
        <v>54</v>
      </c>
      <c r="BW292" s="0" t="n">
        <f aca="false">IF(Presupuesto!$B$55='Flujo de Pagos'!$E292,55,9999)</f>
        <v>55</v>
      </c>
      <c r="BX292" s="0" t="n">
        <f aca="false">IF(Presupuesto!$B$56='Flujo de Pagos'!$E292,56,9999)</f>
        <v>56</v>
      </c>
      <c r="BY292" s="0" t="n">
        <f aca="false">IF(Presupuesto!$B$57='Flujo de Pagos'!$E292,57,9999)</f>
        <v>57</v>
      </c>
      <c r="BZ292" s="0" t="n">
        <f aca="false">IF(Presupuesto!$B$58='Flujo de Pagos'!$E292,58,9999)</f>
        <v>58</v>
      </c>
      <c r="CA292" s="0" t="n">
        <f aca="false">IF(Presupuesto!$B$59='Flujo de Pagos'!$E292,59,9999)</f>
        <v>59</v>
      </c>
      <c r="CB292" s="0" t="n">
        <f aca="false">IF(Presupuesto!$B$60='Flujo de Pagos'!$E292,60,9999)</f>
        <v>60</v>
      </c>
      <c r="CC292" s="0" t="n">
        <f aca="false">IF(Presupuesto!$B$61='Flujo de Pagos'!$E292,61,9999)</f>
        <v>61</v>
      </c>
      <c r="CD292" s="0" t="n">
        <f aca="false">IF(Presupuesto!$B$62='Flujo de Pagos'!$E292,62,9999)</f>
        <v>62</v>
      </c>
      <c r="CE292" s="0" t="n">
        <f aca="false">IF(Presupuesto!$B$63='Flujo de Pagos'!$E292,63,9999)</f>
        <v>63</v>
      </c>
      <c r="CF292" s="0" t="n">
        <f aca="false">IF(Presupuesto!$B$64='Flujo de Pagos'!$E292,64,9999)</f>
        <v>64</v>
      </c>
      <c r="CG292" s="0" t="n">
        <f aca="false">IF(Presupuesto!$B$65='Flujo de Pagos'!$E292,65,9999)</f>
        <v>65</v>
      </c>
      <c r="CH292" s="0" t="n">
        <f aca="false">IF(Presupuesto!$B$66='Flujo de Pagos'!$E292,66,9999)</f>
        <v>66</v>
      </c>
    </row>
    <row r="293" customFormat="false" ht="15" hidden="false" customHeight="true" outlineLevel="0" collapsed="false">
      <c r="B293" s="1" t="n">
        <f aca="false">IF(AND('Flujo de Pagos'!E298=Carátula!$B$2,'Flujo de Pagos'!F298=Carátula!$B$4,'Flujo de Pagos'!H298&lt;&gt;""),298,99999)</f>
        <v>99999</v>
      </c>
      <c r="H293" s="1" t="n">
        <f aca="false">IF(SMALL($AA293:$CH293,1)&gt;=9999,"",INDEX(Presupuesto!$C:$C,SMALL($AA293:$CH293,1)))</f>
        <v>0</v>
      </c>
      <c r="I293" s="1" t="n">
        <f aca="false">IF(SMALL($AA293:$CH293,2)&gt;=9999,"",INDEX(Presupuesto!$C:$C,SMALL($AA293:$CH293,2)))</f>
        <v>0</v>
      </c>
      <c r="J293" s="1" t="n">
        <f aca="false">IF(SMALL($AA293:$CH293,3)&gt;=9999,"",INDEX(Presupuesto!$C:$C,SMALL($AA293:$CH293,3)))</f>
        <v>0</v>
      </c>
      <c r="K293" s="1" t="n">
        <f aca="false">IF(SMALL($AA293:$CH293,4)&gt;=9999,"",INDEX(Presupuesto!$C:$C,SMALL($AA293:$CH293,4)))</f>
        <v>0</v>
      </c>
      <c r="L293" s="1" t="n">
        <f aca="false">IF(SMALL($AA293:$CH293,5)&gt;=9999,"",INDEX(Presupuesto!$C:$C,SMALL($AA293:$CH293,5)))</f>
        <v>0</v>
      </c>
      <c r="M293" s="1" t="n">
        <f aca="false">IF(SMALL($AA293:$CH293,6)&gt;=9999,"",INDEX(Presupuesto!$C:$C,SMALL($AA293:$CH293,6)))</f>
        <v>0</v>
      </c>
      <c r="N293" s="1" t="n">
        <f aca="false">IF(SMALL($AA293:$CH293,7)&gt;=9999,"",INDEX(Presupuesto!$C:$C,SMALL($AA293:$CH293,7)))</f>
        <v>0</v>
      </c>
      <c r="O293" s="1" t="n">
        <f aca="false">IF(SMALL($AA293:$CH293,8)&gt;=9999,"",INDEX(Presupuesto!$C:$C,SMALL($AA293:$CH293,8)))</f>
        <v>0</v>
      </c>
      <c r="P293" s="1" t="n">
        <f aca="false">IF(SMALL($AA293:$CH293,9)&gt;=9999,"",INDEX(Presupuesto!$C:$C,SMALL($AA293:$CH293,9)))</f>
        <v>0</v>
      </c>
      <c r="Q293" s="1" t="n">
        <f aca="false">IF(SMALL($AA293:$CH293,10)&gt;=9999,"",INDEX(Presupuesto!$C:$C,SMALL($AA293:$CH293,10)))</f>
        <v>0</v>
      </c>
      <c r="AA293" s="0" t="n">
        <f aca="false">IF(Presupuesto!$B$7='Flujo de Pagos'!$E293,7,9999)</f>
        <v>9999</v>
      </c>
      <c r="AB293" s="0" t="n">
        <f aca="false">IF(Presupuesto!$B$8='Flujo de Pagos'!$E293,8,9999)</f>
        <v>9999</v>
      </c>
      <c r="AC293" s="0" t="n">
        <f aca="false">IF(Presupuesto!$B$9='Flujo de Pagos'!$E293,9,9999)</f>
        <v>9999</v>
      </c>
      <c r="AD293" s="0" t="n">
        <f aca="false">IF(Presupuesto!$B$10='Flujo de Pagos'!$E293,10,9999)</f>
        <v>9999</v>
      </c>
      <c r="AE293" s="0" t="n">
        <f aca="false">IF(Presupuesto!$B$11='Flujo de Pagos'!$E293,11,9999)</f>
        <v>9999</v>
      </c>
      <c r="AF293" s="0" t="n">
        <f aca="false">IF(Presupuesto!$B$12='Flujo de Pagos'!$E293,12,9999)</f>
        <v>12</v>
      </c>
      <c r="AG293" s="0" t="n">
        <f aca="false">IF(Presupuesto!$B$13='Flujo de Pagos'!$E293,13,9999)</f>
        <v>13</v>
      </c>
      <c r="AH293" s="0" t="n">
        <f aca="false">IF(Presupuesto!$B$14='Flujo de Pagos'!$E293,14,9999)</f>
        <v>14</v>
      </c>
      <c r="AI293" s="0" t="n">
        <f aca="false">IF(Presupuesto!$B$15='Flujo de Pagos'!$E293,15,9999)</f>
        <v>15</v>
      </c>
      <c r="AJ293" s="0" t="n">
        <f aca="false">IF(Presupuesto!$B$16='Flujo de Pagos'!$E293,16,9999)</f>
        <v>16</v>
      </c>
      <c r="AK293" s="0" t="n">
        <f aca="false">IF(Presupuesto!$B$17='Flujo de Pagos'!$E293,17,9999)</f>
        <v>17</v>
      </c>
      <c r="AL293" s="0" t="n">
        <f aca="false">IF(Presupuesto!$B$18='Flujo de Pagos'!$E293,18,9999)</f>
        <v>18</v>
      </c>
      <c r="AM293" s="0" t="n">
        <f aca="false">IF(Presupuesto!$B$19='Flujo de Pagos'!$E293,19,9999)</f>
        <v>19</v>
      </c>
      <c r="AN293" s="0" t="n">
        <f aca="false">IF(Presupuesto!$B$20='Flujo de Pagos'!$E293,20,9999)</f>
        <v>20</v>
      </c>
      <c r="AO293" s="0" t="n">
        <f aca="false">IF(Presupuesto!$B$21='Flujo de Pagos'!$E293,21,9999)</f>
        <v>21</v>
      </c>
      <c r="AP293" s="0" t="n">
        <f aca="false">IF(Presupuesto!$B$22='Flujo de Pagos'!$E293,22,9999)</f>
        <v>22</v>
      </c>
      <c r="AQ293" s="0" t="n">
        <f aca="false">IF(Presupuesto!$B$23='Flujo de Pagos'!$E293,23,9999)</f>
        <v>23</v>
      </c>
      <c r="AR293" s="0" t="n">
        <f aca="false">IF(Presupuesto!$B$24='Flujo de Pagos'!$E293,24,9999)</f>
        <v>24</v>
      </c>
      <c r="AS293" s="0" t="n">
        <f aca="false">IF(Presupuesto!$B$25='Flujo de Pagos'!$E293,25,9999)</f>
        <v>25</v>
      </c>
      <c r="AT293" s="0" t="n">
        <f aca="false">IF(Presupuesto!$B$26='Flujo de Pagos'!$E293,26,9999)</f>
        <v>26</v>
      </c>
      <c r="AU293" s="0" t="n">
        <f aca="false">IF(Presupuesto!$B$27='Flujo de Pagos'!$E293,27,9999)</f>
        <v>27</v>
      </c>
      <c r="AV293" s="0" t="n">
        <f aca="false">IF(Presupuesto!$B$28='Flujo de Pagos'!$E293,28,9999)</f>
        <v>28</v>
      </c>
      <c r="AW293" s="0" t="n">
        <f aca="false">IF(Presupuesto!$B$29='Flujo de Pagos'!$E293,29,9999)</f>
        <v>29</v>
      </c>
      <c r="AX293" s="0" t="n">
        <f aca="false">IF(Presupuesto!$B$30='Flujo de Pagos'!$E293,30,9999)</f>
        <v>30</v>
      </c>
      <c r="AY293" s="0" t="n">
        <f aca="false">IF(Presupuesto!$B$31='Flujo de Pagos'!$E293,31,9999)</f>
        <v>31</v>
      </c>
      <c r="AZ293" s="0" t="n">
        <f aca="false">IF(Presupuesto!$B$32='Flujo de Pagos'!$E293,32,9999)</f>
        <v>32</v>
      </c>
      <c r="BA293" s="0" t="n">
        <f aca="false">IF(Presupuesto!$B$33='Flujo de Pagos'!$E293,33,9999)</f>
        <v>33</v>
      </c>
      <c r="BB293" s="0" t="n">
        <f aca="false">IF(Presupuesto!$B$34='Flujo de Pagos'!$E293,34,9999)</f>
        <v>34</v>
      </c>
      <c r="BC293" s="0" t="n">
        <f aca="false">IF(Presupuesto!$B$35='Flujo de Pagos'!$E293,35,9999)</f>
        <v>35</v>
      </c>
      <c r="BD293" s="0" t="n">
        <f aca="false">IF(Presupuesto!$B$36='Flujo de Pagos'!$E293,36,9999)</f>
        <v>36</v>
      </c>
      <c r="BE293" s="0" t="n">
        <f aca="false">IF(Presupuesto!$B$37='Flujo de Pagos'!$E293,37,9999)</f>
        <v>37</v>
      </c>
      <c r="BF293" s="0" t="n">
        <f aca="false">IF(Presupuesto!$B$38='Flujo de Pagos'!$E293,38,9999)</f>
        <v>38</v>
      </c>
      <c r="BG293" s="0" t="n">
        <f aca="false">IF(Presupuesto!$B$39='Flujo de Pagos'!$E293,39,9999)</f>
        <v>39</v>
      </c>
      <c r="BH293" s="0" t="n">
        <f aca="false">IF(Presupuesto!$B$40='Flujo de Pagos'!$E293,40,9999)</f>
        <v>40</v>
      </c>
      <c r="BI293" s="0" t="n">
        <f aca="false">IF(Presupuesto!$B$41='Flujo de Pagos'!$E293,41,9999)</f>
        <v>41</v>
      </c>
      <c r="BJ293" s="0" t="n">
        <f aca="false">IF(Presupuesto!$B$42='Flujo de Pagos'!$E293,42,9999)</f>
        <v>42</v>
      </c>
      <c r="BK293" s="0" t="n">
        <f aca="false">IF(Presupuesto!$B$43='Flujo de Pagos'!$E293,43,9999)</f>
        <v>43</v>
      </c>
      <c r="BL293" s="0" t="n">
        <f aca="false">IF(Presupuesto!$B$44='Flujo de Pagos'!$E293,44,9999)</f>
        <v>44</v>
      </c>
      <c r="BM293" s="0" t="n">
        <f aca="false">IF(Presupuesto!$B$45='Flujo de Pagos'!$E293,45,9999)</f>
        <v>45</v>
      </c>
      <c r="BN293" s="0" t="n">
        <f aca="false">IF(Presupuesto!$B$46='Flujo de Pagos'!$E293,46,9999)</f>
        <v>46</v>
      </c>
      <c r="BO293" s="0" t="n">
        <f aca="false">IF(Presupuesto!$B$47='Flujo de Pagos'!$E293,47,9999)</f>
        <v>47</v>
      </c>
      <c r="BP293" s="0" t="n">
        <f aca="false">IF(Presupuesto!$B$48='Flujo de Pagos'!$E293,48,9999)</f>
        <v>48</v>
      </c>
      <c r="BQ293" s="0" t="n">
        <f aca="false">IF(Presupuesto!$B$49='Flujo de Pagos'!$E293,49,9999)</f>
        <v>49</v>
      </c>
      <c r="BR293" s="0" t="n">
        <f aca="false">IF(Presupuesto!$B$50='Flujo de Pagos'!$E293,50,9999)</f>
        <v>50</v>
      </c>
      <c r="BS293" s="0" t="n">
        <f aca="false">IF(Presupuesto!$B$51='Flujo de Pagos'!$E293,51,9999)</f>
        <v>51</v>
      </c>
      <c r="BT293" s="0" t="n">
        <f aca="false">IF(Presupuesto!$B$52='Flujo de Pagos'!$E293,52,9999)</f>
        <v>52</v>
      </c>
      <c r="BU293" s="0" t="n">
        <f aca="false">IF(Presupuesto!$B$53='Flujo de Pagos'!$E293,53,9999)</f>
        <v>53</v>
      </c>
      <c r="BV293" s="0" t="n">
        <f aca="false">IF(Presupuesto!$B$54='Flujo de Pagos'!$E293,54,9999)</f>
        <v>54</v>
      </c>
      <c r="BW293" s="0" t="n">
        <f aca="false">IF(Presupuesto!$B$55='Flujo de Pagos'!$E293,55,9999)</f>
        <v>55</v>
      </c>
      <c r="BX293" s="0" t="n">
        <f aca="false">IF(Presupuesto!$B$56='Flujo de Pagos'!$E293,56,9999)</f>
        <v>56</v>
      </c>
      <c r="BY293" s="0" t="n">
        <f aca="false">IF(Presupuesto!$B$57='Flujo de Pagos'!$E293,57,9999)</f>
        <v>57</v>
      </c>
      <c r="BZ293" s="0" t="n">
        <f aca="false">IF(Presupuesto!$B$58='Flujo de Pagos'!$E293,58,9999)</f>
        <v>58</v>
      </c>
      <c r="CA293" s="0" t="n">
        <f aca="false">IF(Presupuesto!$B$59='Flujo de Pagos'!$E293,59,9999)</f>
        <v>59</v>
      </c>
      <c r="CB293" s="0" t="n">
        <f aca="false">IF(Presupuesto!$B$60='Flujo de Pagos'!$E293,60,9999)</f>
        <v>60</v>
      </c>
      <c r="CC293" s="0" t="n">
        <f aca="false">IF(Presupuesto!$B$61='Flujo de Pagos'!$E293,61,9999)</f>
        <v>61</v>
      </c>
      <c r="CD293" s="0" t="n">
        <f aca="false">IF(Presupuesto!$B$62='Flujo de Pagos'!$E293,62,9999)</f>
        <v>62</v>
      </c>
      <c r="CE293" s="0" t="n">
        <f aca="false">IF(Presupuesto!$B$63='Flujo de Pagos'!$E293,63,9999)</f>
        <v>63</v>
      </c>
      <c r="CF293" s="0" t="n">
        <f aca="false">IF(Presupuesto!$B$64='Flujo de Pagos'!$E293,64,9999)</f>
        <v>64</v>
      </c>
      <c r="CG293" s="0" t="n">
        <f aca="false">IF(Presupuesto!$B$65='Flujo de Pagos'!$E293,65,9999)</f>
        <v>65</v>
      </c>
      <c r="CH293" s="0" t="n">
        <f aca="false">IF(Presupuesto!$B$66='Flujo de Pagos'!$E293,66,9999)</f>
        <v>66</v>
      </c>
    </row>
    <row r="294" customFormat="false" ht="15" hidden="false" customHeight="true" outlineLevel="0" collapsed="false">
      <c r="B294" s="1" t="n">
        <f aca="false">IF(AND('Flujo de Pagos'!E299=Carátula!$B$2,'Flujo de Pagos'!F299=Carátula!$B$4,'Flujo de Pagos'!H299&lt;&gt;""),299,99999)</f>
        <v>99999</v>
      </c>
      <c r="H294" s="1" t="n">
        <f aca="false">IF(SMALL($AA294:$CH294,1)&gt;=9999,"",INDEX(Presupuesto!$C:$C,SMALL($AA294:$CH294,1)))</f>
        <v>0</v>
      </c>
      <c r="I294" s="1" t="n">
        <f aca="false">IF(SMALL($AA294:$CH294,2)&gt;=9999,"",INDEX(Presupuesto!$C:$C,SMALL($AA294:$CH294,2)))</f>
        <v>0</v>
      </c>
      <c r="J294" s="1" t="n">
        <f aca="false">IF(SMALL($AA294:$CH294,3)&gt;=9999,"",INDEX(Presupuesto!$C:$C,SMALL($AA294:$CH294,3)))</f>
        <v>0</v>
      </c>
      <c r="K294" s="1" t="n">
        <f aca="false">IF(SMALL($AA294:$CH294,4)&gt;=9999,"",INDEX(Presupuesto!$C:$C,SMALL($AA294:$CH294,4)))</f>
        <v>0</v>
      </c>
      <c r="L294" s="1" t="n">
        <f aca="false">IF(SMALL($AA294:$CH294,5)&gt;=9999,"",INDEX(Presupuesto!$C:$C,SMALL($AA294:$CH294,5)))</f>
        <v>0</v>
      </c>
      <c r="M294" s="1" t="n">
        <f aca="false">IF(SMALL($AA294:$CH294,6)&gt;=9999,"",INDEX(Presupuesto!$C:$C,SMALL($AA294:$CH294,6)))</f>
        <v>0</v>
      </c>
      <c r="N294" s="1" t="n">
        <f aca="false">IF(SMALL($AA294:$CH294,7)&gt;=9999,"",INDEX(Presupuesto!$C:$C,SMALL($AA294:$CH294,7)))</f>
        <v>0</v>
      </c>
      <c r="O294" s="1" t="n">
        <f aca="false">IF(SMALL($AA294:$CH294,8)&gt;=9999,"",INDEX(Presupuesto!$C:$C,SMALL($AA294:$CH294,8)))</f>
        <v>0</v>
      </c>
      <c r="P294" s="1" t="n">
        <f aca="false">IF(SMALL($AA294:$CH294,9)&gt;=9999,"",INDEX(Presupuesto!$C:$C,SMALL($AA294:$CH294,9)))</f>
        <v>0</v>
      </c>
      <c r="Q294" s="1" t="n">
        <f aca="false">IF(SMALL($AA294:$CH294,10)&gt;=9999,"",INDEX(Presupuesto!$C:$C,SMALL($AA294:$CH294,10)))</f>
        <v>0</v>
      </c>
      <c r="AA294" s="0" t="n">
        <f aca="false">IF(Presupuesto!$B$7='Flujo de Pagos'!$E294,7,9999)</f>
        <v>9999</v>
      </c>
      <c r="AB294" s="0" t="n">
        <f aca="false">IF(Presupuesto!$B$8='Flujo de Pagos'!$E294,8,9999)</f>
        <v>9999</v>
      </c>
      <c r="AC294" s="0" t="n">
        <f aca="false">IF(Presupuesto!$B$9='Flujo de Pagos'!$E294,9,9999)</f>
        <v>9999</v>
      </c>
      <c r="AD294" s="0" t="n">
        <f aca="false">IF(Presupuesto!$B$10='Flujo de Pagos'!$E294,10,9999)</f>
        <v>9999</v>
      </c>
      <c r="AE294" s="0" t="n">
        <f aca="false">IF(Presupuesto!$B$11='Flujo de Pagos'!$E294,11,9999)</f>
        <v>9999</v>
      </c>
      <c r="AF294" s="0" t="n">
        <f aca="false">IF(Presupuesto!$B$12='Flujo de Pagos'!$E294,12,9999)</f>
        <v>12</v>
      </c>
      <c r="AG294" s="0" t="n">
        <f aca="false">IF(Presupuesto!$B$13='Flujo de Pagos'!$E294,13,9999)</f>
        <v>13</v>
      </c>
      <c r="AH294" s="0" t="n">
        <f aca="false">IF(Presupuesto!$B$14='Flujo de Pagos'!$E294,14,9999)</f>
        <v>14</v>
      </c>
      <c r="AI294" s="0" t="n">
        <f aca="false">IF(Presupuesto!$B$15='Flujo de Pagos'!$E294,15,9999)</f>
        <v>15</v>
      </c>
      <c r="AJ294" s="0" t="n">
        <f aca="false">IF(Presupuesto!$B$16='Flujo de Pagos'!$E294,16,9999)</f>
        <v>16</v>
      </c>
      <c r="AK294" s="0" t="n">
        <f aca="false">IF(Presupuesto!$B$17='Flujo de Pagos'!$E294,17,9999)</f>
        <v>17</v>
      </c>
      <c r="AL294" s="0" t="n">
        <f aca="false">IF(Presupuesto!$B$18='Flujo de Pagos'!$E294,18,9999)</f>
        <v>18</v>
      </c>
      <c r="AM294" s="0" t="n">
        <f aca="false">IF(Presupuesto!$B$19='Flujo de Pagos'!$E294,19,9999)</f>
        <v>19</v>
      </c>
      <c r="AN294" s="0" t="n">
        <f aca="false">IF(Presupuesto!$B$20='Flujo de Pagos'!$E294,20,9999)</f>
        <v>20</v>
      </c>
      <c r="AO294" s="0" t="n">
        <f aca="false">IF(Presupuesto!$B$21='Flujo de Pagos'!$E294,21,9999)</f>
        <v>21</v>
      </c>
      <c r="AP294" s="0" t="n">
        <f aca="false">IF(Presupuesto!$B$22='Flujo de Pagos'!$E294,22,9999)</f>
        <v>22</v>
      </c>
      <c r="AQ294" s="0" t="n">
        <f aca="false">IF(Presupuesto!$B$23='Flujo de Pagos'!$E294,23,9999)</f>
        <v>23</v>
      </c>
      <c r="AR294" s="0" t="n">
        <f aca="false">IF(Presupuesto!$B$24='Flujo de Pagos'!$E294,24,9999)</f>
        <v>24</v>
      </c>
      <c r="AS294" s="0" t="n">
        <f aca="false">IF(Presupuesto!$B$25='Flujo de Pagos'!$E294,25,9999)</f>
        <v>25</v>
      </c>
      <c r="AT294" s="0" t="n">
        <f aca="false">IF(Presupuesto!$B$26='Flujo de Pagos'!$E294,26,9999)</f>
        <v>26</v>
      </c>
      <c r="AU294" s="0" t="n">
        <f aca="false">IF(Presupuesto!$B$27='Flujo de Pagos'!$E294,27,9999)</f>
        <v>27</v>
      </c>
      <c r="AV294" s="0" t="n">
        <f aca="false">IF(Presupuesto!$B$28='Flujo de Pagos'!$E294,28,9999)</f>
        <v>28</v>
      </c>
      <c r="AW294" s="0" t="n">
        <f aca="false">IF(Presupuesto!$B$29='Flujo de Pagos'!$E294,29,9999)</f>
        <v>29</v>
      </c>
      <c r="AX294" s="0" t="n">
        <f aca="false">IF(Presupuesto!$B$30='Flujo de Pagos'!$E294,30,9999)</f>
        <v>30</v>
      </c>
      <c r="AY294" s="0" t="n">
        <f aca="false">IF(Presupuesto!$B$31='Flujo de Pagos'!$E294,31,9999)</f>
        <v>31</v>
      </c>
      <c r="AZ294" s="0" t="n">
        <f aca="false">IF(Presupuesto!$B$32='Flujo de Pagos'!$E294,32,9999)</f>
        <v>32</v>
      </c>
      <c r="BA294" s="0" t="n">
        <f aca="false">IF(Presupuesto!$B$33='Flujo de Pagos'!$E294,33,9999)</f>
        <v>33</v>
      </c>
      <c r="BB294" s="0" t="n">
        <f aca="false">IF(Presupuesto!$B$34='Flujo de Pagos'!$E294,34,9999)</f>
        <v>34</v>
      </c>
      <c r="BC294" s="0" t="n">
        <f aca="false">IF(Presupuesto!$B$35='Flujo de Pagos'!$E294,35,9999)</f>
        <v>35</v>
      </c>
      <c r="BD294" s="0" t="n">
        <f aca="false">IF(Presupuesto!$B$36='Flujo de Pagos'!$E294,36,9999)</f>
        <v>36</v>
      </c>
      <c r="BE294" s="0" t="n">
        <f aca="false">IF(Presupuesto!$B$37='Flujo de Pagos'!$E294,37,9999)</f>
        <v>37</v>
      </c>
      <c r="BF294" s="0" t="n">
        <f aca="false">IF(Presupuesto!$B$38='Flujo de Pagos'!$E294,38,9999)</f>
        <v>38</v>
      </c>
      <c r="BG294" s="0" t="n">
        <f aca="false">IF(Presupuesto!$B$39='Flujo de Pagos'!$E294,39,9999)</f>
        <v>39</v>
      </c>
      <c r="BH294" s="0" t="n">
        <f aca="false">IF(Presupuesto!$B$40='Flujo de Pagos'!$E294,40,9999)</f>
        <v>40</v>
      </c>
      <c r="BI294" s="0" t="n">
        <f aca="false">IF(Presupuesto!$B$41='Flujo de Pagos'!$E294,41,9999)</f>
        <v>41</v>
      </c>
      <c r="BJ294" s="0" t="n">
        <f aca="false">IF(Presupuesto!$B$42='Flujo de Pagos'!$E294,42,9999)</f>
        <v>42</v>
      </c>
      <c r="BK294" s="0" t="n">
        <f aca="false">IF(Presupuesto!$B$43='Flujo de Pagos'!$E294,43,9999)</f>
        <v>43</v>
      </c>
      <c r="BL294" s="0" t="n">
        <f aca="false">IF(Presupuesto!$B$44='Flujo de Pagos'!$E294,44,9999)</f>
        <v>44</v>
      </c>
      <c r="BM294" s="0" t="n">
        <f aca="false">IF(Presupuesto!$B$45='Flujo de Pagos'!$E294,45,9999)</f>
        <v>45</v>
      </c>
      <c r="BN294" s="0" t="n">
        <f aca="false">IF(Presupuesto!$B$46='Flujo de Pagos'!$E294,46,9999)</f>
        <v>46</v>
      </c>
      <c r="BO294" s="0" t="n">
        <f aca="false">IF(Presupuesto!$B$47='Flujo de Pagos'!$E294,47,9999)</f>
        <v>47</v>
      </c>
      <c r="BP294" s="0" t="n">
        <f aca="false">IF(Presupuesto!$B$48='Flujo de Pagos'!$E294,48,9999)</f>
        <v>48</v>
      </c>
      <c r="BQ294" s="0" t="n">
        <f aca="false">IF(Presupuesto!$B$49='Flujo de Pagos'!$E294,49,9999)</f>
        <v>49</v>
      </c>
      <c r="BR294" s="0" t="n">
        <f aca="false">IF(Presupuesto!$B$50='Flujo de Pagos'!$E294,50,9999)</f>
        <v>50</v>
      </c>
      <c r="BS294" s="0" t="n">
        <f aca="false">IF(Presupuesto!$B$51='Flujo de Pagos'!$E294,51,9999)</f>
        <v>51</v>
      </c>
      <c r="BT294" s="0" t="n">
        <f aca="false">IF(Presupuesto!$B$52='Flujo de Pagos'!$E294,52,9999)</f>
        <v>52</v>
      </c>
      <c r="BU294" s="0" t="n">
        <f aca="false">IF(Presupuesto!$B$53='Flujo de Pagos'!$E294,53,9999)</f>
        <v>53</v>
      </c>
      <c r="BV294" s="0" t="n">
        <f aca="false">IF(Presupuesto!$B$54='Flujo de Pagos'!$E294,54,9999)</f>
        <v>54</v>
      </c>
      <c r="BW294" s="0" t="n">
        <f aca="false">IF(Presupuesto!$B$55='Flujo de Pagos'!$E294,55,9999)</f>
        <v>55</v>
      </c>
      <c r="BX294" s="0" t="n">
        <f aca="false">IF(Presupuesto!$B$56='Flujo de Pagos'!$E294,56,9999)</f>
        <v>56</v>
      </c>
      <c r="BY294" s="0" t="n">
        <f aca="false">IF(Presupuesto!$B$57='Flujo de Pagos'!$E294,57,9999)</f>
        <v>57</v>
      </c>
      <c r="BZ294" s="0" t="n">
        <f aca="false">IF(Presupuesto!$B$58='Flujo de Pagos'!$E294,58,9999)</f>
        <v>58</v>
      </c>
      <c r="CA294" s="0" t="n">
        <f aca="false">IF(Presupuesto!$B$59='Flujo de Pagos'!$E294,59,9999)</f>
        <v>59</v>
      </c>
      <c r="CB294" s="0" t="n">
        <f aca="false">IF(Presupuesto!$B$60='Flujo de Pagos'!$E294,60,9999)</f>
        <v>60</v>
      </c>
      <c r="CC294" s="0" t="n">
        <f aca="false">IF(Presupuesto!$B$61='Flujo de Pagos'!$E294,61,9999)</f>
        <v>61</v>
      </c>
      <c r="CD294" s="0" t="n">
        <f aca="false">IF(Presupuesto!$B$62='Flujo de Pagos'!$E294,62,9999)</f>
        <v>62</v>
      </c>
      <c r="CE294" s="0" t="n">
        <f aca="false">IF(Presupuesto!$B$63='Flujo de Pagos'!$E294,63,9999)</f>
        <v>63</v>
      </c>
      <c r="CF294" s="0" t="n">
        <f aca="false">IF(Presupuesto!$B$64='Flujo de Pagos'!$E294,64,9999)</f>
        <v>64</v>
      </c>
      <c r="CG294" s="0" t="n">
        <f aca="false">IF(Presupuesto!$B$65='Flujo de Pagos'!$E294,65,9999)</f>
        <v>65</v>
      </c>
      <c r="CH294" s="0" t="n">
        <f aca="false">IF(Presupuesto!$B$66='Flujo de Pagos'!$E294,66,9999)</f>
        <v>66</v>
      </c>
    </row>
    <row r="295" customFormat="false" ht="15" hidden="false" customHeight="true" outlineLevel="0" collapsed="false">
      <c r="B295" s="1" t="n">
        <f aca="false">IF(AND('Flujo de Pagos'!E300=Carátula!$B$2,'Flujo de Pagos'!F300=Carátula!$B$4,'Flujo de Pagos'!H300&lt;&gt;""),300,99999)</f>
        <v>99999</v>
      </c>
      <c r="H295" s="1" t="n">
        <f aca="false">IF(SMALL($AA295:$CH295,1)&gt;=9999,"",INDEX(Presupuesto!$C:$C,SMALL($AA295:$CH295,1)))</f>
        <v>0</v>
      </c>
      <c r="I295" s="1" t="n">
        <f aca="false">IF(SMALL($AA295:$CH295,2)&gt;=9999,"",INDEX(Presupuesto!$C:$C,SMALL($AA295:$CH295,2)))</f>
        <v>0</v>
      </c>
      <c r="J295" s="1" t="n">
        <f aca="false">IF(SMALL($AA295:$CH295,3)&gt;=9999,"",INDEX(Presupuesto!$C:$C,SMALL($AA295:$CH295,3)))</f>
        <v>0</v>
      </c>
      <c r="K295" s="1" t="n">
        <f aca="false">IF(SMALL($AA295:$CH295,4)&gt;=9999,"",INDEX(Presupuesto!$C:$C,SMALL($AA295:$CH295,4)))</f>
        <v>0</v>
      </c>
      <c r="L295" s="1" t="n">
        <f aca="false">IF(SMALL($AA295:$CH295,5)&gt;=9999,"",INDEX(Presupuesto!$C:$C,SMALL($AA295:$CH295,5)))</f>
        <v>0</v>
      </c>
      <c r="M295" s="1" t="n">
        <f aca="false">IF(SMALL($AA295:$CH295,6)&gt;=9999,"",INDEX(Presupuesto!$C:$C,SMALL($AA295:$CH295,6)))</f>
        <v>0</v>
      </c>
      <c r="N295" s="1" t="n">
        <f aca="false">IF(SMALL($AA295:$CH295,7)&gt;=9999,"",INDEX(Presupuesto!$C:$C,SMALL($AA295:$CH295,7)))</f>
        <v>0</v>
      </c>
      <c r="O295" s="1" t="n">
        <f aca="false">IF(SMALL($AA295:$CH295,8)&gt;=9999,"",INDEX(Presupuesto!$C:$C,SMALL($AA295:$CH295,8)))</f>
        <v>0</v>
      </c>
      <c r="P295" s="1" t="n">
        <f aca="false">IF(SMALL($AA295:$CH295,9)&gt;=9999,"",INDEX(Presupuesto!$C:$C,SMALL($AA295:$CH295,9)))</f>
        <v>0</v>
      </c>
      <c r="Q295" s="1" t="n">
        <f aca="false">IF(SMALL($AA295:$CH295,10)&gt;=9999,"",INDEX(Presupuesto!$C:$C,SMALL($AA295:$CH295,10)))</f>
        <v>0</v>
      </c>
      <c r="AA295" s="0" t="n">
        <f aca="false">IF(Presupuesto!$B$7='Flujo de Pagos'!$E295,7,9999)</f>
        <v>9999</v>
      </c>
      <c r="AB295" s="0" t="n">
        <f aca="false">IF(Presupuesto!$B$8='Flujo de Pagos'!$E295,8,9999)</f>
        <v>9999</v>
      </c>
      <c r="AC295" s="0" t="n">
        <f aca="false">IF(Presupuesto!$B$9='Flujo de Pagos'!$E295,9,9999)</f>
        <v>9999</v>
      </c>
      <c r="AD295" s="0" t="n">
        <f aca="false">IF(Presupuesto!$B$10='Flujo de Pagos'!$E295,10,9999)</f>
        <v>9999</v>
      </c>
      <c r="AE295" s="0" t="n">
        <f aca="false">IF(Presupuesto!$B$11='Flujo de Pagos'!$E295,11,9999)</f>
        <v>9999</v>
      </c>
      <c r="AF295" s="0" t="n">
        <f aca="false">IF(Presupuesto!$B$12='Flujo de Pagos'!$E295,12,9999)</f>
        <v>12</v>
      </c>
      <c r="AG295" s="0" t="n">
        <f aca="false">IF(Presupuesto!$B$13='Flujo de Pagos'!$E295,13,9999)</f>
        <v>13</v>
      </c>
      <c r="AH295" s="0" t="n">
        <f aca="false">IF(Presupuesto!$B$14='Flujo de Pagos'!$E295,14,9999)</f>
        <v>14</v>
      </c>
      <c r="AI295" s="0" t="n">
        <f aca="false">IF(Presupuesto!$B$15='Flujo de Pagos'!$E295,15,9999)</f>
        <v>15</v>
      </c>
      <c r="AJ295" s="0" t="n">
        <f aca="false">IF(Presupuesto!$B$16='Flujo de Pagos'!$E295,16,9999)</f>
        <v>16</v>
      </c>
      <c r="AK295" s="0" t="n">
        <f aca="false">IF(Presupuesto!$B$17='Flujo de Pagos'!$E295,17,9999)</f>
        <v>17</v>
      </c>
      <c r="AL295" s="0" t="n">
        <f aca="false">IF(Presupuesto!$B$18='Flujo de Pagos'!$E295,18,9999)</f>
        <v>18</v>
      </c>
      <c r="AM295" s="0" t="n">
        <f aca="false">IF(Presupuesto!$B$19='Flujo de Pagos'!$E295,19,9999)</f>
        <v>19</v>
      </c>
      <c r="AN295" s="0" t="n">
        <f aca="false">IF(Presupuesto!$B$20='Flujo de Pagos'!$E295,20,9999)</f>
        <v>20</v>
      </c>
      <c r="AO295" s="0" t="n">
        <f aca="false">IF(Presupuesto!$B$21='Flujo de Pagos'!$E295,21,9999)</f>
        <v>21</v>
      </c>
      <c r="AP295" s="0" t="n">
        <f aca="false">IF(Presupuesto!$B$22='Flujo de Pagos'!$E295,22,9999)</f>
        <v>22</v>
      </c>
      <c r="AQ295" s="0" t="n">
        <f aca="false">IF(Presupuesto!$B$23='Flujo de Pagos'!$E295,23,9999)</f>
        <v>23</v>
      </c>
      <c r="AR295" s="0" t="n">
        <f aca="false">IF(Presupuesto!$B$24='Flujo de Pagos'!$E295,24,9999)</f>
        <v>24</v>
      </c>
      <c r="AS295" s="0" t="n">
        <f aca="false">IF(Presupuesto!$B$25='Flujo de Pagos'!$E295,25,9999)</f>
        <v>25</v>
      </c>
      <c r="AT295" s="0" t="n">
        <f aca="false">IF(Presupuesto!$B$26='Flujo de Pagos'!$E295,26,9999)</f>
        <v>26</v>
      </c>
      <c r="AU295" s="0" t="n">
        <f aca="false">IF(Presupuesto!$B$27='Flujo de Pagos'!$E295,27,9999)</f>
        <v>27</v>
      </c>
      <c r="AV295" s="0" t="n">
        <f aca="false">IF(Presupuesto!$B$28='Flujo de Pagos'!$E295,28,9999)</f>
        <v>28</v>
      </c>
      <c r="AW295" s="0" t="n">
        <f aca="false">IF(Presupuesto!$B$29='Flujo de Pagos'!$E295,29,9999)</f>
        <v>29</v>
      </c>
      <c r="AX295" s="0" t="n">
        <f aca="false">IF(Presupuesto!$B$30='Flujo de Pagos'!$E295,30,9999)</f>
        <v>30</v>
      </c>
      <c r="AY295" s="0" t="n">
        <f aca="false">IF(Presupuesto!$B$31='Flujo de Pagos'!$E295,31,9999)</f>
        <v>31</v>
      </c>
      <c r="AZ295" s="0" t="n">
        <f aca="false">IF(Presupuesto!$B$32='Flujo de Pagos'!$E295,32,9999)</f>
        <v>32</v>
      </c>
      <c r="BA295" s="0" t="n">
        <f aca="false">IF(Presupuesto!$B$33='Flujo de Pagos'!$E295,33,9999)</f>
        <v>33</v>
      </c>
      <c r="BB295" s="0" t="n">
        <f aca="false">IF(Presupuesto!$B$34='Flujo de Pagos'!$E295,34,9999)</f>
        <v>34</v>
      </c>
      <c r="BC295" s="0" t="n">
        <f aca="false">IF(Presupuesto!$B$35='Flujo de Pagos'!$E295,35,9999)</f>
        <v>35</v>
      </c>
      <c r="BD295" s="0" t="n">
        <f aca="false">IF(Presupuesto!$B$36='Flujo de Pagos'!$E295,36,9999)</f>
        <v>36</v>
      </c>
      <c r="BE295" s="0" t="n">
        <f aca="false">IF(Presupuesto!$B$37='Flujo de Pagos'!$E295,37,9999)</f>
        <v>37</v>
      </c>
      <c r="BF295" s="0" t="n">
        <f aca="false">IF(Presupuesto!$B$38='Flujo de Pagos'!$E295,38,9999)</f>
        <v>38</v>
      </c>
      <c r="BG295" s="0" t="n">
        <f aca="false">IF(Presupuesto!$B$39='Flujo de Pagos'!$E295,39,9999)</f>
        <v>39</v>
      </c>
      <c r="BH295" s="0" t="n">
        <f aca="false">IF(Presupuesto!$B$40='Flujo de Pagos'!$E295,40,9999)</f>
        <v>40</v>
      </c>
      <c r="BI295" s="0" t="n">
        <f aca="false">IF(Presupuesto!$B$41='Flujo de Pagos'!$E295,41,9999)</f>
        <v>41</v>
      </c>
      <c r="BJ295" s="0" t="n">
        <f aca="false">IF(Presupuesto!$B$42='Flujo de Pagos'!$E295,42,9999)</f>
        <v>42</v>
      </c>
      <c r="BK295" s="0" t="n">
        <f aca="false">IF(Presupuesto!$B$43='Flujo de Pagos'!$E295,43,9999)</f>
        <v>43</v>
      </c>
      <c r="BL295" s="0" t="n">
        <f aca="false">IF(Presupuesto!$B$44='Flujo de Pagos'!$E295,44,9999)</f>
        <v>44</v>
      </c>
      <c r="BM295" s="0" t="n">
        <f aca="false">IF(Presupuesto!$B$45='Flujo de Pagos'!$E295,45,9999)</f>
        <v>45</v>
      </c>
      <c r="BN295" s="0" t="n">
        <f aca="false">IF(Presupuesto!$B$46='Flujo de Pagos'!$E295,46,9999)</f>
        <v>46</v>
      </c>
      <c r="BO295" s="0" t="n">
        <f aca="false">IF(Presupuesto!$B$47='Flujo de Pagos'!$E295,47,9999)</f>
        <v>47</v>
      </c>
      <c r="BP295" s="0" t="n">
        <f aca="false">IF(Presupuesto!$B$48='Flujo de Pagos'!$E295,48,9999)</f>
        <v>48</v>
      </c>
      <c r="BQ295" s="0" t="n">
        <f aca="false">IF(Presupuesto!$B$49='Flujo de Pagos'!$E295,49,9999)</f>
        <v>49</v>
      </c>
      <c r="BR295" s="0" t="n">
        <f aca="false">IF(Presupuesto!$B$50='Flujo de Pagos'!$E295,50,9999)</f>
        <v>50</v>
      </c>
      <c r="BS295" s="0" t="n">
        <f aca="false">IF(Presupuesto!$B$51='Flujo de Pagos'!$E295,51,9999)</f>
        <v>51</v>
      </c>
      <c r="BT295" s="0" t="n">
        <f aca="false">IF(Presupuesto!$B$52='Flujo de Pagos'!$E295,52,9999)</f>
        <v>52</v>
      </c>
      <c r="BU295" s="0" t="n">
        <f aca="false">IF(Presupuesto!$B$53='Flujo de Pagos'!$E295,53,9999)</f>
        <v>53</v>
      </c>
      <c r="BV295" s="0" t="n">
        <f aca="false">IF(Presupuesto!$B$54='Flujo de Pagos'!$E295,54,9999)</f>
        <v>54</v>
      </c>
      <c r="BW295" s="0" t="n">
        <f aca="false">IF(Presupuesto!$B$55='Flujo de Pagos'!$E295,55,9999)</f>
        <v>55</v>
      </c>
      <c r="BX295" s="0" t="n">
        <f aca="false">IF(Presupuesto!$B$56='Flujo de Pagos'!$E295,56,9999)</f>
        <v>56</v>
      </c>
      <c r="BY295" s="0" t="n">
        <f aca="false">IF(Presupuesto!$B$57='Flujo de Pagos'!$E295,57,9999)</f>
        <v>57</v>
      </c>
      <c r="BZ295" s="0" t="n">
        <f aca="false">IF(Presupuesto!$B$58='Flujo de Pagos'!$E295,58,9999)</f>
        <v>58</v>
      </c>
      <c r="CA295" s="0" t="n">
        <f aca="false">IF(Presupuesto!$B$59='Flujo de Pagos'!$E295,59,9999)</f>
        <v>59</v>
      </c>
      <c r="CB295" s="0" t="n">
        <f aca="false">IF(Presupuesto!$B$60='Flujo de Pagos'!$E295,60,9999)</f>
        <v>60</v>
      </c>
      <c r="CC295" s="0" t="n">
        <f aca="false">IF(Presupuesto!$B$61='Flujo de Pagos'!$E295,61,9999)</f>
        <v>61</v>
      </c>
      <c r="CD295" s="0" t="n">
        <f aca="false">IF(Presupuesto!$B$62='Flujo de Pagos'!$E295,62,9999)</f>
        <v>62</v>
      </c>
      <c r="CE295" s="0" t="n">
        <f aca="false">IF(Presupuesto!$B$63='Flujo de Pagos'!$E295,63,9999)</f>
        <v>63</v>
      </c>
      <c r="CF295" s="0" t="n">
        <f aca="false">IF(Presupuesto!$B$64='Flujo de Pagos'!$E295,64,9999)</f>
        <v>64</v>
      </c>
      <c r="CG295" s="0" t="n">
        <f aca="false">IF(Presupuesto!$B$65='Flujo de Pagos'!$E295,65,9999)</f>
        <v>65</v>
      </c>
      <c r="CH295" s="0" t="n">
        <f aca="false">IF(Presupuesto!$B$66='Flujo de Pagos'!$E295,66,9999)</f>
        <v>66</v>
      </c>
    </row>
    <row r="296" customFormat="false" ht="15" hidden="false" customHeight="true" outlineLevel="0" collapsed="false">
      <c r="B296" s="1" t="n">
        <f aca="false">IF(AND('Flujo de Pagos'!E301=Carátula!$B$2,'Flujo de Pagos'!F301=Carátula!$B$4,'Flujo de Pagos'!H301&lt;&gt;""),301,99999)</f>
        <v>99999</v>
      </c>
      <c r="H296" s="1" t="n">
        <f aca="false">IF(SMALL($AA296:$CH296,1)&gt;=9999,"",INDEX(Presupuesto!$C:$C,SMALL($AA296:$CH296,1)))</f>
        <v>0</v>
      </c>
      <c r="I296" s="1" t="n">
        <f aca="false">IF(SMALL($AA296:$CH296,2)&gt;=9999,"",INDEX(Presupuesto!$C:$C,SMALL($AA296:$CH296,2)))</f>
        <v>0</v>
      </c>
      <c r="J296" s="1" t="n">
        <f aca="false">IF(SMALL($AA296:$CH296,3)&gt;=9999,"",INDEX(Presupuesto!$C:$C,SMALL($AA296:$CH296,3)))</f>
        <v>0</v>
      </c>
      <c r="K296" s="1" t="n">
        <f aca="false">IF(SMALL($AA296:$CH296,4)&gt;=9999,"",INDEX(Presupuesto!$C:$C,SMALL($AA296:$CH296,4)))</f>
        <v>0</v>
      </c>
      <c r="L296" s="1" t="n">
        <f aca="false">IF(SMALL($AA296:$CH296,5)&gt;=9999,"",INDEX(Presupuesto!$C:$C,SMALL($AA296:$CH296,5)))</f>
        <v>0</v>
      </c>
      <c r="M296" s="1" t="n">
        <f aca="false">IF(SMALL($AA296:$CH296,6)&gt;=9999,"",INDEX(Presupuesto!$C:$C,SMALL($AA296:$CH296,6)))</f>
        <v>0</v>
      </c>
      <c r="N296" s="1" t="n">
        <f aca="false">IF(SMALL($AA296:$CH296,7)&gt;=9999,"",INDEX(Presupuesto!$C:$C,SMALL($AA296:$CH296,7)))</f>
        <v>0</v>
      </c>
      <c r="O296" s="1" t="n">
        <f aca="false">IF(SMALL($AA296:$CH296,8)&gt;=9999,"",INDEX(Presupuesto!$C:$C,SMALL($AA296:$CH296,8)))</f>
        <v>0</v>
      </c>
      <c r="P296" s="1" t="n">
        <f aca="false">IF(SMALL($AA296:$CH296,9)&gt;=9999,"",INDEX(Presupuesto!$C:$C,SMALL($AA296:$CH296,9)))</f>
        <v>0</v>
      </c>
      <c r="Q296" s="1" t="n">
        <f aca="false">IF(SMALL($AA296:$CH296,10)&gt;=9999,"",INDEX(Presupuesto!$C:$C,SMALL($AA296:$CH296,10)))</f>
        <v>0</v>
      </c>
      <c r="AA296" s="0" t="n">
        <f aca="false">IF(Presupuesto!$B$7='Flujo de Pagos'!$E296,7,9999)</f>
        <v>9999</v>
      </c>
      <c r="AB296" s="0" t="n">
        <f aca="false">IF(Presupuesto!$B$8='Flujo de Pagos'!$E296,8,9999)</f>
        <v>9999</v>
      </c>
      <c r="AC296" s="0" t="n">
        <f aca="false">IF(Presupuesto!$B$9='Flujo de Pagos'!$E296,9,9999)</f>
        <v>9999</v>
      </c>
      <c r="AD296" s="0" t="n">
        <f aca="false">IF(Presupuesto!$B$10='Flujo de Pagos'!$E296,10,9999)</f>
        <v>9999</v>
      </c>
      <c r="AE296" s="0" t="n">
        <f aca="false">IF(Presupuesto!$B$11='Flujo de Pagos'!$E296,11,9999)</f>
        <v>9999</v>
      </c>
      <c r="AF296" s="0" t="n">
        <f aca="false">IF(Presupuesto!$B$12='Flujo de Pagos'!$E296,12,9999)</f>
        <v>12</v>
      </c>
      <c r="AG296" s="0" t="n">
        <f aca="false">IF(Presupuesto!$B$13='Flujo de Pagos'!$E296,13,9999)</f>
        <v>13</v>
      </c>
      <c r="AH296" s="0" t="n">
        <f aca="false">IF(Presupuesto!$B$14='Flujo de Pagos'!$E296,14,9999)</f>
        <v>14</v>
      </c>
      <c r="AI296" s="0" t="n">
        <f aca="false">IF(Presupuesto!$B$15='Flujo de Pagos'!$E296,15,9999)</f>
        <v>15</v>
      </c>
      <c r="AJ296" s="0" t="n">
        <f aca="false">IF(Presupuesto!$B$16='Flujo de Pagos'!$E296,16,9999)</f>
        <v>16</v>
      </c>
      <c r="AK296" s="0" t="n">
        <f aca="false">IF(Presupuesto!$B$17='Flujo de Pagos'!$E296,17,9999)</f>
        <v>17</v>
      </c>
      <c r="AL296" s="0" t="n">
        <f aca="false">IF(Presupuesto!$B$18='Flujo de Pagos'!$E296,18,9999)</f>
        <v>18</v>
      </c>
      <c r="AM296" s="0" t="n">
        <f aca="false">IF(Presupuesto!$B$19='Flujo de Pagos'!$E296,19,9999)</f>
        <v>19</v>
      </c>
      <c r="AN296" s="0" t="n">
        <f aca="false">IF(Presupuesto!$B$20='Flujo de Pagos'!$E296,20,9999)</f>
        <v>20</v>
      </c>
      <c r="AO296" s="0" t="n">
        <f aca="false">IF(Presupuesto!$B$21='Flujo de Pagos'!$E296,21,9999)</f>
        <v>21</v>
      </c>
      <c r="AP296" s="0" t="n">
        <f aca="false">IF(Presupuesto!$B$22='Flujo de Pagos'!$E296,22,9999)</f>
        <v>22</v>
      </c>
      <c r="AQ296" s="0" t="n">
        <f aca="false">IF(Presupuesto!$B$23='Flujo de Pagos'!$E296,23,9999)</f>
        <v>23</v>
      </c>
      <c r="AR296" s="0" t="n">
        <f aca="false">IF(Presupuesto!$B$24='Flujo de Pagos'!$E296,24,9999)</f>
        <v>24</v>
      </c>
      <c r="AS296" s="0" t="n">
        <f aca="false">IF(Presupuesto!$B$25='Flujo de Pagos'!$E296,25,9999)</f>
        <v>25</v>
      </c>
      <c r="AT296" s="0" t="n">
        <f aca="false">IF(Presupuesto!$B$26='Flujo de Pagos'!$E296,26,9999)</f>
        <v>26</v>
      </c>
      <c r="AU296" s="0" t="n">
        <f aca="false">IF(Presupuesto!$B$27='Flujo de Pagos'!$E296,27,9999)</f>
        <v>27</v>
      </c>
      <c r="AV296" s="0" t="n">
        <f aca="false">IF(Presupuesto!$B$28='Flujo de Pagos'!$E296,28,9999)</f>
        <v>28</v>
      </c>
      <c r="AW296" s="0" t="n">
        <f aca="false">IF(Presupuesto!$B$29='Flujo de Pagos'!$E296,29,9999)</f>
        <v>29</v>
      </c>
      <c r="AX296" s="0" t="n">
        <f aca="false">IF(Presupuesto!$B$30='Flujo de Pagos'!$E296,30,9999)</f>
        <v>30</v>
      </c>
      <c r="AY296" s="0" t="n">
        <f aca="false">IF(Presupuesto!$B$31='Flujo de Pagos'!$E296,31,9999)</f>
        <v>31</v>
      </c>
      <c r="AZ296" s="0" t="n">
        <f aca="false">IF(Presupuesto!$B$32='Flujo de Pagos'!$E296,32,9999)</f>
        <v>32</v>
      </c>
      <c r="BA296" s="0" t="n">
        <f aca="false">IF(Presupuesto!$B$33='Flujo de Pagos'!$E296,33,9999)</f>
        <v>33</v>
      </c>
      <c r="BB296" s="0" t="n">
        <f aca="false">IF(Presupuesto!$B$34='Flujo de Pagos'!$E296,34,9999)</f>
        <v>34</v>
      </c>
      <c r="BC296" s="0" t="n">
        <f aca="false">IF(Presupuesto!$B$35='Flujo de Pagos'!$E296,35,9999)</f>
        <v>35</v>
      </c>
      <c r="BD296" s="0" t="n">
        <f aca="false">IF(Presupuesto!$B$36='Flujo de Pagos'!$E296,36,9999)</f>
        <v>36</v>
      </c>
      <c r="BE296" s="0" t="n">
        <f aca="false">IF(Presupuesto!$B$37='Flujo de Pagos'!$E296,37,9999)</f>
        <v>37</v>
      </c>
      <c r="BF296" s="0" t="n">
        <f aca="false">IF(Presupuesto!$B$38='Flujo de Pagos'!$E296,38,9999)</f>
        <v>38</v>
      </c>
      <c r="BG296" s="0" t="n">
        <f aca="false">IF(Presupuesto!$B$39='Flujo de Pagos'!$E296,39,9999)</f>
        <v>39</v>
      </c>
      <c r="BH296" s="0" t="n">
        <f aca="false">IF(Presupuesto!$B$40='Flujo de Pagos'!$E296,40,9999)</f>
        <v>40</v>
      </c>
      <c r="BI296" s="0" t="n">
        <f aca="false">IF(Presupuesto!$B$41='Flujo de Pagos'!$E296,41,9999)</f>
        <v>41</v>
      </c>
      <c r="BJ296" s="0" t="n">
        <f aca="false">IF(Presupuesto!$B$42='Flujo de Pagos'!$E296,42,9999)</f>
        <v>42</v>
      </c>
      <c r="BK296" s="0" t="n">
        <f aca="false">IF(Presupuesto!$B$43='Flujo de Pagos'!$E296,43,9999)</f>
        <v>43</v>
      </c>
      <c r="BL296" s="0" t="n">
        <f aca="false">IF(Presupuesto!$B$44='Flujo de Pagos'!$E296,44,9999)</f>
        <v>44</v>
      </c>
      <c r="BM296" s="0" t="n">
        <f aca="false">IF(Presupuesto!$B$45='Flujo de Pagos'!$E296,45,9999)</f>
        <v>45</v>
      </c>
      <c r="BN296" s="0" t="n">
        <f aca="false">IF(Presupuesto!$B$46='Flujo de Pagos'!$E296,46,9999)</f>
        <v>46</v>
      </c>
      <c r="BO296" s="0" t="n">
        <f aca="false">IF(Presupuesto!$B$47='Flujo de Pagos'!$E296,47,9999)</f>
        <v>47</v>
      </c>
      <c r="BP296" s="0" t="n">
        <f aca="false">IF(Presupuesto!$B$48='Flujo de Pagos'!$E296,48,9999)</f>
        <v>48</v>
      </c>
      <c r="BQ296" s="0" t="n">
        <f aca="false">IF(Presupuesto!$B$49='Flujo de Pagos'!$E296,49,9999)</f>
        <v>49</v>
      </c>
      <c r="BR296" s="0" t="n">
        <f aca="false">IF(Presupuesto!$B$50='Flujo de Pagos'!$E296,50,9999)</f>
        <v>50</v>
      </c>
      <c r="BS296" s="0" t="n">
        <f aca="false">IF(Presupuesto!$B$51='Flujo de Pagos'!$E296,51,9999)</f>
        <v>51</v>
      </c>
      <c r="BT296" s="0" t="n">
        <f aca="false">IF(Presupuesto!$B$52='Flujo de Pagos'!$E296,52,9999)</f>
        <v>52</v>
      </c>
      <c r="BU296" s="0" t="n">
        <f aca="false">IF(Presupuesto!$B$53='Flujo de Pagos'!$E296,53,9999)</f>
        <v>53</v>
      </c>
      <c r="BV296" s="0" t="n">
        <f aca="false">IF(Presupuesto!$B$54='Flujo de Pagos'!$E296,54,9999)</f>
        <v>54</v>
      </c>
      <c r="BW296" s="0" t="n">
        <f aca="false">IF(Presupuesto!$B$55='Flujo de Pagos'!$E296,55,9999)</f>
        <v>55</v>
      </c>
      <c r="BX296" s="0" t="n">
        <f aca="false">IF(Presupuesto!$B$56='Flujo de Pagos'!$E296,56,9999)</f>
        <v>56</v>
      </c>
      <c r="BY296" s="0" t="n">
        <f aca="false">IF(Presupuesto!$B$57='Flujo de Pagos'!$E296,57,9999)</f>
        <v>57</v>
      </c>
      <c r="BZ296" s="0" t="n">
        <f aca="false">IF(Presupuesto!$B$58='Flujo de Pagos'!$E296,58,9999)</f>
        <v>58</v>
      </c>
      <c r="CA296" s="0" t="n">
        <f aca="false">IF(Presupuesto!$B$59='Flujo de Pagos'!$E296,59,9999)</f>
        <v>59</v>
      </c>
      <c r="CB296" s="0" t="n">
        <f aca="false">IF(Presupuesto!$B$60='Flujo de Pagos'!$E296,60,9999)</f>
        <v>60</v>
      </c>
      <c r="CC296" s="0" t="n">
        <f aca="false">IF(Presupuesto!$B$61='Flujo de Pagos'!$E296,61,9999)</f>
        <v>61</v>
      </c>
      <c r="CD296" s="0" t="n">
        <f aca="false">IF(Presupuesto!$B$62='Flujo de Pagos'!$E296,62,9999)</f>
        <v>62</v>
      </c>
      <c r="CE296" s="0" t="n">
        <f aca="false">IF(Presupuesto!$B$63='Flujo de Pagos'!$E296,63,9999)</f>
        <v>63</v>
      </c>
      <c r="CF296" s="0" t="n">
        <f aca="false">IF(Presupuesto!$B$64='Flujo de Pagos'!$E296,64,9999)</f>
        <v>64</v>
      </c>
      <c r="CG296" s="0" t="n">
        <f aca="false">IF(Presupuesto!$B$65='Flujo de Pagos'!$E296,65,9999)</f>
        <v>65</v>
      </c>
      <c r="CH296" s="0" t="n">
        <f aca="false">IF(Presupuesto!$B$66='Flujo de Pagos'!$E296,66,9999)</f>
        <v>66</v>
      </c>
    </row>
    <row r="297" customFormat="false" ht="15" hidden="false" customHeight="true" outlineLevel="0" collapsed="false">
      <c r="B297" s="1" t="n">
        <f aca="false">IF(AND('Flujo de Pagos'!E302=Carátula!$B$2,'Flujo de Pagos'!F302=Carátula!$B$4,'Flujo de Pagos'!H302&lt;&gt;""),302,99999)</f>
        <v>99999</v>
      </c>
      <c r="H297" s="1" t="n">
        <f aca="false">IF(SMALL($AA297:$CH297,1)&gt;=9999,"",INDEX(Presupuesto!$C:$C,SMALL($AA297:$CH297,1)))</f>
        <v>0</v>
      </c>
      <c r="I297" s="1" t="n">
        <f aca="false">IF(SMALL($AA297:$CH297,2)&gt;=9999,"",INDEX(Presupuesto!$C:$C,SMALL($AA297:$CH297,2)))</f>
        <v>0</v>
      </c>
      <c r="J297" s="1" t="n">
        <f aca="false">IF(SMALL($AA297:$CH297,3)&gt;=9999,"",INDEX(Presupuesto!$C:$C,SMALL($AA297:$CH297,3)))</f>
        <v>0</v>
      </c>
      <c r="K297" s="1" t="n">
        <f aca="false">IF(SMALL($AA297:$CH297,4)&gt;=9999,"",INDEX(Presupuesto!$C:$C,SMALL($AA297:$CH297,4)))</f>
        <v>0</v>
      </c>
      <c r="L297" s="1" t="n">
        <f aca="false">IF(SMALL($AA297:$CH297,5)&gt;=9999,"",INDEX(Presupuesto!$C:$C,SMALL($AA297:$CH297,5)))</f>
        <v>0</v>
      </c>
      <c r="M297" s="1" t="n">
        <f aca="false">IF(SMALL($AA297:$CH297,6)&gt;=9999,"",INDEX(Presupuesto!$C:$C,SMALL($AA297:$CH297,6)))</f>
        <v>0</v>
      </c>
      <c r="N297" s="1" t="n">
        <f aca="false">IF(SMALL($AA297:$CH297,7)&gt;=9999,"",INDEX(Presupuesto!$C:$C,SMALL($AA297:$CH297,7)))</f>
        <v>0</v>
      </c>
      <c r="O297" s="1" t="n">
        <f aca="false">IF(SMALL($AA297:$CH297,8)&gt;=9999,"",INDEX(Presupuesto!$C:$C,SMALL($AA297:$CH297,8)))</f>
        <v>0</v>
      </c>
      <c r="P297" s="1" t="n">
        <f aca="false">IF(SMALL($AA297:$CH297,9)&gt;=9999,"",INDEX(Presupuesto!$C:$C,SMALL($AA297:$CH297,9)))</f>
        <v>0</v>
      </c>
      <c r="Q297" s="1" t="n">
        <f aca="false">IF(SMALL($AA297:$CH297,10)&gt;=9999,"",INDEX(Presupuesto!$C:$C,SMALL($AA297:$CH297,10)))</f>
        <v>0</v>
      </c>
      <c r="AA297" s="0" t="n">
        <f aca="false">IF(Presupuesto!$B$7='Flujo de Pagos'!$E297,7,9999)</f>
        <v>9999</v>
      </c>
      <c r="AB297" s="0" t="n">
        <f aca="false">IF(Presupuesto!$B$8='Flujo de Pagos'!$E297,8,9999)</f>
        <v>9999</v>
      </c>
      <c r="AC297" s="0" t="n">
        <f aca="false">IF(Presupuesto!$B$9='Flujo de Pagos'!$E297,9,9999)</f>
        <v>9999</v>
      </c>
      <c r="AD297" s="0" t="n">
        <f aca="false">IF(Presupuesto!$B$10='Flujo de Pagos'!$E297,10,9999)</f>
        <v>9999</v>
      </c>
      <c r="AE297" s="0" t="n">
        <f aca="false">IF(Presupuesto!$B$11='Flujo de Pagos'!$E297,11,9999)</f>
        <v>9999</v>
      </c>
      <c r="AF297" s="0" t="n">
        <f aca="false">IF(Presupuesto!$B$12='Flujo de Pagos'!$E297,12,9999)</f>
        <v>12</v>
      </c>
      <c r="AG297" s="0" t="n">
        <f aca="false">IF(Presupuesto!$B$13='Flujo de Pagos'!$E297,13,9999)</f>
        <v>13</v>
      </c>
      <c r="AH297" s="0" t="n">
        <f aca="false">IF(Presupuesto!$B$14='Flujo de Pagos'!$E297,14,9999)</f>
        <v>14</v>
      </c>
      <c r="AI297" s="0" t="n">
        <f aca="false">IF(Presupuesto!$B$15='Flujo de Pagos'!$E297,15,9999)</f>
        <v>15</v>
      </c>
      <c r="AJ297" s="0" t="n">
        <f aca="false">IF(Presupuesto!$B$16='Flujo de Pagos'!$E297,16,9999)</f>
        <v>16</v>
      </c>
      <c r="AK297" s="0" t="n">
        <f aca="false">IF(Presupuesto!$B$17='Flujo de Pagos'!$E297,17,9999)</f>
        <v>17</v>
      </c>
      <c r="AL297" s="0" t="n">
        <f aca="false">IF(Presupuesto!$B$18='Flujo de Pagos'!$E297,18,9999)</f>
        <v>18</v>
      </c>
      <c r="AM297" s="0" t="n">
        <f aca="false">IF(Presupuesto!$B$19='Flujo de Pagos'!$E297,19,9999)</f>
        <v>19</v>
      </c>
      <c r="AN297" s="0" t="n">
        <f aca="false">IF(Presupuesto!$B$20='Flujo de Pagos'!$E297,20,9999)</f>
        <v>20</v>
      </c>
      <c r="AO297" s="0" t="n">
        <f aca="false">IF(Presupuesto!$B$21='Flujo de Pagos'!$E297,21,9999)</f>
        <v>21</v>
      </c>
      <c r="AP297" s="0" t="n">
        <f aca="false">IF(Presupuesto!$B$22='Flujo de Pagos'!$E297,22,9999)</f>
        <v>22</v>
      </c>
      <c r="AQ297" s="0" t="n">
        <f aca="false">IF(Presupuesto!$B$23='Flujo de Pagos'!$E297,23,9999)</f>
        <v>23</v>
      </c>
      <c r="AR297" s="0" t="n">
        <f aca="false">IF(Presupuesto!$B$24='Flujo de Pagos'!$E297,24,9999)</f>
        <v>24</v>
      </c>
      <c r="AS297" s="0" t="n">
        <f aca="false">IF(Presupuesto!$B$25='Flujo de Pagos'!$E297,25,9999)</f>
        <v>25</v>
      </c>
      <c r="AT297" s="0" t="n">
        <f aca="false">IF(Presupuesto!$B$26='Flujo de Pagos'!$E297,26,9999)</f>
        <v>26</v>
      </c>
      <c r="AU297" s="0" t="n">
        <f aca="false">IF(Presupuesto!$B$27='Flujo de Pagos'!$E297,27,9999)</f>
        <v>27</v>
      </c>
      <c r="AV297" s="0" t="n">
        <f aca="false">IF(Presupuesto!$B$28='Flujo de Pagos'!$E297,28,9999)</f>
        <v>28</v>
      </c>
      <c r="AW297" s="0" t="n">
        <f aca="false">IF(Presupuesto!$B$29='Flujo de Pagos'!$E297,29,9999)</f>
        <v>29</v>
      </c>
      <c r="AX297" s="0" t="n">
        <f aca="false">IF(Presupuesto!$B$30='Flujo de Pagos'!$E297,30,9999)</f>
        <v>30</v>
      </c>
      <c r="AY297" s="0" t="n">
        <f aca="false">IF(Presupuesto!$B$31='Flujo de Pagos'!$E297,31,9999)</f>
        <v>31</v>
      </c>
      <c r="AZ297" s="0" t="n">
        <f aca="false">IF(Presupuesto!$B$32='Flujo de Pagos'!$E297,32,9999)</f>
        <v>32</v>
      </c>
      <c r="BA297" s="0" t="n">
        <f aca="false">IF(Presupuesto!$B$33='Flujo de Pagos'!$E297,33,9999)</f>
        <v>33</v>
      </c>
      <c r="BB297" s="0" t="n">
        <f aca="false">IF(Presupuesto!$B$34='Flujo de Pagos'!$E297,34,9999)</f>
        <v>34</v>
      </c>
      <c r="BC297" s="0" t="n">
        <f aca="false">IF(Presupuesto!$B$35='Flujo de Pagos'!$E297,35,9999)</f>
        <v>35</v>
      </c>
      <c r="BD297" s="0" t="n">
        <f aca="false">IF(Presupuesto!$B$36='Flujo de Pagos'!$E297,36,9999)</f>
        <v>36</v>
      </c>
      <c r="BE297" s="0" t="n">
        <f aca="false">IF(Presupuesto!$B$37='Flujo de Pagos'!$E297,37,9999)</f>
        <v>37</v>
      </c>
      <c r="BF297" s="0" t="n">
        <f aca="false">IF(Presupuesto!$B$38='Flujo de Pagos'!$E297,38,9999)</f>
        <v>38</v>
      </c>
      <c r="BG297" s="0" t="n">
        <f aca="false">IF(Presupuesto!$B$39='Flujo de Pagos'!$E297,39,9999)</f>
        <v>39</v>
      </c>
      <c r="BH297" s="0" t="n">
        <f aca="false">IF(Presupuesto!$B$40='Flujo de Pagos'!$E297,40,9999)</f>
        <v>40</v>
      </c>
      <c r="BI297" s="0" t="n">
        <f aca="false">IF(Presupuesto!$B$41='Flujo de Pagos'!$E297,41,9999)</f>
        <v>41</v>
      </c>
      <c r="BJ297" s="0" t="n">
        <f aca="false">IF(Presupuesto!$B$42='Flujo de Pagos'!$E297,42,9999)</f>
        <v>42</v>
      </c>
      <c r="BK297" s="0" t="n">
        <f aca="false">IF(Presupuesto!$B$43='Flujo de Pagos'!$E297,43,9999)</f>
        <v>43</v>
      </c>
      <c r="BL297" s="0" t="n">
        <f aca="false">IF(Presupuesto!$B$44='Flujo de Pagos'!$E297,44,9999)</f>
        <v>44</v>
      </c>
      <c r="BM297" s="0" t="n">
        <f aca="false">IF(Presupuesto!$B$45='Flujo de Pagos'!$E297,45,9999)</f>
        <v>45</v>
      </c>
      <c r="BN297" s="0" t="n">
        <f aca="false">IF(Presupuesto!$B$46='Flujo de Pagos'!$E297,46,9999)</f>
        <v>46</v>
      </c>
      <c r="BO297" s="0" t="n">
        <f aca="false">IF(Presupuesto!$B$47='Flujo de Pagos'!$E297,47,9999)</f>
        <v>47</v>
      </c>
      <c r="BP297" s="0" t="n">
        <f aca="false">IF(Presupuesto!$B$48='Flujo de Pagos'!$E297,48,9999)</f>
        <v>48</v>
      </c>
      <c r="BQ297" s="0" t="n">
        <f aca="false">IF(Presupuesto!$B$49='Flujo de Pagos'!$E297,49,9999)</f>
        <v>49</v>
      </c>
      <c r="BR297" s="0" t="n">
        <f aca="false">IF(Presupuesto!$B$50='Flujo de Pagos'!$E297,50,9999)</f>
        <v>50</v>
      </c>
      <c r="BS297" s="0" t="n">
        <f aca="false">IF(Presupuesto!$B$51='Flujo de Pagos'!$E297,51,9999)</f>
        <v>51</v>
      </c>
      <c r="BT297" s="0" t="n">
        <f aca="false">IF(Presupuesto!$B$52='Flujo de Pagos'!$E297,52,9999)</f>
        <v>52</v>
      </c>
      <c r="BU297" s="0" t="n">
        <f aca="false">IF(Presupuesto!$B$53='Flujo de Pagos'!$E297,53,9999)</f>
        <v>53</v>
      </c>
      <c r="BV297" s="0" t="n">
        <f aca="false">IF(Presupuesto!$B$54='Flujo de Pagos'!$E297,54,9999)</f>
        <v>54</v>
      </c>
      <c r="BW297" s="0" t="n">
        <f aca="false">IF(Presupuesto!$B$55='Flujo de Pagos'!$E297,55,9999)</f>
        <v>55</v>
      </c>
      <c r="BX297" s="0" t="n">
        <f aca="false">IF(Presupuesto!$B$56='Flujo de Pagos'!$E297,56,9999)</f>
        <v>56</v>
      </c>
      <c r="BY297" s="0" t="n">
        <f aca="false">IF(Presupuesto!$B$57='Flujo de Pagos'!$E297,57,9999)</f>
        <v>57</v>
      </c>
      <c r="BZ297" s="0" t="n">
        <f aca="false">IF(Presupuesto!$B$58='Flujo de Pagos'!$E297,58,9999)</f>
        <v>58</v>
      </c>
      <c r="CA297" s="0" t="n">
        <f aca="false">IF(Presupuesto!$B$59='Flujo de Pagos'!$E297,59,9999)</f>
        <v>59</v>
      </c>
      <c r="CB297" s="0" t="n">
        <f aca="false">IF(Presupuesto!$B$60='Flujo de Pagos'!$E297,60,9999)</f>
        <v>60</v>
      </c>
      <c r="CC297" s="0" t="n">
        <f aca="false">IF(Presupuesto!$B$61='Flujo de Pagos'!$E297,61,9999)</f>
        <v>61</v>
      </c>
      <c r="CD297" s="0" t="n">
        <f aca="false">IF(Presupuesto!$B$62='Flujo de Pagos'!$E297,62,9999)</f>
        <v>62</v>
      </c>
      <c r="CE297" s="0" t="n">
        <f aca="false">IF(Presupuesto!$B$63='Flujo de Pagos'!$E297,63,9999)</f>
        <v>63</v>
      </c>
      <c r="CF297" s="0" t="n">
        <f aca="false">IF(Presupuesto!$B$64='Flujo de Pagos'!$E297,64,9999)</f>
        <v>64</v>
      </c>
      <c r="CG297" s="0" t="n">
        <f aca="false">IF(Presupuesto!$B$65='Flujo de Pagos'!$E297,65,9999)</f>
        <v>65</v>
      </c>
      <c r="CH297" s="0" t="n">
        <f aca="false">IF(Presupuesto!$B$66='Flujo de Pagos'!$E297,66,9999)</f>
        <v>66</v>
      </c>
    </row>
    <row r="298" customFormat="false" ht="15" hidden="false" customHeight="true" outlineLevel="0" collapsed="false">
      <c r="B298" s="1" t="n">
        <f aca="false">IF(AND('Flujo de Pagos'!E303=Carátula!$B$2,'Flujo de Pagos'!F303=Carátula!$B$4,'Flujo de Pagos'!H303&lt;&gt;""),303,99999)</f>
        <v>99999</v>
      </c>
      <c r="H298" s="1" t="n">
        <f aca="false">IF(SMALL($AA298:$CH298,1)&gt;=9999,"",INDEX(Presupuesto!$C:$C,SMALL($AA298:$CH298,1)))</f>
        <v>0</v>
      </c>
      <c r="I298" s="1" t="n">
        <f aca="false">IF(SMALL($AA298:$CH298,2)&gt;=9999,"",INDEX(Presupuesto!$C:$C,SMALL($AA298:$CH298,2)))</f>
        <v>0</v>
      </c>
      <c r="J298" s="1" t="n">
        <f aca="false">IF(SMALL($AA298:$CH298,3)&gt;=9999,"",INDEX(Presupuesto!$C:$C,SMALL($AA298:$CH298,3)))</f>
        <v>0</v>
      </c>
      <c r="K298" s="1" t="n">
        <f aca="false">IF(SMALL($AA298:$CH298,4)&gt;=9999,"",INDEX(Presupuesto!$C:$C,SMALL($AA298:$CH298,4)))</f>
        <v>0</v>
      </c>
      <c r="L298" s="1" t="n">
        <f aca="false">IF(SMALL($AA298:$CH298,5)&gt;=9999,"",INDEX(Presupuesto!$C:$C,SMALL($AA298:$CH298,5)))</f>
        <v>0</v>
      </c>
      <c r="M298" s="1" t="n">
        <f aca="false">IF(SMALL($AA298:$CH298,6)&gt;=9999,"",INDEX(Presupuesto!$C:$C,SMALL($AA298:$CH298,6)))</f>
        <v>0</v>
      </c>
      <c r="N298" s="1" t="n">
        <f aca="false">IF(SMALL($AA298:$CH298,7)&gt;=9999,"",INDEX(Presupuesto!$C:$C,SMALL($AA298:$CH298,7)))</f>
        <v>0</v>
      </c>
      <c r="O298" s="1" t="n">
        <f aca="false">IF(SMALL($AA298:$CH298,8)&gt;=9999,"",INDEX(Presupuesto!$C:$C,SMALL($AA298:$CH298,8)))</f>
        <v>0</v>
      </c>
      <c r="P298" s="1" t="n">
        <f aca="false">IF(SMALL($AA298:$CH298,9)&gt;=9999,"",INDEX(Presupuesto!$C:$C,SMALL($AA298:$CH298,9)))</f>
        <v>0</v>
      </c>
      <c r="Q298" s="1" t="n">
        <f aca="false">IF(SMALL($AA298:$CH298,10)&gt;=9999,"",INDEX(Presupuesto!$C:$C,SMALL($AA298:$CH298,10)))</f>
        <v>0</v>
      </c>
      <c r="AA298" s="0" t="n">
        <f aca="false">IF(Presupuesto!$B$7='Flujo de Pagos'!$E298,7,9999)</f>
        <v>9999</v>
      </c>
      <c r="AB298" s="0" t="n">
        <f aca="false">IF(Presupuesto!$B$8='Flujo de Pagos'!$E298,8,9999)</f>
        <v>9999</v>
      </c>
      <c r="AC298" s="0" t="n">
        <f aca="false">IF(Presupuesto!$B$9='Flujo de Pagos'!$E298,9,9999)</f>
        <v>9999</v>
      </c>
      <c r="AD298" s="0" t="n">
        <f aca="false">IF(Presupuesto!$B$10='Flujo de Pagos'!$E298,10,9999)</f>
        <v>9999</v>
      </c>
      <c r="AE298" s="0" t="n">
        <f aca="false">IF(Presupuesto!$B$11='Flujo de Pagos'!$E298,11,9999)</f>
        <v>9999</v>
      </c>
      <c r="AF298" s="0" t="n">
        <f aca="false">IF(Presupuesto!$B$12='Flujo de Pagos'!$E298,12,9999)</f>
        <v>12</v>
      </c>
      <c r="AG298" s="0" t="n">
        <f aca="false">IF(Presupuesto!$B$13='Flujo de Pagos'!$E298,13,9999)</f>
        <v>13</v>
      </c>
      <c r="AH298" s="0" t="n">
        <f aca="false">IF(Presupuesto!$B$14='Flujo de Pagos'!$E298,14,9999)</f>
        <v>14</v>
      </c>
      <c r="AI298" s="0" t="n">
        <f aca="false">IF(Presupuesto!$B$15='Flujo de Pagos'!$E298,15,9999)</f>
        <v>15</v>
      </c>
      <c r="AJ298" s="0" t="n">
        <f aca="false">IF(Presupuesto!$B$16='Flujo de Pagos'!$E298,16,9999)</f>
        <v>16</v>
      </c>
      <c r="AK298" s="0" t="n">
        <f aca="false">IF(Presupuesto!$B$17='Flujo de Pagos'!$E298,17,9999)</f>
        <v>17</v>
      </c>
      <c r="AL298" s="0" t="n">
        <f aca="false">IF(Presupuesto!$B$18='Flujo de Pagos'!$E298,18,9999)</f>
        <v>18</v>
      </c>
      <c r="AM298" s="0" t="n">
        <f aca="false">IF(Presupuesto!$B$19='Flujo de Pagos'!$E298,19,9999)</f>
        <v>19</v>
      </c>
      <c r="AN298" s="0" t="n">
        <f aca="false">IF(Presupuesto!$B$20='Flujo de Pagos'!$E298,20,9999)</f>
        <v>20</v>
      </c>
      <c r="AO298" s="0" t="n">
        <f aca="false">IF(Presupuesto!$B$21='Flujo de Pagos'!$E298,21,9999)</f>
        <v>21</v>
      </c>
      <c r="AP298" s="0" t="n">
        <f aca="false">IF(Presupuesto!$B$22='Flujo de Pagos'!$E298,22,9999)</f>
        <v>22</v>
      </c>
      <c r="AQ298" s="0" t="n">
        <f aca="false">IF(Presupuesto!$B$23='Flujo de Pagos'!$E298,23,9999)</f>
        <v>23</v>
      </c>
      <c r="AR298" s="0" t="n">
        <f aca="false">IF(Presupuesto!$B$24='Flujo de Pagos'!$E298,24,9999)</f>
        <v>24</v>
      </c>
      <c r="AS298" s="0" t="n">
        <f aca="false">IF(Presupuesto!$B$25='Flujo de Pagos'!$E298,25,9999)</f>
        <v>25</v>
      </c>
      <c r="AT298" s="0" t="n">
        <f aca="false">IF(Presupuesto!$B$26='Flujo de Pagos'!$E298,26,9999)</f>
        <v>26</v>
      </c>
      <c r="AU298" s="0" t="n">
        <f aca="false">IF(Presupuesto!$B$27='Flujo de Pagos'!$E298,27,9999)</f>
        <v>27</v>
      </c>
      <c r="AV298" s="0" t="n">
        <f aca="false">IF(Presupuesto!$B$28='Flujo de Pagos'!$E298,28,9999)</f>
        <v>28</v>
      </c>
      <c r="AW298" s="0" t="n">
        <f aca="false">IF(Presupuesto!$B$29='Flujo de Pagos'!$E298,29,9999)</f>
        <v>29</v>
      </c>
      <c r="AX298" s="0" t="n">
        <f aca="false">IF(Presupuesto!$B$30='Flujo de Pagos'!$E298,30,9999)</f>
        <v>30</v>
      </c>
      <c r="AY298" s="0" t="n">
        <f aca="false">IF(Presupuesto!$B$31='Flujo de Pagos'!$E298,31,9999)</f>
        <v>31</v>
      </c>
      <c r="AZ298" s="0" t="n">
        <f aca="false">IF(Presupuesto!$B$32='Flujo de Pagos'!$E298,32,9999)</f>
        <v>32</v>
      </c>
      <c r="BA298" s="0" t="n">
        <f aca="false">IF(Presupuesto!$B$33='Flujo de Pagos'!$E298,33,9999)</f>
        <v>33</v>
      </c>
      <c r="BB298" s="0" t="n">
        <f aca="false">IF(Presupuesto!$B$34='Flujo de Pagos'!$E298,34,9999)</f>
        <v>34</v>
      </c>
      <c r="BC298" s="0" t="n">
        <f aca="false">IF(Presupuesto!$B$35='Flujo de Pagos'!$E298,35,9999)</f>
        <v>35</v>
      </c>
      <c r="BD298" s="0" t="n">
        <f aca="false">IF(Presupuesto!$B$36='Flujo de Pagos'!$E298,36,9999)</f>
        <v>36</v>
      </c>
      <c r="BE298" s="0" t="n">
        <f aca="false">IF(Presupuesto!$B$37='Flujo de Pagos'!$E298,37,9999)</f>
        <v>37</v>
      </c>
      <c r="BF298" s="0" t="n">
        <f aca="false">IF(Presupuesto!$B$38='Flujo de Pagos'!$E298,38,9999)</f>
        <v>38</v>
      </c>
      <c r="BG298" s="0" t="n">
        <f aca="false">IF(Presupuesto!$B$39='Flujo de Pagos'!$E298,39,9999)</f>
        <v>39</v>
      </c>
      <c r="BH298" s="0" t="n">
        <f aca="false">IF(Presupuesto!$B$40='Flujo de Pagos'!$E298,40,9999)</f>
        <v>40</v>
      </c>
      <c r="BI298" s="0" t="n">
        <f aca="false">IF(Presupuesto!$B$41='Flujo de Pagos'!$E298,41,9999)</f>
        <v>41</v>
      </c>
      <c r="BJ298" s="0" t="n">
        <f aca="false">IF(Presupuesto!$B$42='Flujo de Pagos'!$E298,42,9999)</f>
        <v>42</v>
      </c>
      <c r="BK298" s="0" t="n">
        <f aca="false">IF(Presupuesto!$B$43='Flujo de Pagos'!$E298,43,9999)</f>
        <v>43</v>
      </c>
      <c r="BL298" s="0" t="n">
        <f aca="false">IF(Presupuesto!$B$44='Flujo de Pagos'!$E298,44,9999)</f>
        <v>44</v>
      </c>
      <c r="BM298" s="0" t="n">
        <f aca="false">IF(Presupuesto!$B$45='Flujo de Pagos'!$E298,45,9999)</f>
        <v>45</v>
      </c>
      <c r="BN298" s="0" t="n">
        <f aca="false">IF(Presupuesto!$B$46='Flujo de Pagos'!$E298,46,9999)</f>
        <v>46</v>
      </c>
      <c r="BO298" s="0" t="n">
        <f aca="false">IF(Presupuesto!$B$47='Flujo de Pagos'!$E298,47,9999)</f>
        <v>47</v>
      </c>
      <c r="BP298" s="0" t="n">
        <f aca="false">IF(Presupuesto!$B$48='Flujo de Pagos'!$E298,48,9999)</f>
        <v>48</v>
      </c>
      <c r="BQ298" s="0" t="n">
        <f aca="false">IF(Presupuesto!$B$49='Flujo de Pagos'!$E298,49,9999)</f>
        <v>49</v>
      </c>
      <c r="BR298" s="0" t="n">
        <f aca="false">IF(Presupuesto!$B$50='Flujo de Pagos'!$E298,50,9999)</f>
        <v>50</v>
      </c>
      <c r="BS298" s="0" t="n">
        <f aca="false">IF(Presupuesto!$B$51='Flujo de Pagos'!$E298,51,9999)</f>
        <v>51</v>
      </c>
      <c r="BT298" s="0" t="n">
        <f aca="false">IF(Presupuesto!$B$52='Flujo de Pagos'!$E298,52,9999)</f>
        <v>52</v>
      </c>
      <c r="BU298" s="0" t="n">
        <f aca="false">IF(Presupuesto!$B$53='Flujo de Pagos'!$E298,53,9999)</f>
        <v>53</v>
      </c>
      <c r="BV298" s="0" t="n">
        <f aca="false">IF(Presupuesto!$B$54='Flujo de Pagos'!$E298,54,9999)</f>
        <v>54</v>
      </c>
      <c r="BW298" s="0" t="n">
        <f aca="false">IF(Presupuesto!$B$55='Flujo de Pagos'!$E298,55,9999)</f>
        <v>55</v>
      </c>
      <c r="BX298" s="0" t="n">
        <f aca="false">IF(Presupuesto!$B$56='Flujo de Pagos'!$E298,56,9999)</f>
        <v>56</v>
      </c>
      <c r="BY298" s="0" t="n">
        <f aca="false">IF(Presupuesto!$B$57='Flujo de Pagos'!$E298,57,9999)</f>
        <v>57</v>
      </c>
      <c r="BZ298" s="0" t="n">
        <f aca="false">IF(Presupuesto!$B$58='Flujo de Pagos'!$E298,58,9999)</f>
        <v>58</v>
      </c>
      <c r="CA298" s="0" t="n">
        <f aca="false">IF(Presupuesto!$B$59='Flujo de Pagos'!$E298,59,9999)</f>
        <v>59</v>
      </c>
      <c r="CB298" s="0" t="n">
        <f aca="false">IF(Presupuesto!$B$60='Flujo de Pagos'!$E298,60,9999)</f>
        <v>60</v>
      </c>
      <c r="CC298" s="0" t="n">
        <f aca="false">IF(Presupuesto!$B$61='Flujo de Pagos'!$E298,61,9999)</f>
        <v>61</v>
      </c>
      <c r="CD298" s="0" t="n">
        <f aca="false">IF(Presupuesto!$B$62='Flujo de Pagos'!$E298,62,9999)</f>
        <v>62</v>
      </c>
      <c r="CE298" s="0" t="n">
        <f aca="false">IF(Presupuesto!$B$63='Flujo de Pagos'!$E298,63,9999)</f>
        <v>63</v>
      </c>
      <c r="CF298" s="0" t="n">
        <f aca="false">IF(Presupuesto!$B$64='Flujo de Pagos'!$E298,64,9999)</f>
        <v>64</v>
      </c>
      <c r="CG298" s="0" t="n">
        <f aca="false">IF(Presupuesto!$B$65='Flujo de Pagos'!$E298,65,9999)</f>
        <v>65</v>
      </c>
      <c r="CH298" s="0" t="n">
        <f aca="false">IF(Presupuesto!$B$66='Flujo de Pagos'!$E298,66,9999)</f>
        <v>66</v>
      </c>
    </row>
    <row r="299" customFormat="false" ht="15" hidden="false" customHeight="true" outlineLevel="0" collapsed="false">
      <c r="B299" s="1" t="n">
        <f aca="false">IF(AND('Flujo de Pagos'!E304=Carátula!$B$2,'Flujo de Pagos'!F304=Carátula!$B$4,'Flujo de Pagos'!H304&lt;&gt;""),304,99999)</f>
        <v>99999</v>
      </c>
      <c r="H299" s="1" t="n">
        <f aca="false">IF(SMALL($AA299:$CH299,1)&gt;=9999,"",INDEX(Presupuesto!$C:$C,SMALL($AA299:$CH299,1)))</f>
        <v>0</v>
      </c>
      <c r="I299" s="1" t="n">
        <f aca="false">IF(SMALL($AA299:$CH299,2)&gt;=9999,"",INDEX(Presupuesto!$C:$C,SMALL($AA299:$CH299,2)))</f>
        <v>0</v>
      </c>
      <c r="J299" s="1" t="n">
        <f aca="false">IF(SMALL($AA299:$CH299,3)&gt;=9999,"",INDEX(Presupuesto!$C:$C,SMALL($AA299:$CH299,3)))</f>
        <v>0</v>
      </c>
      <c r="K299" s="1" t="n">
        <f aca="false">IF(SMALL($AA299:$CH299,4)&gt;=9999,"",INDEX(Presupuesto!$C:$C,SMALL($AA299:$CH299,4)))</f>
        <v>0</v>
      </c>
      <c r="L299" s="1" t="n">
        <f aca="false">IF(SMALL($AA299:$CH299,5)&gt;=9999,"",INDEX(Presupuesto!$C:$C,SMALL($AA299:$CH299,5)))</f>
        <v>0</v>
      </c>
      <c r="M299" s="1" t="n">
        <f aca="false">IF(SMALL($AA299:$CH299,6)&gt;=9999,"",INDEX(Presupuesto!$C:$C,SMALL($AA299:$CH299,6)))</f>
        <v>0</v>
      </c>
      <c r="N299" s="1" t="n">
        <f aca="false">IF(SMALL($AA299:$CH299,7)&gt;=9999,"",INDEX(Presupuesto!$C:$C,SMALL($AA299:$CH299,7)))</f>
        <v>0</v>
      </c>
      <c r="O299" s="1" t="n">
        <f aca="false">IF(SMALL($AA299:$CH299,8)&gt;=9999,"",INDEX(Presupuesto!$C:$C,SMALL($AA299:$CH299,8)))</f>
        <v>0</v>
      </c>
      <c r="P299" s="1" t="n">
        <f aca="false">IF(SMALL($AA299:$CH299,9)&gt;=9999,"",INDEX(Presupuesto!$C:$C,SMALL($AA299:$CH299,9)))</f>
        <v>0</v>
      </c>
      <c r="Q299" s="1" t="n">
        <f aca="false">IF(SMALL($AA299:$CH299,10)&gt;=9999,"",INDEX(Presupuesto!$C:$C,SMALL($AA299:$CH299,10)))</f>
        <v>0</v>
      </c>
      <c r="AA299" s="0" t="n">
        <f aca="false">IF(Presupuesto!$B$7='Flujo de Pagos'!$E299,7,9999)</f>
        <v>9999</v>
      </c>
      <c r="AB299" s="0" t="n">
        <f aca="false">IF(Presupuesto!$B$8='Flujo de Pagos'!$E299,8,9999)</f>
        <v>9999</v>
      </c>
      <c r="AC299" s="0" t="n">
        <f aca="false">IF(Presupuesto!$B$9='Flujo de Pagos'!$E299,9,9999)</f>
        <v>9999</v>
      </c>
      <c r="AD299" s="0" t="n">
        <f aca="false">IF(Presupuesto!$B$10='Flujo de Pagos'!$E299,10,9999)</f>
        <v>9999</v>
      </c>
      <c r="AE299" s="0" t="n">
        <f aca="false">IF(Presupuesto!$B$11='Flujo de Pagos'!$E299,11,9999)</f>
        <v>9999</v>
      </c>
      <c r="AF299" s="0" t="n">
        <f aca="false">IF(Presupuesto!$B$12='Flujo de Pagos'!$E299,12,9999)</f>
        <v>12</v>
      </c>
      <c r="AG299" s="0" t="n">
        <f aca="false">IF(Presupuesto!$B$13='Flujo de Pagos'!$E299,13,9999)</f>
        <v>13</v>
      </c>
      <c r="AH299" s="0" t="n">
        <f aca="false">IF(Presupuesto!$B$14='Flujo de Pagos'!$E299,14,9999)</f>
        <v>14</v>
      </c>
      <c r="AI299" s="0" t="n">
        <f aca="false">IF(Presupuesto!$B$15='Flujo de Pagos'!$E299,15,9999)</f>
        <v>15</v>
      </c>
      <c r="AJ299" s="0" t="n">
        <f aca="false">IF(Presupuesto!$B$16='Flujo de Pagos'!$E299,16,9999)</f>
        <v>16</v>
      </c>
      <c r="AK299" s="0" t="n">
        <f aca="false">IF(Presupuesto!$B$17='Flujo de Pagos'!$E299,17,9999)</f>
        <v>17</v>
      </c>
      <c r="AL299" s="0" t="n">
        <f aca="false">IF(Presupuesto!$B$18='Flujo de Pagos'!$E299,18,9999)</f>
        <v>18</v>
      </c>
      <c r="AM299" s="0" t="n">
        <f aca="false">IF(Presupuesto!$B$19='Flujo de Pagos'!$E299,19,9999)</f>
        <v>19</v>
      </c>
      <c r="AN299" s="0" t="n">
        <f aca="false">IF(Presupuesto!$B$20='Flujo de Pagos'!$E299,20,9999)</f>
        <v>20</v>
      </c>
      <c r="AO299" s="0" t="n">
        <f aca="false">IF(Presupuesto!$B$21='Flujo de Pagos'!$E299,21,9999)</f>
        <v>21</v>
      </c>
      <c r="AP299" s="0" t="n">
        <f aca="false">IF(Presupuesto!$B$22='Flujo de Pagos'!$E299,22,9999)</f>
        <v>22</v>
      </c>
      <c r="AQ299" s="0" t="n">
        <f aca="false">IF(Presupuesto!$B$23='Flujo de Pagos'!$E299,23,9999)</f>
        <v>23</v>
      </c>
      <c r="AR299" s="0" t="n">
        <f aca="false">IF(Presupuesto!$B$24='Flujo de Pagos'!$E299,24,9999)</f>
        <v>24</v>
      </c>
      <c r="AS299" s="0" t="n">
        <f aca="false">IF(Presupuesto!$B$25='Flujo de Pagos'!$E299,25,9999)</f>
        <v>25</v>
      </c>
      <c r="AT299" s="0" t="n">
        <f aca="false">IF(Presupuesto!$B$26='Flujo de Pagos'!$E299,26,9999)</f>
        <v>26</v>
      </c>
      <c r="AU299" s="0" t="n">
        <f aca="false">IF(Presupuesto!$B$27='Flujo de Pagos'!$E299,27,9999)</f>
        <v>27</v>
      </c>
      <c r="AV299" s="0" t="n">
        <f aca="false">IF(Presupuesto!$B$28='Flujo de Pagos'!$E299,28,9999)</f>
        <v>28</v>
      </c>
      <c r="AW299" s="0" t="n">
        <f aca="false">IF(Presupuesto!$B$29='Flujo de Pagos'!$E299,29,9999)</f>
        <v>29</v>
      </c>
      <c r="AX299" s="0" t="n">
        <f aca="false">IF(Presupuesto!$B$30='Flujo de Pagos'!$E299,30,9999)</f>
        <v>30</v>
      </c>
      <c r="AY299" s="0" t="n">
        <f aca="false">IF(Presupuesto!$B$31='Flujo de Pagos'!$E299,31,9999)</f>
        <v>31</v>
      </c>
      <c r="AZ299" s="0" t="n">
        <f aca="false">IF(Presupuesto!$B$32='Flujo de Pagos'!$E299,32,9999)</f>
        <v>32</v>
      </c>
      <c r="BA299" s="0" t="n">
        <f aca="false">IF(Presupuesto!$B$33='Flujo de Pagos'!$E299,33,9999)</f>
        <v>33</v>
      </c>
      <c r="BB299" s="0" t="n">
        <f aca="false">IF(Presupuesto!$B$34='Flujo de Pagos'!$E299,34,9999)</f>
        <v>34</v>
      </c>
      <c r="BC299" s="0" t="n">
        <f aca="false">IF(Presupuesto!$B$35='Flujo de Pagos'!$E299,35,9999)</f>
        <v>35</v>
      </c>
      <c r="BD299" s="0" t="n">
        <f aca="false">IF(Presupuesto!$B$36='Flujo de Pagos'!$E299,36,9999)</f>
        <v>36</v>
      </c>
      <c r="BE299" s="0" t="n">
        <f aca="false">IF(Presupuesto!$B$37='Flujo de Pagos'!$E299,37,9999)</f>
        <v>37</v>
      </c>
      <c r="BF299" s="0" t="n">
        <f aca="false">IF(Presupuesto!$B$38='Flujo de Pagos'!$E299,38,9999)</f>
        <v>38</v>
      </c>
      <c r="BG299" s="0" t="n">
        <f aca="false">IF(Presupuesto!$B$39='Flujo de Pagos'!$E299,39,9999)</f>
        <v>39</v>
      </c>
      <c r="BH299" s="0" t="n">
        <f aca="false">IF(Presupuesto!$B$40='Flujo de Pagos'!$E299,40,9999)</f>
        <v>40</v>
      </c>
      <c r="BI299" s="0" t="n">
        <f aca="false">IF(Presupuesto!$B$41='Flujo de Pagos'!$E299,41,9999)</f>
        <v>41</v>
      </c>
      <c r="BJ299" s="0" t="n">
        <f aca="false">IF(Presupuesto!$B$42='Flujo de Pagos'!$E299,42,9999)</f>
        <v>42</v>
      </c>
      <c r="BK299" s="0" t="n">
        <f aca="false">IF(Presupuesto!$B$43='Flujo de Pagos'!$E299,43,9999)</f>
        <v>43</v>
      </c>
      <c r="BL299" s="0" t="n">
        <f aca="false">IF(Presupuesto!$B$44='Flujo de Pagos'!$E299,44,9999)</f>
        <v>44</v>
      </c>
      <c r="BM299" s="0" t="n">
        <f aca="false">IF(Presupuesto!$B$45='Flujo de Pagos'!$E299,45,9999)</f>
        <v>45</v>
      </c>
      <c r="BN299" s="0" t="n">
        <f aca="false">IF(Presupuesto!$B$46='Flujo de Pagos'!$E299,46,9999)</f>
        <v>46</v>
      </c>
      <c r="BO299" s="0" t="n">
        <f aca="false">IF(Presupuesto!$B$47='Flujo de Pagos'!$E299,47,9999)</f>
        <v>47</v>
      </c>
      <c r="BP299" s="0" t="n">
        <f aca="false">IF(Presupuesto!$B$48='Flujo de Pagos'!$E299,48,9999)</f>
        <v>48</v>
      </c>
      <c r="BQ299" s="0" t="n">
        <f aca="false">IF(Presupuesto!$B$49='Flujo de Pagos'!$E299,49,9999)</f>
        <v>49</v>
      </c>
      <c r="BR299" s="0" t="n">
        <f aca="false">IF(Presupuesto!$B$50='Flujo de Pagos'!$E299,50,9999)</f>
        <v>50</v>
      </c>
      <c r="BS299" s="0" t="n">
        <f aca="false">IF(Presupuesto!$B$51='Flujo de Pagos'!$E299,51,9999)</f>
        <v>51</v>
      </c>
      <c r="BT299" s="0" t="n">
        <f aca="false">IF(Presupuesto!$B$52='Flujo de Pagos'!$E299,52,9999)</f>
        <v>52</v>
      </c>
      <c r="BU299" s="0" t="n">
        <f aca="false">IF(Presupuesto!$B$53='Flujo de Pagos'!$E299,53,9999)</f>
        <v>53</v>
      </c>
      <c r="BV299" s="0" t="n">
        <f aca="false">IF(Presupuesto!$B$54='Flujo de Pagos'!$E299,54,9999)</f>
        <v>54</v>
      </c>
      <c r="BW299" s="0" t="n">
        <f aca="false">IF(Presupuesto!$B$55='Flujo de Pagos'!$E299,55,9999)</f>
        <v>55</v>
      </c>
      <c r="BX299" s="0" t="n">
        <f aca="false">IF(Presupuesto!$B$56='Flujo de Pagos'!$E299,56,9999)</f>
        <v>56</v>
      </c>
      <c r="BY299" s="0" t="n">
        <f aca="false">IF(Presupuesto!$B$57='Flujo de Pagos'!$E299,57,9999)</f>
        <v>57</v>
      </c>
      <c r="BZ299" s="0" t="n">
        <f aca="false">IF(Presupuesto!$B$58='Flujo de Pagos'!$E299,58,9999)</f>
        <v>58</v>
      </c>
      <c r="CA299" s="0" t="n">
        <f aca="false">IF(Presupuesto!$B$59='Flujo de Pagos'!$E299,59,9999)</f>
        <v>59</v>
      </c>
      <c r="CB299" s="0" t="n">
        <f aca="false">IF(Presupuesto!$B$60='Flujo de Pagos'!$E299,60,9999)</f>
        <v>60</v>
      </c>
      <c r="CC299" s="0" t="n">
        <f aca="false">IF(Presupuesto!$B$61='Flujo de Pagos'!$E299,61,9999)</f>
        <v>61</v>
      </c>
      <c r="CD299" s="0" t="n">
        <f aca="false">IF(Presupuesto!$B$62='Flujo de Pagos'!$E299,62,9999)</f>
        <v>62</v>
      </c>
      <c r="CE299" s="0" t="n">
        <f aca="false">IF(Presupuesto!$B$63='Flujo de Pagos'!$E299,63,9999)</f>
        <v>63</v>
      </c>
      <c r="CF299" s="0" t="n">
        <f aca="false">IF(Presupuesto!$B$64='Flujo de Pagos'!$E299,64,9999)</f>
        <v>64</v>
      </c>
      <c r="CG299" s="0" t="n">
        <f aca="false">IF(Presupuesto!$B$65='Flujo de Pagos'!$E299,65,9999)</f>
        <v>65</v>
      </c>
      <c r="CH299" s="0" t="n">
        <f aca="false">IF(Presupuesto!$B$66='Flujo de Pagos'!$E299,66,9999)</f>
        <v>66</v>
      </c>
    </row>
    <row r="300" customFormat="false" ht="15" hidden="false" customHeight="true" outlineLevel="0" collapsed="false">
      <c r="B300" s="1" t="n">
        <f aca="false">IF(AND('Flujo de Pagos'!E305=Carátula!$B$2,'Flujo de Pagos'!F305=Carátula!$B$4,'Flujo de Pagos'!H305&lt;&gt;""),305,99999)</f>
        <v>99999</v>
      </c>
      <c r="H300" s="1" t="n">
        <f aca="false">IF(SMALL($AA300:$CH300,1)&gt;=9999,"",INDEX(Presupuesto!$C:$C,SMALL($AA300:$CH300,1)))</f>
        <v>0</v>
      </c>
      <c r="I300" s="1" t="n">
        <f aca="false">IF(SMALL($AA300:$CH300,2)&gt;=9999,"",INDEX(Presupuesto!$C:$C,SMALL($AA300:$CH300,2)))</f>
        <v>0</v>
      </c>
      <c r="J300" s="1" t="n">
        <f aca="false">IF(SMALL($AA300:$CH300,3)&gt;=9999,"",INDEX(Presupuesto!$C:$C,SMALL($AA300:$CH300,3)))</f>
        <v>0</v>
      </c>
      <c r="K300" s="1" t="n">
        <f aca="false">IF(SMALL($AA300:$CH300,4)&gt;=9999,"",INDEX(Presupuesto!$C:$C,SMALL($AA300:$CH300,4)))</f>
        <v>0</v>
      </c>
      <c r="L300" s="1" t="n">
        <f aca="false">IF(SMALL($AA300:$CH300,5)&gt;=9999,"",INDEX(Presupuesto!$C:$C,SMALL($AA300:$CH300,5)))</f>
        <v>0</v>
      </c>
      <c r="M300" s="1" t="n">
        <f aca="false">IF(SMALL($AA300:$CH300,6)&gt;=9999,"",INDEX(Presupuesto!$C:$C,SMALL($AA300:$CH300,6)))</f>
        <v>0</v>
      </c>
      <c r="N300" s="1" t="n">
        <f aca="false">IF(SMALL($AA300:$CH300,7)&gt;=9999,"",INDEX(Presupuesto!$C:$C,SMALL($AA300:$CH300,7)))</f>
        <v>0</v>
      </c>
      <c r="O300" s="1" t="n">
        <f aca="false">IF(SMALL($AA300:$CH300,8)&gt;=9999,"",INDEX(Presupuesto!$C:$C,SMALL($AA300:$CH300,8)))</f>
        <v>0</v>
      </c>
      <c r="P300" s="1" t="n">
        <f aca="false">IF(SMALL($AA300:$CH300,9)&gt;=9999,"",INDEX(Presupuesto!$C:$C,SMALL($AA300:$CH300,9)))</f>
        <v>0</v>
      </c>
      <c r="Q300" s="1" t="n">
        <f aca="false">IF(SMALL($AA300:$CH300,10)&gt;=9999,"",INDEX(Presupuesto!$C:$C,SMALL($AA300:$CH300,10)))</f>
        <v>0</v>
      </c>
      <c r="AA300" s="0" t="n">
        <f aca="false">IF(Presupuesto!$B$7='Flujo de Pagos'!$E300,7,9999)</f>
        <v>9999</v>
      </c>
      <c r="AB300" s="0" t="n">
        <f aca="false">IF(Presupuesto!$B$8='Flujo de Pagos'!$E300,8,9999)</f>
        <v>9999</v>
      </c>
      <c r="AC300" s="0" t="n">
        <f aca="false">IF(Presupuesto!$B$9='Flujo de Pagos'!$E300,9,9999)</f>
        <v>9999</v>
      </c>
      <c r="AD300" s="0" t="n">
        <f aca="false">IF(Presupuesto!$B$10='Flujo de Pagos'!$E300,10,9999)</f>
        <v>9999</v>
      </c>
      <c r="AE300" s="0" t="n">
        <f aca="false">IF(Presupuesto!$B$11='Flujo de Pagos'!$E300,11,9999)</f>
        <v>9999</v>
      </c>
      <c r="AF300" s="0" t="n">
        <f aca="false">IF(Presupuesto!$B$12='Flujo de Pagos'!$E300,12,9999)</f>
        <v>12</v>
      </c>
      <c r="AG300" s="0" t="n">
        <f aca="false">IF(Presupuesto!$B$13='Flujo de Pagos'!$E300,13,9999)</f>
        <v>13</v>
      </c>
      <c r="AH300" s="0" t="n">
        <f aca="false">IF(Presupuesto!$B$14='Flujo de Pagos'!$E300,14,9999)</f>
        <v>14</v>
      </c>
      <c r="AI300" s="0" t="n">
        <f aca="false">IF(Presupuesto!$B$15='Flujo de Pagos'!$E300,15,9999)</f>
        <v>15</v>
      </c>
      <c r="AJ300" s="0" t="n">
        <f aca="false">IF(Presupuesto!$B$16='Flujo de Pagos'!$E300,16,9999)</f>
        <v>16</v>
      </c>
      <c r="AK300" s="0" t="n">
        <f aca="false">IF(Presupuesto!$B$17='Flujo de Pagos'!$E300,17,9999)</f>
        <v>17</v>
      </c>
      <c r="AL300" s="0" t="n">
        <f aca="false">IF(Presupuesto!$B$18='Flujo de Pagos'!$E300,18,9999)</f>
        <v>18</v>
      </c>
      <c r="AM300" s="0" t="n">
        <f aca="false">IF(Presupuesto!$B$19='Flujo de Pagos'!$E300,19,9999)</f>
        <v>19</v>
      </c>
      <c r="AN300" s="0" t="n">
        <f aca="false">IF(Presupuesto!$B$20='Flujo de Pagos'!$E300,20,9999)</f>
        <v>20</v>
      </c>
      <c r="AO300" s="0" t="n">
        <f aca="false">IF(Presupuesto!$B$21='Flujo de Pagos'!$E300,21,9999)</f>
        <v>21</v>
      </c>
      <c r="AP300" s="0" t="n">
        <f aca="false">IF(Presupuesto!$B$22='Flujo de Pagos'!$E300,22,9999)</f>
        <v>22</v>
      </c>
      <c r="AQ300" s="0" t="n">
        <f aca="false">IF(Presupuesto!$B$23='Flujo de Pagos'!$E300,23,9999)</f>
        <v>23</v>
      </c>
      <c r="AR300" s="0" t="n">
        <f aca="false">IF(Presupuesto!$B$24='Flujo de Pagos'!$E300,24,9999)</f>
        <v>24</v>
      </c>
      <c r="AS300" s="0" t="n">
        <f aca="false">IF(Presupuesto!$B$25='Flujo de Pagos'!$E300,25,9999)</f>
        <v>25</v>
      </c>
      <c r="AT300" s="0" t="n">
        <f aca="false">IF(Presupuesto!$B$26='Flujo de Pagos'!$E300,26,9999)</f>
        <v>26</v>
      </c>
      <c r="AU300" s="0" t="n">
        <f aca="false">IF(Presupuesto!$B$27='Flujo de Pagos'!$E300,27,9999)</f>
        <v>27</v>
      </c>
      <c r="AV300" s="0" t="n">
        <f aca="false">IF(Presupuesto!$B$28='Flujo de Pagos'!$E300,28,9999)</f>
        <v>28</v>
      </c>
      <c r="AW300" s="0" t="n">
        <f aca="false">IF(Presupuesto!$B$29='Flujo de Pagos'!$E300,29,9999)</f>
        <v>29</v>
      </c>
      <c r="AX300" s="0" t="n">
        <f aca="false">IF(Presupuesto!$B$30='Flujo de Pagos'!$E300,30,9999)</f>
        <v>30</v>
      </c>
      <c r="AY300" s="0" t="n">
        <f aca="false">IF(Presupuesto!$B$31='Flujo de Pagos'!$E300,31,9999)</f>
        <v>31</v>
      </c>
      <c r="AZ300" s="0" t="n">
        <f aca="false">IF(Presupuesto!$B$32='Flujo de Pagos'!$E300,32,9999)</f>
        <v>32</v>
      </c>
      <c r="BA300" s="0" t="n">
        <f aca="false">IF(Presupuesto!$B$33='Flujo de Pagos'!$E300,33,9999)</f>
        <v>33</v>
      </c>
      <c r="BB300" s="0" t="n">
        <f aca="false">IF(Presupuesto!$B$34='Flujo de Pagos'!$E300,34,9999)</f>
        <v>34</v>
      </c>
      <c r="BC300" s="0" t="n">
        <f aca="false">IF(Presupuesto!$B$35='Flujo de Pagos'!$E300,35,9999)</f>
        <v>35</v>
      </c>
      <c r="BD300" s="0" t="n">
        <f aca="false">IF(Presupuesto!$B$36='Flujo de Pagos'!$E300,36,9999)</f>
        <v>36</v>
      </c>
      <c r="BE300" s="0" t="n">
        <f aca="false">IF(Presupuesto!$B$37='Flujo de Pagos'!$E300,37,9999)</f>
        <v>37</v>
      </c>
      <c r="BF300" s="0" t="n">
        <f aca="false">IF(Presupuesto!$B$38='Flujo de Pagos'!$E300,38,9999)</f>
        <v>38</v>
      </c>
      <c r="BG300" s="0" t="n">
        <f aca="false">IF(Presupuesto!$B$39='Flujo de Pagos'!$E300,39,9999)</f>
        <v>39</v>
      </c>
      <c r="BH300" s="0" t="n">
        <f aca="false">IF(Presupuesto!$B$40='Flujo de Pagos'!$E300,40,9999)</f>
        <v>40</v>
      </c>
      <c r="BI300" s="0" t="n">
        <f aca="false">IF(Presupuesto!$B$41='Flujo de Pagos'!$E300,41,9999)</f>
        <v>41</v>
      </c>
      <c r="BJ300" s="0" t="n">
        <f aca="false">IF(Presupuesto!$B$42='Flujo de Pagos'!$E300,42,9999)</f>
        <v>42</v>
      </c>
      <c r="BK300" s="0" t="n">
        <f aca="false">IF(Presupuesto!$B$43='Flujo de Pagos'!$E300,43,9999)</f>
        <v>43</v>
      </c>
      <c r="BL300" s="0" t="n">
        <f aca="false">IF(Presupuesto!$B$44='Flujo de Pagos'!$E300,44,9999)</f>
        <v>44</v>
      </c>
      <c r="BM300" s="0" t="n">
        <f aca="false">IF(Presupuesto!$B$45='Flujo de Pagos'!$E300,45,9999)</f>
        <v>45</v>
      </c>
      <c r="BN300" s="0" t="n">
        <f aca="false">IF(Presupuesto!$B$46='Flujo de Pagos'!$E300,46,9999)</f>
        <v>46</v>
      </c>
      <c r="BO300" s="0" t="n">
        <f aca="false">IF(Presupuesto!$B$47='Flujo de Pagos'!$E300,47,9999)</f>
        <v>47</v>
      </c>
      <c r="BP300" s="0" t="n">
        <f aca="false">IF(Presupuesto!$B$48='Flujo de Pagos'!$E300,48,9999)</f>
        <v>48</v>
      </c>
      <c r="BQ300" s="0" t="n">
        <f aca="false">IF(Presupuesto!$B$49='Flujo de Pagos'!$E300,49,9999)</f>
        <v>49</v>
      </c>
      <c r="BR300" s="0" t="n">
        <f aca="false">IF(Presupuesto!$B$50='Flujo de Pagos'!$E300,50,9999)</f>
        <v>50</v>
      </c>
      <c r="BS300" s="0" t="n">
        <f aca="false">IF(Presupuesto!$B$51='Flujo de Pagos'!$E300,51,9999)</f>
        <v>51</v>
      </c>
      <c r="BT300" s="0" t="n">
        <f aca="false">IF(Presupuesto!$B$52='Flujo de Pagos'!$E300,52,9999)</f>
        <v>52</v>
      </c>
      <c r="BU300" s="0" t="n">
        <f aca="false">IF(Presupuesto!$B$53='Flujo de Pagos'!$E300,53,9999)</f>
        <v>53</v>
      </c>
      <c r="BV300" s="0" t="n">
        <f aca="false">IF(Presupuesto!$B$54='Flujo de Pagos'!$E300,54,9999)</f>
        <v>54</v>
      </c>
      <c r="BW300" s="0" t="n">
        <f aca="false">IF(Presupuesto!$B$55='Flujo de Pagos'!$E300,55,9999)</f>
        <v>55</v>
      </c>
      <c r="BX300" s="0" t="n">
        <f aca="false">IF(Presupuesto!$B$56='Flujo de Pagos'!$E300,56,9999)</f>
        <v>56</v>
      </c>
      <c r="BY300" s="0" t="n">
        <f aca="false">IF(Presupuesto!$B$57='Flujo de Pagos'!$E300,57,9999)</f>
        <v>57</v>
      </c>
      <c r="BZ300" s="0" t="n">
        <f aca="false">IF(Presupuesto!$B$58='Flujo de Pagos'!$E300,58,9999)</f>
        <v>58</v>
      </c>
      <c r="CA300" s="0" t="n">
        <f aca="false">IF(Presupuesto!$B$59='Flujo de Pagos'!$E300,59,9999)</f>
        <v>59</v>
      </c>
      <c r="CB300" s="0" t="n">
        <f aca="false">IF(Presupuesto!$B$60='Flujo de Pagos'!$E300,60,9999)</f>
        <v>60</v>
      </c>
      <c r="CC300" s="0" t="n">
        <f aca="false">IF(Presupuesto!$B$61='Flujo de Pagos'!$E300,61,9999)</f>
        <v>61</v>
      </c>
      <c r="CD300" s="0" t="n">
        <f aca="false">IF(Presupuesto!$B$62='Flujo de Pagos'!$E300,62,9999)</f>
        <v>62</v>
      </c>
      <c r="CE300" s="0" t="n">
        <f aca="false">IF(Presupuesto!$B$63='Flujo de Pagos'!$E300,63,9999)</f>
        <v>63</v>
      </c>
      <c r="CF300" s="0" t="n">
        <f aca="false">IF(Presupuesto!$B$64='Flujo de Pagos'!$E300,64,9999)</f>
        <v>64</v>
      </c>
      <c r="CG300" s="0" t="n">
        <f aca="false">IF(Presupuesto!$B$65='Flujo de Pagos'!$E300,65,9999)</f>
        <v>65</v>
      </c>
      <c r="CH300" s="0" t="n">
        <f aca="false">IF(Presupuesto!$B$66='Flujo de Pagos'!$E300,66,9999)</f>
        <v>66</v>
      </c>
    </row>
    <row r="301" customFormat="false" ht="15" hidden="false" customHeight="true" outlineLevel="0" collapsed="false">
      <c r="B301" s="1" t="n">
        <f aca="false">IF(AND('Flujo de Pagos'!E306=Carátula!$B$2,'Flujo de Pagos'!F306=Carátula!$B$4,'Flujo de Pagos'!H306&lt;&gt;""),306,99999)</f>
        <v>99999</v>
      </c>
      <c r="H301" s="1" t="n">
        <f aca="false">IF(SMALL($AA301:$CH301,1)&gt;=9999,"",INDEX(Presupuesto!$C:$C,SMALL($AA301:$CH301,1)))</f>
        <v>0</v>
      </c>
      <c r="I301" s="1" t="n">
        <f aca="false">IF(SMALL($AA301:$CH301,2)&gt;=9999,"",INDEX(Presupuesto!$C:$C,SMALL($AA301:$CH301,2)))</f>
        <v>0</v>
      </c>
      <c r="J301" s="1" t="n">
        <f aca="false">IF(SMALL($AA301:$CH301,3)&gt;=9999,"",INDEX(Presupuesto!$C:$C,SMALL($AA301:$CH301,3)))</f>
        <v>0</v>
      </c>
      <c r="K301" s="1" t="n">
        <f aca="false">IF(SMALL($AA301:$CH301,4)&gt;=9999,"",INDEX(Presupuesto!$C:$C,SMALL($AA301:$CH301,4)))</f>
        <v>0</v>
      </c>
      <c r="L301" s="1" t="n">
        <f aca="false">IF(SMALL($AA301:$CH301,5)&gt;=9999,"",INDEX(Presupuesto!$C:$C,SMALL($AA301:$CH301,5)))</f>
        <v>0</v>
      </c>
      <c r="M301" s="1" t="n">
        <f aca="false">IF(SMALL($AA301:$CH301,6)&gt;=9999,"",INDEX(Presupuesto!$C:$C,SMALL($AA301:$CH301,6)))</f>
        <v>0</v>
      </c>
      <c r="N301" s="1" t="n">
        <f aca="false">IF(SMALL($AA301:$CH301,7)&gt;=9999,"",INDEX(Presupuesto!$C:$C,SMALL($AA301:$CH301,7)))</f>
        <v>0</v>
      </c>
      <c r="O301" s="1" t="n">
        <f aca="false">IF(SMALL($AA301:$CH301,8)&gt;=9999,"",INDEX(Presupuesto!$C:$C,SMALL($AA301:$CH301,8)))</f>
        <v>0</v>
      </c>
      <c r="P301" s="1" t="n">
        <f aca="false">IF(SMALL($AA301:$CH301,9)&gt;=9999,"",INDEX(Presupuesto!$C:$C,SMALL($AA301:$CH301,9)))</f>
        <v>0</v>
      </c>
      <c r="Q301" s="1" t="n">
        <f aca="false">IF(SMALL($AA301:$CH301,10)&gt;=9999,"",INDEX(Presupuesto!$C:$C,SMALL($AA301:$CH301,10)))</f>
        <v>0</v>
      </c>
      <c r="AA301" s="0" t="n">
        <f aca="false">IF(Presupuesto!$B$7='Flujo de Pagos'!$E301,7,9999)</f>
        <v>9999</v>
      </c>
      <c r="AB301" s="0" t="n">
        <f aca="false">IF(Presupuesto!$B$8='Flujo de Pagos'!$E301,8,9999)</f>
        <v>9999</v>
      </c>
      <c r="AC301" s="0" t="n">
        <f aca="false">IF(Presupuesto!$B$9='Flujo de Pagos'!$E301,9,9999)</f>
        <v>9999</v>
      </c>
      <c r="AD301" s="0" t="n">
        <f aca="false">IF(Presupuesto!$B$10='Flujo de Pagos'!$E301,10,9999)</f>
        <v>9999</v>
      </c>
      <c r="AE301" s="0" t="n">
        <f aca="false">IF(Presupuesto!$B$11='Flujo de Pagos'!$E301,11,9999)</f>
        <v>9999</v>
      </c>
      <c r="AF301" s="0" t="n">
        <f aca="false">IF(Presupuesto!$B$12='Flujo de Pagos'!$E301,12,9999)</f>
        <v>12</v>
      </c>
      <c r="AG301" s="0" t="n">
        <f aca="false">IF(Presupuesto!$B$13='Flujo de Pagos'!$E301,13,9999)</f>
        <v>13</v>
      </c>
      <c r="AH301" s="0" t="n">
        <f aca="false">IF(Presupuesto!$B$14='Flujo de Pagos'!$E301,14,9999)</f>
        <v>14</v>
      </c>
      <c r="AI301" s="0" t="n">
        <f aca="false">IF(Presupuesto!$B$15='Flujo de Pagos'!$E301,15,9999)</f>
        <v>15</v>
      </c>
      <c r="AJ301" s="0" t="n">
        <f aca="false">IF(Presupuesto!$B$16='Flujo de Pagos'!$E301,16,9999)</f>
        <v>16</v>
      </c>
      <c r="AK301" s="0" t="n">
        <f aca="false">IF(Presupuesto!$B$17='Flujo de Pagos'!$E301,17,9999)</f>
        <v>17</v>
      </c>
      <c r="AL301" s="0" t="n">
        <f aca="false">IF(Presupuesto!$B$18='Flujo de Pagos'!$E301,18,9999)</f>
        <v>18</v>
      </c>
      <c r="AM301" s="0" t="n">
        <f aca="false">IF(Presupuesto!$B$19='Flujo de Pagos'!$E301,19,9999)</f>
        <v>19</v>
      </c>
      <c r="AN301" s="0" t="n">
        <f aca="false">IF(Presupuesto!$B$20='Flujo de Pagos'!$E301,20,9999)</f>
        <v>20</v>
      </c>
      <c r="AO301" s="0" t="n">
        <f aca="false">IF(Presupuesto!$B$21='Flujo de Pagos'!$E301,21,9999)</f>
        <v>21</v>
      </c>
      <c r="AP301" s="0" t="n">
        <f aca="false">IF(Presupuesto!$B$22='Flujo de Pagos'!$E301,22,9999)</f>
        <v>22</v>
      </c>
      <c r="AQ301" s="0" t="n">
        <f aca="false">IF(Presupuesto!$B$23='Flujo de Pagos'!$E301,23,9999)</f>
        <v>23</v>
      </c>
      <c r="AR301" s="0" t="n">
        <f aca="false">IF(Presupuesto!$B$24='Flujo de Pagos'!$E301,24,9999)</f>
        <v>24</v>
      </c>
      <c r="AS301" s="0" t="n">
        <f aca="false">IF(Presupuesto!$B$25='Flujo de Pagos'!$E301,25,9999)</f>
        <v>25</v>
      </c>
      <c r="AT301" s="0" t="n">
        <f aca="false">IF(Presupuesto!$B$26='Flujo de Pagos'!$E301,26,9999)</f>
        <v>26</v>
      </c>
      <c r="AU301" s="0" t="n">
        <f aca="false">IF(Presupuesto!$B$27='Flujo de Pagos'!$E301,27,9999)</f>
        <v>27</v>
      </c>
      <c r="AV301" s="0" t="n">
        <f aca="false">IF(Presupuesto!$B$28='Flujo de Pagos'!$E301,28,9999)</f>
        <v>28</v>
      </c>
      <c r="AW301" s="0" t="n">
        <f aca="false">IF(Presupuesto!$B$29='Flujo de Pagos'!$E301,29,9999)</f>
        <v>29</v>
      </c>
      <c r="AX301" s="0" t="n">
        <f aca="false">IF(Presupuesto!$B$30='Flujo de Pagos'!$E301,30,9999)</f>
        <v>30</v>
      </c>
      <c r="AY301" s="0" t="n">
        <f aca="false">IF(Presupuesto!$B$31='Flujo de Pagos'!$E301,31,9999)</f>
        <v>31</v>
      </c>
      <c r="AZ301" s="0" t="n">
        <f aca="false">IF(Presupuesto!$B$32='Flujo de Pagos'!$E301,32,9999)</f>
        <v>32</v>
      </c>
      <c r="BA301" s="0" t="n">
        <f aca="false">IF(Presupuesto!$B$33='Flujo de Pagos'!$E301,33,9999)</f>
        <v>33</v>
      </c>
      <c r="BB301" s="0" t="n">
        <f aca="false">IF(Presupuesto!$B$34='Flujo de Pagos'!$E301,34,9999)</f>
        <v>34</v>
      </c>
      <c r="BC301" s="0" t="n">
        <f aca="false">IF(Presupuesto!$B$35='Flujo de Pagos'!$E301,35,9999)</f>
        <v>35</v>
      </c>
      <c r="BD301" s="0" t="n">
        <f aca="false">IF(Presupuesto!$B$36='Flujo de Pagos'!$E301,36,9999)</f>
        <v>36</v>
      </c>
      <c r="BE301" s="0" t="n">
        <f aca="false">IF(Presupuesto!$B$37='Flujo de Pagos'!$E301,37,9999)</f>
        <v>37</v>
      </c>
      <c r="BF301" s="0" t="n">
        <f aca="false">IF(Presupuesto!$B$38='Flujo de Pagos'!$E301,38,9999)</f>
        <v>38</v>
      </c>
      <c r="BG301" s="0" t="n">
        <f aca="false">IF(Presupuesto!$B$39='Flujo de Pagos'!$E301,39,9999)</f>
        <v>39</v>
      </c>
      <c r="BH301" s="0" t="n">
        <f aca="false">IF(Presupuesto!$B$40='Flujo de Pagos'!$E301,40,9999)</f>
        <v>40</v>
      </c>
      <c r="BI301" s="0" t="n">
        <f aca="false">IF(Presupuesto!$B$41='Flujo de Pagos'!$E301,41,9999)</f>
        <v>41</v>
      </c>
      <c r="BJ301" s="0" t="n">
        <f aca="false">IF(Presupuesto!$B$42='Flujo de Pagos'!$E301,42,9999)</f>
        <v>42</v>
      </c>
      <c r="BK301" s="0" t="n">
        <f aca="false">IF(Presupuesto!$B$43='Flujo de Pagos'!$E301,43,9999)</f>
        <v>43</v>
      </c>
      <c r="BL301" s="0" t="n">
        <f aca="false">IF(Presupuesto!$B$44='Flujo de Pagos'!$E301,44,9999)</f>
        <v>44</v>
      </c>
      <c r="BM301" s="0" t="n">
        <f aca="false">IF(Presupuesto!$B$45='Flujo de Pagos'!$E301,45,9999)</f>
        <v>45</v>
      </c>
      <c r="BN301" s="0" t="n">
        <f aca="false">IF(Presupuesto!$B$46='Flujo de Pagos'!$E301,46,9999)</f>
        <v>46</v>
      </c>
      <c r="BO301" s="0" t="n">
        <f aca="false">IF(Presupuesto!$B$47='Flujo de Pagos'!$E301,47,9999)</f>
        <v>47</v>
      </c>
      <c r="BP301" s="0" t="n">
        <f aca="false">IF(Presupuesto!$B$48='Flujo de Pagos'!$E301,48,9999)</f>
        <v>48</v>
      </c>
      <c r="BQ301" s="0" t="n">
        <f aca="false">IF(Presupuesto!$B$49='Flujo de Pagos'!$E301,49,9999)</f>
        <v>49</v>
      </c>
      <c r="BR301" s="0" t="n">
        <f aca="false">IF(Presupuesto!$B$50='Flujo de Pagos'!$E301,50,9999)</f>
        <v>50</v>
      </c>
      <c r="BS301" s="0" t="n">
        <f aca="false">IF(Presupuesto!$B$51='Flujo de Pagos'!$E301,51,9999)</f>
        <v>51</v>
      </c>
      <c r="BT301" s="0" t="n">
        <f aca="false">IF(Presupuesto!$B$52='Flujo de Pagos'!$E301,52,9999)</f>
        <v>52</v>
      </c>
      <c r="BU301" s="0" t="n">
        <f aca="false">IF(Presupuesto!$B$53='Flujo de Pagos'!$E301,53,9999)</f>
        <v>53</v>
      </c>
      <c r="BV301" s="0" t="n">
        <f aca="false">IF(Presupuesto!$B$54='Flujo de Pagos'!$E301,54,9999)</f>
        <v>54</v>
      </c>
      <c r="BW301" s="0" t="n">
        <f aca="false">IF(Presupuesto!$B$55='Flujo de Pagos'!$E301,55,9999)</f>
        <v>55</v>
      </c>
      <c r="BX301" s="0" t="n">
        <f aca="false">IF(Presupuesto!$B$56='Flujo de Pagos'!$E301,56,9999)</f>
        <v>56</v>
      </c>
      <c r="BY301" s="0" t="n">
        <f aca="false">IF(Presupuesto!$B$57='Flujo de Pagos'!$E301,57,9999)</f>
        <v>57</v>
      </c>
      <c r="BZ301" s="0" t="n">
        <f aca="false">IF(Presupuesto!$B$58='Flujo de Pagos'!$E301,58,9999)</f>
        <v>58</v>
      </c>
      <c r="CA301" s="0" t="n">
        <f aca="false">IF(Presupuesto!$B$59='Flujo de Pagos'!$E301,59,9999)</f>
        <v>59</v>
      </c>
      <c r="CB301" s="0" t="n">
        <f aca="false">IF(Presupuesto!$B$60='Flujo de Pagos'!$E301,60,9999)</f>
        <v>60</v>
      </c>
      <c r="CC301" s="0" t="n">
        <f aca="false">IF(Presupuesto!$B$61='Flujo de Pagos'!$E301,61,9999)</f>
        <v>61</v>
      </c>
      <c r="CD301" s="0" t="n">
        <f aca="false">IF(Presupuesto!$B$62='Flujo de Pagos'!$E301,62,9999)</f>
        <v>62</v>
      </c>
      <c r="CE301" s="0" t="n">
        <f aca="false">IF(Presupuesto!$B$63='Flujo de Pagos'!$E301,63,9999)</f>
        <v>63</v>
      </c>
      <c r="CF301" s="0" t="n">
        <f aca="false">IF(Presupuesto!$B$64='Flujo de Pagos'!$E301,64,9999)</f>
        <v>64</v>
      </c>
      <c r="CG301" s="0" t="n">
        <f aca="false">IF(Presupuesto!$B$65='Flujo de Pagos'!$E301,65,9999)</f>
        <v>65</v>
      </c>
      <c r="CH301" s="0" t="n">
        <f aca="false">IF(Presupuesto!$B$66='Flujo de Pagos'!$E301,66,9999)</f>
        <v>66</v>
      </c>
    </row>
    <row r="302" customFormat="false" ht="15" hidden="false" customHeight="true" outlineLevel="0" collapsed="false">
      <c r="B302" s="1" t="n">
        <f aca="false">IF(AND('Flujo de Pagos'!E307=Carátula!$B$2,'Flujo de Pagos'!F307=Carátula!$B$4,'Flujo de Pagos'!H307&lt;&gt;""),307,99999)</f>
        <v>99999</v>
      </c>
      <c r="H302" s="1" t="n">
        <f aca="false">IF(SMALL($AA302:$CH302,1)&gt;=9999,"",INDEX(Presupuesto!$C:$C,SMALL($AA302:$CH302,1)))</f>
        <v>0</v>
      </c>
      <c r="I302" s="1" t="n">
        <f aca="false">IF(SMALL($AA302:$CH302,2)&gt;=9999,"",INDEX(Presupuesto!$C:$C,SMALL($AA302:$CH302,2)))</f>
        <v>0</v>
      </c>
      <c r="J302" s="1" t="n">
        <f aca="false">IF(SMALL($AA302:$CH302,3)&gt;=9999,"",INDEX(Presupuesto!$C:$C,SMALL($AA302:$CH302,3)))</f>
        <v>0</v>
      </c>
      <c r="K302" s="1" t="n">
        <f aca="false">IF(SMALL($AA302:$CH302,4)&gt;=9999,"",INDEX(Presupuesto!$C:$C,SMALL($AA302:$CH302,4)))</f>
        <v>0</v>
      </c>
      <c r="L302" s="1" t="n">
        <f aca="false">IF(SMALL($AA302:$CH302,5)&gt;=9999,"",INDEX(Presupuesto!$C:$C,SMALL($AA302:$CH302,5)))</f>
        <v>0</v>
      </c>
      <c r="M302" s="1" t="n">
        <f aca="false">IF(SMALL($AA302:$CH302,6)&gt;=9999,"",INDEX(Presupuesto!$C:$C,SMALL($AA302:$CH302,6)))</f>
        <v>0</v>
      </c>
      <c r="N302" s="1" t="n">
        <f aca="false">IF(SMALL($AA302:$CH302,7)&gt;=9999,"",INDEX(Presupuesto!$C:$C,SMALL($AA302:$CH302,7)))</f>
        <v>0</v>
      </c>
      <c r="O302" s="1" t="n">
        <f aca="false">IF(SMALL($AA302:$CH302,8)&gt;=9999,"",INDEX(Presupuesto!$C:$C,SMALL($AA302:$CH302,8)))</f>
        <v>0</v>
      </c>
      <c r="P302" s="1" t="n">
        <f aca="false">IF(SMALL($AA302:$CH302,9)&gt;=9999,"",INDEX(Presupuesto!$C:$C,SMALL($AA302:$CH302,9)))</f>
        <v>0</v>
      </c>
      <c r="Q302" s="1" t="n">
        <f aca="false">IF(SMALL($AA302:$CH302,10)&gt;=9999,"",INDEX(Presupuesto!$C:$C,SMALL($AA302:$CH302,10)))</f>
        <v>0</v>
      </c>
      <c r="AA302" s="0" t="n">
        <f aca="false">IF(Presupuesto!$B$7='Flujo de Pagos'!$E302,7,9999)</f>
        <v>9999</v>
      </c>
      <c r="AB302" s="0" t="n">
        <f aca="false">IF(Presupuesto!$B$8='Flujo de Pagos'!$E302,8,9999)</f>
        <v>9999</v>
      </c>
      <c r="AC302" s="0" t="n">
        <f aca="false">IF(Presupuesto!$B$9='Flujo de Pagos'!$E302,9,9999)</f>
        <v>9999</v>
      </c>
      <c r="AD302" s="0" t="n">
        <f aca="false">IF(Presupuesto!$B$10='Flujo de Pagos'!$E302,10,9999)</f>
        <v>9999</v>
      </c>
      <c r="AE302" s="0" t="n">
        <f aca="false">IF(Presupuesto!$B$11='Flujo de Pagos'!$E302,11,9999)</f>
        <v>9999</v>
      </c>
      <c r="AF302" s="0" t="n">
        <f aca="false">IF(Presupuesto!$B$12='Flujo de Pagos'!$E302,12,9999)</f>
        <v>12</v>
      </c>
      <c r="AG302" s="0" t="n">
        <f aca="false">IF(Presupuesto!$B$13='Flujo de Pagos'!$E302,13,9999)</f>
        <v>13</v>
      </c>
      <c r="AH302" s="0" t="n">
        <f aca="false">IF(Presupuesto!$B$14='Flujo de Pagos'!$E302,14,9999)</f>
        <v>14</v>
      </c>
      <c r="AI302" s="0" t="n">
        <f aca="false">IF(Presupuesto!$B$15='Flujo de Pagos'!$E302,15,9999)</f>
        <v>15</v>
      </c>
      <c r="AJ302" s="0" t="n">
        <f aca="false">IF(Presupuesto!$B$16='Flujo de Pagos'!$E302,16,9999)</f>
        <v>16</v>
      </c>
      <c r="AK302" s="0" t="n">
        <f aca="false">IF(Presupuesto!$B$17='Flujo de Pagos'!$E302,17,9999)</f>
        <v>17</v>
      </c>
      <c r="AL302" s="0" t="n">
        <f aca="false">IF(Presupuesto!$B$18='Flujo de Pagos'!$E302,18,9999)</f>
        <v>18</v>
      </c>
      <c r="AM302" s="0" t="n">
        <f aca="false">IF(Presupuesto!$B$19='Flujo de Pagos'!$E302,19,9999)</f>
        <v>19</v>
      </c>
      <c r="AN302" s="0" t="n">
        <f aca="false">IF(Presupuesto!$B$20='Flujo de Pagos'!$E302,20,9999)</f>
        <v>20</v>
      </c>
      <c r="AO302" s="0" t="n">
        <f aca="false">IF(Presupuesto!$B$21='Flujo de Pagos'!$E302,21,9999)</f>
        <v>21</v>
      </c>
      <c r="AP302" s="0" t="n">
        <f aca="false">IF(Presupuesto!$B$22='Flujo de Pagos'!$E302,22,9999)</f>
        <v>22</v>
      </c>
      <c r="AQ302" s="0" t="n">
        <f aca="false">IF(Presupuesto!$B$23='Flujo de Pagos'!$E302,23,9999)</f>
        <v>23</v>
      </c>
      <c r="AR302" s="0" t="n">
        <f aca="false">IF(Presupuesto!$B$24='Flujo de Pagos'!$E302,24,9999)</f>
        <v>24</v>
      </c>
      <c r="AS302" s="0" t="n">
        <f aca="false">IF(Presupuesto!$B$25='Flujo de Pagos'!$E302,25,9999)</f>
        <v>25</v>
      </c>
      <c r="AT302" s="0" t="n">
        <f aca="false">IF(Presupuesto!$B$26='Flujo de Pagos'!$E302,26,9999)</f>
        <v>26</v>
      </c>
      <c r="AU302" s="0" t="n">
        <f aca="false">IF(Presupuesto!$B$27='Flujo de Pagos'!$E302,27,9999)</f>
        <v>27</v>
      </c>
      <c r="AV302" s="0" t="n">
        <f aca="false">IF(Presupuesto!$B$28='Flujo de Pagos'!$E302,28,9999)</f>
        <v>28</v>
      </c>
      <c r="AW302" s="0" t="n">
        <f aca="false">IF(Presupuesto!$B$29='Flujo de Pagos'!$E302,29,9999)</f>
        <v>29</v>
      </c>
      <c r="AX302" s="0" t="n">
        <f aca="false">IF(Presupuesto!$B$30='Flujo de Pagos'!$E302,30,9999)</f>
        <v>30</v>
      </c>
      <c r="AY302" s="0" t="n">
        <f aca="false">IF(Presupuesto!$B$31='Flujo de Pagos'!$E302,31,9999)</f>
        <v>31</v>
      </c>
      <c r="AZ302" s="0" t="n">
        <f aca="false">IF(Presupuesto!$B$32='Flujo de Pagos'!$E302,32,9999)</f>
        <v>32</v>
      </c>
      <c r="BA302" s="0" t="n">
        <f aca="false">IF(Presupuesto!$B$33='Flujo de Pagos'!$E302,33,9999)</f>
        <v>33</v>
      </c>
      <c r="BB302" s="0" t="n">
        <f aca="false">IF(Presupuesto!$B$34='Flujo de Pagos'!$E302,34,9999)</f>
        <v>34</v>
      </c>
      <c r="BC302" s="0" t="n">
        <f aca="false">IF(Presupuesto!$B$35='Flujo de Pagos'!$E302,35,9999)</f>
        <v>35</v>
      </c>
      <c r="BD302" s="0" t="n">
        <f aca="false">IF(Presupuesto!$B$36='Flujo de Pagos'!$E302,36,9999)</f>
        <v>36</v>
      </c>
      <c r="BE302" s="0" t="n">
        <f aca="false">IF(Presupuesto!$B$37='Flujo de Pagos'!$E302,37,9999)</f>
        <v>37</v>
      </c>
      <c r="BF302" s="0" t="n">
        <f aca="false">IF(Presupuesto!$B$38='Flujo de Pagos'!$E302,38,9999)</f>
        <v>38</v>
      </c>
      <c r="BG302" s="0" t="n">
        <f aca="false">IF(Presupuesto!$B$39='Flujo de Pagos'!$E302,39,9999)</f>
        <v>39</v>
      </c>
      <c r="BH302" s="0" t="n">
        <f aca="false">IF(Presupuesto!$B$40='Flujo de Pagos'!$E302,40,9999)</f>
        <v>40</v>
      </c>
      <c r="BI302" s="0" t="n">
        <f aca="false">IF(Presupuesto!$B$41='Flujo de Pagos'!$E302,41,9999)</f>
        <v>41</v>
      </c>
      <c r="BJ302" s="0" t="n">
        <f aca="false">IF(Presupuesto!$B$42='Flujo de Pagos'!$E302,42,9999)</f>
        <v>42</v>
      </c>
      <c r="BK302" s="0" t="n">
        <f aca="false">IF(Presupuesto!$B$43='Flujo de Pagos'!$E302,43,9999)</f>
        <v>43</v>
      </c>
      <c r="BL302" s="0" t="n">
        <f aca="false">IF(Presupuesto!$B$44='Flujo de Pagos'!$E302,44,9999)</f>
        <v>44</v>
      </c>
      <c r="BM302" s="0" t="n">
        <f aca="false">IF(Presupuesto!$B$45='Flujo de Pagos'!$E302,45,9999)</f>
        <v>45</v>
      </c>
      <c r="BN302" s="0" t="n">
        <f aca="false">IF(Presupuesto!$B$46='Flujo de Pagos'!$E302,46,9999)</f>
        <v>46</v>
      </c>
      <c r="BO302" s="0" t="n">
        <f aca="false">IF(Presupuesto!$B$47='Flujo de Pagos'!$E302,47,9999)</f>
        <v>47</v>
      </c>
      <c r="BP302" s="0" t="n">
        <f aca="false">IF(Presupuesto!$B$48='Flujo de Pagos'!$E302,48,9999)</f>
        <v>48</v>
      </c>
      <c r="BQ302" s="0" t="n">
        <f aca="false">IF(Presupuesto!$B$49='Flujo de Pagos'!$E302,49,9999)</f>
        <v>49</v>
      </c>
      <c r="BR302" s="0" t="n">
        <f aca="false">IF(Presupuesto!$B$50='Flujo de Pagos'!$E302,50,9999)</f>
        <v>50</v>
      </c>
      <c r="BS302" s="0" t="n">
        <f aca="false">IF(Presupuesto!$B$51='Flujo de Pagos'!$E302,51,9999)</f>
        <v>51</v>
      </c>
      <c r="BT302" s="0" t="n">
        <f aca="false">IF(Presupuesto!$B$52='Flujo de Pagos'!$E302,52,9999)</f>
        <v>52</v>
      </c>
      <c r="BU302" s="0" t="n">
        <f aca="false">IF(Presupuesto!$B$53='Flujo de Pagos'!$E302,53,9999)</f>
        <v>53</v>
      </c>
      <c r="BV302" s="0" t="n">
        <f aca="false">IF(Presupuesto!$B$54='Flujo de Pagos'!$E302,54,9999)</f>
        <v>54</v>
      </c>
      <c r="BW302" s="0" t="n">
        <f aca="false">IF(Presupuesto!$B$55='Flujo de Pagos'!$E302,55,9999)</f>
        <v>55</v>
      </c>
      <c r="BX302" s="0" t="n">
        <f aca="false">IF(Presupuesto!$B$56='Flujo de Pagos'!$E302,56,9999)</f>
        <v>56</v>
      </c>
      <c r="BY302" s="0" t="n">
        <f aca="false">IF(Presupuesto!$B$57='Flujo de Pagos'!$E302,57,9999)</f>
        <v>57</v>
      </c>
      <c r="BZ302" s="0" t="n">
        <f aca="false">IF(Presupuesto!$B$58='Flujo de Pagos'!$E302,58,9999)</f>
        <v>58</v>
      </c>
      <c r="CA302" s="0" t="n">
        <f aca="false">IF(Presupuesto!$B$59='Flujo de Pagos'!$E302,59,9999)</f>
        <v>59</v>
      </c>
      <c r="CB302" s="0" t="n">
        <f aca="false">IF(Presupuesto!$B$60='Flujo de Pagos'!$E302,60,9999)</f>
        <v>60</v>
      </c>
      <c r="CC302" s="0" t="n">
        <f aca="false">IF(Presupuesto!$B$61='Flujo de Pagos'!$E302,61,9999)</f>
        <v>61</v>
      </c>
      <c r="CD302" s="0" t="n">
        <f aca="false">IF(Presupuesto!$B$62='Flujo de Pagos'!$E302,62,9999)</f>
        <v>62</v>
      </c>
      <c r="CE302" s="0" t="n">
        <f aca="false">IF(Presupuesto!$B$63='Flujo de Pagos'!$E302,63,9999)</f>
        <v>63</v>
      </c>
      <c r="CF302" s="0" t="n">
        <f aca="false">IF(Presupuesto!$B$64='Flujo de Pagos'!$E302,64,9999)</f>
        <v>64</v>
      </c>
      <c r="CG302" s="0" t="n">
        <f aca="false">IF(Presupuesto!$B$65='Flujo de Pagos'!$E302,65,9999)</f>
        <v>65</v>
      </c>
      <c r="CH302" s="0" t="n">
        <f aca="false">IF(Presupuesto!$B$66='Flujo de Pagos'!$E302,66,9999)</f>
        <v>66</v>
      </c>
    </row>
    <row r="303" customFormat="false" ht="15" hidden="false" customHeight="true" outlineLevel="0" collapsed="false">
      <c r="B303" s="1" t="n">
        <f aca="false">IF(AND('Flujo de Pagos'!E308=Carátula!$B$2,'Flujo de Pagos'!F308=Carátula!$B$4,'Flujo de Pagos'!H308&lt;&gt;""),308,99999)</f>
        <v>99999</v>
      </c>
      <c r="H303" s="1" t="n">
        <f aca="false">IF(SMALL($AA303:$CH303,1)&gt;=9999,"",INDEX(Presupuesto!$C:$C,SMALL($AA303:$CH303,1)))</f>
        <v>0</v>
      </c>
      <c r="I303" s="1" t="n">
        <f aca="false">IF(SMALL($AA303:$CH303,2)&gt;=9999,"",INDEX(Presupuesto!$C:$C,SMALL($AA303:$CH303,2)))</f>
        <v>0</v>
      </c>
      <c r="J303" s="1" t="n">
        <f aca="false">IF(SMALL($AA303:$CH303,3)&gt;=9999,"",INDEX(Presupuesto!$C:$C,SMALL($AA303:$CH303,3)))</f>
        <v>0</v>
      </c>
      <c r="K303" s="1" t="n">
        <f aca="false">IF(SMALL($AA303:$CH303,4)&gt;=9999,"",INDEX(Presupuesto!$C:$C,SMALL($AA303:$CH303,4)))</f>
        <v>0</v>
      </c>
      <c r="L303" s="1" t="n">
        <f aca="false">IF(SMALL($AA303:$CH303,5)&gt;=9999,"",INDEX(Presupuesto!$C:$C,SMALL($AA303:$CH303,5)))</f>
        <v>0</v>
      </c>
      <c r="M303" s="1" t="n">
        <f aca="false">IF(SMALL($AA303:$CH303,6)&gt;=9999,"",INDEX(Presupuesto!$C:$C,SMALL($AA303:$CH303,6)))</f>
        <v>0</v>
      </c>
      <c r="N303" s="1" t="n">
        <f aca="false">IF(SMALL($AA303:$CH303,7)&gt;=9999,"",INDEX(Presupuesto!$C:$C,SMALL($AA303:$CH303,7)))</f>
        <v>0</v>
      </c>
      <c r="O303" s="1" t="n">
        <f aca="false">IF(SMALL($AA303:$CH303,8)&gt;=9999,"",INDEX(Presupuesto!$C:$C,SMALL($AA303:$CH303,8)))</f>
        <v>0</v>
      </c>
      <c r="P303" s="1" t="n">
        <f aca="false">IF(SMALL($AA303:$CH303,9)&gt;=9999,"",INDEX(Presupuesto!$C:$C,SMALL($AA303:$CH303,9)))</f>
        <v>0</v>
      </c>
      <c r="Q303" s="1" t="n">
        <f aca="false">IF(SMALL($AA303:$CH303,10)&gt;=9999,"",INDEX(Presupuesto!$C:$C,SMALL($AA303:$CH303,10)))</f>
        <v>0</v>
      </c>
      <c r="AA303" s="0" t="n">
        <f aca="false">IF(Presupuesto!$B$7='Flujo de Pagos'!$E303,7,9999)</f>
        <v>9999</v>
      </c>
      <c r="AB303" s="0" t="n">
        <f aca="false">IF(Presupuesto!$B$8='Flujo de Pagos'!$E303,8,9999)</f>
        <v>9999</v>
      </c>
      <c r="AC303" s="0" t="n">
        <f aca="false">IF(Presupuesto!$B$9='Flujo de Pagos'!$E303,9,9999)</f>
        <v>9999</v>
      </c>
      <c r="AD303" s="0" t="n">
        <f aca="false">IF(Presupuesto!$B$10='Flujo de Pagos'!$E303,10,9999)</f>
        <v>9999</v>
      </c>
      <c r="AE303" s="0" t="n">
        <f aca="false">IF(Presupuesto!$B$11='Flujo de Pagos'!$E303,11,9999)</f>
        <v>9999</v>
      </c>
      <c r="AF303" s="0" t="n">
        <f aca="false">IF(Presupuesto!$B$12='Flujo de Pagos'!$E303,12,9999)</f>
        <v>12</v>
      </c>
      <c r="AG303" s="0" t="n">
        <f aca="false">IF(Presupuesto!$B$13='Flujo de Pagos'!$E303,13,9999)</f>
        <v>13</v>
      </c>
      <c r="AH303" s="0" t="n">
        <f aca="false">IF(Presupuesto!$B$14='Flujo de Pagos'!$E303,14,9999)</f>
        <v>14</v>
      </c>
      <c r="AI303" s="0" t="n">
        <f aca="false">IF(Presupuesto!$B$15='Flujo de Pagos'!$E303,15,9999)</f>
        <v>15</v>
      </c>
      <c r="AJ303" s="0" t="n">
        <f aca="false">IF(Presupuesto!$B$16='Flujo de Pagos'!$E303,16,9999)</f>
        <v>16</v>
      </c>
      <c r="AK303" s="0" t="n">
        <f aca="false">IF(Presupuesto!$B$17='Flujo de Pagos'!$E303,17,9999)</f>
        <v>17</v>
      </c>
      <c r="AL303" s="0" t="n">
        <f aca="false">IF(Presupuesto!$B$18='Flujo de Pagos'!$E303,18,9999)</f>
        <v>18</v>
      </c>
      <c r="AM303" s="0" t="n">
        <f aca="false">IF(Presupuesto!$B$19='Flujo de Pagos'!$E303,19,9999)</f>
        <v>19</v>
      </c>
      <c r="AN303" s="0" t="n">
        <f aca="false">IF(Presupuesto!$B$20='Flujo de Pagos'!$E303,20,9999)</f>
        <v>20</v>
      </c>
      <c r="AO303" s="0" t="n">
        <f aca="false">IF(Presupuesto!$B$21='Flujo de Pagos'!$E303,21,9999)</f>
        <v>21</v>
      </c>
      <c r="AP303" s="0" t="n">
        <f aca="false">IF(Presupuesto!$B$22='Flujo de Pagos'!$E303,22,9999)</f>
        <v>22</v>
      </c>
      <c r="AQ303" s="0" t="n">
        <f aca="false">IF(Presupuesto!$B$23='Flujo de Pagos'!$E303,23,9999)</f>
        <v>23</v>
      </c>
      <c r="AR303" s="0" t="n">
        <f aca="false">IF(Presupuesto!$B$24='Flujo de Pagos'!$E303,24,9999)</f>
        <v>24</v>
      </c>
      <c r="AS303" s="0" t="n">
        <f aca="false">IF(Presupuesto!$B$25='Flujo de Pagos'!$E303,25,9999)</f>
        <v>25</v>
      </c>
      <c r="AT303" s="0" t="n">
        <f aca="false">IF(Presupuesto!$B$26='Flujo de Pagos'!$E303,26,9999)</f>
        <v>26</v>
      </c>
      <c r="AU303" s="0" t="n">
        <f aca="false">IF(Presupuesto!$B$27='Flujo de Pagos'!$E303,27,9999)</f>
        <v>27</v>
      </c>
      <c r="AV303" s="0" t="n">
        <f aca="false">IF(Presupuesto!$B$28='Flujo de Pagos'!$E303,28,9999)</f>
        <v>28</v>
      </c>
      <c r="AW303" s="0" t="n">
        <f aca="false">IF(Presupuesto!$B$29='Flujo de Pagos'!$E303,29,9999)</f>
        <v>29</v>
      </c>
      <c r="AX303" s="0" t="n">
        <f aca="false">IF(Presupuesto!$B$30='Flujo de Pagos'!$E303,30,9999)</f>
        <v>30</v>
      </c>
      <c r="AY303" s="0" t="n">
        <f aca="false">IF(Presupuesto!$B$31='Flujo de Pagos'!$E303,31,9999)</f>
        <v>31</v>
      </c>
      <c r="AZ303" s="0" t="n">
        <f aca="false">IF(Presupuesto!$B$32='Flujo de Pagos'!$E303,32,9999)</f>
        <v>32</v>
      </c>
      <c r="BA303" s="0" t="n">
        <f aca="false">IF(Presupuesto!$B$33='Flujo de Pagos'!$E303,33,9999)</f>
        <v>33</v>
      </c>
      <c r="BB303" s="0" t="n">
        <f aca="false">IF(Presupuesto!$B$34='Flujo de Pagos'!$E303,34,9999)</f>
        <v>34</v>
      </c>
      <c r="BC303" s="0" t="n">
        <f aca="false">IF(Presupuesto!$B$35='Flujo de Pagos'!$E303,35,9999)</f>
        <v>35</v>
      </c>
      <c r="BD303" s="0" t="n">
        <f aca="false">IF(Presupuesto!$B$36='Flujo de Pagos'!$E303,36,9999)</f>
        <v>36</v>
      </c>
      <c r="BE303" s="0" t="n">
        <f aca="false">IF(Presupuesto!$B$37='Flujo de Pagos'!$E303,37,9999)</f>
        <v>37</v>
      </c>
      <c r="BF303" s="0" t="n">
        <f aca="false">IF(Presupuesto!$B$38='Flujo de Pagos'!$E303,38,9999)</f>
        <v>38</v>
      </c>
      <c r="BG303" s="0" t="n">
        <f aca="false">IF(Presupuesto!$B$39='Flujo de Pagos'!$E303,39,9999)</f>
        <v>39</v>
      </c>
      <c r="BH303" s="0" t="n">
        <f aca="false">IF(Presupuesto!$B$40='Flujo de Pagos'!$E303,40,9999)</f>
        <v>40</v>
      </c>
      <c r="BI303" s="0" t="n">
        <f aca="false">IF(Presupuesto!$B$41='Flujo de Pagos'!$E303,41,9999)</f>
        <v>41</v>
      </c>
      <c r="BJ303" s="0" t="n">
        <f aca="false">IF(Presupuesto!$B$42='Flujo de Pagos'!$E303,42,9999)</f>
        <v>42</v>
      </c>
      <c r="BK303" s="0" t="n">
        <f aca="false">IF(Presupuesto!$B$43='Flujo de Pagos'!$E303,43,9999)</f>
        <v>43</v>
      </c>
      <c r="BL303" s="0" t="n">
        <f aca="false">IF(Presupuesto!$B$44='Flujo de Pagos'!$E303,44,9999)</f>
        <v>44</v>
      </c>
      <c r="BM303" s="0" t="n">
        <f aca="false">IF(Presupuesto!$B$45='Flujo de Pagos'!$E303,45,9999)</f>
        <v>45</v>
      </c>
      <c r="BN303" s="0" t="n">
        <f aca="false">IF(Presupuesto!$B$46='Flujo de Pagos'!$E303,46,9999)</f>
        <v>46</v>
      </c>
      <c r="BO303" s="0" t="n">
        <f aca="false">IF(Presupuesto!$B$47='Flujo de Pagos'!$E303,47,9999)</f>
        <v>47</v>
      </c>
      <c r="BP303" s="0" t="n">
        <f aca="false">IF(Presupuesto!$B$48='Flujo de Pagos'!$E303,48,9999)</f>
        <v>48</v>
      </c>
      <c r="BQ303" s="0" t="n">
        <f aca="false">IF(Presupuesto!$B$49='Flujo de Pagos'!$E303,49,9999)</f>
        <v>49</v>
      </c>
      <c r="BR303" s="0" t="n">
        <f aca="false">IF(Presupuesto!$B$50='Flujo de Pagos'!$E303,50,9999)</f>
        <v>50</v>
      </c>
      <c r="BS303" s="0" t="n">
        <f aca="false">IF(Presupuesto!$B$51='Flujo de Pagos'!$E303,51,9999)</f>
        <v>51</v>
      </c>
      <c r="BT303" s="0" t="n">
        <f aca="false">IF(Presupuesto!$B$52='Flujo de Pagos'!$E303,52,9999)</f>
        <v>52</v>
      </c>
      <c r="BU303" s="0" t="n">
        <f aca="false">IF(Presupuesto!$B$53='Flujo de Pagos'!$E303,53,9999)</f>
        <v>53</v>
      </c>
      <c r="BV303" s="0" t="n">
        <f aca="false">IF(Presupuesto!$B$54='Flujo de Pagos'!$E303,54,9999)</f>
        <v>54</v>
      </c>
      <c r="BW303" s="0" t="n">
        <f aca="false">IF(Presupuesto!$B$55='Flujo de Pagos'!$E303,55,9999)</f>
        <v>55</v>
      </c>
      <c r="BX303" s="0" t="n">
        <f aca="false">IF(Presupuesto!$B$56='Flujo de Pagos'!$E303,56,9999)</f>
        <v>56</v>
      </c>
      <c r="BY303" s="0" t="n">
        <f aca="false">IF(Presupuesto!$B$57='Flujo de Pagos'!$E303,57,9999)</f>
        <v>57</v>
      </c>
      <c r="BZ303" s="0" t="n">
        <f aca="false">IF(Presupuesto!$B$58='Flujo de Pagos'!$E303,58,9999)</f>
        <v>58</v>
      </c>
      <c r="CA303" s="0" t="n">
        <f aca="false">IF(Presupuesto!$B$59='Flujo de Pagos'!$E303,59,9999)</f>
        <v>59</v>
      </c>
      <c r="CB303" s="0" t="n">
        <f aca="false">IF(Presupuesto!$B$60='Flujo de Pagos'!$E303,60,9999)</f>
        <v>60</v>
      </c>
      <c r="CC303" s="0" t="n">
        <f aca="false">IF(Presupuesto!$B$61='Flujo de Pagos'!$E303,61,9999)</f>
        <v>61</v>
      </c>
      <c r="CD303" s="0" t="n">
        <f aca="false">IF(Presupuesto!$B$62='Flujo de Pagos'!$E303,62,9999)</f>
        <v>62</v>
      </c>
      <c r="CE303" s="0" t="n">
        <f aca="false">IF(Presupuesto!$B$63='Flujo de Pagos'!$E303,63,9999)</f>
        <v>63</v>
      </c>
      <c r="CF303" s="0" t="n">
        <f aca="false">IF(Presupuesto!$B$64='Flujo de Pagos'!$E303,64,9999)</f>
        <v>64</v>
      </c>
      <c r="CG303" s="0" t="n">
        <f aca="false">IF(Presupuesto!$B$65='Flujo de Pagos'!$E303,65,9999)</f>
        <v>65</v>
      </c>
      <c r="CH303" s="0" t="n">
        <f aca="false">IF(Presupuesto!$B$66='Flujo de Pagos'!$E303,66,9999)</f>
        <v>66</v>
      </c>
    </row>
    <row r="304" customFormat="false" ht="15" hidden="false" customHeight="true" outlineLevel="0" collapsed="false">
      <c r="B304" s="1" t="n">
        <f aca="false">IF(AND('Flujo de Pagos'!E309=Carátula!$B$2,'Flujo de Pagos'!F309=Carátula!$B$4,'Flujo de Pagos'!H309&lt;&gt;""),309,99999)</f>
        <v>99999</v>
      </c>
      <c r="H304" s="1" t="n">
        <f aca="false">IF(SMALL($AA304:$CH304,1)&gt;=9999,"",INDEX(Presupuesto!$C:$C,SMALL($AA304:$CH304,1)))</f>
        <v>0</v>
      </c>
      <c r="I304" s="1" t="n">
        <f aca="false">IF(SMALL($AA304:$CH304,2)&gt;=9999,"",INDEX(Presupuesto!$C:$C,SMALL($AA304:$CH304,2)))</f>
        <v>0</v>
      </c>
      <c r="J304" s="1" t="n">
        <f aca="false">IF(SMALL($AA304:$CH304,3)&gt;=9999,"",INDEX(Presupuesto!$C:$C,SMALL($AA304:$CH304,3)))</f>
        <v>0</v>
      </c>
      <c r="K304" s="1" t="n">
        <f aca="false">IF(SMALL($AA304:$CH304,4)&gt;=9999,"",INDEX(Presupuesto!$C:$C,SMALL($AA304:$CH304,4)))</f>
        <v>0</v>
      </c>
      <c r="L304" s="1" t="n">
        <f aca="false">IF(SMALL($AA304:$CH304,5)&gt;=9999,"",INDEX(Presupuesto!$C:$C,SMALL($AA304:$CH304,5)))</f>
        <v>0</v>
      </c>
      <c r="M304" s="1" t="n">
        <f aca="false">IF(SMALL($AA304:$CH304,6)&gt;=9999,"",INDEX(Presupuesto!$C:$C,SMALL($AA304:$CH304,6)))</f>
        <v>0</v>
      </c>
      <c r="N304" s="1" t="n">
        <f aca="false">IF(SMALL($AA304:$CH304,7)&gt;=9999,"",INDEX(Presupuesto!$C:$C,SMALL($AA304:$CH304,7)))</f>
        <v>0</v>
      </c>
      <c r="O304" s="1" t="n">
        <f aca="false">IF(SMALL($AA304:$CH304,8)&gt;=9999,"",INDEX(Presupuesto!$C:$C,SMALL($AA304:$CH304,8)))</f>
        <v>0</v>
      </c>
      <c r="P304" s="1" t="n">
        <f aca="false">IF(SMALL($AA304:$CH304,9)&gt;=9999,"",INDEX(Presupuesto!$C:$C,SMALL($AA304:$CH304,9)))</f>
        <v>0</v>
      </c>
      <c r="Q304" s="1" t="n">
        <f aca="false">IF(SMALL($AA304:$CH304,10)&gt;=9999,"",INDEX(Presupuesto!$C:$C,SMALL($AA304:$CH304,10)))</f>
        <v>0</v>
      </c>
      <c r="AA304" s="0" t="n">
        <f aca="false">IF(Presupuesto!$B$7='Flujo de Pagos'!$E304,7,9999)</f>
        <v>9999</v>
      </c>
      <c r="AB304" s="0" t="n">
        <f aca="false">IF(Presupuesto!$B$8='Flujo de Pagos'!$E304,8,9999)</f>
        <v>9999</v>
      </c>
      <c r="AC304" s="0" t="n">
        <f aca="false">IF(Presupuesto!$B$9='Flujo de Pagos'!$E304,9,9999)</f>
        <v>9999</v>
      </c>
      <c r="AD304" s="0" t="n">
        <f aca="false">IF(Presupuesto!$B$10='Flujo de Pagos'!$E304,10,9999)</f>
        <v>9999</v>
      </c>
      <c r="AE304" s="0" t="n">
        <f aca="false">IF(Presupuesto!$B$11='Flujo de Pagos'!$E304,11,9999)</f>
        <v>9999</v>
      </c>
      <c r="AF304" s="0" t="n">
        <f aca="false">IF(Presupuesto!$B$12='Flujo de Pagos'!$E304,12,9999)</f>
        <v>12</v>
      </c>
      <c r="AG304" s="0" t="n">
        <f aca="false">IF(Presupuesto!$B$13='Flujo de Pagos'!$E304,13,9999)</f>
        <v>13</v>
      </c>
      <c r="AH304" s="0" t="n">
        <f aca="false">IF(Presupuesto!$B$14='Flujo de Pagos'!$E304,14,9999)</f>
        <v>14</v>
      </c>
      <c r="AI304" s="0" t="n">
        <f aca="false">IF(Presupuesto!$B$15='Flujo de Pagos'!$E304,15,9999)</f>
        <v>15</v>
      </c>
      <c r="AJ304" s="0" t="n">
        <f aca="false">IF(Presupuesto!$B$16='Flujo de Pagos'!$E304,16,9999)</f>
        <v>16</v>
      </c>
      <c r="AK304" s="0" t="n">
        <f aca="false">IF(Presupuesto!$B$17='Flujo de Pagos'!$E304,17,9999)</f>
        <v>17</v>
      </c>
      <c r="AL304" s="0" t="n">
        <f aca="false">IF(Presupuesto!$B$18='Flujo de Pagos'!$E304,18,9999)</f>
        <v>18</v>
      </c>
      <c r="AM304" s="0" t="n">
        <f aca="false">IF(Presupuesto!$B$19='Flujo de Pagos'!$E304,19,9999)</f>
        <v>19</v>
      </c>
      <c r="AN304" s="0" t="n">
        <f aca="false">IF(Presupuesto!$B$20='Flujo de Pagos'!$E304,20,9999)</f>
        <v>20</v>
      </c>
      <c r="AO304" s="0" t="n">
        <f aca="false">IF(Presupuesto!$B$21='Flujo de Pagos'!$E304,21,9999)</f>
        <v>21</v>
      </c>
      <c r="AP304" s="0" t="n">
        <f aca="false">IF(Presupuesto!$B$22='Flujo de Pagos'!$E304,22,9999)</f>
        <v>22</v>
      </c>
      <c r="AQ304" s="0" t="n">
        <f aca="false">IF(Presupuesto!$B$23='Flujo de Pagos'!$E304,23,9999)</f>
        <v>23</v>
      </c>
      <c r="AR304" s="0" t="n">
        <f aca="false">IF(Presupuesto!$B$24='Flujo de Pagos'!$E304,24,9999)</f>
        <v>24</v>
      </c>
      <c r="AS304" s="0" t="n">
        <f aca="false">IF(Presupuesto!$B$25='Flujo de Pagos'!$E304,25,9999)</f>
        <v>25</v>
      </c>
      <c r="AT304" s="0" t="n">
        <f aca="false">IF(Presupuesto!$B$26='Flujo de Pagos'!$E304,26,9999)</f>
        <v>26</v>
      </c>
      <c r="AU304" s="0" t="n">
        <f aca="false">IF(Presupuesto!$B$27='Flujo de Pagos'!$E304,27,9999)</f>
        <v>27</v>
      </c>
      <c r="AV304" s="0" t="n">
        <f aca="false">IF(Presupuesto!$B$28='Flujo de Pagos'!$E304,28,9999)</f>
        <v>28</v>
      </c>
      <c r="AW304" s="0" t="n">
        <f aca="false">IF(Presupuesto!$B$29='Flujo de Pagos'!$E304,29,9999)</f>
        <v>29</v>
      </c>
      <c r="AX304" s="0" t="n">
        <f aca="false">IF(Presupuesto!$B$30='Flujo de Pagos'!$E304,30,9999)</f>
        <v>30</v>
      </c>
      <c r="AY304" s="0" t="n">
        <f aca="false">IF(Presupuesto!$B$31='Flujo de Pagos'!$E304,31,9999)</f>
        <v>31</v>
      </c>
      <c r="AZ304" s="0" t="n">
        <f aca="false">IF(Presupuesto!$B$32='Flujo de Pagos'!$E304,32,9999)</f>
        <v>32</v>
      </c>
      <c r="BA304" s="0" t="n">
        <f aca="false">IF(Presupuesto!$B$33='Flujo de Pagos'!$E304,33,9999)</f>
        <v>33</v>
      </c>
      <c r="BB304" s="0" t="n">
        <f aca="false">IF(Presupuesto!$B$34='Flujo de Pagos'!$E304,34,9999)</f>
        <v>34</v>
      </c>
      <c r="BC304" s="0" t="n">
        <f aca="false">IF(Presupuesto!$B$35='Flujo de Pagos'!$E304,35,9999)</f>
        <v>35</v>
      </c>
      <c r="BD304" s="0" t="n">
        <f aca="false">IF(Presupuesto!$B$36='Flujo de Pagos'!$E304,36,9999)</f>
        <v>36</v>
      </c>
      <c r="BE304" s="0" t="n">
        <f aca="false">IF(Presupuesto!$B$37='Flujo de Pagos'!$E304,37,9999)</f>
        <v>37</v>
      </c>
      <c r="BF304" s="0" t="n">
        <f aca="false">IF(Presupuesto!$B$38='Flujo de Pagos'!$E304,38,9999)</f>
        <v>38</v>
      </c>
      <c r="BG304" s="0" t="n">
        <f aca="false">IF(Presupuesto!$B$39='Flujo de Pagos'!$E304,39,9999)</f>
        <v>39</v>
      </c>
      <c r="BH304" s="0" t="n">
        <f aca="false">IF(Presupuesto!$B$40='Flujo de Pagos'!$E304,40,9999)</f>
        <v>40</v>
      </c>
      <c r="BI304" s="0" t="n">
        <f aca="false">IF(Presupuesto!$B$41='Flujo de Pagos'!$E304,41,9999)</f>
        <v>41</v>
      </c>
      <c r="BJ304" s="0" t="n">
        <f aca="false">IF(Presupuesto!$B$42='Flujo de Pagos'!$E304,42,9999)</f>
        <v>42</v>
      </c>
      <c r="BK304" s="0" t="n">
        <f aca="false">IF(Presupuesto!$B$43='Flujo de Pagos'!$E304,43,9999)</f>
        <v>43</v>
      </c>
      <c r="BL304" s="0" t="n">
        <f aca="false">IF(Presupuesto!$B$44='Flujo de Pagos'!$E304,44,9999)</f>
        <v>44</v>
      </c>
      <c r="BM304" s="0" t="n">
        <f aca="false">IF(Presupuesto!$B$45='Flujo de Pagos'!$E304,45,9999)</f>
        <v>45</v>
      </c>
      <c r="BN304" s="0" t="n">
        <f aca="false">IF(Presupuesto!$B$46='Flujo de Pagos'!$E304,46,9999)</f>
        <v>46</v>
      </c>
      <c r="BO304" s="0" t="n">
        <f aca="false">IF(Presupuesto!$B$47='Flujo de Pagos'!$E304,47,9999)</f>
        <v>47</v>
      </c>
      <c r="BP304" s="0" t="n">
        <f aca="false">IF(Presupuesto!$B$48='Flujo de Pagos'!$E304,48,9999)</f>
        <v>48</v>
      </c>
      <c r="BQ304" s="0" t="n">
        <f aca="false">IF(Presupuesto!$B$49='Flujo de Pagos'!$E304,49,9999)</f>
        <v>49</v>
      </c>
      <c r="BR304" s="0" t="n">
        <f aca="false">IF(Presupuesto!$B$50='Flujo de Pagos'!$E304,50,9999)</f>
        <v>50</v>
      </c>
      <c r="BS304" s="0" t="n">
        <f aca="false">IF(Presupuesto!$B$51='Flujo de Pagos'!$E304,51,9999)</f>
        <v>51</v>
      </c>
      <c r="BT304" s="0" t="n">
        <f aca="false">IF(Presupuesto!$B$52='Flujo de Pagos'!$E304,52,9999)</f>
        <v>52</v>
      </c>
      <c r="BU304" s="0" t="n">
        <f aca="false">IF(Presupuesto!$B$53='Flujo de Pagos'!$E304,53,9999)</f>
        <v>53</v>
      </c>
      <c r="BV304" s="0" t="n">
        <f aca="false">IF(Presupuesto!$B$54='Flujo de Pagos'!$E304,54,9999)</f>
        <v>54</v>
      </c>
      <c r="BW304" s="0" t="n">
        <f aca="false">IF(Presupuesto!$B$55='Flujo de Pagos'!$E304,55,9999)</f>
        <v>55</v>
      </c>
      <c r="BX304" s="0" t="n">
        <f aca="false">IF(Presupuesto!$B$56='Flujo de Pagos'!$E304,56,9999)</f>
        <v>56</v>
      </c>
      <c r="BY304" s="0" t="n">
        <f aca="false">IF(Presupuesto!$B$57='Flujo de Pagos'!$E304,57,9999)</f>
        <v>57</v>
      </c>
      <c r="BZ304" s="0" t="n">
        <f aca="false">IF(Presupuesto!$B$58='Flujo de Pagos'!$E304,58,9999)</f>
        <v>58</v>
      </c>
      <c r="CA304" s="0" t="n">
        <f aca="false">IF(Presupuesto!$B$59='Flujo de Pagos'!$E304,59,9999)</f>
        <v>59</v>
      </c>
      <c r="CB304" s="0" t="n">
        <f aca="false">IF(Presupuesto!$B$60='Flujo de Pagos'!$E304,60,9999)</f>
        <v>60</v>
      </c>
      <c r="CC304" s="0" t="n">
        <f aca="false">IF(Presupuesto!$B$61='Flujo de Pagos'!$E304,61,9999)</f>
        <v>61</v>
      </c>
      <c r="CD304" s="0" t="n">
        <f aca="false">IF(Presupuesto!$B$62='Flujo de Pagos'!$E304,62,9999)</f>
        <v>62</v>
      </c>
      <c r="CE304" s="0" t="n">
        <f aca="false">IF(Presupuesto!$B$63='Flujo de Pagos'!$E304,63,9999)</f>
        <v>63</v>
      </c>
      <c r="CF304" s="0" t="n">
        <f aca="false">IF(Presupuesto!$B$64='Flujo de Pagos'!$E304,64,9999)</f>
        <v>64</v>
      </c>
      <c r="CG304" s="0" t="n">
        <f aca="false">IF(Presupuesto!$B$65='Flujo de Pagos'!$E304,65,9999)</f>
        <v>65</v>
      </c>
      <c r="CH304" s="0" t="n">
        <f aca="false">IF(Presupuesto!$B$66='Flujo de Pagos'!$E304,66,9999)</f>
        <v>66</v>
      </c>
    </row>
    <row r="305" customFormat="false" ht="15" hidden="false" customHeight="true" outlineLevel="0" collapsed="false">
      <c r="B305" s="1" t="n">
        <f aca="false">IF(AND('Flujo de Pagos'!E310=Carátula!$B$2,'Flujo de Pagos'!F310=Carátula!$B$4,'Flujo de Pagos'!H310&lt;&gt;""),310,99999)</f>
        <v>99999</v>
      </c>
      <c r="H305" s="1" t="n">
        <f aca="false">IF(SMALL($AA305:$CH305,1)&gt;=9999,"",INDEX(Presupuesto!$C:$C,SMALL($AA305:$CH305,1)))</f>
        <v>0</v>
      </c>
      <c r="I305" s="1" t="n">
        <f aca="false">IF(SMALL($AA305:$CH305,2)&gt;=9999,"",INDEX(Presupuesto!$C:$C,SMALL($AA305:$CH305,2)))</f>
        <v>0</v>
      </c>
      <c r="J305" s="1" t="n">
        <f aca="false">IF(SMALL($AA305:$CH305,3)&gt;=9999,"",INDEX(Presupuesto!$C:$C,SMALL($AA305:$CH305,3)))</f>
        <v>0</v>
      </c>
      <c r="K305" s="1" t="n">
        <f aca="false">IF(SMALL($AA305:$CH305,4)&gt;=9999,"",INDEX(Presupuesto!$C:$C,SMALL($AA305:$CH305,4)))</f>
        <v>0</v>
      </c>
      <c r="L305" s="1" t="n">
        <f aca="false">IF(SMALL($AA305:$CH305,5)&gt;=9999,"",INDEX(Presupuesto!$C:$C,SMALL($AA305:$CH305,5)))</f>
        <v>0</v>
      </c>
      <c r="M305" s="1" t="n">
        <f aca="false">IF(SMALL($AA305:$CH305,6)&gt;=9999,"",INDEX(Presupuesto!$C:$C,SMALL($AA305:$CH305,6)))</f>
        <v>0</v>
      </c>
      <c r="N305" s="1" t="n">
        <f aca="false">IF(SMALL($AA305:$CH305,7)&gt;=9999,"",INDEX(Presupuesto!$C:$C,SMALL($AA305:$CH305,7)))</f>
        <v>0</v>
      </c>
      <c r="O305" s="1" t="n">
        <f aca="false">IF(SMALL($AA305:$CH305,8)&gt;=9999,"",INDEX(Presupuesto!$C:$C,SMALL($AA305:$CH305,8)))</f>
        <v>0</v>
      </c>
      <c r="P305" s="1" t="n">
        <f aca="false">IF(SMALL($AA305:$CH305,9)&gt;=9999,"",INDEX(Presupuesto!$C:$C,SMALL($AA305:$CH305,9)))</f>
        <v>0</v>
      </c>
      <c r="Q305" s="1" t="n">
        <f aca="false">IF(SMALL($AA305:$CH305,10)&gt;=9999,"",INDEX(Presupuesto!$C:$C,SMALL($AA305:$CH305,10)))</f>
        <v>0</v>
      </c>
      <c r="AA305" s="0" t="n">
        <f aca="false">IF(Presupuesto!$B$7='Flujo de Pagos'!$E305,7,9999)</f>
        <v>9999</v>
      </c>
      <c r="AB305" s="0" t="n">
        <f aca="false">IF(Presupuesto!$B$8='Flujo de Pagos'!$E305,8,9999)</f>
        <v>9999</v>
      </c>
      <c r="AC305" s="0" t="n">
        <f aca="false">IF(Presupuesto!$B$9='Flujo de Pagos'!$E305,9,9999)</f>
        <v>9999</v>
      </c>
      <c r="AD305" s="0" t="n">
        <f aca="false">IF(Presupuesto!$B$10='Flujo de Pagos'!$E305,10,9999)</f>
        <v>9999</v>
      </c>
      <c r="AE305" s="0" t="n">
        <f aca="false">IF(Presupuesto!$B$11='Flujo de Pagos'!$E305,11,9999)</f>
        <v>9999</v>
      </c>
      <c r="AF305" s="0" t="n">
        <f aca="false">IF(Presupuesto!$B$12='Flujo de Pagos'!$E305,12,9999)</f>
        <v>12</v>
      </c>
      <c r="AG305" s="0" t="n">
        <f aca="false">IF(Presupuesto!$B$13='Flujo de Pagos'!$E305,13,9999)</f>
        <v>13</v>
      </c>
      <c r="AH305" s="0" t="n">
        <f aca="false">IF(Presupuesto!$B$14='Flujo de Pagos'!$E305,14,9999)</f>
        <v>14</v>
      </c>
      <c r="AI305" s="0" t="n">
        <f aca="false">IF(Presupuesto!$B$15='Flujo de Pagos'!$E305,15,9999)</f>
        <v>15</v>
      </c>
      <c r="AJ305" s="0" t="n">
        <f aca="false">IF(Presupuesto!$B$16='Flujo de Pagos'!$E305,16,9999)</f>
        <v>16</v>
      </c>
      <c r="AK305" s="0" t="n">
        <f aca="false">IF(Presupuesto!$B$17='Flujo de Pagos'!$E305,17,9999)</f>
        <v>17</v>
      </c>
      <c r="AL305" s="0" t="n">
        <f aca="false">IF(Presupuesto!$B$18='Flujo de Pagos'!$E305,18,9999)</f>
        <v>18</v>
      </c>
      <c r="AM305" s="0" t="n">
        <f aca="false">IF(Presupuesto!$B$19='Flujo de Pagos'!$E305,19,9999)</f>
        <v>19</v>
      </c>
      <c r="AN305" s="0" t="n">
        <f aca="false">IF(Presupuesto!$B$20='Flujo de Pagos'!$E305,20,9999)</f>
        <v>20</v>
      </c>
      <c r="AO305" s="0" t="n">
        <f aca="false">IF(Presupuesto!$B$21='Flujo de Pagos'!$E305,21,9999)</f>
        <v>21</v>
      </c>
      <c r="AP305" s="0" t="n">
        <f aca="false">IF(Presupuesto!$B$22='Flujo de Pagos'!$E305,22,9999)</f>
        <v>22</v>
      </c>
      <c r="AQ305" s="0" t="n">
        <f aca="false">IF(Presupuesto!$B$23='Flujo de Pagos'!$E305,23,9999)</f>
        <v>23</v>
      </c>
      <c r="AR305" s="0" t="n">
        <f aca="false">IF(Presupuesto!$B$24='Flujo de Pagos'!$E305,24,9999)</f>
        <v>24</v>
      </c>
      <c r="AS305" s="0" t="n">
        <f aca="false">IF(Presupuesto!$B$25='Flujo de Pagos'!$E305,25,9999)</f>
        <v>25</v>
      </c>
      <c r="AT305" s="0" t="n">
        <f aca="false">IF(Presupuesto!$B$26='Flujo de Pagos'!$E305,26,9999)</f>
        <v>26</v>
      </c>
      <c r="AU305" s="0" t="n">
        <f aca="false">IF(Presupuesto!$B$27='Flujo de Pagos'!$E305,27,9999)</f>
        <v>27</v>
      </c>
      <c r="AV305" s="0" t="n">
        <f aca="false">IF(Presupuesto!$B$28='Flujo de Pagos'!$E305,28,9999)</f>
        <v>28</v>
      </c>
      <c r="AW305" s="0" t="n">
        <f aca="false">IF(Presupuesto!$B$29='Flujo de Pagos'!$E305,29,9999)</f>
        <v>29</v>
      </c>
      <c r="AX305" s="0" t="n">
        <f aca="false">IF(Presupuesto!$B$30='Flujo de Pagos'!$E305,30,9999)</f>
        <v>30</v>
      </c>
      <c r="AY305" s="0" t="n">
        <f aca="false">IF(Presupuesto!$B$31='Flujo de Pagos'!$E305,31,9999)</f>
        <v>31</v>
      </c>
      <c r="AZ305" s="0" t="n">
        <f aca="false">IF(Presupuesto!$B$32='Flujo de Pagos'!$E305,32,9999)</f>
        <v>32</v>
      </c>
      <c r="BA305" s="0" t="n">
        <f aca="false">IF(Presupuesto!$B$33='Flujo de Pagos'!$E305,33,9999)</f>
        <v>33</v>
      </c>
      <c r="BB305" s="0" t="n">
        <f aca="false">IF(Presupuesto!$B$34='Flujo de Pagos'!$E305,34,9999)</f>
        <v>34</v>
      </c>
      <c r="BC305" s="0" t="n">
        <f aca="false">IF(Presupuesto!$B$35='Flujo de Pagos'!$E305,35,9999)</f>
        <v>35</v>
      </c>
      <c r="BD305" s="0" t="n">
        <f aca="false">IF(Presupuesto!$B$36='Flujo de Pagos'!$E305,36,9999)</f>
        <v>36</v>
      </c>
      <c r="BE305" s="0" t="n">
        <f aca="false">IF(Presupuesto!$B$37='Flujo de Pagos'!$E305,37,9999)</f>
        <v>37</v>
      </c>
      <c r="BF305" s="0" t="n">
        <f aca="false">IF(Presupuesto!$B$38='Flujo de Pagos'!$E305,38,9999)</f>
        <v>38</v>
      </c>
      <c r="BG305" s="0" t="n">
        <f aca="false">IF(Presupuesto!$B$39='Flujo de Pagos'!$E305,39,9999)</f>
        <v>39</v>
      </c>
      <c r="BH305" s="0" t="n">
        <f aca="false">IF(Presupuesto!$B$40='Flujo de Pagos'!$E305,40,9999)</f>
        <v>40</v>
      </c>
      <c r="BI305" s="0" t="n">
        <f aca="false">IF(Presupuesto!$B$41='Flujo de Pagos'!$E305,41,9999)</f>
        <v>41</v>
      </c>
      <c r="BJ305" s="0" t="n">
        <f aca="false">IF(Presupuesto!$B$42='Flujo de Pagos'!$E305,42,9999)</f>
        <v>42</v>
      </c>
      <c r="BK305" s="0" t="n">
        <f aca="false">IF(Presupuesto!$B$43='Flujo de Pagos'!$E305,43,9999)</f>
        <v>43</v>
      </c>
      <c r="BL305" s="0" t="n">
        <f aca="false">IF(Presupuesto!$B$44='Flujo de Pagos'!$E305,44,9999)</f>
        <v>44</v>
      </c>
      <c r="BM305" s="0" t="n">
        <f aca="false">IF(Presupuesto!$B$45='Flujo de Pagos'!$E305,45,9999)</f>
        <v>45</v>
      </c>
      <c r="BN305" s="0" t="n">
        <f aca="false">IF(Presupuesto!$B$46='Flujo de Pagos'!$E305,46,9999)</f>
        <v>46</v>
      </c>
      <c r="BO305" s="0" t="n">
        <f aca="false">IF(Presupuesto!$B$47='Flujo de Pagos'!$E305,47,9999)</f>
        <v>47</v>
      </c>
      <c r="BP305" s="0" t="n">
        <f aca="false">IF(Presupuesto!$B$48='Flujo de Pagos'!$E305,48,9999)</f>
        <v>48</v>
      </c>
      <c r="BQ305" s="0" t="n">
        <f aca="false">IF(Presupuesto!$B$49='Flujo de Pagos'!$E305,49,9999)</f>
        <v>49</v>
      </c>
      <c r="BR305" s="0" t="n">
        <f aca="false">IF(Presupuesto!$B$50='Flujo de Pagos'!$E305,50,9999)</f>
        <v>50</v>
      </c>
      <c r="BS305" s="0" t="n">
        <f aca="false">IF(Presupuesto!$B$51='Flujo de Pagos'!$E305,51,9999)</f>
        <v>51</v>
      </c>
      <c r="BT305" s="0" t="n">
        <f aca="false">IF(Presupuesto!$B$52='Flujo de Pagos'!$E305,52,9999)</f>
        <v>52</v>
      </c>
      <c r="BU305" s="0" t="n">
        <f aca="false">IF(Presupuesto!$B$53='Flujo de Pagos'!$E305,53,9999)</f>
        <v>53</v>
      </c>
      <c r="BV305" s="0" t="n">
        <f aca="false">IF(Presupuesto!$B$54='Flujo de Pagos'!$E305,54,9999)</f>
        <v>54</v>
      </c>
      <c r="BW305" s="0" t="n">
        <f aca="false">IF(Presupuesto!$B$55='Flujo de Pagos'!$E305,55,9999)</f>
        <v>55</v>
      </c>
      <c r="BX305" s="0" t="n">
        <f aca="false">IF(Presupuesto!$B$56='Flujo de Pagos'!$E305,56,9999)</f>
        <v>56</v>
      </c>
      <c r="BY305" s="0" t="n">
        <f aca="false">IF(Presupuesto!$B$57='Flujo de Pagos'!$E305,57,9999)</f>
        <v>57</v>
      </c>
      <c r="BZ305" s="0" t="n">
        <f aca="false">IF(Presupuesto!$B$58='Flujo de Pagos'!$E305,58,9999)</f>
        <v>58</v>
      </c>
      <c r="CA305" s="0" t="n">
        <f aca="false">IF(Presupuesto!$B$59='Flujo de Pagos'!$E305,59,9999)</f>
        <v>59</v>
      </c>
      <c r="CB305" s="0" t="n">
        <f aca="false">IF(Presupuesto!$B$60='Flujo de Pagos'!$E305,60,9999)</f>
        <v>60</v>
      </c>
      <c r="CC305" s="0" t="n">
        <f aca="false">IF(Presupuesto!$B$61='Flujo de Pagos'!$E305,61,9999)</f>
        <v>61</v>
      </c>
      <c r="CD305" s="0" t="n">
        <f aca="false">IF(Presupuesto!$B$62='Flujo de Pagos'!$E305,62,9999)</f>
        <v>62</v>
      </c>
      <c r="CE305" s="0" t="n">
        <f aca="false">IF(Presupuesto!$B$63='Flujo de Pagos'!$E305,63,9999)</f>
        <v>63</v>
      </c>
      <c r="CF305" s="0" t="n">
        <f aca="false">IF(Presupuesto!$B$64='Flujo de Pagos'!$E305,64,9999)</f>
        <v>64</v>
      </c>
      <c r="CG305" s="0" t="n">
        <f aca="false">IF(Presupuesto!$B$65='Flujo de Pagos'!$E305,65,9999)</f>
        <v>65</v>
      </c>
      <c r="CH305" s="0" t="n">
        <f aca="false">IF(Presupuesto!$B$66='Flujo de Pagos'!$E305,66,9999)</f>
        <v>66</v>
      </c>
    </row>
    <row r="306" customFormat="false" ht="15" hidden="false" customHeight="true" outlineLevel="0" collapsed="false">
      <c r="B306" s="1" t="n">
        <f aca="false">IF(AND('Flujo de Pagos'!E311=Carátula!$B$2,'Flujo de Pagos'!F311=Carátula!$B$4,'Flujo de Pagos'!H311&lt;&gt;""),311,99999)</f>
        <v>99999</v>
      </c>
      <c r="H306" s="1" t="n">
        <f aca="false">IF(SMALL($AA306:$CH306,1)&gt;=9999,"",INDEX(Presupuesto!$C:$C,SMALL($AA306:$CH306,1)))</f>
        <v>0</v>
      </c>
      <c r="I306" s="1" t="n">
        <f aca="false">IF(SMALL($AA306:$CH306,2)&gt;=9999,"",INDEX(Presupuesto!$C:$C,SMALL($AA306:$CH306,2)))</f>
        <v>0</v>
      </c>
      <c r="J306" s="1" t="n">
        <f aca="false">IF(SMALL($AA306:$CH306,3)&gt;=9999,"",INDEX(Presupuesto!$C:$C,SMALL($AA306:$CH306,3)))</f>
        <v>0</v>
      </c>
      <c r="K306" s="1" t="n">
        <f aca="false">IF(SMALL($AA306:$CH306,4)&gt;=9999,"",INDEX(Presupuesto!$C:$C,SMALL($AA306:$CH306,4)))</f>
        <v>0</v>
      </c>
      <c r="L306" s="1" t="n">
        <f aca="false">IF(SMALL($AA306:$CH306,5)&gt;=9999,"",INDEX(Presupuesto!$C:$C,SMALL($AA306:$CH306,5)))</f>
        <v>0</v>
      </c>
      <c r="M306" s="1" t="n">
        <f aca="false">IF(SMALL($AA306:$CH306,6)&gt;=9999,"",INDEX(Presupuesto!$C:$C,SMALL($AA306:$CH306,6)))</f>
        <v>0</v>
      </c>
      <c r="N306" s="1" t="n">
        <f aca="false">IF(SMALL($AA306:$CH306,7)&gt;=9999,"",INDEX(Presupuesto!$C:$C,SMALL($AA306:$CH306,7)))</f>
        <v>0</v>
      </c>
      <c r="O306" s="1" t="n">
        <f aca="false">IF(SMALL($AA306:$CH306,8)&gt;=9999,"",INDEX(Presupuesto!$C:$C,SMALL($AA306:$CH306,8)))</f>
        <v>0</v>
      </c>
      <c r="P306" s="1" t="n">
        <f aca="false">IF(SMALL($AA306:$CH306,9)&gt;=9999,"",INDEX(Presupuesto!$C:$C,SMALL($AA306:$CH306,9)))</f>
        <v>0</v>
      </c>
      <c r="Q306" s="1" t="n">
        <f aca="false">IF(SMALL($AA306:$CH306,10)&gt;=9999,"",INDEX(Presupuesto!$C:$C,SMALL($AA306:$CH306,10)))</f>
        <v>0</v>
      </c>
      <c r="AA306" s="0" t="n">
        <f aca="false">IF(Presupuesto!$B$7='Flujo de Pagos'!$E306,7,9999)</f>
        <v>9999</v>
      </c>
      <c r="AB306" s="0" t="n">
        <f aca="false">IF(Presupuesto!$B$8='Flujo de Pagos'!$E306,8,9999)</f>
        <v>9999</v>
      </c>
      <c r="AC306" s="0" t="n">
        <f aca="false">IF(Presupuesto!$B$9='Flujo de Pagos'!$E306,9,9999)</f>
        <v>9999</v>
      </c>
      <c r="AD306" s="0" t="n">
        <f aca="false">IF(Presupuesto!$B$10='Flujo de Pagos'!$E306,10,9999)</f>
        <v>9999</v>
      </c>
      <c r="AE306" s="0" t="n">
        <f aca="false">IF(Presupuesto!$B$11='Flujo de Pagos'!$E306,11,9999)</f>
        <v>9999</v>
      </c>
      <c r="AF306" s="0" t="n">
        <f aca="false">IF(Presupuesto!$B$12='Flujo de Pagos'!$E306,12,9999)</f>
        <v>12</v>
      </c>
      <c r="AG306" s="0" t="n">
        <f aca="false">IF(Presupuesto!$B$13='Flujo de Pagos'!$E306,13,9999)</f>
        <v>13</v>
      </c>
      <c r="AH306" s="0" t="n">
        <f aca="false">IF(Presupuesto!$B$14='Flujo de Pagos'!$E306,14,9999)</f>
        <v>14</v>
      </c>
      <c r="AI306" s="0" t="n">
        <f aca="false">IF(Presupuesto!$B$15='Flujo de Pagos'!$E306,15,9999)</f>
        <v>15</v>
      </c>
      <c r="AJ306" s="0" t="n">
        <f aca="false">IF(Presupuesto!$B$16='Flujo de Pagos'!$E306,16,9999)</f>
        <v>16</v>
      </c>
      <c r="AK306" s="0" t="n">
        <f aca="false">IF(Presupuesto!$B$17='Flujo de Pagos'!$E306,17,9999)</f>
        <v>17</v>
      </c>
      <c r="AL306" s="0" t="n">
        <f aca="false">IF(Presupuesto!$B$18='Flujo de Pagos'!$E306,18,9999)</f>
        <v>18</v>
      </c>
      <c r="AM306" s="0" t="n">
        <f aca="false">IF(Presupuesto!$B$19='Flujo de Pagos'!$E306,19,9999)</f>
        <v>19</v>
      </c>
      <c r="AN306" s="0" t="n">
        <f aca="false">IF(Presupuesto!$B$20='Flujo de Pagos'!$E306,20,9999)</f>
        <v>20</v>
      </c>
      <c r="AO306" s="0" t="n">
        <f aca="false">IF(Presupuesto!$B$21='Flujo de Pagos'!$E306,21,9999)</f>
        <v>21</v>
      </c>
      <c r="AP306" s="0" t="n">
        <f aca="false">IF(Presupuesto!$B$22='Flujo de Pagos'!$E306,22,9999)</f>
        <v>22</v>
      </c>
      <c r="AQ306" s="0" t="n">
        <f aca="false">IF(Presupuesto!$B$23='Flujo de Pagos'!$E306,23,9999)</f>
        <v>23</v>
      </c>
      <c r="AR306" s="0" t="n">
        <f aca="false">IF(Presupuesto!$B$24='Flujo de Pagos'!$E306,24,9999)</f>
        <v>24</v>
      </c>
      <c r="AS306" s="0" t="n">
        <f aca="false">IF(Presupuesto!$B$25='Flujo de Pagos'!$E306,25,9999)</f>
        <v>25</v>
      </c>
      <c r="AT306" s="0" t="n">
        <f aca="false">IF(Presupuesto!$B$26='Flujo de Pagos'!$E306,26,9999)</f>
        <v>26</v>
      </c>
      <c r="AU306" s="0" t="n">
        <f aca="false">IF(Presupuesto!$B$27='Flujo de Pagos'!$E306,27,9999)</f>
        <v>27</v>
      </c>
      <c r="AV306" s="0" t="n">
        <f aca="false">IF(Presupuesto!$B$28='Flujo de Pagos'!$E306,28,9999)</f>
        <v>28</v>
      </c>
      <c r="AW306" s="0" t="n">
        <f aca="false">IF(Presupuesto!$B$29='Flujo de Pagos'!$E306,29,9999)</f>
        <v>29</v>
      </c>
      <c r="AX306" s="0" t="n">
        <f aca="false">IF(Presupuesto!$B$30='Flujo de Pagos'!$E306,30,9999)</f>
        <v>30</v>
      </c>
      <c r="AY306" s="0" t="n">
        <f aca="false">IF(Presupuesto!$B$31='Flujo de Pagos'!$E306,31,9999)</f>
        <v>31</v>
      </c>
      <c r="AZ306" s="0" t="n">
        <f aca="false">IF(Presupuesto!$B$32='Flujo de Pagos'!$E306,32,9999)</f>
        <v>32</v>
      </c>
      <c r="BA306" s="0" t="n">
        <f aca="false">IF(Presupuesto!$B$33='Flujo de Pagos'!$E306,33,9999)</f>
        <v>33</v>
      </c>
      <c r="BB306" s="0" t="n">
        <f aca="false">IF(Presupuesto!$B$34='Flujo de Pagos'!$E306,34,9999)</f>
        <v>34</v>
      </c>
      <c r="BC306" s="0" t="n">
        <f aca="false">IF(Presupuesto!$B$35='Flujo de Pagos'!$E306,35,9999)</f>
        <v>35</v>
      </c>
      <c r="BD306" s="0" t="n">
        <f aca="false">IF(Presupuesto!$B$36='Flujo de Pagos'!$E306,36,9999)</f>
        <v>36</v>
      </c>
      <c r="BE306" s="0" t="n">
        <f aca="false">IF(Presupuesto!$B$37='Flujo de Pagos'!$E306,37,9999)</f>
        <v>37</v>
      </c>
      <c r="BF306" s="0" t="n">
        <f aca="false">IF(Presupuesto!$B$38='Flujo de Pagos'!$E306,38,9999)</f>
        <v>38</v>
      </c>
      <c r="BG306" s="0" t="n">
        <f aca="false">IF(Presupuesto!$B$39='Flujo de Pagos'!$E306,39,9999)</f>
        <v>39</v>
      </c>
      <c r="BH306" s="0" t="n">
        <f aca="false">IF(Presupuesto!$B$40='Flujo de Pagos'!$E306,40,9999)</f>
        <v>40</v>
      </c>
      <c r="BI306" s="0" t="n">
        <f aca="false">IF(Presupuesto!$B$41='Flujo de Pagos'!$E306,41,9999)</f>
        <v>41</v>
      </c>
      <c r="BJ306" s="0" t="n">
        <f aca="false">IF(Presupuesto!$B$42='Flujo de Pagos'!$E306,42,9999)</f>
        <v>42</v>
      </c>
      <c r="BK306" s="0" t="n">
        <f aca="false">IF(Presupuesto!$B$43='Flujo de Pagos'!$E306,43,9999)</f>
        <v>43</v>
      </c>
      <c r="BL306" s="0" t="n">
        <f aca="false">IF(Presupuesto!$B$44='Flujo de Pagos'!$E306,44,9999)</f>
        <v>44</v>
      </c>
      <c r="BM306" s="0" t="n">
        <f aca="false">IF(Presupuesto!$B$45='Flujo de Pagos'!$E306,45,9999)</f>
        <v>45</v>
      </c>
      <c r="BN306" s="0" t="n">
        <f aca="false">IF(Presupuesto!$B$46='Flujo de Pagos'!$E306,46,9999)</f>
        <v>46</v>
      </c>
      <c r="BO306" s="0" t="n">
        <f aca="false">IF(Presupuesto!$B$47='Flujo de Pagos'!$E306,47,9999)</f>
        <v>47</v>
      </c>
      <c r="BP306" s="0" t="n">
        <f aca="false">IF(Presupuesto!$B$48='Flujo de Pagos'!$E306,48,9999)</f>
        <v>48</v>
      </c>
      <c r="BQ306" s="0" t="n">
        <f aca="false">IF(Presupuesto!$B$49='Flujo de Pagos'!$E306,49,9999)</f>
        <v>49</v>
      </c>
      <c r="BR306" s="0" t="n">
        <f aca="false">IF(Presupuesto!$B$50='Flujo de Pagos'!$E306,50,9999)</f>
        <v>50</v>
      </c>
      <c r="BS306" s="0" t="n">
        <f aca="false">IF(Presupuesto!$B$51='Flujo de Pagos'!$E306,51,9999)</f>
        <v>51</v>
      </c>
      <c r="BT306" s="0" t="n">
        <f aca="false">IF(Presupuesto!$B$52='Flujo de Pagos'!$E306,52,9999)</f>
        <v>52</v>
      </c>
      <c r="BU306" s="0" t="n">
        <f aca="false">IF(Presupuesto!$B$53='Flujo de Pagos'!$E306,53,9999)</f>
        <v>53</v>
      </c>
      <c r="BV306" s="0" t="n">
        <f aca="false">IF(Presupuesto!$B$54='Flujo de Pagos'!$E306,54,9999)</f>
        <v>54</v>
      </c>
      <c r="BW306" s="0" t="n">
        <f aca="false">IF(Presupuesto!$B$55='Flujo de Pagos'!$E306,55,9999)</f>
        <v>55</v>
      </c>
      <c r="BX306" s="0" t="n">
        <f aca="false">IF(Presupuesto!$B$56='Flujo de Pagos'!$E306,56,9999)</f>
        <v>56</v>
      </c>
      <c r="BY306" s="0" t="n">
        <f aca="false">IF(Presupuesto!$B$57='Flujo de Pagos'!$E306,57,9999)</f>
        <v>57</v>
      </c>
      <c r="BZ306" s="0" t="n">
        <f aca="false">IF(Presupuesto!$B$58='Flujo de Pagos'!$E306,58,9999)</f>
        <v>58</v>
      </c>
      <c r="CA306" s="0" t="n">
        <f aca="false">IF(Presupuesto!$B$59='Flujo de Pagos'!$E306,59,9999)</f>
        <v>59</v>
      </c>
      <c r="CB306" s="0" t="n">
        <f aca="false">IF(Presupuesto!$B$60='Flujo de Pagos'!$E306,60,9999)</f>
        <v>60</v>
      </c>
      <c r="CC306" s="0" t="n">
        <f aca="false">IF(Presupuesto!$B$61='Flujo de Pagos'!$E306,61,9999)</f>
        <v>61</v>
      </c>
      <c r="CD306" s="0" t="n">
        <f aca="false">IF(Presupuesto!$B$62='Flujo de Pagos'!$E306,62,9999)</f>
        <v>62</v>
      </c>
      <c r="CE306" s="0" t="n">
        <f aca="false">IF(Presupuesto!$B$63='Flujo de Pagos'!$E306,63,9999)</f>
        <v>63</v>
      </c>
      <c r="CF306" s="0" t="n">
        <f aca="false">IF(Presupuesto!$B$64='Flujo de Pagos'!$E306,64,9999)</f>
        <v>64</v>
      </c>
      <c r="CG306" s="0" t="n">
        <f aca="false">IF(Presupuesto!$B$65='Flujo de Pagos'!$E306,65,9999)</f>
        <v>65</v>
      </c>
      <c r="CH306" s="0" t="n">
        <f aca="false">IF(Presupuesto!$B$66='Flujo de Pagos'!$E306,66,9999)</f>
        <v>66</v>
      </c>
    </row>
    <row r="307" customFormat="false" ht="15" hidden="false" customHeight="true" outlineLevel="0" collapsed="false">
      <c r="B307" s="1" t="n">
        <f aca="false">IF(AND('Flujo de Pagos'!E312=Carátula!$B$2,'Flujo de Pagos'!F312=Carátula!$B$4,'Flujo de Pagos'!H312&lt;&gt;""),312,99999)</f>
        <v>99999</v>
      </c>
      <c r="H307" s="1" t="n">
        <f aca="false">IF(SMALL($AA307:$CH307,1)&gt;=9999,"",INDEX(Presupuesto!$C:$C,SMALL($AA307:$CH307,1)))</f>
        <v>0</v>
      </c>
      <c r="I307" s="1" t="n">
        <f aca="false">IF(SMALL($AA307:$CH307,2)&gt;=9999,"",INDEX(Presupuesto!$C:$C,SMALL($AA307:$CH307,2)))</f>
        <v>0</v>
      </c>
      <c r="J307" s="1" t="n">
        <f aca="false">IF(SMALL($AA307:$CH307,3)&gt;=9999,"",INDEX(Presupuesto!$C:$C,SMALL($AA307:$CH307,3)))</f>
        <v>0</v>
      </c>
      <c r="K307" s="1" t="n">
        <f aca="false">IF(SMALL($AA307:$CH307,4)&gt;=9999,"",INDEX(Presupuesto!$C:$C,SMALL($AA307:$CH307,4)))</f>
        <v>0</v>
      </c>
      <c r="L307" s="1" t="n">
        <f aca="false">IF(SMALL($AA307:$CH307,5)&gt;=9999,"",INDEX(Presupuesto!$C:$C,SMALL($AA307:$CH307,5)))</f>
        <v>0</v>
      </c>
      <c r="M307" s="1" t="n">
        <f aca="false">IF(SMALL($AA307:$CH307,6)&gt;=9999,"",INDEX(Presupuesto!$C:$C,SMALL($AA307:$CH307,6)))</f>
        <v>0</v>
      </c>
      <c r="N307" s="1" t="n">
        <f aca="false">IF(SMALL($AA307:$CH307,7)&gt;=9999,"",INDEX(Presupuesto!$C:$C,SMALL($AA307:$CH307,7)))</f>
        <v>0</v>
      </c>
      <c r="O307" s="1" t="n">
        <f aca="false">IF(SMALL($AA307:$CH307,8)&gt;=9999,"",INDEX(Presupuesto!$C:$C,SMALL($AA307:$CH307,8)))</f>
        <v>0</v>
      </c>
      <c r="P307" s="1" t="n">
        <f aca="false">IF(SMALL($AA307:$CH307,9)&gt;=9999,"",INDEX(Presupuesto!$C:$C,SMALL($AA307:$CH307,9)))</f>
        <v>0</v>
      </c>
      <c r="Q307" s="1" t="n">
        <f aca="false">IF(SMALL($AA307:$CH307,10)&gt;=9999,"",INDEX(Presupuesto!$C:$C,SMALL($AA307:$CH307,10)))</f>
        <v>0</v>
      </c>
      <c r="AA307" s="0" t="n">
        <f aca="false">IF(Presupuesto!$B$7='Flujo de Pagos'!$E307,7,9999)</f>
        <v>9999</v>
      </c>
      <c r="AB307" s="0" t="n">
        <f aca="false">IF(Presupuesto!$B$8='Flujo de Pagos'!$E307,8,9999)</f>
        <v>9999</v>
      </c>
      <c r="AC307" s="0" t="n">
        <f aca="false">IF(Presupuesto!$B$9='Flujo de Pagos'!$E307,9,9999)</f>
        <v>9999</v>
      </c>
      <c r="AD307" s="0" t="n">
        <f aca="false">IF(Presupuesto!$B$10='Flujo de Pagos'!$E307,10,9999)</f>
        <v>9999</v>
      </c>
      <c r="AE307" s="0" t="n">
        <f aca="false">IF(Presupuesto!$B$11='Flujo de Pagos'!$E307,11,9999)</f>
        <v>9999</v>
      </c>
      <c r="AF307" s="0" t="n">
        <f aca="false">IF(Presupuesto!$B$12='Flujo de Pagos'!$E307,12,9999)</f>
        <v>12</v>
      </c>
      <c r="AG307" s="0" t="n">
        <f aca="false">IF(Presupuesto!$B$13='Flujo de Pagos'!$E307,13,9999)</f>
        <v>13</v>
      </c>
      <c r="AH307" s="0" t="n">
        <f aca="false">IF(Presupuesto!$B$14='Flujo de Pagos'!$E307,14,9999)</f>
        <v>14</v>
      </c>
      <c r="AI307" s="0" t="n">
        <f aca="false">IF(Presupuesto!$B$15='Flujo de Pagos'!$E307,15,9999)</f>
        <v>15</v>
      </c>
      <c r="AJ307" s="0" t="n">
        <f aca="false">IF(Presupuesto!$B$16='Flujo de Pagos'!$E307,16,9999)</f>
        <v>16</v>
      </c>
      <c r="AK307" s="0" t="n">
        <f aca="false">IF(Presupuesto!$B$17='Flujo de Pagos'!$E307,17,9999)</f>
        <v>17</v>
      </c>
      <c r="AL307" s="0" t="n">
        <f aca="false">IF(Presupuesto!$B$18='Flujo de Pagos'!$E307,18,9999)</f>
        <v>18</v>
      </c>
      <c r="AM307" s="0" t="n">
        <f aca="false">IF(Presupuesto!$B$19='Flujo de Pagos'!$E307,19,9999)</f>
        <v>19</v>
      </c>
      <c r="AN307" s="0" t="n">
        <f aca="false">IF(Presupuesto!$B$20='Flujo de Pagos'!$E307,20,9999)</f>
        <v>20</v>
      </c>
      <c r="AO307" s="0" t="n">
        <f aca="false">IF(Presupuesto!$B$21='Flujo de Pagos'!$E307,21,9999)</f>
        <v>21</v>
      </c>
      <c r="AP307" s="0" t="n">
        <f aca="false">IF(Presupuesto!$B$22='Flujo de Pagos'!$E307,22,9999)</f>
        <v>22</v>
      </c>
      <c r="AQ307" s="0" t="n">
        <f aca="false">IF(Presupuesto!$B$23='Flujo de Pagos'!$E307,23,9999)</f>
        <v>23</v>
      </c>
      <c r="AR307" s="0" t="n">
        <f aca="false">IF(Presupuesto!$B$24='Flujo de Pagos'!$E307,24,9999)</f>
        <v>24</v>
      </c>
      <c r="AS307" s="0" t="n">
        <f aca="false">IF(Presupuesto!$B$25='Flujo de Pagos'!$E307,25,9999)</f>
        <v>25</v>
      </c>
      <c r="AT307" s="0" t="n">
        <f aca="false">IF(Presupuesto!$B$26='Flujo de Pagos'!$E307,26,9999)</f>
        <v>26</v>
      </c>
      <c r="AU307" s="0" t="n">
        <f aca="false">IF(Presupuesto!$B$27='Flujo de Pagos'!$E307,27,9999)</f>
        <v>27</v>
      </c>
      <c r="AV307" s="0" t="n">
        <f aca="false">IF(Presupuesto!$B$28='Flujo de Pagos'!$E307,28,9999)</f>
        <v>28</v>
      </c>
      <c r="AW307" s="0" t="n">
        <f aca="false">IF(Presupuesto!$B$29='Flujo de Pagos'!$E307,29,9999)</f>
        <v>29</v>
      </c>
      <c r="AX307" s="0" t="n">
        <f aca="false">IF(Presupuesto!$B$30='Flujo de Pagos'!$E307,30,9999)</f>
        <v>30</v>
      </c>
      <c r="AY307" s="0" t="n">
        <f aca="false">IF(Presupuesto!$B$31='Flujo de Pagos'!$E307,31,9999)</f>
        <v>31</v>
      </c>
      <c r="AZ307" s="0" t="n">
        <f aca="false">IF(Presupuesto!$B$32='Flujo de Pagos'!$E307,32,9999)</f>
        <v>32</v>
      </c>
      <c r="BA307" s="0" t="n">
        <f aca="false">IF(Presupuesto!$B$33='Flujo de Pagos'!$E307,33,9999)</f>
        <v>33</v>
      </c>
      <c r="BB307" s="0" t="n">
        <f aca="false">IF(Presupuesto!$B$34='Flujo de Pagos'!$E307,34,9999)</f>
        <v>34</v>
      </c>
      <c r="BC307" s="0" t="n">
        <f aca="false">IF(Presupuesto!$B$35='Flujo de Pagos'!$E307,35,9999)</f>
        <v>35</v>
      </c>
      <c r="BD307" s="0" t="n">
        <f aca="false">IF(Presupuesto!$B$36='Flujo de Pagos'!$E307,36,9999)</f>
        <v>36</v>
      </c>
      <c r="BE307" s="0" t="n">
        <f aca="false">IF(Presupuesto!$B$37='Flujo de Pagos'!$E307,37,9999)</f>
        <v>37</v>
      </c>
      <c r="BF307" s="0" t="n">
        <f aca="false">IF(Presupuesto!$B$38='Flujo de Pagos'!$E307,38,9999)</f>
        <v>38</v>
      </c>
      <c r="BG307" s="0" t="n">
        <f aca="false">IF(Presupuesto!$B$39='Flujo de Pagos'!$E307,39,9999)</f>
        <v>39</v>
      </c>
      <c r="BH307" s="0" t="n">
        <f aca="false">IF(Presupuesto!$B$40='Flujo de Pagos'!$E307,40,9999)</f>
        <v>40</v>
      </c>
      <c r="BI307" s="0" t="n">
        <f aca="false">IF(Presupuesto!$B$41='Flujo de Pagos'!$E307,41,9999)</f>
        <v>41</v>
      </c>
      <c r="BJ307" s="0" t="n">
        <f aca="false">IF(Presupuesto!$B$42='Flujo de Pagos'!$E307,42,9999)</f>
        <v>42</v>
      </c>
      <c r="BK307" s="0" t="n">
        <f aca="false">IF(Presupuesto!$B$43='Flujo de Pagos'!$E307,43,9999)</f>
        <v>43</v>
      </c>
      <c r="BL307" s="0" t="n">
        <f aca="false">IF(Presupuesto!$B$44='Flujo de Pagos'!$E307,44,9999)</f>
        <v>44</v>
      </c>
      <c r="BM307" s="0" t="n">
        <f aca="false">IF(Presupuesto!$B$45='Flujo de Pagos'!$E307,45,9999)</f>
        <v>45</v>
      </c>
      <c r="BN307" s="0" t="n">
        <f aca="false">IF(Presupuesto!$B$46='Flujo de Pagos'!$E307,46,9999)</f>
        <v>46</v>
      </c>
      <c r="BO307" s="0" t="n">
        <f aca="false">IF(Presupuesto!$B$47='Flujo de Pagos'!$E307,47,9999)</f>
        <v>47</v>
      </c>
      <c r="BP307" s="0" t="n">
        <f aca="false">IF(Presupuesto!$B$48='Flujo de Pagos'!$E307,48,9999)</f>
        <v>48</v>
      </c>
      <c r="BQ307" s="0" t="n">
        <f aca="false">IF(Presupuesto!$B$49='Flujo de Pagos'!$E307,49,9999)</f>
        <v>49</v>
      </c>
      <c r="BR307" s="0" t="n">
        <f aca="false">IF(Presupuesto!$B$50='Flujo de Pagos'!$E307,50,9999)</f>
        <v>50</v>
      </c>
      <c r="BS307" s="0" t="n">
        <f aca="false">IF(Presupuesto!$B$51='Flujo de Pagos'!$E307,51,9999)</f>
        <v>51</v>
      </c>
      <c r="BT307" s="0" t="n">
        <f aca="false">IF(Presupuesto!$B$52='Flujo de Pagos'!$E307,52,9999)</f>
        <v>52</v>
      </c>
      <c r="BU307" s="0" t="n">
        <f aca="false">IF(Presupuesto!$B$53='Flujo de Pagos'!$E307,53,9999)</f>
        <v>53</v>
      </c>
      <c r="BV307" s="0" t="n">
        <f aca="false">IF(Presupuesto!$B$54='Flujo de Pagos'!$E307,54,9999)</f>
        <v>54</v>
      </c>
      <c r="BW307" s="0" t="n">
        <f aca="false">IF(Presupuesto!$B$55='Flujo de Pagos'!$E307,55,9999)</f>
        <v>55</v>
      </c>
      <c r="BX307" s="0" t="n">
        <f aca="false">IF(Presupuesto!$B$56='Flujo de Pagos'!$E307,56,9999)</f>
        <v>56</v>
      </c>
      <c r="BY307" s="0" t="n">
        <f aca="false">IF(Presupuesto!$B$57='Flujo de Pagos'!$E307,57,9999)</f>
        <v>57</v>
      </c>
      <c r="BZ307" s="0" t="n">
        <f aca="false">IF(Presupuesto!$B$58='Flujo de Pagos'!$E307,58,9999)</f>
        <v>58</v>
      </c>
      <c r="CA307" s="0" t="n">
        <f aca="false">IF(Presupuesto!$B$59='Flujo de Pagos'!$E307,59,9999)</f>
        <v>59</v>
      </c>
      <c r="CB307" s="0" t="n">
        <f aca="false">IF(Presupuesto!$B$60='Flujo de Pagos'!$E307,60,9999)</f>
        <v>60</v>
      </c>
      <c r="CC307" s="0" t="n">
        <f aca="false">IF(Presupuesto!$B$61='Flujo de Pagos'!$E307,61,9999)</f>
        <v>61</v>
      </c>
      <c r="CD307" s="0" t="n">
        <f aca="false">IF(Presupuesto!$B$62='Flujo de Pagos'!$E307,62,9999)</f>
        <v>62</v>
      </c>
      <c r="CE307" s="0" t="n">
        <f aca="false">IF(Presupuesto!$B$63='Flujo de Pagos'!$E307,63,9999)</f>
        <v>63</v>
      </c>
      <c r="CF307" s="0" t="n">
        <f aca="false">IF(Presupuesto!$B$64='Flujo de Pagos'!$E307,64,9999)</f>
        <v>64</v>
      </c>
      <c r="CG307" s="0" t="n">
        <f aca="false">IF(Presupuesto!$B$65='Flujo de Pagos'!$E307,65,9999)</f>
        <v>65</v>
      </c>
      <c r="CH307" s="0" t="n">
        <f aca="false">IF(Presupuesto!$B$66='Flujo de Pagos'!$E307,66,9999)</f>
        <v>66</v>
      </c>
    </row>
    <row r="308" customFormat="false" ht="15" hidden="false" customHeight="true" outlineLevel="0" collapsed="false">
      <c r="B308" s="1" t="n">
        <f aca="false">IF(AND('Flujo de Pagos'!E313=Carátula!$B$2,'Flujo de Pagos'!F313=Carátula!$B$4,'Flujo de Pagos'!H313&lt;&gt;""),313,99999)</f>
        <v>99999</v>
      </c>
      <c r="H308" s="1" t="n">
        <f aca="false">IF(SMALL($AA308:$CH308,1)&gt;=9999,"",INDEX(Presupuesto!$C:$C,SMALL($AA308:$CH308,1)))</f>
        <v>0</v>
      </c>
      <c r="I308" s="1" t="n">
        <f aca="false">IF(SMALL($AA308:$CH308,2)&gt;=9999,"",INDEX(Presupuesto!$C:$C,SMALL($AA308:$CH308,2)))</f>
        <v>0</v>
      </c>
      <c r="J308" s="1" t="n">
        <f aca="false">IF(SMALL($AA308:$CH308,3)&gt;=9999,"",INDEX(Presupuesto!$C:$C,SMALL($AA308:$CH308,3)))</f>
        <v>0</v>
      </c>
      <c r="K308" s="1" t="n">
        <f aca="false">IF(SMALL($AA308:$CH308,4)&gt;=9999,"",INDEX(Presupuesto!$C:$C,SMALL($AA308:$CH308,4)))</f>
        <v>0</v>
      </c>
      <c r="L308" s="1" t="n">
        <f aca="false">IF(SMALL($AA308:$CH308,5)&gt;=9999,"",INDEX(Presupuesto!$C:$C,SMALL($AA308:$CH308,5)))</f>
        <v>0</v>
      </c>
      <c r="M308" s="1" t="n">
        <f aca="false">IF(SMALL($AA308:$CH308,6)&gt;=9999,"",INDEX(Presupuesto!$C:$C,SMALL($AA308:$CH308,6)))</f>
        <v>0</v>
      </c>
      <c r="N308" s="1" t="n">
        <f aca="false">IF(SMALL($AA308:$CH308,7)&gt;=9999,"",INDEX(Presupuesto!$C:$C,SMALL($AA308:$CH308,7)))</f>
        <v>0</v>
      </c>
      <c r="O308" s="1" t="n">
        <f aca="false">IF(SMALL($AA308:$CH308,8)&gt;=9999,"",INDEX(Presupuesto!$C:$C,SMALL($AA308:$CH308,8)))</f>
        <v>0</v>
      </c>
      <c r="P308" s="1" t="n">
        <f aca="false">IF(SMALL($AA308:$CH308,9)&gt;=9999,"",INDEX(Presupuesto!$C:$C,SMALL($AA308:$CH308,9)))</f>
        <v>0</v>
      </c>
      <c r="Q308" s="1" t="n">
        <f aca="false">IF(SMALL($AA308:$CH308,10)&gt;=9999,"",INDEX(Presupuesto!$C:$C,SMALL($AA308:$CH308,10)))</f>
        <v>0</v>
      </c>
      <c r="AA308" s="0" t="n">
        <f aca="false">IF(Presupuesto!$B$7='Flujo de Pagos'!$E308,7,9999)</f>
        <v>9999</v>
      </c>
      <c r="AB308" s="0" t="n">
        <f aca="false">IF(Presupuesto!$B$8='Flujo de Pagos'!$E308,8,9999)</f>
        <v>9999</v>
      </c>
      <c r="AC308" s="0" t="n">
        <f aca="false">IF(Presupuesto!$B$9='Flujo de Pagos'!$E308,9,9999)</f>
        <v>9999</v>
      </c>
      <c r="AD308" s="0" t="n">
        <f aca="false">IF(Presupuesto!$B$10='Flujo de Pagos'!$E308,10,9999)</f>
        <v>9999</v>
      </c>
      <c r="AE308" s="0" t="n">
        <f aca="false">IF(Presupuesto!$B$11='Flujo de Pagos'!$E308,11,9999)</f>
        <v>9999</v>
      </c>
      <c r="AF308" s="0" t="n">
        <f aca="false">IF(Presupuesto!$B$12='Flujo de Pagos'!$E308,12,9999)</f>
        <v>12</v>
      </c>
      <c r="AG308" s="0" t="n">
        <f aca="false">IF(Presupuesto!$B$13='Flujo de Pagos'!$E308,13,9999)</f>
        <v>13</v>
      </c>
      <c r="AH308" s="0" t="n">
        <f aca="false">IF(Presupuesto!$B$14='Flujo de Pagos'!$E308,14,9999)</f>
        <v>14</v>
      </c>
      <c r="AI308" s="0" t="n">
        <f aca="false">IF(Presupuesto!$B$15='Flujo de Pagos'!$E308,15,9999)</f>
        <v>15</v>
      </c>
      <c r="AJ308" s="0" t="n">
        <f aca="false">IF(Presupuesto!$B$16='Flujo de Pagos'!$E308,16,9999)</f>
        <v>16</v>
      </c>
      <c r="AK308" s="0" t="n">
        <f aca="false">IF(Presupuesto!$B$17='Flujo de Pagos'!$E308,17,9999)</f>
        <v>17</v>
      </c>
      <c r="AL308" s="0" t="n">
        <f aca="false">IF(Presupuesto!$B$18='Flujo de Pagos'!$E308,18,9999)</f>
        <v>18</v>
      </c>
      <c r="AM308" s="0" t="n">
        <f aca="false">IF(Presupuesto!$B$19='Flujo de Pagos'!$E308,19,9999)</f>
        <v>19</v>
      </c>
      <c r="AN308" s="0" t="n">
        <f aca="false">IF(Presupuesto!$B$20='Flujo de Pagos'!$E308,20,9999)</f>
        <v>20</v>
      </c>
      <c r="AO308" s="0" t="n">
        <f aca="false">IF(Presupuesto!$B$21='Flujo de Pagos'!$E308,21,9999)</f>
        <v>21</v>
      </c>
      <c r="AP308" s="0" t="n">
        <f aca="false">IF(Presupuesto!$B$22='Flujo de Pagos'!$E308,22,9999)</f>
        <v>22</v>
      </c>
      <c r="AQ308" s="0" t="n">
        <f aca="false">IF(Presupuesto!$B$23='Flujo de Pagos'!$E308,23,9999)</f>
        <v>23</v>
      </c>
      <c r="AR308" s="0" t="n">
        <f aca="false">IF(Presupuesto!$B$24='Flujo de Pagos'!$E308,24,9999)</f>
        <v>24</v>
      </c>
      <c r="AS308" s="0" t="n">
        <f aca="false">IF(Presupuesto!$B$25='Flujo de Pagos'!$E308,25,9999)</f>
        <v>25</v>
      </c>
      <c r="AT308" s="0" t="n">
        <f aca="false">IF(Presupuesto!$B$26='Flujo de Pagos'!$E308,26,9999)</f>
        <v>26</v>
      </c>
      <c r="AU308" s="0" t="n">
        <f aca="false">IF(Presupuesto!$B$27='Flujo de Pagos'!$E308,27,9999)</f>
        <v>27</v>
      </c>
      <c r="AV308" s="0" t="n">
        <f aca="false">IF(Presupuesto!$B$28='Flujo de Pagos'!$E308,28,9999)</f>
        <v>28</v>
      </c>
      <c r="AW308" s="0" t="n">
        <f aca="false">IF(Presupuesto!$B$29='Flujo de Pagos'!$E308,29,9999)</f>
        <v>29</v>
      </c>
      <c r="AX308" s="0" t="n">
        <f aca="false">IF(Presupuesto!$B$30='Flujo de Pagos'!$E308,30,9999)</f>
        <v>30</v>
      </c>
      <c r="AY308" s="0" t="n">
        <f aca="false">IF(Presupuesto!$B$31='Flujo de Pagos'!$E308,31,9999)</f>
        <v>31</v>
      </c>
      <c r="AZ308" s="0" t="n">
        <f aca="false">IF(Presupuesto!$B$32='Flujo de Pagos'!$E308,32,9999)</f>
        <v>32</v>
      </c>
      <c r="BA308" s="0" t="n">
        <f aca="false">IF(Presupuesto!$B$33='Flujo de Pagos'!$E308,33,9999)</f>
        <v>33</v>
      </c>
      <c r="BB308" s="0" t="n">
        <f aca="false">IF(Presupuesto!$B$34='Flujo de Pagos'!$E308,34,9999)</f>
        <v>34</v>
      </c>
      <c r="BC308" s="0" t="n">
        <f aca="false">IF(Presupuesto!$B$35='Flujo de Pagos'!$E308,35,9999)</f>
        <v>35</v>
      </c>
      <c r="BD308" s="0" t="n">
        <f aca="false">IF(Presupuesto!$B$36='Flujo de Pagos'!$E308,36,9999)</f>
        <v>36</v>
      </c>
      <c r="BE308" s="0" t="n">
        <f aca="false">IF(Presupuesto!$B$37='Flujo de Pagos'!$E308,37,9999)</f>
        <v>37</v>
      </c>
      <c r="BF308" s="0" t="n">
        <f aca="false">IF(Presupuesto!$B$38='Flujo de Pagos'!$E308,38,9999)</f>
        <v>38</v>
      </c>
      <c r="BG308" s="0" t="n">
        <f aca="false">IF(Presupuesto!$B$39='Flujo de Pagos'!$E308,39,9999)</f>
        <v>39</v>
      </c>
      <c r="BH308" s="0" t="n">
        <f aca="false">IF(Presupuesto!$B$40='Flujo de Pagos'!$E308,40,9999)</f>
        <v>40</v>
      </c>
      <c r="BI308" s="0" t="n">
        <f aca="false">IF(Presupuesto!$B$41='Flujo de Pagos'!$E308,41,9999)</f>
        <v>41</v>
      </c>
      <c r="BJ308" s="0" t="n">
        <f aca="false">IF(Presupuesto!$B$42='Flujo de Pagos'!$E308,42,9999)</f>
        <v>42</v>
      </c>
      <c r="BK308" s="0" t="n">
        <f aca="false">IF(Presupuesto!$B$43='Flujo de Pagos'!$E308,43,9999)</f>
        <v>43</v>
      </c>
      <c r="BL308" s="0" t="n">
        <f aca="false">IF(Presupuesto!$B$44='Flujo de Pagos'!$E308,44,9999)</f>
        <v>44</v>
      </c>
      <c r="BM308" s="0" t="n">
        <f aca="false">IF(Presupuesto!$B$45='Flujo de Pagos'!$E308,45,9999)</f>
        <v>45</v>
      </c>
      <c r="BN308" s="0" t="n">
        <f aca="false">IF(Presupuesto!$B$46='Flujo de Pagos'!$E308,46,9999)</f>
        <v>46</v>
      </c>
      <c r="BO308" s="0" t="n">
        <f aca="false">IF(Presupuesto!$B$47='Flujo de Pagos'!$E308,47,9999)</f>
        <v>47</v>
      </c>
      <c r="BP308" s="0" t="n">
        <f aca="false">IF(Presupuesto!$B$48='Flujo de Pagos'!$E308,48,9999)</f>
        <v>48</v>
      </c>
      <c r="BQ308" s="0" t="n">
        <f aca="false">IF(Presupuesto!$B$49='Flujo de Pagos'!$E308,49,9999)</f>
        <v>49</v>
      </c>
      <c r="BR308" s="0" t="n">
        <f aca="false">IF(Presupuesto!$B$50='Flujo de Pagos'!$E308,50,9999)</f>
        <v>50</v>
      </c>
      <c r="BS308" s="0" t="n">
        <f aca="false">IF(Presupuesto!$B$51='Flujo de Pagos'!$E308,51,9999)</f>
        <v>51</v>
      </c>
      <c r="BT308" s="0" t="n">
        <f aca="false">IF(Presupuesto!$B$52='Flujo de Pagos'!$E308,52,9999)</f>
        <v>52</v>
      </c>
      <c r="BU308" s="0" t="n">
        <f aca="false">IF(Presupuesto!$B$53='Flujo de Pagos'!$E308,53,9999)</f>
        <v>53</v>
      </c>
      <c r="BV308" s="0" t="n">
        <f aca="false">IF(Presupuesto!$B$54='Flujo de Pagos'!$E308,54,9999)</f>
        <v>54</v>
      </c>
      <c r="BW308" s="0" t="n">
        <f aca="false">IF(Presupuesto!$B$55='Flujo de Pagos'!$E308,55,9999)</f>
        <v>55</v>
      </c>
      <c r="BX308" s="0" t="n">
        <f aca="false">IF(Presupuesto!$B$56='Flujo de Pagos'!$E308,56,9999)</f>
        <v>56</v>
      </c>
      <c r="BY308" s="0" t="n">
        <f aca="false">IF(Presupuesto!$B$57='Flujo de Pagos'!$E308,57,9999)</f>
        <v>57</v>
      </c>
      <c r="BZ308" s="0" t="n">
        <f aca="false">IF(Presupuesto!$B$58='Flujo de Pagos'!$E308,58,9999)</f>
        <v>58</v>
      </c>
      <c r="CA308" s="0" t="n">
        <f aca="false">IF(Presupuesto!$B$59='Flujo de Pagos'!$E308,59,9999)</f>
        <v>59</v>
      </c>
      <c r="CB308" s="0" t="n">
        <f aca="false">IF(Presupuesto!$B$60='Flujo de Pagos'!$E308,60,9999)</f>
        <v>60</v>
      </c>
      <c r="CC308" s="0" t="n">
        <f aca="false">IF(Presupuesto!$B$61='Flujo de Pagos'!$E308,61,9999)</f>
        <v>61</v>
      </c>
      <c r="CD308" s="0" t="n">
        <f aca="false">IF(Presupuesto!$B$62='Flujo de Pagos'!$E308,62,9999)</f>
        <v>62</v>
      </c>
      <c r="CE308" s="0" t="n">
        <f aca="false">IF(Presupuesto!$B$63='Flujo de Pagos'!$E308,63,9999)</f>
        <v>63</v>
      </c>
      <c r="CF308" s="0" t="n">
        <f aca="false">IF(Presupuesto!$B$64='Flujo de Pagos'!$E308,64,9999)</f>
        <v>64</v>
      </c>
      <c r="CG308" s="0" t="n">
        <f aca="false">IF(Presupuesto!$B$65='Flujo de Pagos'!$E308,65,9999)</f>
        <v>65</v>
      </c>
      <c r="CH308" s="0" t="n">
        <f aca="false">IF(Presupuesto!$B$66='Flujo de Pagos'!$E308,66,9999)</f>
        <v>66</v>
      </c>
    </row>
    <row r="309" customFormat="false" ht="15" hidden="false" customHeight="true" outlineLevel="0" collapsed="false">
      <c r="B309" s="1" t="n">
        <f aca="false">IF(AND('Flujo de Pagos'!E314=Carátula!$B$2,'Flujo de Pagos'!F314=Carátula!$B$4,'Flujo de Pagos'!H314&lt;&gt;""),314,99999)</f>
        <v>99999</v>
      </c>
      <c r="H309" s="1" t="n">
        <f aca="false">IF(SMALL($AA309:$CH309,1)&gt;=9999,"",INDEX(Presupuesto!$C:$C,SMALL($AA309:$CH309,1)))</f>
        <v>0</v>
      </c>
      <c r="I309" s="1" t="n">
        <f aca="false">IF(SMALL($AA309:$CH309,2)&gt;=9999,"",INDEX(Presupuesto!$C:$C,SMALL($AA309:$CH309,2)))</f>
        <v>0</v>
      </c>
      <c r="J309" s="1" t="n">
        <f aca="false">IF(SMALL($AA309:$CH309,3)&gt;=9999,"",INDEX(Presupuesto!$C:$C,SMALL($AA309:$CH309,3)))</f>
        <v>0</v>
      </c>
      <c r="K309" s="1" t="n">
        <f aca="false">IF(SMALL($AA309:$CH309,4)&gt;=9999,"",INDEX(Presupuesto!$C:$C,SMALL($AA309:$CH309,4)))</f>
        <v>0</v>
      </c>
      <c r="L309" s="1" t="n">
        <f aca="false">IF(SMALL($AA309:$CH309,5)&gt;=9999,"",INDEX(Presupuesto!$C:$C,SMALL($AA309:$CH309,5)))</f>
        <v>0</v>
      </c>
      <c r="M309" s="1" t="n">
        <f aca="false">IF(SMALL($AA309:$CH309,6)&gt;=9999,"",INDEX(Presupuesto!$C:$C,SMALL($AA309:$CH309,6)))</f>
        <v>0</v>
      </c>
      <c r="N309" s="1" t="n">
        <f aca="false">IF(SMALL($AA309:$CH309,7)&gt;=9999,"",INDEX(Presupuesto!$C:$C,SMALL($AA309:$CH309,7)))</f>
        <v>0</v>
      </c>
      <c r="O309" s="1" t="n">
        <f aca="false">IF(SMALL($AA309:$CH309,8)&gt;=9999,"",INDEX(Presupuesto!$C:$C,SMALL($AA309:$CH309,8)))</f>
        <v>0</v>
      </c>
      <c r="P309" s="1" t="n">
        <f aca="false">IF(SMALL($AA309:$CH309,9)&gt;=9999,"",INDEX(Presupuesto!$C:$C,SMALL($AA309:$CH309,9)))</f>
        <v>0</v>
      </c>
      <c r="Q309" s="1" t="n">
        <f aca="false">IF(SMALL($AA309:$CH309,10)&gt;=9999,"",INDEX(Presupuesto!$C:$C,SMALL($AA309:$CH309,10)))</f>
        <v>0</v>
      </c>
      <c r="AA309" s="0" t="n">
        <f aca="false">IF(Presupuesto!$B$7='Flujo de Pagos'!$E309,7,9999)</f>
        <v>9999</v>
      </c>
      <c r="AB309" s="0" t="n">
        <f aca="false">IF(Presupuesto!$B$8='Flujo de Pagos'!$E309,8,9999)</f>
        <v>9999</v>
      </c>
      <c r="AC309" s="0" t="n">
        <f aca="false">IF(Presupuesto!$B$9='Flujo de Pagos'!$E309,9,9999)</f>
        <v>9999</v>
      </c>
      <c r="AD309" s="0" t="n">
        <f aca="false">IF(Presupuesto!$B$10='Flujo de Pagos'!$E309,10,9999)</f>
        <v>9999</v>
      </c>
      <c r="AE309" s="0" t="n">
        <f aca="false">IF(Presupuesto!$B$11='Flujo de Pagos'!$E309,11,9999)</f>
        <v>9999</v>
      </c>
      <c r="AF309" s="0" t="n">
        <f aca="false">IF(Presupuesto!$B$12='Flujo de Pagos'!$E309,12,9999)</f>
        <v>12</v>
      </c>
      <c r="AG309" s="0" t="n">
        <f aca="false">IF(Presupuesto!$B$13='Flujo de Pagos'!$E309,13,9999)</f>
        <v>13</v>
      </c>
      <c r="AH309" s="0" t="n">
        <f aca="false">IF(Presupuesto!$B$14='Flujo de Pagos'!$E309,14,9999)</f>
        <v>14</v>
      </c>
      <c r="AI309" s="0" t="n">
        <f aca="false">IF(Presupuesto!$B$15='Flujo de Pagos'!$E309,15,9999)</f>
        <v>15</v>
      </c>
      <c r="AJ309" s="0" t="n">
        <f aca="false">IF(Presupuesto!$B$16='Flujo de Pagos'!$E309,16,9999)</f>
        <v>16</v>
      </c>
      <c r="AK309" s="0" t="n">
        <f aca="false">IF(Presupuesto!$B$17='Flujo de Pagos'!$E309,17,9999)</f>
        <v>17</v>
      </c>
      <c r="AL309" s="0" t="n">
        <f aca="false">IF(Presupuesto!$B$18='Flujo de Pagos'!$E309,18,9999)</f>
        <v>18</v>
      </c>
      <c r="AM309" s="0" t="n">
        <f aca="false">IF(Presupuesto!$B$19='Flujo de Pagos'!$E309,19,9999)</f>
        <v>19</v>
      </c>
      <c r="AN309" s="0" t="n">
        <f aca="false">IF(Presupuesto!$B$20='Flujo de Pagos'!$E309,20,9999)</f>
        <v>20</v>
      </c>
      <c r="AO309" s="0" t="n">
        <f aca="false">IF(Presupuesto!$B$21='Flujo de Pagos'!$E309,21,9999)</f>
        <v>21</v>
      </c>
      <c r="AP309" s="0" t="n">
        <f aca="false">IF(Presupuesto!$B$22='Flujo de Pagos'!$E309,22,9999)</f>
        <v>22</v>
      </c>
      <c r="AQ309" s="0" t="n">
        <f aca="false">IF(Presupuesto!$B$23='Flujo de Pagos'!$E309,23,9999)</f>
        <v>23</v>
      </c>
      <c r="AR309" s="0" t="n">
        <f aca="false">IF(Presupuesto!$B$24='Flujo de Pagos'!$E309,24,9999)</f>
        <v>24</v>
      </c>
      <c r="AS309" s="0" t="n">
        <f aca="false">IF(Presupuesto!$B$25='Flujo de Pagos'!$E309,25,9999)</f>
        <v>25</v>
      </c>
      <c r="AT309" s="0" t="n">
        <f aca="false">IF(Presupuesto!$B$26='Flujo de Pagos'!$E309,26,9999)</f>
        <v>26</v>
      </c>
      <c r="AU309" s="0" t="n">
        <f aca="false">IF(Presupuesto!$B$27='Flujo de Pagos'!$E309,27,9999)</f>
        <v>27</v>
      </c>
      <c r="AV309" s="0" t="n">
        <f aca="false">IF(Presupuesto!$B$28='Flujo de Pagos'!$E309,28,9999)</f>
        <v>28</v>
      </c>
      <c r="AW309" s="0" t="n">
        <f aca="false">IF(Presupuesto!$B$29='Flujo de Pagos'!$E309,29,9999)</f>
        <v>29</v>
      </c>
      <c r="AX309" s="0" t="n">
        <f aca="false">IF(Presupuesto!$B$30='Flujo de Pagos'!$E309,30,9999)</f>
        <v>30</v>
      </c>
      <c r="AY309" s="0" t="n">
        <f aca="false">IF(Presupuesto!$B$31='Flujo de Pagos'!$E309,31,9999)</f>
        <v>31</v>
      </c>
      <c r="AZ309" s="0" t="n">
        <f aca="false">IF(Presupuesto!$B$32='Flujo de Pagos'!$E309,32,9999)</f>
        <v>32</v>
      </c>
      <c r="BA309" s="0" t="n">
        <f aca="false">IF(Presupuesto!$B$33='Flujo de Pagos'!$E309,33,9999)</f>
        <v>33</v>
      </c>
      <c r="BB309" s="0" t="n">
        <f aca="false">IF(Presupuesto!$B$34='Flujo de Pagos'!$E309,34,9999)</f>
        <v>34</v>
      </c>
      <c r="BC309" s="0" t="n">
        <f aca="false">IF(Presupuesto!$B$35='Flujo de Pagos'!$E309,35,9999)</f>
        <v>35</v>
      </c>
      <c r="BD309" s="0" t="n">
        <f aca="false">IF(Presupuesto!$B$36='Flujo de Pagos'!$E309,36,9999)</f>
        <v>36</v>
      </c>
      <c r="BE309" s="0" t="n">
        <f aca="false">IF(Presupuesto!$B$37='Flujo de Pagos'!$E309,37,9999)</f>
        <v>37</v>
      </c>
      <c r="BF309" s="0" t="n">
        <f aca="false">IF(Presupuesto!$B$38='Flujo de Pagos'!$E309,38,9999)</f>
        <v>38</v>
      </c>
      <c r="BG309" s="0" t="n">
        <f aca="false">IF(Presupuesto!$B$39='Flujo de Pagos'!$E309,39,9999)</f>
        <v>39</v>
      </c>
      <c r="BH309" s="0" t="n">
        <f aca="false">IF(Presupuesto!$B$40='Flujo de Pagos'!$E309,40,9999)</f>
        <v>40</v>
      </c>
      <c r="BI309" s="0" t="n">
        <f aca="false">IF(Presupuesto!$B$41='Flujo de Pagos'!$E309,41,9999)</f>
        <v>41</v>
      </c>
      <c r="BJ309" s="0" t="n">
        <f aca="false">IF(Presupuesto!$B$42='Flujo de Pagos'!$E309,42,9999)</f>
        <v>42</v>
      </c>
      <c r="BK309" s="0" t="n">
        <f aca="false">IF(Presupuesto!$B$43='Flujo de Pagos'!$E309,43,9999)</f>
        <v>43</v>
      </c>
      <c r="BL309" s="0" t="n">
        <f aca="false">IF(Presupuesto!$B$44='Flujo de Pagos'!$E309,44,9999)</f>
        <v>44</v>
      </c>
      <c r="BM309" s="0" t="n">
        <f aca="false">IF(Presupuesto!$B$45='Flujo de Pagos'!$E309,45,9999)</f>
        <v>45</v>
      </c>
      <c r="BN309" s="0" t="n">
        <f aca="false">IF(Presupuesto!$B$46='Flujo de Pagos'!$E309,46,9999)</f>
        <v>46</v>
      </c>
      <c r="BO309" s="0" t="n">
        <f aca="false">IF(Presupuesto!$B$47='Flujo de Pagos'!$E309,47,9999)</f>
        <v>47</v>
      </c>
      <c r="BP309" s="0" t="n">
        <f aca="false">IF(Presupuesto!$B$48='Flujo de Pagos'!$E309,48,9999)</f>
        <v>48</v>
      </c>
      <c r="BQ309" s="0" t="n">
        <f aca="false">IF(Presupuesto!$B$49='Flujo de Pagos'!$E309,49,9999)</f>
        <v>49</v>
      </c>
      <c r="BR309" s="0" t="n">
        <f aca="false">IF(Presupuesto!$B$50='Flujo de Pagos'!$E309,50,9999)</f>
        <v>50</v>
      </c>
      <c r="BS309" s="0" t="n">
        <f aca="false">IF(Presupuesto!$B$51='Flujo de Pagos'!$E309,51,9999)</f>
        <v>51</v>
      </c>
      <c r="BT309" s="0" t="n">
        <f aca="false">IF(Presupuesto!$B$52='Flujo de Pagos'!$E309,52,9999)</f>
        <v>52</v>
      </c>
      <c r="BU309" s="0" t="n">
        <f aca="false">IF(Presupuesto!$B$53='Flujo de Pagos'!$E309,53,9999)</f>
        <v>53</v>
      </c>
      <c r="BV309" s="0" t="n">
        <f aca="false">IF(Presupuesto!$B$54='Flujo de Pagos'!$E309,54,9999)</f>
        <v>54</v>
      </c>
      <c r="BW309" s="0" t="n">
        <f aca="false">IF(Presupuesto!$B$55='Flujo de Pagos'!$E309,55,9999)</f>
        <v>55</v>
      </c>
      <c r="BX309" s="0" t="n">
        <f aca="false">IF(Presupuesto!$B$56='Flujo de Pagos'!$E309,56,9999)</f>
        <v>56</v>
      </c>
      <c r="BY309" s="0" t="n">
        <f aca="false">IF(Presupuesto!$B$57='Flujo de Pagos'!$E309,57,9999)</f>
        <v>57</v>
      </c>
      <c r="BZ309" s="0" t="n">
        <f aca="false">IF(Presupuesto!$B$58='Flujo de Pagos'!$E309,58,9999)</f>
        <v>58</v>
      </c>
      <c r="CA309" s="0" t="n">
        <f aca="false">IF(Presupuesto!$B$59='Flujo de Pagos'!$E309,59,9999)</f>
        <v>59</v>
      </c>
      <c r="CB309" s="0" t="n">
        <f aca="false">IF(Presupuesto!$B$60='Flujo de Pagos'!$E309,60,9999)</f>
        <v>60</v>
      </c>
      <c r="CC309" s="0" t="n">
        <f aca="false">IF(Presupuesto!$B$61='Flujo de Pagos'!$E309,61,9999)</f>
        <v>61</v>
      </c>
      <c r="CD309" s="0" t="n">
        <f aca="false">IF(Presupuesto!$B$62='Flujo de Pagos'!$E309,62,9999)</f>
        <v>62</v>
      </c>
      <c r="CE309" s="0" t="n">
        <f aca="false">IF(Presupuesto!$B$63='Flujo de Pagos'!$E309,63,9999)</f>
        <v>63</v>
      </c>
      <c r="CF309" s="0" t="n">
        <f aca="false">IF(Presupuesto!$B$64='Flujo de Pagos'!$E309,64,9999)</f>
        <v>64</v>
      </c>
      <c r="CG309" s="0" t="n">
        <f aca="false">IF(Presupuesto!$B$65='Flujo de Pagos'!$E309,65,9999)</f>
        <v>65</v>
      </c>
      <c r="CH309" s="0" t="n">
        <f aca="false">IF(Presupuesto!$B$66='Flujo de Pagos'!$E309,66,9999)</f>
        <v>66</v>
      </c>
    </row>
    <row r="310" customFormat="false" ht="15" hidden="false" customHeight="true" outlineLevel="0" collapsed="false">
      <c r="B310" s="1" t="n">
        <f aca="false">IF(AND('Flujo de Pagos'!E315=Carátula!$B$2,'Flujo de Pagos'!F315=Carátula!$B$4,'Flujo de Pagos'!H315&lt;&gt;""),315,99999)</f>
        <v>99999</v>
      </c>
      <c r="H310" s="1" t="n">
        <f aca="false">IF(SMALL($AA310:$CH310,1)&gt;=9999,"",INDEX(Presupuesto!$C:$C,SMALL($AA310:$CH310,1)))</f>
        <v>0</v>
      </c>
      <c r="I310" s="1" t="n">
        <f aca="false">IF(SMALL($AA310:$CH310,2)&gt;=9999,"",INDEX(Presupuesto!$C:$C,SMALL($AA310:$CH310,2)))</f>
        <v>0</v>
      </c>
      <c r="J310" s="1" t="n">
        <f aca="false">IF(SMALL($AA310:$CH310,3)&gt;=9999,"",INDEX(Presupuesto!$C:$C,SMALL($AA310:$CH310,3)))</f>
        <v>0</v>
      </c>
      <c r="K310" s="1" t="n">
        <f aca="false">IF(SMALL($AA310:$CH310,4)&gt;=9999,"",INDEX(Presupuesto!$C:$C,SMALL($AA310:$CH310,4)))</f>
        <v>0</v>
      </c>
      <c r="L310" s="1" t="n">
        <f aca="false">IF(SMALL($AA310:$CH310,5)&gt;=9999,"",INDEX(Presupuesto!$C:$C,SMALL($AA310:$CH310,5)))</f>
        <v>0</v>
      </c>
      <c r="M310" s="1" t="n">
        <f aca="false">IF(SMALL($AA310:$CH310,6)&gt;=9999,"",INDEX(Presupuesto!$C:$C,SMALL($AA310:$CH310,6)))</f>
        <v>0</v>
      </c>
      <c r="N310" s="1" t="n">
        <f aca="false">IF(SMALL($AA310:$CH310,7)&gt;=9999,"",INDEX(Presupuesto!$C:$C,SMALL($AA310:$CH310,7)))</f>
        <v>0</v>
      </c>
      <c r="O310" s="1" t="n">
        <f aca="false">IF(SMALL($AA310:$CH310,8)&gt;=9999,"",INDEX(Presupuesto!$C:$C,SMALL($AA310:$CH310,8)))</f>
        <v>0</v>
      </c>
      <c r="P310" s="1" t="n">
        <f aca="false">IF(SMALL($AA310:$CH310,9)&gt;=9999,"",INDEX(Presupuesto!$C:$C,SMALL($AA310:$CH310,9)))</f>
        <v>0</v>
      </c>
      <c r="Q310" s="1" t="n">
        <f aca="false">IF(SMALL($AA310:$CH310,10)&gt;=9999,"",INDEX(Presupuesto!$C:$C,SMALL($AA310:$CH310,10)))</f>
        <v>0</v>
      </c>
      <c r="AA310" s="0" t="n">
        <f aca="false">IF(Presupuesto!$B$7='Flujo de Pagos'!$E310,7,9999)</f>
        <v>9999</v>
      </c>
      <c r="AB310" s="0" t="n">
        <f aca="false">IF(Presupuesto!$B$8='Flujo de Pagos'!$E310,8,9999)</f>
        <v>9999</v>
      </c>
      <c r="AC310" s="0" t="n">
        <f aca="false">IF(Presupuesto!$B$9='Flujo de Pagos'!$E310,9,9999)</f>
        <v>9999</v>
      </c>
      <c r="AD310" s="0" t="n">
        <f aca="false">IF(Presupuesto!$B$10='Flujo de Pagos'!$E310,10,9999)</f>
        <v>9999</v>
      </c>
      <c r="AE310" s="0" t="n">
        <f aca="false">IF(Presupuesto!$B$11='Flujo de Pagos'!$E310,11,9999)</f>
        <v>9999</v>
      </c>
      <c r="AF310" s="0" t="n">
        <f aca="false">IF(Presupuesto!$B$12='Flujo de Pagos'!$E310,12,9999)</f>
        <v>12</v>
      </c>
      <c r="AG310" s="0" t="n">
        <f aca="false">IF(Presupuesto!$B$13='Flujo de Pagos'!$E310,13,9999)</f>
        <v>13</v>
      </c>
      <c r="AH310" s="0" t="n">
        <f aca="false">IF(Presupuesto!$B$14='Flujo de Pagos'!$E310,14,9999)</f>
        <v>14</v>
      </c>
      <c r="AI310" s="0" t="n">
        <f aca="false">IF(Presupuesto!$B$15='Flujo de Pagos'!$E310,15,9999)</f>
        <v>15</v>
      </c>
      <c r="AJ310" s="0" t="n">
        <f aca="false">IF(Presupuesto!$B$16='Flujo de Pagos'!$E310,16,9999)</f>
        <v>16</v>
      </c>
      <c r="AK310" s="0" t="n">
        <f aca="false">IF(Presupuesto!$B$17='Flujo de Pagos'!$E310,17,9999)</f>
        <v>17</v>
      </c>
      <c r="AL310" s="0" t="n">
        <f aca="false">IF(Presupuesto!$B$18='Flujo de Pagos'!$E310,18,9999)</f>
        <v>18</v>
      </c>
      <c r="AM310" s="0" t="n">
        <f aca="false">IF(Presupuesto!$B$19='Flujo de Pagos'!$E310,19,9999)</f>
        <v>19</v>
      </c>
      <c r="AN310" s="0" t="n">
        <f aca="false">IF(Presupuesto!$B$20='Flujo de Pagos'!$E310,20,9999)</f>
        <v>20</v>
      </c>
      <c r="AO310" s="0" t="n">
        <f aca="false">IF(Presupuesto!$B$21='Flujo de Pagos'!$E310,21,9999)</f>
        <v>21</v>
      </c>
      <c r="AP310" s="0" t="n">
        <f aca="false">IF(Presupuesto!$B$22='Flujo de Pagos'!$E310,22,9999)</f>
        <v>22</v>
      </c>
      <c r="AQ310" s="0" t="n">
        <f aca="false">IF(Presupuesto!$B$23='Flujo de Pagos'!$E310,23,9999)</f>
        <v>23</v>
      </c>
      <c r="AR310" s="0" t="n">
        <f aca="false">IF(Presupuesto!$B$24='Flujo de Pagos'!$E310,24,9999)</f>
        <v>24</v>
      </c>
      <c r="AS310" s="0" t="n">
        <f aca="false">IF(Presupuesto!$B$25='Flujo de Pagos'!$E310,25,9999)</f>
        <v>25</v>
      </c>
      <c r="AT310" s="0" t="n">
        <f aca="false">IF(Presupuesto!$B$26='Flujo de Pagos'!$E310,26,9999)</f>
        <v>26</v>
      </c>
      <c r="AU310" s="0" t="n">
        <f aca="false">IF(Presupuesto!$B$27='Flujo de Pagos'!$E310,27,9999)</f>
        <v>27</v>
      </c>
      <c r="AV310" s="0" t="n">
        <f aca="false">IF(Presupuesto!$B$28='Flujo de Pagos'!$E310,28,9999)</f>
        <v>28</v>
      </c>
      <c r="AW310" s="0" t="n">
        <f aca="false">IF(Presupuesto!$B$29='Flujo de Pagos'!$E310,29,9999)</f>
        <v>29</v>
      </c>
      <c r="AX310" s="0" t="n">
        <f aca="false">IF(Presupuesto!$B$30='Flujo de Pagos'!$E310,30,9999)</f>
        <v>30</v>
      </c>
      <c r="AY310" s="0" t="n">
        <f aca="false">IF(Presupuesto!$B$31='Flujo de Pagos'!$E310,31,9999)</f>
        <v>31</v>
      </c>
      <c r="AZ310" s="0" t="n">
        <f aca="false">IF(Presupuesto!$B$32='Flujo de Pagos'!$E310,32,9999)</f>
        <v>32</v>
      </c>
      <c r="BA310" s="0" t="n">
        <f aca="false">IF(Presupuesto!$B$33='Flujo de Pagos'!$E310,33,9999)</f>
        <v>33</v>
      </c>
      <c r="BB310" s="0" t="n">
        <f aca="false">IF(Presupuesto!$B$34='Flujo de Pagos'!$E310,34,9999)</f>
        <v>34</v>
      </c>
      <c r="BC310" s="0" t="n">
        <f aca="false">IF(Presupuesto!$B$35='Flujo de Pagos'!$E310,35,9999)</f>
        <v>35</v>
      </c>
      <c r="BD310" s="0" t="n">
        <f aca="false">IF(Presupuesto!$B$36='Flujo de Pagos'!$E310,36,9999)</f>
        <v>36</v>
      </c>
      <c r="BE310" s="0" t="n">
        <f aca="false">IF(Presupuesto!$B$37='Flujo de Pagos'!$E310,37,9999)</f>
        <v>37</v>
      </c>
      <c r="BF310" s="0" t="n">
        <f aca="false">IF(Presupuesto!$B$38='Flujo de Pagos'!$E310,38,9999)</f>
        <v>38</v>
      </c>
      <c r="BG310" s="0" t="n">
        <f aca="false">IF(Presupuesto!$B$39='Flujo de Pagos'!$E310,39,9999)</f>
        <v>39</v>
      </c>
      <c r="BH310" s="0" t="n">
        <f aca="false">IF(Presupuesto!$B$40='Flujo de Pagos'!$E310,40,9999)</f>
        <v>40</v>
      </c>
      <c r="BI310" s="0" t="n">
        <f aca="false">IF(Presupuesto!$B$41='Flujo de Pagos'!$E310,41,9999)</f>
        <v>41</v>
      </c>
      <c r="BJ310" s="0" t="n">
        <f aca="false">IF(Presupuesto!$B$42='Flujo de Pagos'!$E310,42,9999)</f>
        <v>42</v>
      </c>
      <c r="BK310" s="0" t="n">
        <f aca="false">IF(Presupuesto!$B$43='Flujo de Pagos'!$E310,43,9999)</f>
        <v>43</v>
      </c>
      <c r="BL310" s="0" t="n">
        <f aca="false">IF(Presupuesto!$B$44='Flujo de Pagos'!$E310,44,9999)</f>
        <v>44</v>
      </c>
      <c r="BM310" s="0" t="n">
        <f aca="false">IF(Presupuesto!$B$45='Flujo de Pagos'!$E310,45,9999)</f>
        <v>45</v>
      </c>
      <c r="BN310" s="0" t="n">
        <f aca="false">IF(Presupuesto!$B$46='Flujo de Pagos'!$E310,46,9999)</f>
        <v>46</v>
      </c>
      <c r="BO310" s="0" t="n">
        <f aca="false">IF(Presupuesto!$B$47='Flujo de Pagos'!$E310,47,9999)</f>
        <v>47</v>
      </c>
      <c r="BP310" s="0" t="n">
        <f aca="false">IF(Presupuesto!$B$48='Flujo de Pagos'!$E310,48,9999)</f>
        <v>48</v>
      </c>
      <c r="BQ310" s="0" t="n">
        <f aca="false">IF(Presupuesto!$B$49='Flujo de Pagos'!$E310,49,9999)</f>
        <v>49</v>
      </c>
      <c r="BR310" s="0" t="n">
        <f aca="false">IF(Presupuesto!$B$50='Flujo de Pagos'!$E310,50,9999)</f>
        <v>50</v>
      </c>
      <c r="BS310" s="0" t="n">
        <f aca="false">IF(Presupuesto!$B$51='Flujo de Pagos'!$E310,51,9999)</f>
        <v>51</v>
      </c>
      <c r="BT310" s="0" t="n">
        <f aca="false">IF(Presupuesto!$B$52='Flujo de Pagos'!$E310,52,9999)</f>
        <v>52</v>
      </c>
      <c r="BU310" s="0" t="n">
        <f aca="false">IF(Presupuesto!$B$53='Flujo de Pagos'!$E310,53,9999)</f>
        <v>53</v>
      </c>
      <c r="BV310" s="0" t="n">
        <f aca="false">IF(Presupuesto!$B$54='Flujo de Pagos'!$E310,54,9999)</f>
        <v>54</v>
      </c>
      <c r="BW310" s="0" t="n">
        <f aca="false">IF(Presupuesto!$B$55='Flujo de Pagos'!$E310,55,9999)</f>
        <v>55</v>
      </c>
      <c r="BX310" s="0" t="n">
        <f aca="false">IF(Presupuesto!$B$56='Flujo de Pagos'!$E310,56,9999)</f>
        <v>56</v>
      </c>
      <c r="BY310" s="0" t="n">
        <f aca="false">IF(Presupuesto!$B$57='Flujo de Pagos'!$E310,57,9999)</f>
        <v>57</v>
      </c>
      <c r="BZ310" s="0" t="n">
        <f aca="false">IF(Presupuesto!$B$58='Flujo de Pagos'!$E310,58,9999)</f>
        <v>58</v>
      </c>
      <c r="CA310" s="0" t="n">
        <f aca="false">IF(Presupuesto!$B$59='Flujo de Pagos'!$E310,59,9999)</f>
        <v>59</v>
      </c>
      <c r="CB310" s="0" t="n">
        <f aca="false">IF(Presupuesto!$B$60='Flujo de Pagos'!$E310,60,9999)</f>
        <v>60</v>
      </c>
      <c r="CC310" s="0" t="n">
        <f aca="false">IF(Presupuesto!$B$61='Flujo de Pagos'!$E310,61,9999)</f>
        <v>61</v>
      </c>
      <c r="CD310" s="0" t="n">
        <f aca="false">IF(Presupuesto!$B$62='Flujo de Pagos'!$E310,62,9999)</f>
        <v>62</v>
      </c>
      <c r="CE310" s="0" t="n">
        <f aca="false">IF(Presupuesto!$B$63='Flujo de Pagos'!$E310,63,9999)</f>
        <v>63</v>
      </c>
      <c r="CF310" s="0" t="n">
        <f aca="false">IF(Presupuesto!$B$64='Flujo de Pagos'!$E310,64,9999)</f>
        <v>64</v>
      </c>
      <c r="CG310" s="0" t="n">
        <f aca="false">IF(Presupuesto!$B$65='Flujo de Pagos'!$E310,65,9999)</f>
        <v>65</v>
      </c>
      <c r="CH310" s="0" t="n">
        <f aca="false">IF(Presupuesto!$B$66='Flujo de Pagos'!$E310,66,9999)</f>
        <v>66</v>
      </c>
    </row>
    <row r="311" customFormat="false" ht="15" hidden="false" customHeight="true" outlineLevel="0" collapsed="false">
      <c r="B311" s="1" t="n">
        <f aca="false">IF(AND('Flujo de Pagos'!E316=Carátula!$B$2,'Flujo de Pagos'!F316=Carátula!$B$4,'Flujo de Pagos'!H316&lt;&gt;""),316,99999)</f>
        <v>99999</v>
      </c>
      <c r="H311" s="1" t="n">
        <f aca="false">IF(SMALL($AA311:$CH311,1)&gt;=9999,"",INDEX(Presupuesto!$C:$C,SMALL($AA311:$CH311,1)))</f>
        <v>0</v>
      </c>
      <c r="I311" s="1" t="n">
        <f aca="false">IF(SMALL($AA311:$CH311,2)&gt;=9999,"",INDEX(Presupuesto!$C:$C,SMALL($AA311:$CH311,2)))</f>
        <v>0</v>
      </c>
      <c r="J311" s="1" t="n">
        <f aca="false">IF(SMALL($AA311:$CH311,3)&gt;=9999,"",INDEX(Presupuesto!$C:$C,SMALL($AA311:$CH311,3)))</f>
        <v>0</v>
      </c>
      <c r="K311" s="1" t="n">
        <f aca="false">IF(SMALL($AA311:$CH311,4)&gt;=9999,"",INDEX(Presupuesto!$C:$C,SMALL($AA311:$CH311,4)))</f>
        <v>0</v>
      </c>
      <c r="L311" s="1" t="n">
        <f aca="false">IF(SMALL($AA311:$CH311,5)&gt;=9999,"",INDEX(Presupuesto!$C:$C,SMALL($AA311:$CH311,5)))</f>
        <v>0</v>
      </c>
      <c r="M311" s="1" t="n">
        <f aca="false">IF(SMALL($AA311:$CH311,6)&gt;=9999,"",INDEX(Presupuesto!$C:$C,SMALL($AA311:$CH311,6)))</f>
        <v>0</v>
      </c>
      <c r="N311" s="1" t="n">
        <f aca="false">IF(SMALL($AA311:$CH311,7)&gt;=9999,"",INDEX(Presupuesto!$C:$C,SMALL($AA311:$CH311,7)))</f>
        <v>0</v>
      </c>
      <c r="O311" s="1" t="n">
        <f aca="false">IF(SMALL($AA311:$CH311,8)&gt;=9999,"",INDEX(Presupuesto!$C:$C,SMALL($AA311:$CH311,8)))</f>
        <v>0</v>
      </c>
      <c r="P311" s="1" t="n">
        <f aca="false">IF(SMALL($AA311:$CH311,9)&gt;=9999,"",INDEX(Presupuesto!$C:$C,SMALL($AA311:$CH311,9)))</f>
        <v>0</v>
      </c>
      <c r="Q311" s="1" t="n">
        <f aca="false">IF(SMALL($AA311:$CH311,10)&gt;=9999,"",INDEX(Presupuesto!$C:$C,SMALL($AA311:$CH311,10)))</f>
        <v>0</v>
      </c>
      <c r="AA311" s="0" t="n">
        <f aca="false">IF(Presupuesto!$B$7='Flujo de Pagos'!$E311,7,9999)</f>
        <v>9999</v>
      </c>
      <c r="AB311" s="0" t="n">
        <f aca="false">IF(Presupuesto!$B$8='Flujo de Pagos'!$E311,8,9999)</f>
        <v>9999</v>
      </c>
      <c r="AC311" s="0" t="n">
        <f aca="false">IF(Presupuesto!$B$9='Flujo de Pagos'!$E311,9,9999)</f>
        <v>9999</v>
      </c>
      <c r="AD311" s="0" t="n">
        <f aca="false">IF(Presupuesto!$B$10='Flujo de Pagos'!$E311,10,9999)</f>
        <v>9999</v>
      </c>
      <c r="AE311" s="0" t="n">
        <f aca="false">IF(Presupuesto!$B$11='Flujo de Pagos'!$E311,11,9999)</f>
        <v>9999</v>
      </c>
      <c r="AF311" s="0" t="n">
        <f aca="false">IF(Presupuesto!$B$12='Flujo de Pagos'!$E311,12,9999)</f>
        <v>12</v>
      </c>
      <c r="AG311" s="0" t="n">
        <f aca="false">IF(Presupuesto!$B$13='Flujo de Pagos'!$E311,13,9999)</f>
        <v>13</v>
      </c>
      <c r="AH311" s="0" t="n">
        <f aca="false">IF(Presupuesto!$B$14='Flujo de Pagos'!$E311,14,9999)</f>
        <v>14</v>
      </c>
      <c r="AI311" s="0" t="n">
        <f aca="false">IF(Presupuesto!$B$15='Flujo de Pagos'!$E311,15,9999)</f>
        <v>15</v>
      </c>
      <c r="AJ311" s="0" t="n">
        <f aca="false">IF(Presupuesto!$B$16='Flujo de Pagos'!$E311,16,9999)</f>
        <v>16</v>
      </c>
      <c r="AK311" s="0" t="n">
        <f aca="false">IF(Presupuesto!$B$17='Flujo de Pagos'!$E311,17,9999)</f>
        <v>17</v>
      </c>
      <c r="AL311" s="0" t="n">
        <f aca="false">IF(Presupuesto!$B$18='Flujo de Pagos'!$E311,18,9999)</f>
        <v>18</v>
      </c>
      <c r="AM311" s="0" t="n">
        <f aca="false">IF(Presupuesto!$B$19='Flujo de Pagos'!$E311,19,9999)</f>
        <v>19</v>
      </c>
      <c r="AN311" s="0" t="n">
        <f aca="false">IF(Presupuesto!$B$20='Flujo de Pagos'!$E311,20,9999)</f>
        <v>20</v>
      </c>
      <c r="AO311" s="0" t="n">
        <f aca="false">IF(Presupuesto!$B$21='Flujo de Pagos'!$E311,21,9999)</f>
        <v>21</v>
      </c>
      <c r="AP311" s="0" t="n">
        <f aca="false">IF(Presupuesto!$B$22='Flujo de Pagos'!$E311,22,9999)</f>
        <v>22</v>
      </c>
      <c r="AQ311" s="0" t="n">
        <f aca="false">IF(Presupuesto!$B$23='Flujo de Pagos'!$E311,23,9999)</f>
        <v>23</v>
      </c>
      <c r="AR311" s="0" t="n">
        <f aca="false">IF(Presupuesto!$B$24='Flujo de Pagos'!$E311,24,9999)</f>
        <v>24</v>
      </c>
      <c r="AS311" s="0" t="n">
        <f aca="false">IF(Presupuesto!$B$25='Flujo de Pagos'!$E311,25,9999)</f>
        <v>25</v>
      </c>
      <c r="AT311" s="0" t="n">
        <f aca="false">IF(Presupuesto!$B$26='Flujo de Pagos'!$E311,26,9999)</f>
        <v>26</v>
      </c>
      <c r="AU311" s="0" t="n">
        <f aca="false">IF(Presupuesto!$B$27='Flujo de Pagos'!$E311,27,9999)</f>
        <v>27</v>
      </c>
      <c r="AV311" s="0" t="n">
        <f aca="false">IF(Presupuesto!$B$28='Flujo de Pagos'!$E311,28,9999)</f>
        <v>28</v>
      </c>
      <c r="AW311" s="0" t="n">
        <f aca="false">IF(Presupuesto!$B$29='Flujo de Pagos'!$E311,29,9999)</f>
        <v>29</v>
      </c>
      <c r="AX311" s="0" t="n">
        <f aca="false">IF(Presupuesto!$B$30='Flujo de Pagos'!$E311,30,9999)</f>
        <v>30</v>
      </c>
      <c r="AY311" s="0" t="n">
        <f aca="false">IF(Presupuesto!$B$31='Flujo de Pagos'!$E311,31,9999)</f>
        <v>31</v>
      </c>
      <c r="AZ311" s="0" t="n">
        <f aca="false">IF(Presupuesto!$B$32='Flujo de Pagos'!$E311,32,9999)</f>
        <v>32</v>
      </c>
      <c r="BA311" s="0" t="n">
        <f aca="false">IF(Presupuesto!$B$33='Flujo de Pagos'!$E311,33,9999)</f>
        <v>33</v>
      </c>
      <c r="BB311" s="0" t="n">
        <f aca="false">IF(Presupuesto!$B$34='Flujo de Pagos'!$E311,34,9999)</f>
        <v>34</v>
      </c>
      <c r="BC311" s="0" t="n">
        <f aca="false">IF(Presupuesto!$B$35='Flujo de Pagos'!$E311,35,9999)</f>
        <v>35</v>
      </c>
      <c r="BD311" s="0" t="n">
        <f aca="false">IF(Presupuesto!$B$36='Flujo de Pagos'!$E311,36,9999)</f>
        <v>36</v>
      </c>
      <c r="BE311" s="0" t="n">
        <f aca="false">IF(Presupuesto!$B$37='Flujo de Pagos'!$E311,37,9999)</f>
        <v>37</v>
      </c>
      <c r="BF311" s="0" t="n">
        <f aca="false">IF(Presupuesto!$B$38='Flujo de Pagos'!$E311,38,9999)</f>
        <v>38</v>
      </c>
      <c r="BG311" s="0" t="n">
        <f aca="false">IF(Presupuesto!$B$39='Flujo de Pagos'!$E311,39,9999)</f>
        <v>39</v>
      </c>
      <c r="BH311" s="0" t="n">
        <f aca="false">IF(Presupuesto!$B$40='Flujo de Pagos'!$E311,40,9999)</f>
        <v>40</v>
      </c>
      <c r="BI311" s="0" t="n">
        <f aca="false">IF(Presupuesto!$B$41='Flujo de Pagos'!$E311,41,9999)</f>
        <v>41</v>
      </c>
      <c r="BJ311" s="0" t="n">
        <f aca="false">IF(Presupuesto!$B$42='Flujo de Pagos'!$E311,42,9999)</f>
        <v>42</v>
      </c>
      <c r="BK311" s="0" t="n">
        <f aca="false">IF(Presupuesto!$B$43='Flujo de Pagos'!$E311,43,9999)</f>
        <v>43</v>
      </c>
      <c r="BL311" s="0" t="n">
        <f aca="false">IF(Presupuesto!$B$44='Flujo de Pagos'!$E311,44,9999)</f>
        <v>44</v>
      </c>
      <c r="BM311" s="0" t="n">
        <f aca="false">IF(Presupuesto!$B$45='Flujo de Pagos'!$E311,45,9999)</f>
        <v>45</v>
      </c>
      <c r="BN311" s="0" t="n">
        <f aca="false">IF(Presupuesto!$B$46='Flujo de Pagos'!$E311,46,9999)</f>
        <v>46</v>
      </c>
      <c r="BO311" s="0" t="n">
        <f aca="false">IF(Presupuesto!$B$47='Flujo de Pagos'!$E311,47,9999)</f>
        <v>47</v>
      </c>
      <c r="BP311" s="0" t="n">
        <f aca="false">IF(Presupuesto!$B$48='Flujo de Pagos'!$E311,48,9999)</f>
        <v>48</v>
      </c>
      <c r="BQ311" s="0" t="n">
        <f aca="false">IF(Presupuesto!$B$49='Flujo de Pagos'!$E311,49,9999)</f>
        <v>49</v>
      </c>
      <c r="BR311" s="0" t="n">
        <f aca="false">IF(Presupuesto!$B$50='Flujo de Pagos'!$E311,50,9999)</f>
        <v>50</v>
      </c>
      <c r="BS311" s="0" t="n">
        <f aca="false">IF(Presupuesto!$B$51='Flujo de Pagos'!$E311,51,9999)</f>
        <v>51</v>
      </c>
      <c r="BT311" s="0" t="n">
        <f aca="false">IF(Presupuesto!$B$52='Flujo de Pagos'!$E311,52,9999)</f>
        <v>52</v>
      </c>
      <c r="BU311" s="0" t="n">
        <f aca="false">IF(Presupuesto!$B$53='Flujo de Pagos'!$E311,53,9999)</f>
        <v>53</v>
      </c>
      <c r="BV311" s="0" t="n">
        <f aca="false">IF(Presupuesto!$B$54='Flujo de Pagos'!$E311,54,9999)</f>
        <v>54</v>
      </c>
      <c r="BW311" s="0" t="n">
        <f aca="false">IF(Presupuesto!$B$55='Flujo de Pagos'!$E311,55,9999)</f>
        <v>55</v>
      </c>
      <c r="BX311" s="0" t="n">
        <f aca="false">IF(Presupuesto!$B$56='Flujo de Pagos'!$E311,56,9999)</f>
        <v>56</v>
      </c>
      <c r="BY311" s="0" t="n">
        <f aca="false">IF(Presupuesto!$B$57='Flujo de Pagos'!$E311,57,9999)</f>
        <v>57</v>
      </c>
      <c r="BZ311" s="0" t="n">
        <f aca="false">IF(Presupuesto!$B$58='Flujo de Pagos'!$E311,58,9999)</f>
        <v>58</v>
      </c>
      <c r="CA311" s="0" t="n">
        <f aca="false">IF(Presupuesto!$B$59='Flujo de Pagos'!$E311,59,9999)</f>
        <v>59</v>
      </c>
      <c r="CB311" s="0" t="n">
        <f aca="false">IF(Presupuesto!$B$60='Flujo de Pagos'!$E311,60,9999)</f>
        <v>60</v>
      </c>
      <c r="CC311" s="0" t="n">
        <f aca="false">IF(Presupuesto!$B$61='Flujo de Pagos'!$E311,61,9999)</f>
        <v>61</v>
      </c>
      <c r="CD311" s="0" t="n">
        <f aca="false">IF(Presupuesto!$B$62='Flujo de Pagos'!$E311,62,9999)</f>
        <v>62</v>
      </c>
      <c r="CE311" s="0" t="n">
        <f aca="false">IF(Presupuesto!$B$63='Flujo de Pagos'!$E311,63,9999)</f>
        <v>63</v>
      </c>
      <c r="CF311" s="0" t="n">
        <f aca="false">IF(Presupuesto!$B$64='Flujo de Pagos'!$E311,64,9999)</f>
        <v>64</v>
      </c>
      <c r="CG311" s="0" t="n">
        <f aca="false">IF(Presupuesto!$B$65='Flujo de Pagos'!$E311,65,9999)</f>
        <v>65</v>
      </c>
      <c r="CH311" s="0" t="n">
        <f aca="false">IF(Presupuesto!$B$66='Flujo de Pagos'!$E311,66,9999)</f>
        <v>66</v>
      </c>
    </row>
    <row r="312" customFormat="false" ht="15" hidden="false" customHeight="true" outlineLevel="0" collapsed="false">
      <c r="B312" s="1" t="n">
        <f aca="false">IF(AND('Flujo de Pagos'!E317=Carátula!$B$2,'Flujo de Pagos'!F317=Carátula!$B$4,'Flujo de Pagos'!H317&lt;&gt;""),317,99999)</f>
        <v>99999</v>
      </c>
      <c r="H312" s="1" t="n">
        <f aca="false">IF(SMALL($AA312:$CH312,1)&gt;=9999,"",INDEX(Presupuesto!$C:$C,SMALL($AA312:$CH312,1)))</f>
        <v>0</v>
      </c>
      <c r="I312" s="1" t="n">
        <f aca="false">IF(SMALL($AA312:$CH312,2)&gt;=9999,"",INDEX(Presupuesto!$C:$C,SMALL($AA312:$CH312,2)))</f>
        <v>0</v>
      </c>
      <c r="J312" s="1" t="n">
        <f aca="false">IF(SMALL($AA312:$CH312,3)&gt;=9999,"",INDEX(Presupuesto!$C:$C,SMALL($AA312:$CH312,3)))</f>
        <v>0</v>
      </c>
      <c r="K312" s="1" t="n">
        <f aca="false">IF(SMALL($AA312:$CH312,4)&gt;=9999,"",INDEX(Presupuesto!$C:$C,SMALL($AA312:$CH312,4)))</f>
        <v>0</v>
      </c>
      <c r="L312" s="1" t="n">
        <f aca="false">IF(SMALL($AA312:$CH312,5)&gt;=9999,"",INDEX(Presupuesto!$C:$C,SMALL($AA312:$CH312,5)))</f>
        <v>0</v>
      </c>
      <c r="M312" s="1" t="n">
        <f aca="false">IF(SMALL($AA312:$CH312,6)&gt;=9999,"",INDEX(Presupuesto!$C:$C,SMALL($AA312:$CH312,6)))</f>
        <v>0</v>
      </c>
      <c r="N312" s="1" t="n">
        <f aca="false">IF(SMALL($AA312:$CH312,7)&gt;=9999,"",INDEX(Presupuesto!$C:$C,SMALL($AA312:$CH312,7)))</f>
        <v>0</v>
      </c>
      <c r="O312" s="1" t="n">
        <f aca="false">IF(SMALL($AA312:$CH312,8)&gt;=9999,"",INDEX(Presupuesto!$C:$C,SMALL($AA312:$CH312,8)))</f>
        <v>0</v>
      </c>
      <c r="P312" s="1" t="n">
        <f aca="false">IF(SMALL($AA312:$CH312,9)&gt;=9999,"",INDEX(Presupuesto!$C:$C,SMALL($AA312:$CH312,9)))</f>
        <v>0</v>
      </c>
      <c r="Q312" s="1" t="n">
        <f aca="false">IF(SMALL($AA312:$CH312,10)&gt;=9999,"",INDEX(Presupuesto!$C:$C,SMALL($AA312:$CH312,10)))</f>
        <v>0</v>
      </c>
      <c r="AA312" s="0" t="n">
        <f aca="false">IF(Presupuesto!$B$7='Flujo de Pagos'!$E312,7,9999)</f>
        <v>9999</v>
      </c>
      <c r="AB312" s="0" t="n">
        <f aca="false">IF(Presupuesto!$B$8='Flujo de Pagos'!$E312,8,9999)</f>
        <v>9999</v>
      </c>
      <c r="AC312" s="0" t="n">
        <f aca="false">IF(Presupuesto!$B$9='Flujo de Pagos'!$E312,9,9999)</f>
        <v>9999</v>
      </c>
      <c r="AD312" s="0" t="n">
        <f aca="false">IF(Presupuesto!$B$10='Flujo de Pagos'!$E312,10,9999)</f>
        <v>9999</v>
      </c>
      <c r="AE312" s="0" t="n">
        <f aca="false">IF(Presupuesto!$B$11='Flujo de Pagos'!$E312,11,9999)</f>
        <v>9999</v>
      </c>
      <c r="AF312" s="0" t="n">
        <f aca="false">IF(Presupuesto!$B$12='Flujo de Pagos'!$E312,12,9999)</f>
        <v>12</v>
      </c>
      <c r="AG312" s="0" t="n">
        <f aca="false">IF(Presupuesto!$B$13='Flujo de Pagos'!$E312,13,9999)</f>
        <v>13</v>
      </c>
      <c r="AH312" s="0" t="n">
        <f aca="false">IF(Presupuesto!$B$14='Flujo de Pagos'!$E312,14,9999)</f>
        <v>14</v>
      </c>
      <c r="AI312" s="0" t="n">
        <f aca="false">IF(Presupuesto!$B$15='Flujo de Pagos'!$E312,15,9999)</f>
        <v>15</v>
      </c>
      <c r="AJ312" s="0" t="n">
        <f aca="false">IF(Presupuesto!$B$16='Flujo de Pagos'!$E312,16,9999)</f>
        <v>16</v>
      </c>
      <c r="AK312" s="0" t="n">
        <f aca="false">IF(Presupuesto!$B$17='Flujo de Pagos'!$E312,17,9999)</f>
        <v>17</v>
      </c>
      <c r="AL312" s="0" t="n">
        <f aca="false">IF(Presupuesto!$B$18='Flujo de Pagos'!$E312,18,9999)</f>
        <v>18</v>
      </c>
      <c r="AM312" s="0" t="n">
        <f aca="false">IF(Presupuesto!$B$19='Flujo de Pagos'!$E312,19,9999)</f>
        <v>19</v>
      </c>
      <c r="AN312" s="0" t="n">
        <f aca="false">IF(Presupuesto!$B$20='Flujo de Pagos'!$E312,20,9999)</f>
        <v>20</v>
      </c>
      <c r="AO312" s="0" t="n">
        <f aca="false">IF(Presupuesto!$B$21='Flujo de Pagos'!$E312,21,9999)</f>
        <v>21</v>
      </c>
      <c r="AP312" s="0" t="n">
        <f aca="false">IF(Presupuesto!$B$22='Flujo de Pagos'!$E312,22,9999)</f>
        <v>22</v>
      </c>
      <c r="AQ312" s="0" t="n">
        <f aca="false">IF(Presupuesto!$B$23='Flujo de Pagos'!$E312,23,9999)</f>
        <v>23</v>
      </c>
      <c r="AR312" s="0" t="n">
        <f aca="false">IF(Presupuesto!$B$24='Flujo de Pagos'!$E312,24,9999)</f>
        <v>24</v>
      </c>
      <c r="AS312" s="0" t="n">
        <f aca="false">IF(Presupuesto!$B$25='Flujo de Pagos'!$E312,25,9999)</f>
        <v>25</v>
      </c>
      <c r="AT312" s="0" t="n">
        <f aca="false">IF(Presupuesto!$B$26='Flujo de Pagos'!$E312,26,9999)</f>
        <v>26</v>
      </c>
      <c r="AU312" s="0" t="n">
        <f aca="false">IF(Presupuesto!$B$27='Flujo de Pagos'!$E312,27,9999)</f>
        <v>27</v>
      </c>
      <c r="AV312" s="0" t="n">
        <f aca="false">IF(Presupuesto!$B$28='Flujo de Pagos'!$E312,28,9999)</f>
        <v>28</v>
      </c>
      <c r="AW312" s="0" t="n">
        <f aca="false">IF(Presupuesto!$B$29='Flujo de Pagos'!$E312,29,9999)</f>
        <v>29</v>
      </c>
      <c r="AX312" s="0" t="n">
        <f aca="false">IF(Presupuesto!$B$30='Flujo de Pagos'!$E312,30,9999)</f>
        <v>30</v>
      </c>
      <c r="AY312" s="0" t="n">
        <f aca="false">IF(Presupuesto!$B$31='Flujo de Pagos'!$E312,31,9999)</f>
        <v>31</v>
      </c>
      <c r="AZ312" s="0" t="n">
        <f aca="false">IF(Presupuesto!$B$32='Flujo de Pagos'!$E312,32,9999)</f>
        <v>32</v>
      </c>
      <c r="BA312" s="0" t="n">
        <f aca="false">IF(Presupuesto!$B$33='Flujo de Pagos'!$E312,33,9999)</f>
        <v>33</v>
      </c>
      <c r="BB312" s="0" t="n">
        <f aca="false">IF(Presupuesto!$B$34='Flujo de Pagos'!$E312,34,9999)</f>
        <v>34</v>
      </c>
      <c r="BC312" s="0" t="n">
        <f aca="false">IF(Presupuesto!$B$35='Flujo de Pagos'!$E312,35,9999)</f>
        <v>35</v>
      </c>
      <c r="BD312" s="0" t="n">
        <f aca="false">IF(Presupuesto!$B$36='Flujo de Pagos'!$E312,36,9999)</f>
        <v>36</v>
      </c>
      <c r="BE312" s="0" t="n">
        <f aca="false">IF(Presupuesto!$B$37='Flujo de Pagos'!$E312,37,9999)</f>
        <v>37</v>
      </c>
      <c r="BF312" s="0" t="n">
        <f aca="false">IF(Presupuesto!$B$38='Flujo de Pagos'!$E312,38,9999)</f>
        <v>38</v>
      </c>
      <c r="BG312" s="0" t="n">
        <f aca="false">IF(Presupuesto!$B$39='Flujo de Pagos'!$E312,39,9999)</f>
        <v>39</v>
      </c>
      <c r="BH312" s="0" t="n">
        <f aca="false">IF(Presupuesto!$B$40='Flujo de Pagos'!$E312,40,9999)</f>
        <v>40</v>
      </c>
      <c r="BI312" s="0" t="n">
        <f aca="false">IF(Presupuesto!$B$41='Flujo de Pagos'!$E312,41,9999)</f>
        <v>41</v>
      </c>
      <c r="BJ312" s="0" t="n">
        <f aca="false">IF(Presupuesto!$B$42='Flujo de Pagos'!$E312,42,9999)</f>
        <v>42</v>
      </c>
      <c r="BK312" s="0" t="n">
        <f aca="false">IF(Presupuesto!$B$43='Flujo de Pagos'!$E312,43,9999)</f>
        <v>43</v>
      </c>
      <c r="BL312" s="0" t="n">
        <f aca="false">IF(Presupuesto!$B$44='Flujo de Pagos'!$E312,44,9999)</f>
        <v>44</v>
      </c>
      <c r="BM312" s="0" t="n">
        <f aca="false">IF(Presupuesto!$B$45='Flujo de Pagos'!$E312,45,9999)</f>
        <v>45</v>
      </c>
      <c r="BN312" s="0" t="n">
        <f aca="false">IF(Presupuesto!$B$46='Flujo de Pagos'!$E312,46,9999)</f>
        <v>46</v>
      </c>
      <c r="BO312" s="0" t="n">
        <f aca="false">IF(Presupuesto!$B$47='Flujo de Pagos'!$E312,47,9999)</f>
        <v>47</v>
      </c>
      <c r="BP312" s="0" t="n">
        <f aca="false">IF(Presupuesto!$B$48='Flujo de Pagos'!$E312,48,9999)</f>
        <v>48</v>
      </c>
      <c r="BQ312" s="0" t="n">
        <f aca="false">IF(Presupuesto!$B$49='Flujo de Pagos'!$E312,49,9999)</f>
        <v>49</v>
      </c>
      <c r="BR312" s="0" t="n">
        <f aca="false">IF(Presupuesto!$B$50='Flujo de Pagos'!$E312,50,9999)</f>
        <v>50</v>
      </c>
      <c r="BS312" s="0" t="n">
        <f aca="false">IF(Presupuesto!$B$51='Flujo de Pagos'!$E312,51,9999)</f>
        <v>51</v>
      </c>
      <c r="BT312" s="0" t="n">
        <f aca="false">IF(Presupuesto!$B$52='Flujo de Pagos'!$E312,52,9999)</f>
        <v>52</v>
      </c>
      <c r="BU312" s="0" t="n">
        <f aca="false">IF(Presupuesto!$B$53='Flujo de Pagos'!$E312,53,9999)</f>
        <v>53</v>
      </c>
      <c r="BV312" s="0" t="n">
        <f aca="false">IF(Presupuesto!$B$54='Flujo de Pagos'!$E312,54,9999)</f>
        <v>54</v>
      </c>
      <c r="BW312" s="0" t="n">
        <f aca="false">IF(Presupuesto!$B$55='Flujo de Pagos'!$E312,55,9999)</f>
        <v>55</v>
      </c>
      <c r="BX312" s="0" t="n">
        <f aca="false">IF(Presupuesto!$B$56='Flujo de Pagos'!$E312,56,9999)</f>
        <v>56</v>
      </c>
      <c r="BY312" s="0" t="n">
        <f aca="false">IF(Presupuesto!$B$57='Flujo de Pagos'!$E312,57,9999)</f>
        <v>57</v>
      </c>
      <c r="BZ312" s="0" t="n">
        <f aca="false">IF(Presupuesto!$B$58='Flujo de Pagos'!$E312,58,9999)</f>
        <v>58</v>
      </c>
      <c r="CA312" s="0" t="n">
        <f aca="false">IF(Presupuesto!$B$59='Flujo de Pagos'!$E312,59,9999)</f>
        <v>59</v>
      </c>
      <c r="CB312" s="0" t="n">
        <f aca="false">IF(Presupuesto!$B$60='Flujo de Pagos'!$E312,60,9999)</f>
        <v>60</v>
      </c>
      <c r="CC312" s="0" t="n">
        <f aca="false">IF(Presupuesto!$B$61='Flujo de Pagos'!$E312,61,9999)</f>
        <v>61</v>
      </c>
      <c r="CD312" s="0" t="n">
        <f aca="false">IF(Presupuesto!$B$62='Flujo de Pagos'!$E312,62,9999)</f>
        <v>62</v>
      </c>
      <c r="CE312" s="0" t="n">
        <f aca="false">IF(Presupuesto!$B$63='Flujo de Pagos'!$E312,63,9999)</f>
        <v>63</v>
      </c>
      <c r="CF312" s="0" t="n">
        <f aca="false">IF(Presupuesto!$B$64='Flujo de Pagos'!$E312,64,9999)</f>
        <v>64</v>
      </c>
      <c r="CG312" s="0" t="n">
        <f aca="false">IF(Presupuesto!$B$65='Flujo de Pagos'!$E312,65,9999)</f>
        <v>65</v>
      </c>
      <c r="CH312" s="0" t="n">
        <f aca="false">IF(Presupuesto!$B$66='Flujo de Pagos'!$E312,66,9999)</f>
        <v>66</v>
      </c>
    </row>
    <row r="313" customFormat="false" ht="15" hidden="false" customHeight="true" outlineLevel="0" collapsed="false">
      <c r="B313" s="1" t="n">
        <f aca="false">IF(AND('Flujo de Pagos'!E318=Carátula!$B$2,'Flujo de Pagos'!F318=Carátula!$B$4,'Flujo de Pagos'!H318&lt;&gt;""),318,99999)</f>
        <v>99999</v>
      </c>
      <c r="H313" s="1" t="n">
        <f aca="false">IF(SMALL($AA313:$CH313,1)&gt;=9999,"",INDEX(Presupuesto!$C:$C,SMALL($AA313:$CH313,1)))</f>
        <v>0</v>
      </c>
      <c r="I313" s="1" t="n">
        <f aca="false">IF(SMALL($AA313:$CH313,2)&gt;=9999,"",INDEX(Presupuesto!$C:$C,SMALL($AA313:$CH313,2)))</f>
        <v>0</v>
      </c>
      <c r="J313" s="1" t="n">
        <f aca="false">IF(SMALL($AA313:$CH313,3)&gt;=9999,"",INDEX(Presupuesto!$C:$C,SMALL($AA313:$CH313,3)))</f>
        <v>0</v>
      </c>
      <c r="K313" s="1" t="n">
        <f aca="false">IF(SMALL($AA313:$CH313,4)&gt;=9999,"",INDEX(Presupuesto!$C:$C,SMALL($AA313:$CH313,4)))</f>
        <v>0</v>
      </c>
      <c r="L313" s="1" t="n">
        <f aca="false">IF(SMALL($AA313:$CH313,5)&gt;=9999,"",INDEX(Presupuesto!$C:$C,SMALL($AA313:$CH313,5)))</f>
        <v>0</v>
      </c>
      <c r="M313" s="1" t="n">
        <f aca="false">IF(SMALL($AA313:$CH313,6)&gt;=9999,"",INDEX(Presupuesto!$C:$C,SMALL($AA313:$CH313,6)))</f>
        <v>0</v>
      </c>
      <c r="N313" s="1" t="n">
        <f aca="false">IF(SMALL($AA313:$CH313,7)&gt;=9999,"",INDEX(Presupuesto!$C:$C,SMALL($AA313:$CH313,7)))</f>
        <v>0</v>
      </c>
      <c r="O313" s="1" t="n">
        <f aca="false">IF(SMALL($AA313:$CH313,8)&gt;=9999,"",INDEX(Presupuesto!$C:$C,SMALL($AA313:$CH313,8)))</f>
        <v>0</v>
      </c>
      <c r="P313" s="1" t="n">
        <f aca="false">IF(SMALL($AA313:$CH313,9)&gt;=9999,"",INDEX(Presupuesto!$C:$C,SMALL($AA313:$CH313,9)))</f>
        <v>0</v>
      </c>
      <c r="Q313" s="1" t="n">
        <f aca="false">IF(SMALL($AA313:$CH313,10)&gt;=9999,"",INDEX(Presupuesto!$C:$C,SMALL($AA313:$CH313,10)))</f>
        <v>0</v>
      </c>
      <c r="AA313" s="0" t="n">
        <f aca="false">IF(Presupuesto!$B$7='Flujo de Pagos'!$E313,7,9999)</f>
        <v>9999</v>
      </c>
      <c r="AB313" s="0" t="n">
        <f aca="false">IF(Presupuesto!$B$8='Flujo de Pagos'!$E313,8,9999)</f>
        <v>9999</v>
      </c>
      <c r="AC313" s="0" t="n">
        <f aca="false">IF(Presupuesto!$B$9='Flujo de Pagos'!$E313,9,9999)</f>
        <v>9999</v>
      </c>
      <c r="AD313" s="0" t="n">
        <f aca="false">IF(Presupuesto!$B$10='Flujo de Pagos'!$E313,10,9999)</f>
        <v>9999</v>
      </c>
      <c r="AE313" s="0" t="n">
        <f aca="false">IF(Presupuesto!$B$11='Flujo de Pagos'!$E313,11,9999)</f>
        <v>9999</v>
      </c>
      <c r="AF313" s="0" t="n">
        <f aca="false">IF(Presupuesto!$B$12='Flujo de Pagos'!$E313,12,9999)</f>
        <v>12</v>
      </c>
      <c r="AG313" s="0" t="n">
        <f aca="false">IF(Presupuesto!$B$13='Flujo de Pagos'!$E313,13,9999)</f>
        <v>13</v>
      </c>
      <c r="AH313" s="0" t="n">
        <f aca="false">IF(Presupuesto!$B$14='Flujo de Pagos'!$E313,14,9999)</f>
        <v>14</v>
      </c>
      <c r="AI313" s="0" t="n">
        <f aca="false">IF(Presupuesto!$B$15='Flujo de Pagos'!$E313,15,9999)</f>
        <v>15</v>
      </c>
      <c r="AJ313" s="0" t="n">
        <f aca="false">IF(Presupuesto!$B$16='Flujo de Pagos'!$E313,16,9999)</f>
        <v>16</v>
      </c>
      <c r="AK313" s="0" t="n">
        <f aca="false">IF(Presupuesto!$B$17='Flujo de Pagos'!$E313,17,9999)</f>
        <v>17</v>
      </c>
      <c r="AL313" s="0" t="n">
        <f aca="false">IF(Presupuesto!$B$18='Flujo de Pagos'!$E313,18,9999)</f>
        <v>18</v>
      </c>
      <c r="AM313" s="0" t="n">
        <f aca="false">IF(Presupuesto!$B$19='Flujo de Pagos'!$E313,19,9999)</f>
        <v>19</v>
      </c>
      <c r="AN313" s="0" t="n">
        <f aca="false">IF(Presupuesto!$B$20='Flujo de Pagos'!$E313,20,9999)</f>
        <v>20</v>
      </c>
      <c r="AO313" s="0" t="n">
        <f aca="false">IF(Presupuesto!$B$21='Flujo de Pagos'!$E313,21,9999)</f>
        <v>21</v>
      </c>
      <c r="AP313" s="0" t="n">
        <f aca="false">IF(Presupuesto!$B$22='Flujo de Pagos'!$E313,22,9999)</f>
        <v>22</v>
      </c>
      <c r="AQ313" s="0" t="n">
        <f aca="false">IF(Presupuesto!$B$23='Flujo de Pagos'!$E313,23,9999)</f>
        <v>23</v>
      </c>
      <c r="AR313" s="0" t="n">
        <f aca="false">IF(Presupuesto!$B$24='Flujo de Pagos'!$E313,24,9999)</f>
        <v>24</v>
      </c>
      <c r="AS313" s="0" t="n">
        <f aca="false">IF(Presupuesto!$B$25='Flujo de Pagos'!$E313,25,9999)</f>
        <v>25</v>
      </c>
      <c r="AT313" s="0" t="n">
        <f aca="false">IF(Presupuesto!$B$26='Flujo de Pagos'!$E313,26,9999)</f>
        <v>26</v>
      </c>
      <c r="AU313" s="0" t="n">
        <f aca="false">IF(Presupuesto!$B$27='Flujo de Pagos'!$E313,27,9999)</f>
        <v>27</v>
      </c>
      <c r="AV313" s="0" t="n">
        <f aca="false">IF(Presupuesto!$B$28='Flujo de Pagos'!$E313,28,9999)</f>
        <v>28</v>
      </c>
      <c r="AW313" s="0" t="n">
        <f aca="false">IF(Presupuesto!$B$29='Flujo de Pagos'!$E313,29,9999)</f>
        <v>29</v>
      </c>
      <c r="AX313" s="0" t="n">
        <f aca="false">IF(Presupuesto!$B$30='Flujo de Pagos'!$E313,30,9999)</f>
        <v>30</v>
      </c>
      <c r="AY313" s="0" t="n">
        <f aca="false">IF(Presupuesto!$B$31='Flujo de Pagos'!$E313,31,9999)</f>
        <v>31</v>
      </c>
      <c r="AZ313" s="0" t="n">
        <f aca="false">IF(Presupuesto!$B$32='Flujo de Pagos'!$E313,32,9999)</f>
        <v>32</v>
      </c>
      <c r="BA313" s="0" t="n">
        <f aca="false">IF(Presupuesto!$B$33='Flujo de Pagos'!$E313,33,9999)</f>
        <v>33</v>
      </c>
      <c r="BB313" s="0" t="n">
        <f aca="false">IF(Presupuesto!$B$34='Flujo de Pagos'!$E313,34,9999)</f>
        <v>34</v>
      </c>
      <c r="BC313" s="0" t="n">
        <f aca="false">IF(Presupuesto!$B$35='Flujo de Pagos'!$E313,35,9999)</f>
        <v>35</v>
      </c>
      <c r="BD313" s="0" t="n">
        <f aca="false">IF(Presupuesto!$B$36='Flujo de Pagos'!$E313,36,9999)</f>
        <v>36</v>
      </c>
      <c r="BE313" s="0" t="n">
        <f aca="false">IF(Presupuesto!$B$37='Flujo de Pagos'!$E313,37,9999)</f>
        <v>37</v>
      </c>
      <c r="BF313" s="0" t="n">
        <f aca="false">IF(Presupuesto!$B$38='Flujo de Pagos'!$E313,38,9999)</f>
        <v>38</v>
      </c>
      <c r="BG313" s="0" t="n">
        <f aca="false">IF(Presupuesto!$B$39='Flujo de Pagos'!$E313,39,9999)</f>
        <v>39</v>
      </c>
      <c r="BH313" s="0" t="n">
        <f aca="false">IF(Presupuesto!$B$40='Flujo de Pagos'!$E313,40,9999)</f>
        <v>40</v>
      </c>
      <c r="BI313" s="0" t="n">
        <f aca="false">IF(Presupuesto!$B$41='Flujo de Pagos'!$E313,41,9999)</f>
        <v>41</v>
      </c>
      <c r="BJ313" s="0" t="n">
        <f aca="false">IF(Presupuesto!$B$42='Flujo de Pagos'!$E313,42,9999)</f>
        <v>42</v>
      </c>
      <c r="BK313" s="0" t="n">
        <f aca="false">IF(Presupuesto!$B$43='Flujo de Pagos'!$E313,43,9999)</f>
        <v>43</v>
      </c>
      <c r="BL313" s="0" t="n">
        <f aca="false">IF(Presupuesto!$B$44='Flujo de Pagos'!$E313,44,9999)</f>
        <v>44</v>
      </c>
      <c r="BM313" s="0" t="n">
        <f aca="false">IF(Presupuesto!$B$45='Flujo de Pagos'!$E313,45,9999)</f>
        <v>45</v>
      </c>
      <c r="BN313" s="0" t="n">
        <f aca="false">IF(Presupuesto!$B$46='Flujo de Pagos'!$E313,46,9999)</f>
        <v>46</v>
      </c>
      <c r="BO313" s="0" t="n">
        <f aca="false">IF(Presupuesto!$B$47='Flujo de Pagos'!$E313,47,9999)</f>
        <v>47</v>
      </c>
      <c r="BP313" s="0" t="n">
        <f aca="false">IF(Presupuesto!$B$48='Flujo de Pagos'!$E313,48,9999)</f>
        <v>48</v>
      </c>
      <c r="BQ313" s="0" t="n">
        <f aca="false">IF(Presupuesto!$B$49='Flujo de Pagos'!$E313,49,9999)</f>
        <v>49</v>
      </c>
      <c r="BR313" s="0" t="n">
        <f aca="false">IF(Presupuesto!$B$50='Flujo de Pagos'!$E313,50,9999)</f>
        <v>50</v>
      </c>
      <c r="BS313" s="0" t="n">
        <f aca="false">IF(Presupuesto!$B$51='Flujo de Pagos'!$E313,51,9999)</f>
        <v>51</v>
      </c>
      <c r="BT313" s="0" t="n">
        <f aca="false">IF(Presupuesto!$B$52='Flujo de Pagos'!$E313,52,9999)</f>
        <v>52</v>
      </c>
      <c r="BU313" s="0" t="n">
        <f aca="false">IF(Presupuesto!$B$53='Flujo de Pagos'!$E313,53,9999)</f>
        <v>53</v>
      </c>
      <c r="BV313" s="0" t="n">
        <f aca="false">IF(Presupuesto!$B$54='Flujo de Pagos'!$E313,54,9999)</f>
        <v>54</v>
      </c>
      <c r="BW313" s="0" t="n">
        <f aca="false">IF(Presupuesto!$B$55='Flujo de Pagos'!$E313,55,9999)</f>
        <v>55</v>
      </c>
      <c r="BX313" s="0" t="n">
        <f aca="false">IF(Presupuesto!$B$56='Flujo de Pagos'!$E313,56,9999)</f>
        <v>56</v>
      </c>
      <c r="BY313" s="0" t="n">
        <f aca="false">IF(Presupuesto!$B$57='Flujo de Pagos'!$E313,57,9999)</f>
        <v>57</v>
      </c>
      <c r="BZ313" s="0" t="n">
        <f aca="false">IF(Presupuesto!$B$58='Flujo de Pagos'!$E313,58,9999)</f>
        <v>58</v>
      </c>
      <c r="CA313" s="0" t="n">
        <f aca="false">IF(Presupuesto!$B$59='Flujo de Pagos'!$E313,59,9999)</f>
        <v>59</v>
      </c>
      <c r="CB313" s="0" t="n">
        <f aca="false">IF(Presupuesto!$B$60='Flujo de Pagos'!$E313,60,9999)</f>
        <v>60</v>
      </c>
      <c r="CC313" s="0" t="n">
        <f aca="false">IF(Presupuesto!$B$61='Flujo de Pagos'!$E313,61,9999)</f>
        <v>61</v>
      </c>
      <c r="CD313" s="0" t="n">
        <f aca="false">IF(Presupuesto!$B$62='Flujo de Pagos'!$E313,62,9999)</f>
        <v>62</v>
      </c>
      <c r="CE313" s="0" t="n">
        <f aca="false">IF(Presupuesto!$B$63='Flujo de Pagos'!$E313,63,9999)</f>
        <v>63</v>
      </c>
      <c r="CF313" s="0" t="n">
        <f aca="false">IF(Presupuesto!$B$64='Flujo de Pagos'!$E313,64,9999)</f>
        <v>64</v>
      </c>
      <c r="CG313" s="0" t="n">
        <f aca="false">IF(Presupuesto!$B$65='Flujo de Pagos'!$E313,65,9999)</f>
        <v>65</v>
      </c>
      <c r="CH313" s="0" t="n">
        <f aca="false">IF(Presupuesto!$B$66='Flujo de Pagos'!$E313,66,9999)</f>
        <v>66</v>
      </c>
    </row>
    <row r="314" customFormat="false" ht="15" hidden="false" customHeight="true" outlineLevel="0" collapsed="false">
      <c r="B314" s="1" t="n">
        <f aca="false">IF(AND('Flujo de Pagos'!E319=Carátula!$B$2,'Flujo de Pagos'!F319=Carátula!$B$4,'Flujo de Pagos'!H319&lt;&gt;""),319,99999)</f>
        <v>99999</v>
      </c>
      <c r="H314" s="1" t="n">
        <f aca="false">IF(SMALL($AA314:$CH314,1)&gt;=9999,"",INDEX(Presupuesto!$C:$C,SMALL($AA314:$CH314,1)))</f>
        <v>0</v>
      </c>
      <c r="I314" s="1" t="n">
        <f aca="false">IF(SMALL($AA314:$CH314,2)&gt;=9999,"",INDEX(Presupuesto!$C:$C,SMALL($AA314:$CH314,2)))</f>
        <v>0</v>
      </c>
      <c r="J314" s="1" t="n">
        <f aca="false">IF(SMALL($AA314:$CH314,3)&gt;=9999,"",INDEX(Presupuesto!$C:$C,SMALL($AA314:$CH314,3)))</f>
        <v>0</v>
      </c>
      <c r="K314" s="1" t="n">
        <f aca="false">IF(SMALL($AA314:$CH314,4)&gt;=9999,"",INDEX(Presupuesto!$C:$C,SMALL($AA314:$CH314,4)))</f>
        <v>0</v>
      </c>
      <c r="L314" s="1" t="n">
        <f aca="false">IF(SMALL($AA314:$CH314,5)&gt;=9999,"",INDEX(Presupuesto!$C:$C,SMALL($AA314:$CH314,5)))</f>
        <v>0</v>
      </c>
      <c r="M314" s="1" t="n">
        <f aca="false">IF(SMALL($AA314:$CH314,6)&gt;=9999,"",INDEX(Presupuesto!$C:$C,SMALL($AA314:$CH314,6)))</f>
        <v>0</v>
      </c>
      <c r="N314" s="1" t="n">
        <f aca="false">IF(SMALL($AA314:$CH314,7)&gt;=9999,"",INDEX(Presupuesto!$C:$C,SMALL($AA314:$CH314,7)))</f>
        <v>0</v>
      </c>
      <c r="O314" s="1" t="n">
        <f aca="false">IF(SMALL($AA314:$CH314,8)&gt;=9999,"",INDEX(Presupuesto!$C:$C,SMALL($AA314:$CH314,8)))</f>
        <v>0</v>
      </c>
      <c r="P314" s="1" t="n">
        <f aca="false">IF(SMALL($AA314:$CH314,9)&gt;=9999,"",INDEX(Presupuesto!$C:$C,SMALL($AA314:$CH314,9)))</f>
        <v>0</v>
      </c>
      <c r="Q314" s="1" t="n">
        <f aca="false">IF(SMALL($AA314:$CH314,10)&gt;=9999,"",INDEX(Presupuesto!$C:$C,SMALL($AA314:$CH314,10)))</f>
        <v>0</v>
      </c>
      <c r="AA314" s="0" t="n">
        <f aca="false">IF(Presupuesto!$B$7='Flujo de Pagos'!$E314,7,9999)</f>
        <v>9999</v>
      </c>
      <c r="AB314" s="0" t="n">
        <f aca="false">IF(Presupuesto!$B$8='Flujo de Pagos'!$E314,8,9999)</f>
        <v>9999</v>
      </c>
      <c r="AC314" s="0" t="n">
        <f aca="false">IF(Presupuesto!$B$9='Flujo de Pagos'!$E314,9,9999)</f>
        <v>9999</v>
      </c>
      <c r="AD314" s="0" t="n">
        <f aca="false">IF(Presupuesto!$B$10='Flujo de Pagos'!$E314,10,9999)</f>
        <v>9999</v>
      </c>
      <c r="AE314" s="0" t="n">
        <f aca="false">IF(Presupuesto!$B$11='Flujo de Pagos'!$E314,11,9999)</f>
        <v>9999</v>
      </c>
      <c r="AF314" s="0" t="n">
        <f aca="false">IF(Presupuesto!$B$12='Flujo de Pagos'!$E314,12,9999)</f>
        <v>12</v>
      </c>
      <c r="AG314" s="0" t="n">
        <f aca="false">IF(Presupuesto!$B$13='Flujo de Pagos'!$E314,13,9999)</f>
        <v>13</v>
      </c>
      <c r="AH314" s="0" t="n">
        <f aca="false">IF(Presupuesto!$B$14='Flujo de Pagos'!$E314,14,9999)</f>
        <v>14</v>
      </c>
      <c r="AI314" s="0" t="n">
        <f aca="false">IF(Presupuesto!$B$15='Flujo de Pagos'!$E314,15,9999)</f>
        <v>15</v>
      </c>
      <c r="AJ314" s="0" t="n">
        <f aca="false">IF(Presupuesto!$B$16='Flujo de Pagos'!$E314,16,9999)</f>
        <v>16</v>
      </c>
      <c r="AK314" s="0" t="n">
        <f aca="false">IF(Presupuesto!$B$17='Flujo de Pagos'!$E314,17,9999)</f>
        <v>17</v>
      </c>
      <c r="AL314" s="0" t="n">
        <f aca="false">IF(Presupuesto!$B$18='Flujo de Pagos'!$E314,18,9999)</f>
        <v>18</v>
      </c>
      <c r="AM314" s="0" t="n">
        <f aca="false">IF(Presupuesto!$B$19='Flujo de Pagos'!$E314,19,9999)</f>
        <v>19</v>
      </c>
      <c r="AN314" s="0" t="n">
        <f aca="false">IF(Presupuesto!$B$20='Flujo de Pagos'!$E314,20,9999)</f>
        <v>20</v>
      </c>
      <c r="AO314" s="0" t="n">
        <f aca="false">IF(Presupuesto!$B$21='Flujo de Pagos'!$E314,21,9999)</f>
        <v>21</v>
      </c>
      <c r="AP314" s="0" t="n">
        <f aca="false">IF(Presupuesto!$B$22='Flujo de Pagos'!$E314,22,9999)</f>
        <v>22</v>
      </c>
      <c r="AQ314" s="0" t="n">
        <f aca="false">IF(Presupuesto!$B$23='Flujo de Pagos'!$E314,23,9999)</f>
        <v>23</v>
      </c>
      <c r="AR314" s="0" t="n">
        <f aca="false">IF(Presupuesto!$B$24='Flujo de Pagos'!$E314,24,9999)</f>
        <v>24</v>
      </c>
      <c r="AS314" s="0" t="n">
        <f aca="false">IF(Presupuesto!$B$25='Flujo de Pagos'!$E314,25,9999)</f>
        <v>25</v>
      </c>
      <c r="AT314" s="0" t="n">
        <f aca="false">IF(Presupuesto!$B$26='Flujo de Pagos'!$E314,26,9999)</f>
        <v>26</v>
      </c>
      <c r="AU314" s="0" t="n">
        <f aca="false">IF(Presupuesto!$B$27='Flujo de Pagos'!$E314,27,9999)</f>
        <v>27</v>
      </c>
      <c r="AV314" s="0" t="n">
        <f aca="false">IF(Presupuesto!$B$28='Flujo de Pagos'!$E314,28,9999)</f>
        <v>28</v>
      </c>
      <c r="AW314" s="0" t="n">
        <f aca="false">IF(Presupuesto!$B$29='Flujo de Pagos'!$E314,29,9999)</f>
        <v>29</v>
      </c>
      <c r="AX314" s="0" t="n">
        <f aca="false">IF(Presupuesto!$B$30='Flujo de Pagos'!$E314,30,9999)</f>
        <v>30</v>
      </c>
      <c r="AY314" s="0" t="n">
        <f aca="false">IF(Presupuesto!$B$31='Flujo de Pagos'!$E314,31,9999)</f>
        <v>31</v>
      </c>
      <c r="AZ314" s="0" t="n">
        <f aca="false">IF(Presupuesto!$B$32='Flujo de Pagos'!$E314,32,9999)</f>
        <v>32</v>
      </c>
      <c r="BA314" s="0" t="n">
        <f aca="false">IF(Presupuesto!$B$33='Flujo de Pagos'!$E314,33,9999)</f>
        <v>33</v>
      </c>
      <c r="BB314" s="0" t="n">
        <f aca="false">IF(Presupuesto!$B$34='Flujo de Pagos'!$E314,34,9999)</f>
        <v>34</v>
      </c>
      <c r="BC314" s="0" t="n">
        <f aca="false">IF(Presupuesto!$B$35='Flujo de Pagos'!$E314,35,9999)</f>
        <v>35</v>
      </c>
      <c r="BD314" s="0" t="n">
        <f aca="false">IF(Presupuesto!$B$36='Flujo de Pagos'!$E314,36,9999)</f>
        <v>36</v>
      </c>
      <c r="BE314" s="0" t="n">
        <f aca="false">IF(Presupuesto!$B$37='Flujo de Pagos'!$E314,37,9999)</f>
        <v>37</v>
      </c>
      <c r="BF314" s="0" t="n">
        <f aca="false">IF(Presupuesto!$B$38='Flujo de Pagos'!$E314,38,9999)</f>
        <v>38</v>
      </c>
      <c r="BG314" s="0" t="n">
        <f aca="false">IF(Presupuesto!$B$39='Flujo de Pagos'!$E314,39,9999)</f>
        <v>39</v>
      </c>
      <c r="BH314" s="0" t="n">
        <f aca="false">IF(Presupuesto!$B$40='Flujo de Pagos'!$E314,40,9999)</f>
        <v>40</v>
      </c>
      <c r="BI314" s="0" t="n">
        <f aca="false">IF(Presupuesto!$B$41='Flujo de Pagos'!$E314,41,9999)</f>
        <v>41</v>
      </c>
      <c r="BJ314" s="0" t="n">
        <f aca="false">IF(Presupuesto!$B$42='Flujo de Pagos'!$E314,42,9999)</f>
        <v>42</v>
      </c>
      <c r="BK314" s="0" t="n">
        <f aca="false">IF(Presupuesto!$B$43='Flujo de Pagos'!$E314,43,9999)</f>
        <v>43</v>
      </c>
      <c r="BL314" s="0" t="n">
        <f aca="false">IF(Presupuesto!$B$44='Flujo de Pagos'!$E314,44,9999)</f>
        <v>44</v>
      </c>
      <c r="BM314" s="0" t="n">
        <f aca="false">IF(Presupuesto!$B$45='Flujo de Pagos'!$E314,45,9999)</f>
        <v>45</v>
      </c>
      <c r="BN314" s="0" t="n">
        <f aca="false">IF(Presupuesto!$B$46='Flujo de Pagos'!$E314,46,9999)</f>
        <v>46</v>
      </c>
      <c r="BO314" s="0" t="n">
        <f aca="false">IF(Presupuesto!$B$47='Flujo de Pagos'!$E314,47,9999)</f>
        <v>47</v>
      </c>
      <c r="BP314" s="0" t="n">
        <f aca="false">IF(Presupuesto!$B$48='Flujo de Pagos'!$E314,48,9999)</f>
        <v>48</v>
      </c>
      <c r="BQ314" s="0" t="n">
        <f aca="false">IF(Presupuesto!$B$49='Flujo de Pagos'!$E314,49,9999)</f>
        <v>49</v>
      </c>
      <c r="BR314" s="0" t="n">
        <f aca="false">IF(Presupuesto!$B$50='Flujo de Pagos'!$E314,50,9999)</f>
        <v>50</v>
      </c>
      <c r="BS314" s="0" t="n">
        <f aca="false">IF(Presupuesto!$B$51='Flujo de Pagos'!$E314,51,9999)</f>
        <v>51</v>
      </c>
      <c r="BT314" s="0" t="n">
        <f aca="false">IF(Presupuesto!$B$52='Flujo de Pagos'!$E314,52,9999)</f>
        <v>52</v>
      </c>
      <c r="BU314" s="0" t="n">
        <f aca="false">IF(Presupuesto!$B$53='Flujo de Pagos'!$E314,53,9999)</f>
        <v>53</v>
      </c>
      <c r="BV314" s="0" t="n">
        <f aca="false">IF(Presupuesto!$B$54='Flujo de Pagos'!$E314,54,9999)</f>
        <v>54</v>
      </c>
      <c r="BW314" s="0" t="n">
        <f aca="false">IF(Presupuesto!$B$55='Flujo de Pagos'!$E314,55,9999)</f>
        <v>55</v>
      </c>
      <c r="BX314" s="0" t="n">
        <f aca="false">IF(Presupuesto!$B$56='Flujo de Pagos'!$E314,56,9999)</f>
        <v>56</v>
      </c>
      <c r="BY314" s="0" t="n">
        <f aca="false">IF(Presupuesto!$B$57='Flujo de Pagos'!$E314,57,9999)</f>
        <v>57</v>
      </c>
      <c r="BZ314" s="0" t="n">
        <f aca="false">IF(Presupuesto!$B$58='Flujo de Pagos'!$E314,58,9999)</f>
        <v>58</v>
      </c>
      <c r="CA314" s="0" t="n">
        <f aca="false">IF(Presupuesto!$B$59='Flujo de Pagos'!$E314,59,9999)</f>
        <v>59</v>
      </c>
      <c r="CB314" s="0" t="n">
        <f aca="false">IF(Presupuesto!$B$60='Flujo de Pagos'!$E314,60,9999)</f>
        <v>60</v>
      </c>
      <c r="CC314" s="0" t="n">
        <f aca="false">IF(Presupuesto!$B$61='Flujo de Pagos'!$E314,61,9999)</f>
        <v>61</v>
      </c>
      <c r="CD314" s="0" t="n">
        <f aca="false">IF(Presupuesto!$B$62='Flujo de Pagos'!$E314,62,9999)</f>
        <v>62</v>
      </c>
      <c r="CE314" s="0" t="n">
        <f aca="false">IF(Presupuesto!$B$63='Flujo de Pagos'!$E314,63,9999)</f>
        <v>63</v>
      </c>
      <c r="CF314" s="0" t="n">
        <f aca="false">IF(Presupuesto!$B$64='Flujo de Pagos'!$E314,64,9999)</f>
        <v>64</v>
      </c>
      <c r="CG314" s="0" t="n">
        <f aca="false">IF(Presupuesto!$B$65='Flujo de Pagos'!$E314,65,9999)</f>
        <v>65</v>
      </c>
      <c r="CH314" s="0" t="n">
        <f aca="false">IF(Presupuesto!$B$66='Flujo de Pagos'!$E314,66,9999)</f>
        <v>66</v>
      </c>
    </row>
    <row r="315" customFormat="false" ht="15" hidden="false" customHeight="true" outlineLevel="0" collapsed="false">
      <c r="B315" s="1" t="n">
        <f aca="false">IF(AND('Flujo de Pagos'!E320=Carátula!$B$2,'Flujo de Pagos'!F320=Carátula!$B$4,'Flujo de Pagos'!H320&lt;&gt;""),320,99999)</f>
        <v>99999</v>
      </c>
      <c r="H315" s="1" t="n">
        <f aca="false">IF(SMALL($AA315:$CH315,1)&gt;=9999,"",INDEX(Presupuesto!$C:$C,SMALL($AA315:$CH315,1)))</f>
        <v>0</v>
      </c>
      <c r="I315" s="1" t="n">
        <f aca="false">IF(SMALL($AA315:$CH315,2)&gt;=9999,"",INDEX(Presupuesto!$C:$C,SMALL($AA315:$CH315,2)))</f>
        <v>0</v>
      </c>
      <c r="J315" s="1" t="n">
        <f aca="false">IF(SMALL($AA315:$CH315,3)&gt;=9999,"",INDEX(Presupuesto!$C:$C,SMALL($AA315:$CH315,3)))</f>
        <v>0</v>
      </c>
      <c r="K315" s="1" t="n">
        <f aca="false">IF(SMALL($AA315:$CH315,4)&gt;=9999,"",INDEX(Presupuesto!$C:$C,SMALL($AA315:$CH315,4)))</f>
        <v>0</v>
      </c>
      <c r="L315" s="1" t="n">
        <f aca="false">IF(SMALL($AA315:$CH315,5)&gt;=9999,"",INDEX(Presupuesto!$C:$C,SMALL($AA315:$CH315,5)))</f>
        <v>0</v>
      </c>
      <c r="M315" s="1" t="n">
        <f aca="false">IF(SMALL($AA315:$CH315,6)&gt;=9999,"",INDEX(Presupuesto!$C:$C,SMALL($AA315:$CH315,6)))</f>
        <v>0</v>
      </c>
      <c r="N315" s="1" t="n">
        <f aca="false">IF(SMALL($AA315:$CH315,7)&gt;=9999,"",INDEX(Presupuesto!$C:$C,SMALL($AA315:$CH315,7)))</f>
        <v>0</v>
      </c>
      <c r="O315" s="1" t="n">
        <f aca="false">IF(SMALL($AA315:$CH315,8)&gt;=9999,"",INDEX(Presupuesto!$C:$C,SMALL($AA315:$CH315,8)))</f>
        <v>0</v>
      </c>
      <c r="P315" s="1" t="n">
        <f aca="false">IF(SMALL($AA315:$CH315,9)&gt;=9999,"",INDEX(Presupuesto!$C:$C,SMALL($AA315:$CH315,9)))</f>
        <v>0</v>
      </c>
      <c r="Q315" s="1" t="n">
        <f aca="false">IF(SMALL($AA315:$CH315,10)&gt;=9999,"",INDEX(Presupuesto!$C:$C,SMALL($AA315:$CH315,10)))</f>
        <v>0</v>
      </c>
      <c r="AA315" s="0" t="n">
        <f aca="false">IF(Presupuesto!$B$7='Flujo de Pagos'!$E315,7,9999)</f>
        <v>9999</v>
      </c>
      <c r="AB315" s="0" t="n">
        <f aca="false">IF(Presupuesto!$B$8='Flujo de Pagos'!$E315,8,9999)</f>
        <v>9999</v>
      </c>
      <c r="AC315" s="0" t="n">
        <f aca="false">IF(Presupuesto!$B$9='Flujo de Pagos'!$E315,9,9999)</f>
        <v>9999</v>
      </c>
      <c r="AD315" s="0" t="n">
        <f aca="false">IF(Presupuesto!$B$10='Flujo de Pagos'!$E315,10,9999)</f>
        <v>9999</v>
      </c>
      <c r="AE315" s="0" t="n">
        <f aca="false">IF(Presupuesto!$B$11='Flujo de Pagos'!$E315,11,9999)</f>
        <v>9999</v>
      </c>
      <c r="AF315" s="0" t="n">
        <f aca="false">IF(Presupuesto!$B$12='Flujo de Pagos'!$E315,12,9999)</f>
        <v>12</v>
      </c>
      <c r="AG315" s="0" t="n">
        <f aca="false">IF(Presupuesto!$B$13='Flujo de Pagos'!$E315,13,9999)</f>
        <v>13</v>
      </c>
      <c r="AH315" s="0" t="n">
        <f aca="false">IF(Presupuesto!$B$14='Flujo de Pagos'!$E315,14,9999)</f>
        <v>14</v>
      </c>
      <c r="AI315" s="0" t="n">
        <f aca="false">IF(Presupuesto!$B$15='Flujo de Pagos'!$E315,15,9999)</f>
        <v>15</v>
      </c>
      <c r="AJ315" s="0" t="n">
        <f aca="false">IF(Presupuesto!$B$16='Flujo de Pagos'!$E315,16,9999)</f>
        <v>16</v>
      </c>
      <c r="AK315" s="0" t="n">
        <f aca="false">IF(Presupuesto!$B$17='Flujo de Pagos'!$E315,17,9999)</f>
        <v>17</v>
      </c>
      <c r="AL315" s="0" t="n">
        <f aca="false">IF(Presupuesto!$B$18='Flujo de Pagos'!$E315,18,9999)</f>
        <v>18</v>
      </c>
      <c r="AM315" s="0" t="n">
        <f aca="false">IF(Presupuesto!$B$19='Flujo de Pagos'!$E315,19,9999)</f>
        <v>19</v>
      </c>
      <c r="AN315" s="0" t="n">
        <f aca="false">IF(Presupuesto!$B$20='Flujo de Pagos'!$E315,20,9999)</f>
        <v>20</v>
      </c>
      <c r="AO315" s="0" t="n">
        <f aca="false">IF(Presupuesto!$B$21='Flujo de Pagos'!$E315,21,9999)</f>
        <v>21</v>
      </c>
      <c r="AP315" s="0" t="n">
        <f aca="false">IF(Presupuesto!$B$22='Flujo de Pagos'!$E315,22,9999)</f>
        <v>22</v>
      </c>
      <c r="AQ315" s="0" t="n">
        <f aca="false">IF(Presupuesto!$B$23='Flujo de Pagos'!$E315,23,9999)</f>
        <v>23</v>
      </c>
      <c r="AR315" s="0" t="n">
        <f aca="false">IF(Presupuesto!$B$24='Flujo de Pagos'!$E315,24,9999)</f>
        <v>24</v>
      </c>
      <c r="AS315" s="0" t="n">
        <f aca="false">IF(Presupuesto!$B$25='Flujo de Pagos'!$E315,25,9999)</f>
        <v>25</v>
      </c>
      <c r="AT315" s="0" t="n">
        <f aca="false">IF(Presupuesto!$B$26='Flujo de Pagos'!$E315,26,9999)</f>
        <v>26</v>
      </c>
      <c r="AU315" s="0" t="n">
        <f aca="false">IF(Presupuesto!$B$27='Flujo de Pagos'!$E315,27,9999)</f>
        <v>27</v>
      </c>
      <c r="AV315" s="0" t="n">
        <f aca="false">IF(Presupuesto!$B$28='Flujo de Pagos'!$E315,28,9999)</f>
        <v>28</v>
      </c>
      <c r="AW315" s="0" t="n">
        <f aca="false">IF(Presupuesto!$B$29='Flujo de Pagos'!$E315,29,9999)</f>
        <v>29</v>
      </c>
      <c r="AX315" s="0" t="n">
        <f aca="false">IF(Presupuesto!$B$30='Flujo de Pagos'!$E315,30,9999)</f>
        <v>30</v>
      </c>
      <c r="AY315" s="0" t="n">
        <f aca="false">IF(Presupuesto!$B$31='Flujo de Pagos'!$E315,31,9999)</f>
        <v>31</v>
      </c>
      <c r="AZ315" s="0" t="n">
        <f aca="false">IF(Presupuesto!$B$32='Flujo de Pagos'!$E315,32,9999)</f>
        <v>32</v>
      </c>
      <c r="BA315" s="0" t="n">
        <f aca="false">IF(Presupuesto!$B$33='Flujo de Pagos'!$E315,33,9999)</f>
        <v>33</v>
      </c>
      <c r="BB315" s="0" t="n">
        <f aca="false">IF(Presupuesto!$B$34='Flujo de Pagos'!$E315,34,9999)</f>
        <v>34</v>
      </c>
      <c r="BC315" s="0" t="n">
        <f aca="false">IF(Presupuesto!$B$35='Flujo de Pagos'!$E315,35,9999)</f>
        <v>35</v>
      </c>
      <c r="BD315" s="0" t="n">
        <f aca="false">IF(Presupuesto!$B$36='Flujo de Pagos'!$E315,36,9999)</f>
        <v>36</v>
      </c>
      <c r="BE315" s="0" t="n">
        <f aca="false">IF(Presupuesto!$B$37='Flujo de Pagos'!$E315,37,9999)</f>
        <v>37</v>
      </c>
      <c r="BF315" s="0" t="n">
        <f aca="false">IF(Presupuesto!$B$38='Flujo de Pagos'!$E315,38,9999)</f>
        <v>38</v>
      </c>
      <c r="BG315" s="0" t="n">
        <f aca="false">IF(Presupuesto!$B$39='Flujo de Pagos'!$E315,39,9999)</f>
        <v>39</v>
      </c>
      <c r="BH315" s="0" t="n">
        <f aca="false">IF(Presupuesto!$B$40='Flujo de Pagos'!$E315,40,9999)</f>
        <v>40</v>
      </c>
      <c r="BI315" s="0" t="n">
        <f aca="false">IF(Presupuesto!$B$41='Flujo de Pagos'!$E315,41,9999)</f>
        <v>41</v>
      </c>
      <c r="BJ315" s="0" t="n">
        <f aca="false">IF(Presupuesto!$B$42='Flujo de Pagos'!$E315,42,9999)</f>
        <v>42</v>
      </c>
      <c r="BK315" s="0" t="n">
        <f aca="false">IF(Presupuesto!$B$43='Flujo de Pagos'!$E315,43,9999)</f>
        <v>43</v>
      </c>
      <c r="BL315" s="0" t="n">
        <f aca="false">IF(Presupuesto!$B$44='Flujo de Pagos'!$E315,44,9999)</f>
        <v>44</v>
      </c>
      <c r="BM315" s="0" t="n">
        <f aca="false">IF(Presupuesto!$B$45='Flujo de Pagos'!$E315,45,9999)</f>
        <v>45</v>
      </c>
      <c r="BN315" s="0" t="n">
        <f aca="false">IF(Presupuesto!$B$46='Flujo de Pagos'!$E315,46,9999)</f>
        <v>46</v>
      </c>
      <c r="BO315" s="0" t="n">
        <f aca="false">IF(Presupuesto!$B$47='Flujo de Pagos'!$E315,47,9999)</f>
        <v>47</v>
      </c>
      <c r="BP315" s="0" t="n">
        <f aca="false">IF(Presupuesto!$B$48='Flujo de Pagos'!$E315,48,9999)</f>
        <v>48</v>
      </c>
      <c r="BQ315" s="0" t="n">
        <f aca="false">IF(Presupuesto!$B$49='Flujo de Pagos'!$E315,49,9999)</f>
        <v>49</v>
      </c>
      <c r="BR315" s="0" t="n">
        <f aca="false">IF(Presupuesto!$B$50='Flujo de Pagos'!$E315,50,9999)</f>
        <v>50</v>
      </c>
      <c r="BS315" s="0" t="n">
        <f aca="false">IF(Presupuesto!$B$51='Flujo de Pagos'!$E315,51,9999)</f>
        <v>51</v>
      </c>
      <c r="BT315" s="0" t="n">
        <f aca="false">IF(Presupuesto!$B$52='Flujo de Pagos'!$E315,52,9999)</f>
        <v>52</v>
      </c>
      <c r="BU315" s="0" t="n">
        <f aca="false">IF(Presupuesto!$B$53='Flujo de Pagos'!$E315,53,9999)</f>
        <v>53</v>
      </c>
      <c r="BV315" s="0" t="n">
        <f aca="false">IF(Presupuesto!$B$54='Flujo de Pagos'!$E315,54,9999)</f>
        <v>54</v>
      </c>
      <c r="BW315" s="0" t="n">
        <f aca="false">IF(Presupuesto!$B$55='Flujo de Pagos'!$E315,55,9999)</f>
        <v>55</v>
      </c>
      <c r="BX315" s="0" t="n">
        <f aca="false">IF(Presupuesto!$B$56='Flujo de Pagos'!$E315,56,9999)</f>
        <v>56</v>
      </c>
      <c r="BY315" s="0" t="n">
        <f aca="false">IF(Presupuesto!$B$57='Flujo de Pagos'!$E315,57,9999)</f>
        <v>57</v>
      </c>
      <c r="BZ315" s="0" t="n">
        <f aca="false">IF(Presupuesto!$B$58='Flujo de Pagos'!$E315,58,9999)</f>
        <v>58</v>
      </c>
      <c r="CA315" s="0" t="n">
        <f aca="false">IF(Presupuesto!$B$59='Flujo de Pagos'!$E315,59,9999)</f>
        <v>59</v>
      </c>
      <c r="CB315" s="0" t="n">
        <f aca="false">IF(Presupuesto!$B$60='Flujo de Pagos'!$E315,60,9999)</f>
        <v>60</v>
      </c>
      <c r="CC315" s="0" t="n">
        <f aca="false">IF(Presupuesto!$B$61='Flujo de Pagos'!$E315,61,9999)</f>
        <v>61</v>
      </c>
      <c r="CD315" s="0" t="n">
        <f aca="false">IF(Presupuesto!$B$62='Flujo de Pagos'!$E315,62,9999)</f>
        <v>62</v>
      </c>
      <c r="CE315" s="0" t="n">
        <f aca="false">IF(Presupuesto!$B$63='Flujo de Pagos'!$E315,63,9999)</f>
        <v>63</v>
      </c>
      <c r="CF315" s="0" t="n">
        <f aca="false">IF(Presupuesto!$B$64='Flujo de Pagos'!$E315,64,9999)</f>
        <v>64</v>
      </c>
      <c r="CG315" s="0" t="n">
        <f aca="false">IF(Presupuesto!$B$65='Flujo de Pagos'!$E315,65,9999)</f>
        <v>65</v>
      </c>
      <c r="CH315" s="0" t="n">
        <f aca="false">IF(Presupuesto!$B$66='Flujo de Pagos'!$E315,66,9999)</f>
        <v>66</v>
      </c>
    </row>
    <row r="316" customFormat="false" ht="15" hidden="false" customHeight="true" outlineLevel="0" collapsed="false">
      <c r="B316" s="1" t="n">
        <f aca="false">IF(AND('Flujo de Pagos'!E321=Carátula!$B$2,'Flujo de Pagos'!F321=Carátula!$B$4,'Flujo de Pagos'!H321&lt;&gt;""),321,99999)</f>
        <v>99999</v>
      </c>
      <c r="H316" s="1" t="n">
        <f aca="false">IF(SMALL($AA316:$CH316,1)&gt;=9999,"",INDEX(Presupuesto!$C:$C,SMALL($AA316:$CH316,1)))</f>
        <v>0</v>
      </c>
      <c r="I316" s="1" t="n">
        <f aca="false">IF(SMALL($AA316:$CH316,2)&gt;=9999,"",INDEX(Presupuesto!$C:$C,SMALL($AA316:$CH316,2)))</f>
        <v>0</v>
      </c>
      <c r="J316" s="1" t="n">
        <f aca="false">IF(SMALL($AA316:$CH316,3)&gt;=9999,"",INDEX(Presupuesto!$C:$C,SMALL($AA316:$CH316,3)))</f>
        <v>0</v>
      </c>
      <c r="K316" s="1" t="n">
        <f aca="false">IF(SMALL($AA316:$CH316,4)&gt;=9999,"",INDEX(Presupuesto!$C:$C,SMALL($AA316:$CH316,4)))</f>
        <v>0</v>
      </c>
      <c r="L316" s="1" t="n">
        <f aca="false">IF(SMALL($AA316:$CH316,5)&gt;=9999,"",INDEX(Presupuesto!$C:$C,SMALL($AA316:$CH316,5)))</f>
        <v>0</v>
      </c>
      <c r="M316" s="1" t="n">
        <f aca="false">IF(SMALL($AA316:$CH316,6)&gt;=9999,"",INDEX(Presupuesto!$C:$C,SMALL($AA316:$CH316,6)))</f>
        <v>0</v>
      </c>
      <c r="N316" s="1" t="n">
        <f aca="false">IF(SMALL($AA316:$CH316,7)&gt;=9999,"",INDEX(Presupuesto!$C:$C,SMALL($AA316:$CH316,7)))</f>
        <v>0</v>
      </c>
      <c r="O316" s="1" t="n">
        <f aca="false">IF(SMALL($AA316:$CH316,8)&gt;=9999,"",INDEX(Presupuesto!$C:$C,SMALL($AA316:$CH316,8)))</f>
        <v>0</v>
      </c>
      <c r="P316" s="1" t="n">
        <f aca="false">IF(SMALL($AA316:$CH316,9)&gt;=9999,"",INDEX(Presupuesto!$C:$C,SMALL($AA316:$CH316,9)))</f>
        <v>0</v>
      </c>
      <c r="Q316" s="1" t="n">
        <f aca="false">IF(SMALL($AA316:$CH316,10)&gt;=9999,"",INDEX(Presupuesto!$C:$C,SMALL($AA316:$CH316,10)))</f>
        <v>0</v>
      </c>
      <c r="AA316" s="0" t="n">
        <f aca="false">IF(Presupuesto!$B$7='Flujo de Pagos'!$E316,7,9999)</f>
        <v>9999</v>
      </c>
      <c r="AB316" s="0" t="n">
        <f aca="false">IF(Presupuesto!$B$8='Flujo de Pagos'!$E316,8,9999)</f>
        <v>9999</v>
      </c>
      <c r="AC316" s="0" t="n">
        <f aca="false">IF(Presupuesto!$B$9='Flujo de Pagos'!$E316,9,9999)</f>
        <v>9999</v>
      </c>
      <c r="AD316" s="0" t="n">
        <f aca="false">IF(Presupuesto!$B$10='Flujo de Pagos'!$E316,10,9999)</f>
        <v>9999</v>
      </c>
      <c r="AE316" s="0" t="n">
        <f aca="false">IF(Presupuesto!$B$11='Flujo de Pagos'!$E316,11,9999)</f>
        <v>9999</v>
      </c>
      <c r="AF316" s="0" t="n">
        <f aca="false">IF(Presupuesto!$B$12='Flujo de Pagos'!$E316,12,9999)</f>
        <v>12</v>
      </c>
      <c r="AG316" s="0" t="n">
        <f aca="false">IF(Presupuesto!$B$13='Flujo de Pagos'!$E316,13,9999)</f>
        <v>13</v>
      </c>
      <c r="AH316" s="0" t="n">
        <f aca="false">IF(Presupuesto!$B$14='Flujo de Pagos'!$E316,14,9999)</f>
        <v>14</v>
      </c>
      <c r="AI316" s="0" t="n">
        <f aca="false">IF(Presupuesto!$B$15='Flujo de Pagos'!$E316,15,9999)</f>
        <v>15</v>
      </c>
      <c r="AJ316" s="0" t="n">
        <f aca="false">IF(Presupuesto!$B$16='Flujo de Pagos'!$E316,16,9999)</f>
        <v>16</v>
      </c>
      <c r="AK316" s="0" t="n">
        <f aca="false">IF(Presupuesto!$B$17='Flujo de Pagos'!$E316,17,9999)</f>
        <v>17</v>
      </c>
      <c r="AL316" s="0" t="n">
        <f aca="false">IF(Presupuesto!$B$18='Flujo de Pagos'!$E316,18,9999)</f>
        <v>18</v>
      </c>
      <c r="AM316" s="0" t="n">
        <f aca="false">IF(Presupuesto!$B$19='Flujo de Pagos'!$E316,19,9999)</f>
        <v>19</v>
      </c>
      <c r="AN316" s="0" t="n">
        <f aca="false">IF(Presupuesto!$B$20='Flujo de Pagos'!$E316,20,9999)</f>
        <v>20</v>
      </c>
      <c r="AO316" s="0" t="n">
        <f aca="false">IF(Presupuesto!$B$21='Flujo de Pagos'!$E316,21,9999)</f>
        <v>21</v>
      </c>
      <c r="AP316" s="0" t="n">
        <f aca="false">IF(Presupuesto!$B$22='Flujo de Pagos'!$E316,22,9999)</f>
        <v>22</v>
      </c>
      <c r="AQ316" s="0" t="n">
        <f aca="false">IF(Presupuesto!$B$23='Flujo de Pagos'!$E316,23,9999)</f>
        <v>23</v>
      </c>
      <c r="AR316" s="0" t="n">
        <f aca="false">IF(Presupuesto!$B$24='Flujo de Pagos'!$E316,24,9999)</f>
        <v>24</v>
      </c>
      <c r="AS316" s="0" t="n">
        <f aca="false">IF(Presupuesto!$B$25='Flujo de Pagos'!$E316,25,9999)</f>
        <v>25</v>
      </c>
      <c r="AT316" s="0" t="n">
        <f aca="false">IF(Presupuesto!$B$26='Flujo de Pagos'!$E316,26,9999)</f>
        <v>26</v>
      </c>
      <c r="AU316" s="0" t="n">
        <f aca="false">IF(Presupuesto!$B$27='Flujo de Pagos'!$E316,27,9999)</f>
        <v>27</v>
      </c>
      <c r="AV316" s="0" t="n">
        <f aca="false">IF(Presupuesto!$B$28='Flujo de Pagos'!$E316,28,9999)</f>
        <v>28</v>
      </c>
      <c r="AW316" s="0" t="n">
        <f aca="false">IF(Presupuesto!$B$29='Flujo de Pagos'!$E316,29,9999)</f>
        <v>29</v>
      </c>
      <c r="AX316" s="0" t="n">
        <f aca="false">IF(Presupuesto!$B$30='Flujo de Pagos'!$E316,30,9999)</f>
        <v>30</v>
      </c>
      <c r="AY316" s="0" t="n">
        <f aca="false">IF(Presupuesto!$B$31='Flujo de Pagos'!$E316,31,9999)</f>
        <v>31</v>
      </c>
      <c r="AZ316" s="0" t="n">
        <f aca="false">IF(Presupuesto!$B$32='Flujo de Pagos'!$E316,32,9999)</f>
        <v>32</v>
      </c>
      <c r="BA316" s="0" t="n">
        <f aca="false">IF(Presupuesto!$B$33='Flujo de Pagos'!$E316,33,9999)</f>
        <v>33</v>
      </c>
      <c r="BB316" s="0" t="n">
        <f aca="false">IF(Presupuesto!$B$34='Flujo de Pagos'!$E316,34,9999)</f>
        <v>34</v>
      </c>
      <c r="BC316" s="0" t="n">
        <f aca="false">IF(Presupuesto!$B$35='Flujo de Pagos'!$E316,35,9999)</f>
        <v>35</v>
      </c>
      <c r="BD316" s="0" t="n">
        <f aca="false">IF(Presupuesto!$B$36='Flujo de Pagos'!$E316,36,9999)</f>
        <v>36</v>
      </c>
      <c r="BE316" s="0" t="n">
        <f aca="false">IF(Presupuesto!$B$37='Flujo de Pagos'!$E316,37,9999)</f>
        <v>37</v>
      </c>
      <c r="BF316" s="0" t="n">
        <f aca="false">IF(Presupuesto!$B$38='Flujo de Pagos'!$E316,38,9999)</f>
        <v>38</v>
      </c>
      <c r="BG316" s="0" t="n">
        <f aca="false">IF(Presupuesto!$B$39='Flujo de Pagos'!$E316,39,9999)</f>
        <v>39</v>
      </c>
      <c r="BH316" s="0" t="n">
        <f aca="false">IF(Presupuesto!$B$40='Flujo de Pagos'!$E316,40,9999)</f>
        <v>40</v>
      </c>
      <c r="BI316" s="0" t="n">
        <f aca="false">IF(Presupuesto!$B$41='Flujo de Pagos'!$E316,41,9999)</f>
        <v>41</v>
      </c>
      <c r="BJ316" s="0" t="n">
        <f aca="false">IF(Presupuesto!$B$42='Flujo de Pagos'!$E316,42,9999)</f>
        <v>42</v>
      </c>
      <c r="BK316" s="0" t="n">
        <f aca="false">IF(Presupuesto!$B$43='Flujo de Pagos'!$E316,43,9999)</f>
        <v>43</v>
      </c>
      <c r="BL316" s="0" t="n">
        <f aca="false">IF(Presupuesto!$B$44='Flujo de Pagos'!$E316,44,9999)</f>
        <v>44</v>
      </c>
      <c r="BM316" s="0" t="n">
        <f aca="false">IF(Presupuesto!$B$45='Flujo de Pagos'!$E316,45,9999)</f>
        <v>45</v>
      </c>
      <c r="BN316" s="0" t="n">
        <f aca="false">IF(Presupuesto!$B$46='Flujo de Pagos'!$E316,46,9999)</f>
        <v>46</v>
      </c>
      <c r="BO316" s="0" t="n">
        <f aca="false">IF(Presupuesto!$B$47='Flujo de Pagos'!$E316,47,9999)</f>
        <v>47</v>
      </c>
      <c r="BP316" s="0" t="n">
        <f aca="false">IF(Presupuesto!$B$48='Flujo de Pagos'!$E316,48,9999)</f>
        <v>48</v>
      </c>
      <c r="BQ316" s="0" t="n">
        <f aca="false">IF(Presupuesto!$B$49='Flujo de Pagos'!$E316,49,9999)</f>
        <v>49</v>
      </c>
      <c r="BR316" s="0" t="n">
        <f aca="false">IF(Presupuesto!$B$50='Flujo de Pagos'!$E316,50,9999)</f>
        <v>50</v>
      </c>
      <c r="BS316" s="0" t="n">
        <f aca="false">IF(Presupuesto!$B$51='Flujo de Pagos'!$E316,51,9999)</f>
        <v>51</v>
      </c>
      <c r="BT316" s="0" t="n">
        <f aca="false">IF(Presupuesto!$B$52='Flujo de Pagos'!$E316,52,9999)</f>
        <v>52</v>
      </c>
      <c r="BU316" s="0" t="n">
        <f aca="false">IF(Presupuesto!$B$53='Flujo de Pagos'!$E316,53,9999)</f>
        <v>53</v>
      </c>
      <c r="BV316" s="0" t="n">
        <f aca="false">IF(Presupuesto!$B$54='Flujo de Pagos'!$E316,54,9999)</f>
        <v>54</v>
      </c>
      <c r="BW316" s="0" t="n">
        <f aca="false">IF(Presupuesto!$B$55='Flujo de Pagos'!$E316,55,9999)</f>
        <v>55</v>
      </c>
      <c r="BX316" s="0" t="n">
        <f aca="false">IF(Presupuesto!$B$56='Flujo de Pagos'!$E316,56,9999)</f>
        <v>56</v>
      </c>
      <c r="BY316" s="0" t="n">
        <f aca="false">IF(Presupuesto!$B$57='Flujo de Pagos'!$E316,57,9999)</f>
        <v>57</v>
      </c>
      <c r="BZ316" s="0" t="n">
        <f aca="false">IF(Presupuesto!$B$58='Flujo de Pagos'!$E316,58,9999)</f>
        <v>58</v>
      </c>
      <c r="CA316" s="0" t="n">
        <f aca="false">IF(Presupuesto!$B$59='Flujo de Pagos'!$E316,59,9999)</f>
        <v>59</v>
      </c>
      <c r="CB316" s="0" t="n">
        <f aca="false">IF(Presupuesto!$B$60='Flujo de Pagos'!$E316,60,9999)</f>
        <v>60</v>
      </c>
      <c r="CC316" s="0" t="n">
        <f aca="false">IF(Presupuesto!$B$61='Flujo de Pagos'!$E316,61,9999)</f>
        <v>61</v>
      </c>
      <c r="CD316" s="0" t="n">
        <f aca="false">IF(Presupuesto!$B$62='Flujo de Pagos'!$E316,62,9999)</f>
        <v>62</v>
      </c>
      <c r="CE316" s="0" t="n">
        <f aca="false">IF(Presupuesto!$B$63='Flujo de Pagos'!$E316,63,9999)</f>
        <v>63</v>
      </c>
      <c r="CF316" s="0" t="n">
        <f aca="false">IF(Presupuesto!$B$64='Flujo de Pagos'!$E316,64,9999)</f>
        <v>64</v>
      </c>
      <c r="CG316" s="0" t="n">
        <f aca="false">IF(Presupuesto!$B$65='Flujo de Pagos'!$E316,65,9999)</f>
        <v>65</v>
      </c>
      <c r="CH316" s="0" t="n">
        <f aca="false">IF(Presupuesto!$B$66='Flujo de Pagos'!$E316,66,9999)</f>
        <v>66</v>
      </c>
    </row>
    <row r="317" customFormat="false" ht="15" hidden="false" customHeight="true" outlineLevel="0" collapsed="false">
      <c r="B317" s="1" t="n">
        <f aca="false">IF(AND('Flujo de Pagos'!E322=Carátula!$B$2,'Flujo de Pagos'!F322=Carátula!$B$4,'Flujo de Pagos'!H322&lt;&gt;""),322,99999)</f>
        <v>99999</v>
      </c>
      <c r="H317" s="1" t="n">
        <f aca="false">IF(SMALL($AA317:$CH317,1)&gt;=9999,"",INDEX(Presupuesto!$C:$C,SMALL($AA317:$CH317,1)))</f>
        <v>0</v>
      </c>
      <c r="I317" s="1" t="n">
        <f aca="false">IF(SMALL($AA317:$CH317,2)&gt;=9999,"",INDEX(Presupuesto!$C:$C,SMALL($AA317:$CH317,2)))</f>
        <v>0</v>
      </c>
      <c r="J317" s="1" t="n">
        <f aca="false">IF(SMALL($AA317:$CH317,3)&gt;=9999,"",INDEX(Presupuesto!$C:$C,SMALL($AA317:$CH317,3)))</f>
        <v>0</v>
      </c>
      <c r="K317" s="1" t="n">
        <f aca="false">IF(SMALL($AA317:$CH317,4)&gt;=9999,"",INDEX(Presupuesto!$C:$C,SMALL($AA317:$CH317,4)))</f>
        <v>0</v>
      </c>
      <c r="L317" s="1" t="n">
        <f aca="false">IF(SMALL($AA317:$CH317,5)&gt;=9999,"",INDEX(Presupuesto!$C:$C,SMALL($AA317:$CH317,5)))</f>
        <v>0</v>
      </c>
      <c r="M317" s="1" t="n">
        <f aca="false">IF(SMALL($AA317:$CH317,6)&gt;=9999,"",INDEX(Presupuesto!$C:$C,SMALL($AA317:$CH317,6)))</f>
        <v>0</v>
      </c>
      <c r="N317" s="1" t="n">
        <f aca="false">IF(SMALL($AA317:$CH317,7)&gt;=9999,"",INDEX(Presupuesto!$C:$C,SMALL($AA317:$CH317,7)))</f>
        <v>0</v>
      </c>
      <c r="O317" s="1" t="n">
        <f aca="false">IF(SMALL($AA317:$CH317,8)&gt;=9999,"",INDEX(Presupuesto!$C:$C,SMALL($AA317:$CH317,8)))</f>
        <v>0</v>
      </c>
      <c r="P317" s="1" t="n">
        <f aca="false">IF(SMALL($AA317:$CH317,9)&gt;=9999,"",INDEX(Presupuesto!$C:$C,SMALL($AA317:$CH317,9)))</f>
        <v>0</v>
      </c>
      <c r="Q317" s="1" t="n">
        <f aca="false">IF(SMALL($AA317:$CH317,10)&gt;=9999,"",INDEX(Presupuesto!$C:$C,SMALL($AA317:$CH317,10)))</f>
        <v>0</v>
      </c>
      <c r="AA317" s="0" t="n">
        <f aca="false">IF(Presupuesto!$B$7='Flujo de Pagos'!$E317,7,9999)</f>
        <v>9999</v>
      </c>
      <c r="AB317" s="0" t="n">
        <f aca="false">IF(Presupuesto!$B$8='Flujo de Pagos'!$E317,8,9999)</f>
        <v>9999</v>
      </c>
      <c r="AC317" s="0" t="n">
        <f aca="false">IF(Presupuesto!$B$9='Flujo de Pagos'!$E317,9,9999)</f>
        <v>9999</v>
      </c>
      <c r="AD317" s="0" t="n">
        <f aca="false">IF(Presupuesto!$B$10='Flujo de Pagos'!$E317,10,9999)</f>
        <v>9999</v>
      </c>
      <c r="AE317" s="0" t="n">
        <f aca="false">IF(Presupuesto!$B$11='Flujo de Pagos'!$E317,11,9999)</f>
        <v>9999</v>
      </c>
      <c r="AF317" s="0" t="n">
        <f aca="false">IF(Presupuesto!$B$12='Flujo de Pagos'!$E317,12,9999)</f>
        <v>12</v>
      </c>
      <c r="AG317" s="0" t="n">
        <f aca="false">IF(Presupuesto!$B$13='Flujo de Pagos'!$E317,13,9999)</f>
        <v>13</v>
      </c>
      <c r="AH317" s="0" t="n">
        <f aca="false">IF(Presupuesto!$B$14='Flujo de Pagos'!$E317,14,9999)</f>
        <v>14</v>
      </c>
      <c r="AI317" s="0" t="n">
        <f aca="false">IF(Presupuesto!$B$15='Flujo de Pagos'!$E317,15,9999)</f>
        <v>15</v>
      </c>
      <c r="AJ317" s="0" t="n">
        <f aca="false">IF(Presupuesto!$B$16='Flujo de Pagos'!$E317,16,9999)</f>
        <v>16</v>
      </c>
      <c r="AK317" s="0" t="n">
        <f aca="false">IF(Presupuesto!$B$17='Flujo de Pagos'!$E317,17,9999)</f>
        <v>17</v>
      </c>
      <c r="AL317" s="0" t="n">
        <f aca="false">IF(Presupuesto!$B$18='Flujo de Pagos'!$E317,18,9999)</f>
        <v>18</v>
      </c>
      <c r="AM317" s="0" t="n">
        <f aca="false">IF(Presupuesto!$B$19='Flujo de Pagos'!$E317,19,9999)</f>
        <v>19</v>
      </c>
      <c r="AN317" s="0" t="n">
        <f aca="false">IF(Presupuesto!$B$20='Flujo de Pagos'!$E317,20,9999)</f>
        <v>20</v>
      </c>
      <c r="AO317" s="0" t="n">
        <f aca="false">IF(Presupuesto!$B$21='Flujo de Pagos'!$E317,21,9999)</f>
        <v>21</v>
      </c>
      <c r="AP317" s="0" t="n">
        <f aca="false">IF(Presupuesto!$B$22='Flujo de Pagos'!$E317,22,9999)</f>
        <v>22</v>
      </c>
      <c r="AQ317" s="0" t="n">
        <f aca="false">IF(Presupuesto!$B$23='Flujo de Pagos'!$E317,23,9999)</f>
        <v>23</v>
      </c>
      <c r="AR317" s="0" t="n">
        <f aca="false">IF(Presupuesto!$B$24='Flujo de Pagos'!$E317,24,9999)</f>
        <v>24</v>
      </c>
      <c r="AS317" s="0" t="n">
        <f aca="false">IF(Presupuesto!$B$25='Flujo de Pagos'!$E317,25,9999)</f>
        <v>25</v>
      </c>
      <c r="AT317" s="0" t="n">
        <f aca="false">IF(Presupuesto!$B$26='Flujo de Pagos'!$E317,26,9999)</f>
        <v>26</v>
      </c>
      <c r="AU317" s="0" t="n">
        <f aca="false">IF(Presupuesto!$B$27='Flujo de Pagos'!$E317,27,9999)</f>
        <v>27</v>
      </c>
      <c r="AV317" s="0" t="n">
        <f aca="false">IF(Presupuesto!$B$28='Flujo de Pagos'!$E317,28,9999)</f>
        <v>28</v>
      </c>
      <c r="AW317" s="0" t="n">
        <f aca="false">IF(Presupuesto!$B$29='Flujo de Pagos'!$E317,29,9999)</f>
        <v>29</v>
      </c>
      <c r="AX317" s="0" t="n">
        <f aca="false">IF(Presupuesto!$B$30='Flujo de Pagos'!$E317,30,9999)</f>
        <v>30</v>
      </c>
      <c r="AY317" s="0" t="n">
        <f aca="false">IF(Presupuesto!$B$31='Flujo de Pagos'!$E317,31,9999)</f>
        <v>31</v>
      </c>
      <c r="AZ317" s="0" t="n">
        <f aca="false">IF(Presupuesto!$B$32='Flujo de Pagos'!$E317,32,9999)</f>
        <v>32</v>
      </c>
      <c r="BA317" s="0" t="n">
        <f aca="false">IF(Presupuesto!$B$33='Flujo de Pagos'!$E317,33,9999)</f>
        <v>33</v>
      </c>
      <c r="BB317" s="0" t="n">
        <f aca="false">IF(Presupuesto!$B$34='Flujo de Pagos'!$E317,34,9999)</f>
        <v>34</v>
      </c>
      <c r="BC317" s="0" t="n">
        <f aca="false">IF(Presupuesto!$B$35='Flujo de Pagos'!$E317,35,9999)</f>
        <v>35</v>
      </c>
      <c r="BD317" s="0" t="n">
        <f aca="false">IF(Presupuesto!$B$36='Flujo de Pagos'!$E317,36,9999)</f>
        <v>36</v>
      </c>
      <c r="BE317" s="0" t="n">
        <f aca="false">IF(Presupuesto!$B$37='Flujo de Pagos'!$E317,37,9999)</f>
        <v>37</v>
      </c>
      <c r="BF317" s="0" t="n">
        <f aca="false">IF(Presupuesto!$B$38='Flujo de Pagos'!$E317,38,9999)</f>
        <v>38</v>
      </c>
      <c r="BG317" s="0" t="n">
        <f aca="false">IF(Presupuesto!$B$39='Flujo de Pagos'!$E317,39,9999)</f>
        <v>39</v>
      </c>
      <c r="BH317" s="0" t="n">
        <f aca="false">IF(Presupuesto!$B$40='Flujo de Pagos'!$E317,40,9999)</f>
        <v>40</v>
      </c>
      <c r="BI317" s="0" t="n">
        <f aca="false">IF(Presupuesto!$B$41='Flujo de Pagos'!$E317,41,9999)</f>
        <v>41</v>
      </c>
      <c r="BJ317" s="0" t="n">
        <f aca="false">IF(Presupuesto!$B$42='Flujo de Pagos'!$E317,42,9999)</f>
        <v>42</v>
      </c>
      <c r="BK317" s="0" t="n">
        <f aca="false">IF(Presupuesto!$B$43='Flujo de Pagos'!$E317,43,9999)</f>
        <v>43</v>
      </c>
      <c r="BL317" s="0" t="n">
        <f aca="false">IF(Presupuesto!$B$44='Flujo de Pagos'!$E317,44,9999)</f>
        <v>44</v>
      </c>
      <c r="BM317" s="0" t="n">
        <f aca="false">IF(Presupuesto!$B$45='Flujo de Pagos'!$E317,45,9999)</f>
        <v>45</v>
      </c>
      <c r="BN317" s="0" t="n">
        <f aca="false">IF(Presupuesto!$B$46='Flujo de Pagos'!$E317,46,9999)</f>
        <v>46</v>
      </c>
      <c r="BO317" s="0" t="n">
        <f aca="false">IF(Presupuesto!$B$47='Flujo de Pagos'!$E317,47,9999)</f>
        <v>47</v>
      </c>
      <c r="BP317" s="0" t="n">
        <f aca="false">IF(Presupuesto!$B$48='Flujo de Pagos'!$E317,48,9999)</f>
        <v>48</v>
      </c>
      <c r="BQ317" s="0" t="n">
        <f aca="false">IF(Presupuesto!$B$49='Flujo de Pagos'!$E317,49,9999)</f>
        <v>49</v>
      </c>
      <c r="BR317" s="0" t="n">
        <f aca="false">IF(Presupuesto!$B$50='Flujo de Pagos'!$E317,50,9999)</f>
        <v>50</v>
      </c>
      <c r="BS317" s="0" t="n">
        <f aca="false">IF(Presupuesto!$B$51='Flujo de Pagos'!$E317,51,9999)</f>
        <v>51</v>
      </c>
      <c r="BT317" s="0" t="n">
        <f aca="false">IF(Presupuesto!$B$52='Flujo de Pagos'!$E317,52,9999)</f>
        <v>52</v>
      </c>
      <c r="BU317" s="0" t="n">
        <f aca="false">IF(Presupuesto!$B$53='Flujo de Pagos'!$E317,53,9999)</f>
        <v>53</v>
      </c>
      <c r="BV317" s="0" t="n">
        <f aca="false">IF(Presupuesto!$B$54='Flujo de Pagos'!$E317,54,9999)</f>
        <v>54</v>
      </c>
      <c r="BW317" s="0" t="n">
        <f aca="false">IF(Presupuesto!$B$55='Flujo de Pagos'!$E317,55,9999)</f>
        <v>55</v>
      </c>
      <c r="BX317" s="0" t="n">
        <f aca="false">IF(Presupuesto!$B$56='Flujo de Pagos'!$E317,56,9999)</f>
        <v>56</v>
      </c>
      <c r="BY317" s="0" t="n">
        <f aca="false">IF(Presupuesto!$B$57='Flujo de Pagos'!$E317,57,9999)</f>
        <v>57</v>
      </c>
      <c r="BZ317" s="0" t="n">
        <f aca="false">IF(Presupuesto!$B$58='Flujo de Pagos'!$E317,58,9999)</f>
        <v>58</v>
      </c>
      <c r="CA317" s="0" t="n">
        <f aca="false">IF(Presupuesto!$B$59='Flujo de Pagos'!$E317,59,9999)</f>
        <v>59</v>
      </c>
      <c r="CB317" s="0" t="n">
        <f aca="false">IF(Presupuesto!$B$60='Flujo de Pagos'!$E317,60,9999)</f>
        <v>60</v>
      </c>
      <c r="CC317" s="0" t="n">
        <f aca="false">IF(Presupuesto!$B$61='Flujo de Pagos'!$E317,61,9999)</f>
        <v>61</v>
      </c>
      <c r="CD317" s="0" t="n">
        <f aca="false">IF(Presupuesto!$B$62='Flujo de Pagos'!$E317,62,9999)</f>
        <v>62</v>
      </c>
      <c r="CE317" s="0" t="n">
        <f aca="false">IF(Presupuesto!$B$63='Flujo de Pagos'!$E317,63,9999)</f>
        <v>63</v>
      </c>
      <c r="CF317" s="0" t="n">
        <f aca="false">IF(Presupuesto!$B$64='Flujo de Pagos'!$E317,64,9999)</f>
        <v>64</v>
      </c>
      <c r="CG317" s="0" t="n">
        <f aca="false">IF(Presupuesto!$B$65='Flujo de Pagos'!$E317,65,9999)</f>
        <v>65</v>
      </c>
      <c r="CH317" s="0" t="n">
        <f aca="false">IF(Presupuesto!$B$66='Flujo de Pagos'!$E317,66,9999)</f>
        <v>66</v>
      </c>
    </row>
    <row r="318" customFormat="false" ht="15" hidden="false" customHeight="true" outlineLevel="0" collapsed="false">
      <c r="B318" s="1" t="n">
        <f aca="false">IF(AND('Flujo de Pagos'!E323=Carátula!$B$2,'Flujo de Pagos'!F323=Carátula!$B$4,'Flujo de Pagos'!H323&lt;&gt;""),323,99999)</f>
        <v>99999</v>
      </c>
      <c r="H318" s="1" t="n">
        <f aca="false">IF(SMALL($AA318:$CH318,1)&gt;=9999,"",INDEX(Presupuesto!$C:$C,SMALL($AA318:$CH318,1)))</f>
        <v>0</v>
      </c>
      <c r="I318" s="1" t="n">
        <f aca="false">IF(SMALL($AA318:$CH318,2)&gt;=9999,"",INDEX(Presupuesto!$C:$C,SMALL($AA318:$CH318,2)))</f>
        <v>0</v>
      </c>
      <c r="J318" s="1" t="n">
        <f aca="false">IF(SMALL($AA318:$CH318,3)&gt;=9999,"",INDEX(Presupuesto!$C:$C,SMALL($AA318:$CH318,3)))</f>
        <v>0</v>
      </c>
      <c r="K318" s="1" t="n">
        <f aca="false">IF(SMALL($AA318:$CH318,4)&gt;=9999,"",INDEX(Presupuesto!$C:$C,SMALL($AA318:$CH318,4)))</f>
        <v>0</v>
      </c>
      <c r="L318" s="1" t="n">
        <f aca="false">IF(SMALL($AA318:$CH318,5)&gt;=9999,"",INDEX(Presupuesto!$C:$C,SMALL($AA318:$CH318,5)))</f>
        <v>0</v>
      </c>
      <c r="M318" s="1" t="n">
        <f aca="false">IF(SMALL($AA318:$CH318,6)&gt;=9999,"",INDEX(Presupuesto!$C:$C,SMALL($AA318:$CH318,6)))</f>
        <v>0</v>
      </c>
      <c r="N318" s="1" t="n">
        <f aca="false">IF(SMALL($AA318:$CH318,7)&gt;=9999,"",INDEX(Presupuesto!$C:$C,SMALL($AA318:$CH318,7)))</f>
        <v>0</v>
      </c>
      <c r="O318" s="1" t="n">
        <f aca="false">IF(SMALL($AA318:$CH318,8)&gt;=9999,"",INDEX(Presupuesto!$C:$C,SMALL($AA318:$CH318,8)))</f>
        <v>0</v>
      </c>
      <c r="P318" s="1" t="n">
        <f aca="false">IF(SMALL($AA318:$CH318,9)&gt;=9999,"",INDEX(Presupuesto!$C:$C,SMALL($AA318:$CH318,9)))</f>
        <v>0</v>
      </c>
      <c r="Q318" s="1" t="n">
        <f aca="false">IF(SMALL($AA318:$CH318,10)&gt;=9999,"",INDEX(Presupuesto!$C:$C,SMALL($AA318:$CH318,10)))</f>
        <v>0</v>
      </c>
      <c r="AA318" s="0" t="n">
        <f aca="false">IF(Presupuesto!$B$7='Flujo de Pagos'!$E318,7,9999)</f>
        <v>9999</v>
      </c>
      <c r="AB318" s="0" t="n">
        <f aca="false">IF(Presupuesto!$B$8='Flujo de Pagos'!$E318,8,9999)</f>
        <v>9999</v>
      </c>
      <c r="AC318" s="0" t="n">
        <f aca="false">IF(Presupuesto!$B$9='Flujo de Pagos'!$E318,9,9999)</f>
        <v>9999</v>
      </c>
      <c r="AD318" s="0" t="n">
        <f aca="false">IF(Presupuesto!$B$10='Flujo de Pagos'!$E318,10,9999)</f>
        <v>9999</v>
      </c>
      <c r="AE318" s="0" t="n">
        <f aca="false">IF(Presupuesto!$B$11='Flujo de Pagos'!$E318,11,9999)</f>
        <v>9999</v>
      </c>
      <c r="AF318" s="0" t="n">
        <f aca="false">IF(Presupuesto!$B$12='Flujo de Pagos'!$E318,12,9999)</f>
        <v>12</v>
      </c>
      <c r="AG318" s="0" t="n">
        <f aca="false">IF(Presupuesto!$B$13='Flujo de Pagos'!$E318,13,9999)</f>
        <v>13</v>
      </c>
      <c r="AH318" s="0" t="n">
        <f aca="false">IF(Presupuesto!$B$14='Flujo de Pagos'!$E318,14,9999)</f>
        <v>14</v>
      </c>
      <c r="AI318" s="0" t="n">
        <f aca="false">IF(Presupuesto!$B$15='Flujo de Pagos'!$E318,15,9999)</f>
        <v>15</v>
      </c>
      <c r="AJ318" s="0" t="n">
        <f aca="false">IF(Presupuesto!$B$16='Flujo de Pagos'!$E318,16,9999)</f>
        <v>16</v>
      </c>
      <c r="AK318" s="0" t="n">
        <f aca="false">IF(Presupuesto!$B$17='Flujo de Pagos'!$E318,17,9999)</f>
        <v>17</v>
      </c>
      <c r="AL318" s="0" t="n">
        <f aca="false">IF(Presupuesto!$B$18='Flujo de Pagos'!$E318,18,9999)</f>
        <v>18</v>
      </c>
      <c r="AM318" s="0" t="n">
        <f aca="false">IF(Presupuesto!$B$19='Flujo de Pagos'!$E318,19,9999)</f>
        <v>19</v>
      </c>
      <c r="AN318" s="0" t="n">
        <f aca="false">IF(Presupuesto!$B$20='Flujo de Pagos'!$E318,20,9999)</f>
        <v>20</v>
      </c>
      <c r="AO318" s="0" t="n">
        <f aca="false">IF(Presupuesto!$B$21='Flujo de Pagos'!$E318,21,9999)</f>
        <v>21</v>
      </c>
      <c r="AP318" s="0" t="n">
        <f aca="false">IF(Presupuesto!$B$22='Flujo de Pagos'!$E318,22,9999)</f>
        <v>22</v>
      </c>
      <c r="AQ318" s="0" t="n">
        <f aca="false">IF(Presupuesto!$B$23='Flujo de Pagos'!$E318,23,9999)</f>
        <v>23</v>
      </c>
      <c r="AR318" s="0" t="n">
        <f aca="false">IF(Presupuesto!$B$24='Flujo de Pagos'!$E318,24,9999)</f>
        <v>24</v>
      </c>
      <c r="AS318" s="0" t="n">
        <f aca="false">IF(Presupuesto!$B$25='Flujo de Pagos'!$E318,25,9999)</f>
        <v>25</v>
      </c>
      <c r="AT318" s="0" t="n">
        <f aca="false">IF(Presupuesto!$B$26='Flujo de Pagos'!$E318,26,9999)</f>
        <v>26</v>
      </c>
      <c r="AU318" s="0" t="n">
        <f aca="false">IF(Presupuesto!$B$27='Flujo de Pagos'!$E318,27,9999)</f>
        <v>27</v>
      </c>
      <c r="AV318" s="0" t="n">
        <f aca="false">IF(Presupuesto!$B$28='Flujo de Pagos'!$E318,28,9999)</f>
        <v>28</v>
      </c>
      <c r="AW318" s="0" t="n">
        <f aca="false">IF(Presupuesto!$B$29='Flujo de Pagos'!$E318,29,9999)</f>
        <v>29</v>
      </c>
      <c r="AX318" s="0" t="n">
        <f aca="false">IF(Presupuesto!$B$30='Flujo de Pagos'!$E318,30,9999)</f>
        <v>30</v>
      </c>
      <c r="AY318" s="0" t="n">
        <f aca="false">IF(Presupuesto!$B$31='Flujo de Pagos'!$E318,31,9999)</f>
        <v>31</v>
      </c>
      <c r="AZ318" s="0" t="n">
        <f aca="false">IF(Presupuesto!$B$32='Flujo de Pagos'!$E318,32,9999)</f>
        <v>32</v>
      </c>
      <c r="BA318" s="0" t="n">
        <f aca="false">IF(Presupuesto!$B$33='Flujo de Pagos'!$E318,33,9999)</f>
        <v>33</v>
      </c>
      <c r="BB318" s="0" t="n">
        <f aca="false">IF(Presupuesto!$B$34='Flujo de Pagos'!$E318,34,9999)</f>
        <v>34</v>
      </c>
      <c r="BC318" s="0" t="n">
        <f aca="false">IF(Presupuesto!$B$35='Flujo de Pagos'!$E318,35,9999)</f>
        <v>35</v>
      </c>
      <c r="BD318" s="0" t="n">
        <f aca="false">IF(Presupuesto!$B$36='Flujo de Pagos'!$E318,36,9999)</f>
        <v>36</v>
      </c>
      <c r="BE318" s="0" t="n">
        <f aca="false">IF(Presupuesto!$B$37='Flujo de Pagos'!$E318,37,9999)</f>
        <v>37</v>
      </c>
      <c r="BF318" s="0" t="n">
        <f aca="false">IF(Presupuesto!$B$38='Flujo de Pagos'!$E318,38,9999)</f>
        <v>38</v>
      </c>
      <c r="BG318" s="0" t="n">
        <f aca="false">IF(Presupuesto!$B$39='Flujo de Pagos'!$E318,39,9999)</f>
        <v>39</v>
      </c>
      <c r="BH318" s="0" t="n">
        <f aca="false">IF(Presupuesto!$B$40='Flujo de Pagos'!$E318,40,9999)</f>
        <v>40</v>
      </c>
      <c r="BI318" s="0" t="n">
        <f aca="false">IF(Presupuesto!$B$41='Flujo de Pagos'!$E318,41,9999)</f>
        <v>41</v>
      </c>
      <c r="BJ318" s="0" t="n">
        <f aca="false">IF(Presupuesto!$B$42='Flujo de Pagos'!$E318,42,9999)</f>
        <v>42</v>
      </c>
      <c r="BK318" s="0" t="n">
        <f aca="false">IF(Presupuesto!$B$43='Flujo de Pagos'!$E318,43,9999)</f>
        <v>43</v>
      </c>
      <c r="BL318" s="0" t="n">
        <f aca="false">IF(Presupuesto!$B$44='Flujo de Pagos'!$E318,44,9999)</f>
        <v>44</v>
      </c>
      <c r="BM318" s="0" t="n">
        <f aca="false">IF(Presupuesto!$B$45='Flujo de Pagos'!$E318,45,9999)</f>
        <v>45</v>
      </c>
      <c r="BN318" s="0" t="n">
        <f aca="false">IF(Presupuesto!$B$46='Flujo de Pagos'!$E318,46,9999)</f>
        <v>46</v>
      </c>
      <c r="BO318" s="0" t="n">
        <f aca="false">IF(Presupuesto!$B$47='Flujo de Pagos'!$E318,47,9999)</f>
        <v>47</v>
      </c>
      <c r="BP318" s="0" t="n">
        <f aca="false">IF(Presupuesto!$B$48='Flujo de Pagos'!$E318,48,9999)</f>
        <v>48</v>
      </c>
      <c r="BQ318" s="0" t="n">
        <f aca="false">IF(Presupuesto!$B$49='Flujo de Pagos'!$E318,49,9999)</f>
        <v>49</v>
      </c>
      <c r="BR318" s="0" t="n">
        <f aca="false">IF(Presupuesto!$B$50='Flujo de Pagos'!$E318,50,9999)</f>
        <v>50</v>
      </c>
      <c r="BS318" s="0" t="n">
        <f aca="false">IF(Presupuesto!$B$51='Flujo de Pagos'!$E318,51,9999)</f>
        <v>51</v>
      </c>
      <c r="BT318" s="0" t="n">
        <f aca="false">IF(Presupuesto!$B$52='Flujo de Pagos'!$E318,52,9999)</f>
        <v>52</v>
      </c>
      <c r="BU318" s="0" t="n">
        <f aca="false">IF(Presupuesto!$B$53='Flujo de Pagos'!$E318,53,9999)</f>
        <v>53</v>
      </c>
      <c r="BV318" s="0" t="n">
        <f aca="false">IF(Presupuesto!$B$54='Flujo de Pagos'!$E318,54,9999)</f>
        <v>54</v>
      </c>
      <c r="BW318" s="0" t="n">
        <f aca="false">IF(Presupuesto!$B$55='Flujo de Pagos'!$E318,55,9999)</f>
        <v>55</v>
      </c>
      <c r="BX318" s="0" t="n">
        <f aca="false">IF(Presupuesto!$B$56='Flujo de Pagos'!$E318,56,9999)</f>
        <v>56</v>
      </c>
      <c r="BY318" s="0" t="n">
        <f aca="false">IF(Presupuesto!$B$57='Flujo de Pagos'!$E318,57,9999)</f>
        <v>57</v>
      </c>
      <c r="BZ318" s="0" t="n">
        <f aca="false">IF(Presupuesto!$B$58='Flujo de Pagos'!$E318,58,9999)</f>
        <v>58</v>
      </c>
      <c r="CA318" s="0" t="n">
        <f aca="false">IF(Presupuesto!$B$59='Flujo de Pagos'!$E318,59,9999)</f>
        <v>59</v>
      </c>
      <c r="CB318" s="0" t="n">
        <f aca="false">IF(Presupuesto!$B$60='Flujo de Pagos'!$E318,60,9999)</f>
        <v>60</v>
      </c>
      <c r="CC318" s="0" t="n">
        <f aca="false">IF(Presupuesto!$B$61='Flujo de Pagos'!$E318,61,9999)</f>
        <v>61</v>
      </c>
      <c r="CD318" s="0" t="n">
        <f aca="false">IF(Presupuesto!$B$62='Flujo de Pagos'!$E318,62,9999)</f>
        <v>62</v>
      </c>
      <c r="CE318" s="0" t="n">
        <f aca="false">IF(Presupuesto!$B$63='Flujo de Pagos'!$E318,63,9999)</f>
        <v>63</v>
      </c>
      <c r="CF318" s="0" t="n">
        <f aca="false">IF(Presupuesto!$B$64='Flujo de Pagos'!$E318,64,9999)</f>
        <v>64</v>
      </c>
      <c r="CG318" s="0" t="n">
        <f aca="false">IF(Presupuesto!$B$65='Flujo de Pagos'!$E318,65,9999)</f>
        <v>65</v>
      </c>
      <c r="CH318" s="0" t="n">
        <f aca="false">IF(Presupuesto!$B$66='Flujo de Pagos'!$E318,66,9999)</f>
        <v>66</v>
      </c>
    </row>
    <row r="319" customFormat="false" ht="15" hidden="false" customHeight="true" outlineLevel="0" collapsed="false">
      <c r="B319" s="1" t="n">
        <f aca="false">IF(AND('Flujo de Pagos'!E324=Carátula!$B$2,'Flujo de Pagos'!F324=Carátula!$B$4,'Flujo de Pagos'!H324&lt;&gt;""),324,99999)</f>
        <v>99999</v>
      </c>
      <c r="H319" s="1" t="n">
        <f aca="false">IF(SMALL($AA319:$CH319,1)&gt;=9999,"",INDEX(Presupuesto!$C:$C,SMALL($AA319:$CH319,1)))</f>
        <v>0</v>
      </c>
      <c r="I319" s="1" t="n">
        <f aca="false">IF(SMALL($AA319:$CH319,2)&gt;=9999,"",INDEX(Presupuesto!$C:$C,SMALL($AA319:$CH319,2)))</f>
        <v>0</v>
      </c>
      <c r="J319" s="1" t="n">
        <f aca="false">IF(SMALL($AA319:$CH319,3)&gt;=9999,"",INDEX(Presupuesto!$C:$C,SMALL($AA319:$CH319,3)))</f>
        <v>0</v>
      </c>
      <c r="K319" s="1" t="n">
        <f aca="false">IF(SMALL($AA319:$CH319,4)&gt;=9999,"",INDEX(Presupuesto!$C:$C,SMALL($AA319:$CH319,4)))</f>
        <v>0</v>
      </c>
      <c r="L319" s="1" t="n">
        <f aca="false">IF(SMALL($AA319:$CH319,5)&gt;=9999,"",INDEX(Presupuesto!$C:$C,SMALL($AA319:$CH319,5)))</f>
        <v>0</v>
      </c>
      <c r="M319" s="1" t="n">
        <f aca="false">IF(SMALL($AA319:$CH319,6)&gt;=9999,"",INDEX(Presupuesto!$C:$C,SMALL($AA319:$CH319,6)))</f>
        <v>0</v>
      </c>
      <c r="N319" s="1" t="n">
        <f aca="false">IF(SMALL($AA319:$CH319,7)&gt;=9999,"",INDEX(Presupuesto!$C:$C,SMALL($AA319:$CH319,7)))</f>
        <v>0</v>
      </c>
      <c r="O319" s="1" t="n">
        <f aca="false">IF(SMALL($AA319:$CH319,8)&gt;=9999,"",INDEX(Presupuesto!$C:$C,SMALL($AA319:$CH319,8)))</f>
        <v>0</v>
      </c>
      <c r="P319" s="1" t="n">
        <f aca="false">IF(SMALL($AA319:$CH319,9)&gt;=9999,"",INDEX(Presupuesto!$C:$C,SMALL($AA319:$CH319,9)))</f>
        <v>0</v>
      </c>
      <c r="Q319" s="1" t="n">
        <f aca="false">IF(SMALL($AA319:$CH319,10)&gt;=9999,"",INDEX(Presupuesto!$C:$C,SMALL($AA319:$CH319,10)))</f>
        <v>0</v>
      </c>
      <c r="AA319" s="0" t="n">
        <f aca="false">IF(Presupuesto!$B$7='Flujo de Pagos'!$E319,7,9999)</f>
        <v>9999</v>
      </c>
      <c r="AB319" s="0" t="n">
        <f aca="false">IF(Presupuesto!$B$8='Flujo de Pagos'!$E319,8,9999)</f>
        <v>9999</v>
      </c>
      <c r="AC319" s="0" t="n">
        <f aca="false">IF(Presupuesto!$B$9='Flujo de Pagos'!$E319,9,9999)</f>
        <v>9999</v>
      </c>
      <c r="AD319" s="0" t="n">
        <f aca="false">IF(Presupuesto!$B$10='Flujo de Pagos'!$E319,10,9999)</f>
        <v>9999</v>
      </c>
      <c r="AE319" s="0" t="n">
        <f aca="false">IF(Presupuesto!$B$11='Flujo de Pagos'!$E319,11,9999)</f>
        <v>9999</v>
      </c>
      <c r="AF319" s="0" t="n">
        <f aca="false">IF(Presupuesto!$B$12='Flujo de Pagos'!$E319,12,9999)</f>
        <v>12</v>
      </c>
      <c r="AG319" s="0" t="n">
        <f aca="false">IF(Presupuesto!$B$13='Flujo de Pagos'!$E319,13,9999)</f>
        <v>13</v>
      </c>
      <c r="AH319" s="0" t="n">
        <f aca="false">IF(Presupuesto!$B$14='Flujo de Pagos'!$E319,14,9999)</f>
        <v>14</v>
      </c>
      <c r="AI319" s="0" t="n">
        <f aca="false">IF(Presupuesto!$B$15='Flujo de Pagos'!$E319,15,9999)</f>
        <v>15</v>
      </c>
      <c r="AJ319" s="0" t="n">
        <f aca="false">IF(Presupuesto!$B$16='Flujo de Pagos'!$E319,16,9999)</f>
        <v>16</v>
      </c>
      <c r="AK319" s="0" t="n">
        <f aca="false">IF(Presupuesto!$B$17='Flujo de Pagos'!$E319,17,9999)</f>
        <v>17</v>
      </c>
      <c r="AL319" s="0" t="n">
        <f aca="false">IF(Presupuesto!$B$18='Flujo de Pagos'!$E319,18,9999)</f>
        <v>18</v>
      </c>
      <c r="AM319" s="0" t="n">
        <f aca="false">IF(Presupuesto!$B$19='Flujo de Pagos'!$E319,19,9999)</f>
        <v>19</v>
      </c>
      <c r="AN319" s="0" t="n">
        <f aca="false">IF(Presupuesto!$B$20='Flujo de Pagos'!$E319,20,9999)</f>
        <v>20</v>
      </c>
      <c r="AO319" s="0" t="n">
        <f aca="false">IF(Presupuesto!$B$21='Flujo de Pagos'!$E319,21,9999)</f>
        <v>21</v>
      </c>
      <c r="AP319" s="0" t="n">
        <f aca="false">IF(Presupuesto!$B$22='Flujo de Pagos'!$E319,22,9999)</f>
        <v>22</v>
      </c>
      <c r="AQ319" s="0" t="n">
        <f aca="false">IF(Presupuesto!$B$23='Flujo de Pagos'!$E319,23,9999)</f>
        <v>23</v>
      </c>
      <c r="AR319" s="0" t="n">
        <f aca="false">IF(Presupuesto!$B$24='Flujo de Pagos'!$E319,24,9999)</f>
        <v>24</v>
      </c>
      <c r="AS319" s="0" t="n">
        <f aca="false">IF(Presupuesto!$B$25='Flujo de Pagos'!$E319,25,9999)</f>
        <v>25</v>
      </c>
      <c r="AT319" s="0" t="n">
        <f aca="false">IF(Presupuesto!$B$26='Flujo de Pagos'!$E319,26,9999)</f>
        <v>26</v>
      </c>
      <c r="AU319" s="0" t="n">
        <f aca="false">IF(Presupuesto!$B$27='Flujo de Pagos'!$E319,27,9999)</f>
        <v>27</v>
      </c>
      <c r="AV319" s="0" t="n">
        <f aca="false">IF(Presupuesto!$B$28='Flujo de Pagos'!$E319,28,9999)</f>
        <v>28</v>
      </c>
      <c r="AW319" s="0" t="n">
        <f aca="false">IF(Presupuesto!$B$29='Flujo de Pagos'!$E319,29,9999)</f>
        <v>29</v>
      </c>
      <c r="AX319" s="0" t="n">
        <f aca="false">IF(Presupuesto!$B$30='Flujo de Pagos'!$E319,30,9999)</f>
        <v>30</v>
      </c>
      <c r="AY319" s="0" t="n">
        <f aca="false">IF(Presupuesto!$B$31='Flujo de Pagos'!$E319,31,9999)</f>
        <v>31</v>
      </c>
      <c r="AZ319" s="0" t="n">
        <f aca="false">IF(Presupuesto!$B$32='Flujo de Pagos'!$E319,32,9999)</f>
        <v>32</v>
      </c>
      <c r="BA319" s="0" t="n">
        <f aca="false">IF(Presupuesto!$B$33='Flujo de Pagos'!$E319,33,9999)</f>
        <v>33</v>
      </c>
      <c r="BB319" s="0" t="n">
        <f aca="false">IF(Presupuesto!$B$34='Flujo de Pagos'!$E319,34,9999)</f>
        <v>34</v>
      </c>
      <c r="BC319" s="0" t="n">
        <f aca="false">IF(Presupuesto!$B$35='Flujo de Pagos'!$E319,35,9999)</f>
        <v>35</v>
      </c>
      <c r="BD319" s="0" t="n">
        <f aca="false">IF(Presupuesto!$B$36='Flujo de Pagos'!$E319,36,9999)</f>
        <v>36</v>
      </c>
      <c r="BE319" s="0" t="n">
        <f aca="false">IF(Presupuesto!$B$37='Flujo de Pagos'!$E319,37,9999)</f>
        <v>37</v>
      </c>
      <c r="BF319" s="0" t="n">
        <f aca="false">IF(Presupuesto!$B$38='Flujo de Pagos'!$E319,38,9999)</f>
        <v>38</v>
      </c>
      <c r="BG319" s="0" t="n">
        <f aca="false">IF(Presupuesto!$B$39='Flujo de Pagos'!$E319,39,9999)</f>
        <v>39</v>
      </c>
      <c r="BH319" s="0" t="n">
        <f aca="false">IF(Presupuesto!$B$40='Flujo de Pagos'!$E319,40,9999)</f>
        <v>40</v>
      </c>
      <c r="BI319" s="0" t="n">
        <f aca="false">IF(Presupuesto!$B$41='Flujo de Pagos'!$E319,41,9999)</f>
        <v>41</v>
      </c>
      <c r="BJ319" s="0" t="n">
        <f aca="false">IF(Presupuesto!$B$42='Flujo de Pagos'!$E319,42,9999)</f>
        <v>42</v>
      </c>
      <c r="BK319" s="0" t="n">
        <f aca="false">IF(Presupuesto!$B$43='Flujo de Pagos'!$E319,43,9999)</f>
        <v>43</v>
      </c>
      <c r="BL319" s="0" t="n">
        <f aca="false">IF(Presupuesto!$B$44='Flujo de Pagos'!$E319,44,9999)</f>
        <v>44</v>
      </c>
      <c r="BM319" s="0" t="n">
        <f aca="false">IF(Presupuesto!$B$45='Flujo de Pagos'!$E319,45,9999)</f>
        <v>45</v>
      </c>
      <c r="BN319" s="0" t="n">
        <f aca="false">IF(Presupuesto!$B$46='Flujo de Pagos'!$E319,46,9999)</f>
        <v>46</v>
      </c>
      <c r="BO319" s="0" t="n">
        <f aca="false">IF(Presupuesto!$B$47='Flujo de Pagos'!$E319,47,9999)</f>
        <v>47</v>
      </c>
      <c r="BP319" s="0" t="n">
        <f aca="false">IF(Presupuesto!$B$48='Flujo de Pagos'!$E319,48,9999)</f>
        <v>48</v>
      </c>
      <c r="BQ319" s="0" t="n">
        <f aca="false">IF(Presupuesto!$B$49='Flujo de Pagos'!$E319,49,9999)</f>
        <v>49</v>
      </c>
      <c r="BR319" s="0" t="n">
        <f aca="false">IF(Presupuesto!$B$50='Flujo de Pagos'!$E319,50,9999)</f>
        <v>50</v>
      </c>
      <c r="BS319" s="0" t="n">
        <f aca="false">IF(Presupuesto!$B$51='Flujo de Pagos'!$E319,51,9999)</f>
        <v>51</v>
      </c>
      <c r="BT319" s="0" t="n">
        <f aca="false">IF(Presupuesto!$B$52='Flujo de Pagos'!$E319,52,9999)</f>
        <v>52</v>
      </c>
      <c r="BU319" s="0" t="n">
        <f aca="false">IF(Presupuesto!$B$53='Flujo de Pagos'!$E319,53,9999)</f>
        <v>53</v>
      </c>
      <c r="BV319" s="0" t="n">
        <f aca="false">IF(Presupuesto!$B$54='Flujo de Pagos'!$E319,54,9999)</f>
        <v>54</v>
      </c>
      <c r="BW319" s="0" t="n">
        <f aca="false">IF(Presupuesto!$B$55='Flujo de Pagos'!$E319,55,9999)</f>
        <v>55</v>
      </c>
      <c r="BX319" s="0" t="n">
        <f aca="false">IF(Presupuesto!$B$56='Flujo de Pagos'!$E319,56,9999)</f>
        <v>56</v>
      </c>
      <c r="BY319" s="0" t="n">
        <f aca="false">IF(Presupuesto!$B$57='Flujo de Pagos'!$E319,57,9999)</f>
        <v>57</v>
      </c>
      <c r="BZ319" s="0" t="n">
        <f aca="false">IF(Presupuesto!$B$58='Flujo de Pagos'!$E319,58,9999)</f>
        <v>58</v>
      </c>
      <c r="CA319" s="0" t="n">
        <f aca="false">IF(Presupuesto!$B$59='Flujo de Pagos'!$E319,59,9999)</f>
        <v>59</v>
      </c>
      <c r="CB319" s="0" t="n">
        <f aca="false">IF(Presupuesto!$B$60='Flujo de Pagos'!$E319,60,9999)</f>
        <v>60</v>
      </c>
      <c r="CC319" s="0" t="n">
        <f aca="false">IF(Presupuesto!$B$61='Flujo de Pagos'!$E319,61,9999)</f>
        <v>61</v>
      </c>
      <c r="CD319" s="0" t="n">
        <f aca="false">IF(Presupuesto!$B$62='Flujo de Pagos'!$E319,62,9999)</f>
        <v>62</v>
      </c>
      <c r="CE319" s="0" t="n">
        <f aca="false">IF(Presupuesto!$B$63='Flujo de Pagos'!$E319,63,9999)</f>
        <v>63</v>
      </c>
      <c r="CF319" s="0" t="n">
        <f aca="false">IF(Presupuesto!$B$64='Flujo de Pagos'!$E319,64,9999)</f>
        <v>64</v>
      </c>
      <c r="CG319" s="0" t="n">
        <f aca="false">IF(Presupuesto!$B$65='Flujo de Pagos'!$E319,65,9999)</f>
        <v>65</v>
      </c>
      <c r="CH319" s="0" t="n">
        <f aca="false">IF(Presupuesto!$B$66='Flujo de Pagos'!$E319,66,9999)</f>
        <v>66</v>
      </c>
    </row>
    <row r="320" customFormat="false" ht="15" hidden="false" customHeight="true" outlineLevel="0" collapsed="false">
      <c r="B320" s="1" t="n">
        <f aca="false">IF(AND('Flujo de Pagos'!E325=Carátula!$B$2,'Flujo de Pagos'!F325=Carátula!$B$4,'Flujo de Pagos'!H325&lt;&gt;""),325,99999)</f>
        <v>99999</v>
      </c>
      <c r="H320" s="1" t="n">
        <f aca="false">IF(SMALL($AA320:$CH320,1)&gt;=9999,"",INDEX(Presupuesto!$C:$C,SMALL($AA320:$CH320,1)))</f>
        <v>0</v>
      </c>
      <c r="I320" s="1" t="n">
        <f aca="false">IF(SMALL($AA320:$CH320,2)&gt;=9999,"",INDEX(Presupuesto!$C:$C,SMALL($AA320:$CH320,2)))</f>
        <v>0</v>
      </c>
      <c r="J320" s="1" t="n">
        <f aca="false">IF(SMALL($AA320:$CH320,3)&gt;=9999,"",INDEX(Presupuesto!$C:$C,SMALL($AA320:$CH320,3)))</f>
        <v>0</v>
      </c>
      <c r="K320" s="1" t="n">
        <f aca="false">IF(SMALL($AA320:$CH320,4)&gt;=9999,"",INDEX(Presupuesto!$C:$C,SMALL($AA320:$CH320,4)))</f>
        <v>0</v>
      </c>
      <c r="L320" s="1" t="n">
        <f aca="false">IF(SMALL($AA320:$CH320,5)&gt;=9999,"",INDEX(Presupuesto!$C:$C,SMALL($AA320:$CH320,5)))</f>
        <v>0</v>
      </c>
      <c r="M320" s="1" t="n">
        <f aca="false">IF(SMALL($AA320:$CH320,6)&gt;=9999,"",INDEX(Presupuesto!$C:$C,SMALL($AA320:$CH320,6)))</f>
        <v>0</v>
      </c>
      <c r="N320" s="1" t="n">
        <f aca="false">IF(SMALL($AA320:$CH320,7)&gt;=9999,"",INDEX(Presupuesto!$C:$C,SMALL($AA320:$CH320,7)))</f>
        <v>0</v>
      </c>
      <c r="O320" s="1" t="n">
        <f aca="false">IF(SMALL($AA320:$CH320,8)&gt;=9999,"",INDEX(Presupuesto!$C:$C,SMALL($AA320:$CH320,8)))</f>
        <v>0</v>
      </c>
      <c r="P320" s="1" t="n">
        <f aca="false">IF(SMALL($AA320:$CH320,9)&gt;=9999,"",INDEX(Presupuesto!$C:$C,SMALL($AA320:$CH320,9)))</f>
        <v>0</v>
      </c>
      <c r="Q320" s="1" t="n">
        <f aca="false">IF(SMALL($AA320:$CH320,10)&gt;=9999,"",INDEX(Presupuesto!$C:$C,SMALL($AA320:$CH320,10)))</f>
        <v>0</v>
      </c>
      <c r="AA320" s="0" t="n">
        <f aca="false">IF(Presupuesto!$B$7='Flujo de Pagos'!$E320,7,9999)</f>
        <v>9999</v>
      </c>
      <c r="AB320" s="0" t="n">
        <f aca="false">IF(Presupuesto!$B$8='Flujo de Pagos'!$E320,8,9999)</f>
        <v>9999</v>
      </c>
      <c r="AC320" s="0" t="n">
        <f aca="false">IF(Presupuesto!$B$9='Flujo de Pagos'!$E320,9,9999)</f>
        <v>9999</v>
      </c>
      <c r="AD320" s="0" t="n">
        <f aca="false">IF(Presupuesto!$B$10='Flujo de Pagos'!$E320,10,9999)</f>
        <v>9999</v>
      </c>
      <c r="AE320" s="0" t="n">
        <f aca="false">IF(Presupuesto!$B$11='Flujo de Pagos'!$E320,11,9999)</f>
        <v>9999</v>
      </c>
      <c r="AF320" s="0" t="n">
        <f aca="false">IF(Presupuesto!$B$12='Flujo de Pagos'!$E320,12,9999)</f>
        <v>12</v>
      </c>
      <c r="AG320" s="0" t="n">
        <f aca="false">IF(Presupuesto!$B$13='Flujo de Pagos'!$E320,13,9999)</f>
        <v>13</v>
      </c>
      <c r="AH320" s="0" t="n">
        <f aca="false">IF(Presupuesto!$B$14='Flujo de Pagos'!$E320,14,9999)</f>
        <v>14</v>
      </c>
      <c r="AI320" s="0" t="n">
        <f aca="false">IF(Presupuesto!$B$15='Flujo de Pagos'!$E320,15,9999)</f>
        <v>15</v>
      </c>
      <c r="AJ320" s="0" t="n">
        <f aca="false">IF(Presupuesto!$B$16='Flujo de Pagos'!$E320,16,9999)</f>
        <v>16</v>
      </c>
      <c r="AK320" s="0" t="n">
        <f aca="false">IF(Presupuesto!$B$17='Flujo de Pagos'!$E320,17,9999)</f>
        <v>17</v>
      </c>
      <c r="AL320" s="0" t="n">
        <f aca="false">IF(Presupuesto!$B$18='Flujo de Pagos'!$E320,18,9999)</f>
        <v>18</v>
      </c>
      <c r="AM320" s="0" t="n">
        <f aca="false">IF(Presupuesto!$B$19='Flujo de Pagos'!$E320,19,9999)</f>
        <v>19</v>
      </c>
      <c r="AN320" s="0" t="n">
        <f aca="false">IF(Presupuesto!$B$20='Flujo de Pagos'!$E320,20,9999)</f>
        <v>20</v>
      </c>
      <c r="AO320" s="0" t="n">
        <f aca="false">IF(Presupuesto!$B$21='Flujo de Pagos'!$E320,21,9999)</f>
        <v>21</v>
      </c>
      <c r="AP320" s="0" t="n">
        <f aca="false">IF(Presupuesto!$B$22='Flujo de Pagos'!$E320,22,9999)</f>
        <v>22</v>
      </c>
      <c r="AQ320" s="0" t="n">
        <f aca="false">IF(Presupuesto!$B$23='Flujo de Pagos'!$E320,23,9999)</f>
        <v>23</v>
      </c>
      <c r="AR320" s="0" t="n">
        <f aca="false">IF(Presupuesto!$B$24='Flujo de Pagos'!$E320,24,9999)</f>
        <v>24</v>
      </c>
      <c r="AS320" s="0" t="n">
        <f aca="false">IF(Presupuesto!$B$25='Flujo de Pagos'!$E320,25,9999)</f>
        <v>25</v>
      </c>
      <c r="AT320" s="0" t="n">
        <f aca="false">IF(Presupuesto!$B$26='Flujo de Pagos'!$E320,26,9999)</f>
        <v>26</v>
      </c>
      <c r="AU320" s="0" t="n">
        <f aca="false">IF(Presupuesto!$B$27='Flujo de Pagos'!$E320,27,9999)</f>
        <v>27</v>
      </c>
      <c r="AV320" s="0" t="n">
        <f aca="false">IF(Presupuesto!$B$28='Flujo de Pagos'!$E320,28,9999)</f>
        <v>28</v>
      </c>
      <c r="AW320" s="0" t="n">
        <f aca="false">IF(Presupuesto!$B$29='Flujo de Pagos'!$E320,29,9999)</f>
        <v>29</v>
      </c>
      <c r="AX320" s="0" t="n">
        <f aca="false">IF(Presupuesto!$B$30='Flujo de Pagos'!$E320,30,9999)</f>
        <v>30</v>
      </c>
      <c r="AY320" s="0" t="n">
        <f aca="false">IF(Presupuesto!$B$31='Flujo de Pagos'!$E320,31,9999)</f>
        <v>31</v>
      </c>
      <c r="AZ320" s="0" t="n">
        <f aca="false">IF(Presupuesto!$B$32='Flujo de Pagos'!$E320,32,9999)</f>
        <v>32</v>
      </c>
      <c r="BA320" s="0" t="n">
        <f aca="false">IF(Presupuesto!$B$33='Flujo de Pagos'!$E320,33,9999)</f>
        <v>33</v>
      </c>
      <c r="BB320" s="0" t="n">
        <f aca="false">IF(Presupuesto!$B$34='Flujo de Pagos'!$E320,34,9999)</f>
        <v>34</v>
      </c>
      <c r="BC320" s="0" t="n">
        <f aca="false">IF(Presupuesto!$B$35='Flujo de Pagos'!$E320,35,9999)</f>
        <v>35</v>
      </c>
      <c r="BD320" s="0" t="n">
        <f aca="false">IF(Presupuesto!$B$36='Flujo de Pagos'!$E320,36,9999)</f>
        <v>36</v>
      </c>
      <c r="BE320" s="0" t="n">
        <f aca="false">IF(Presupuesto!$B$37='Flujo de Pagos'!$E320,37,9999)</f>
        <v>37</v>
      </c>
      <c r="BF320" s="0" t="n">
        <f aca="false">IF(Presupuesto!$B$38='Flujo de Pagos'!$E320,38,9999)</f>
        <v>38</v>
      </c>
      <c r="BG320" s="0" t="n">
        <f aca="false">IF(Presupuesto!$B$39='Flujo de Pagos'!$E320,39,9999)</f>
        <v>39</v>
      </c>
      <c r="BH320" s="0" t="n">
        <f aca="false">IF(Presupuesto!$B$40='Flujo de Pagos'!$E320,40,9999)</f>
        <v>40</v>
      </c>
      <c r="BI320" s="0" t="n">
        <f aca="false">IF(Presupuesto!$B$41='Flujo de Pagos'!$E320,41,9999)</f>
        <v>41</v>
      </c>
      <c r="BJ320" s="0" t="n">
        <f aca="false">IF(Presupuesto!$B$42='Flujo de Pagos'!$E320,42,9999)</f>
        <v>42</v>
      </c>
      <c r="BK320" s="0" t="n">
        <f aca="false">IF(Presupuesto!$B$43='Flujo de Pagos'!$E320,43,9999)</f>
        <v>43</v>
      </c>
      <c r="BL320" s="0" t="n">
        <f aca="false">IF(Presupuesto!$B$44='Flujo de Pagos'!$E320,44,9999)</f>
        <v>44</v>
      </c>
      <c r="BM320" s="0" t="n">
        <f aca="false">IF(Presupuesto!$B$45='Flujo de Pagos'!$E320,45,9999)</f>
        <v>45</v>
      </c>
      <c r="BN320" s="0" t="n">
        <f aca="false">IF(Presupuesto!$B$46='Flujo de Pagos'!$E320,46,9999)</f>
        <v>46</v>
      </c>
      <c r="BO320" s="0" t="n">
        <f aca="false">IF(Presupuesto!$B$47='Flujo de Pagos'!$E320,47,9999)</f>
        <v>47</v>
      </c>
      <c r="BP320" s="0" t="n">
        <f aca="false">IF(Presupuesto!$B$48='Flujo de Pagos'!$E320,48,9999)</f>
        <v>48</v>
      </c>
      <c r="BQ320" s="0" t="n">
        <f aca="false">IF(Presupuesto!$B$49='Flujo de Pagos'!$E320,49,9999)</f>
        <v>49</v>
      </c>
      <c r="BR320" s="0" t="n">
        <f aca="false">IF(Presupuesto!$B$50='Flujo de Pagos'!$E320,50,9999)</f>
        <v>50</v>
      </c>
      <c r="BS320" s="0" t="n">
        <f aca="false">IF(Presupuesto!$B$51='Flujo de Pagos'!$E320,51,9999)</f>
        <v>51</v>
      </c>
      <c r="BT320" s="0" t="n">
        <f aca="false">IF(Presupuesto!$B$52='Flujo de Pagos'!$E320,52,9999)</f>
        <v>52</v>
      </c>
      <c r="BU320" s="0" t="n">
        <f aca="false">IF(Presupuesto!$B$53='Flujo de Pagos'!$E320,53,9999)</f>
        <v>53</v>
      </c>
      <c r="BV320" s="0" t="n">
        <f aca="false">IF(Presupuesto!$B$54='Flujo de Pagos'!$E320,54,9999)</f>
        <v>54</v>
      </c>
      <c r="BW320" s="0" t="n">
        <f aca="false">IF(Presupuesto!$B$55='Flujo de Pagos'!$E320,55,9999)</f>
        <v>55</v>
      </c>
      <c r="BX320" s="0" t="n">
        <f aca="false">IF(Presupuesto!$B$56='Flujo de Pagos'!$E320,56,9999)</f>
        <v>56</v>
      </c>
      <c r="BY320" s="0" t="n">
        <f aca="false">IF(Presupuesto!$B$57='Flujo de Pagos'!$E320,57,9999)</f>
        <v>57</v>
      </c>
      <c r="BZ320" s="0" t="n">
        <f aca="false">IF(Presupuesto!$B$58='Flujo de Pagos'!$E320,58,9999)</f>
        <v>58</v>
      </c>
      <c r="CA320" s="0" t="n">
        <f aca="false">IF(Presupuesto!$B$59='Flujo de Pagos'!$E320,59,9999)</f>
        <v>59</v>
      </c>
      <c r="CB320" s="0" t="n">
        <f aca="false">IF(Presupuesto!$B$60='Flujo de Pagos'!$E320,60,9999)</f>
        <v>60</v>
      </c>
      <c r="CC320" s="0" t="n">
        <f aca="false">IF(Presupuesto!$B$61='Flujo de Pagos'!$E320,61,9999)</f>
        <v>61</v>
      </c>
      <c r="CD320" s="0" t="n">
        <f aca="false">IF(Presupuesto!$B$62='Flujo de Pagos'!$E320,62,9999)</f>
        <v>62</v>
      </c>
      <c r="CE320" s="0" t="n">
        <f aca="false">IF(Presupuesto!$B$63='Flujo de Pagos'!$E320,63,9999)</f>
        <v>63</v>
      </c>
      <c r="CF320" s="0" t="n">
        <f aca="false">IF(Presupuesto!$B$64='Flujo de Pagos'!$E320,64,9999)</f>
        <v>64</v>
      </c>
      <c r="CG320" s="0" t="n">
        <f aca="false">IF(Presupuesto!$B$65='Flujo de Pagos'!$E320,65,9999)</f>
        <v>65</v>
      </c>
      <c r="CH320" s="0" t="n">
        <f aca="false">IF(Presupuesto!$B$66='Flujo de Pagos'!$E320,66,9999)</f>
        <v>66</v>
      </c>
    </row>
    <row r="321" customFormat="false" ht="15" hidden="false" customHeight="true" outlineLevel="0" collapsed="false">
      <c r="B321" s="1" t="n">
        <f aca="false">IF(AND('Flujo de Pagos'!E326=Carátula!$B$2,'Flujo de Pagos'!F326=Carátula!$B$4,'Flujo de Pagos'!H326&lt;&gt;""),326,99999)</f>
        <v>99999</v>
      </c>
      <c r="H321" s="1" t="n">
        <f aca="false">IF(SMALL($AA321:$CH321,1)&gt;=9999,"",INDEX(Presupuesto!$C:$C,SMALL($AA321:$CH321,1)))</f>
        <v>0</v>
      </c>
      <c r="I321" s="1" t="n">
        <f aca="false">IF(SMALL($AA321:$CH321,2)&gt;=9999,"",INDEX(Presupuesto!$C:$C,SMALL($AA321:$CH321,2)))</f>
        <v>0</v>
      </c>
      <c r="J321" s="1" t="n">
        <f aca="false">IF(SMALL($AA321:$CH321,3)&gt;=9999,"",INDEX(Presupuesto!$C:$C,SMALL($AA321:$CH321,3)))</f>
        <v>0</v>
      </c>
      <c r="K321" s="1" t="n">
        <f aca="false">IF(SMALL($AA321:$CH321,4)&gt;=9999,"",INDEX(Presupuesto!$C:$C,SMALL($AA321:$CH321,4)))</f>
        <v>0</v>
      </c>
      <c r="L321" s="1" t="n">
        <f aca="false">IF(SMALL($AA321:$CH321,5)&gt;=9999,"",INDEX(Presupuesto!$C:$C,SMALL($AA321:$CH321,5)))</f>
        <v>0</v>
      </c>
      <c r="M321" s="1" t="n">
        <f aca="false">IF(SMALL($AA321:$CH321,6)&gt;=9999,"",INDEX(Presupuesto!$C:$C,SMALL($AA321:$CH321,6)))</f>
        <v>0</v>
      </c>
      <c r="N321" s="1" t="n">
        <f aca="false">IF(SMALL($AA321:$CH321,7)&gt;=9999,"",INDEX(Presupuesto!$C:$C,SMALL($AA321:$CH321,7)))</f>
        <v>0</v>
      </c>
      <c r="O321" s="1" t="n">
        <f aca="false">IF(SMALL($AA321:$CH321,8)&gt;=9999,"",INDEX(Presupuesto!$C:$C,SMALL($AA321:$CH321,8)))</f>
        <v>0</v>
      </c>
      <c r="P321" s="1" t="n">
        <f aca="false">IF(SMALL($AA321:$CH321,9)&gt;=9999,"",INDEX(Presupuesto!$C:$C,SMALL($AA321:$CH321,9)))</f>
        <v>0</v>
      </c>
      <c r="Q321" s="1" t="n">
        <f aca="false">IF(SMALL($AA321:$CH321,10)&gt;=9999,"",INDEX(Presupuesto!$C:$C,SMALL($AA321:$CH321,10)))</f>
        <v>0</v>
      </c>
      <c r="AA321" s="0" t="n">
        <f aca="false">IF(Presupuesto!$B$7='Flujo de Pagos'!$E321,7,9999)</f>
        <v>9999</v>
      </c>
      <c r="AB321" s="0" t="n">
        <f aca="false">IF(Presupuesto!$B$8='Flujo de Pagos'!$E321,8,9999)</f>
        <v>9999</v>
      </c>
      <c r="AC321" s="0" t="n">
        <f aca="false">IF(Presupuesto!$B$9='Flujo de Pagos'!$E321,9,9999)</f>
        <v>9999</v>
      </c>
      <c r="AD321" s="0" t="n">
        <f aca="false">IF(Presupuesto!$B$10='Flujo de Pagos'!$E321,10,9999)</f>
        <v>9999</v>
      </c>
      <c r="AE321" s="0" t="n">
        <f aca="false">IF(Presupuesto!$B$11='Flujo de Pagos'!$E321,11,9999)</f>
        <v>9999</v>
      </c>
      <c r="AF321" s="0" t="n">
        <f aca="false">IF(Presupuesto!$B$12='Flujo de Pagos'!$E321,12,9999)</f>
        <v>12</v>
      </c>
      <c r="AG321" s="0" t="n">
        <f aca="false">IF(Presupuesto!$B$13='Flujo de Pagos'!$E321,13,9999)</f>
        <v>13</v>
      </c>
      <c r="AH321" s="0" t="n">
        <f aca="false">IF(Presupuesto!$B$14='Flujo de Pagos'!$E321,14,9999)</f>
        <v>14</v>
      </c>
      <c r="AI321" s="0" t="n">
        <f aca="false">IF(Presupuesto!$B$15='Flujo de Pagos'!$E321,15,9999)</f>
        <v>15</v>
      </c>
      <c r="AJ321" s="0" t="n">
        <f aca="false">IF(Presupuesto!$B$16='Flujo de Pagos'!$E321,16,9999)</f>
        <v>16</v>
      </c>
      <c r="AK321" s="0" t="n">
        <f aca="false">IF(Presupuesto!$B$17='Flujo de Pagos'!$E321,17,9999)</f>
        <v>17</v>
      </c>
      <c r="AL321" s="0" t="n">
        <f aca="false">IF(Presupuesto!$B$18='Flujo de Pagos'!$E321,18,9999)</f>
        <v>18</v>
      </c>
      <c r="AM321" s="0" t="n">
        <f aca="false">IF(Presupuesto!$B$19='Flujo de Pagos'!$E321,19,9999)</f>
        <v>19</v>
      </c>
      <c r="AN321" s="0" t="n">
        <f aca="false">IF(Presupuesto!$B$20='Flujo de Pagos'!$E321,20,9999)</f>
        <v>20</v>
      </c>
      <c r="AO321" s="0" t="n">
        <f aca="false">IF(Presupuesto!$B$21='Flujo de Pagos'!$E321,21,9999)</f>
        <v>21</v>
      </c>
      <c r="AP321" s="0" t="n">
        <f aca="false">IF(Presupuesto!$B$22='Flujo de Pagos'!$E321,22,9999)</f>
        <v>22</v>
      </c>
      <c r="AQ321" s="0" t="n">
        <f aca="false">IF(Presupuesto!$B$23='Flujo de Pagos'!$E321,23,9999)</f>
        <v>23</v>
      </c>
      <c r="AR321" s="0" t="n">
        <f aca="false">IF(Presupuesto!$B$24='Flujo de Pagos'!$E321,24,9999)</f>
        <v>24</v>
      </c>
      <c r="AS321" s="0" t="n">
        <f aca="false">IF(Presupuesto!$B$25='Flujo de Pagos'!$E321,25,9999)</f>
        <v>25</v>
      </c>
      <c r="AT321" s="0" t="n">
        <f aca="false">IF(Presupuesto!$B$26='Flujo de Pagos'!$E321,26,9999)</f>
        <v>26</v>
      </c>
      <c r="AU321" s="0" t="n">
        <f aca="false">IF(Presupuesto!$B$27='Flujo de Pagos'!$E321,27,9999)</f>
        <v>27</v>
      </c>
      <c r="AV321" s="0" t="n">
        <f aca="false">IF(Presupuesto!$B$28='Flujo de Pagos'!$E321,28,9999)</f>
        <v>28</v>
      </c>
      <c r="AW321" s="0" t="n">
        <f aca="false">IF(Presupuesto!$B$29='Flujo de Pagos'!$E321,29,9999)</f>
        <v>29</v>
      </c>
      <c r="AX321" s="0" t="n">
        <f aca="false">IF(Presupuesto!$B$30='Flujo de Pagos'!$E321,30,9999)</f>
        <v>30</v>
      </c>
      <c r="AY321" s="0" t="n">
        <f aca="false">IF(Presupuesto!$B$31='Flujo de Pagos'!$E321,31,9999)</f>
        <v>31</v>
      </c>
      <c r="AZ321" s="0" t="n">
        <f aca="false">IF(Presupuesto!$B$32='Flujo de Pagos'!$E321,32,9999)</f>
        <v>32</v>
      </c>
      <c r="BA321" s="0" t="n">
        <f aca="false">IF(Presupuesto!$B$33='Flujo de Pagos'!$E321,33,9999)</f>
        <v>33</v>
      </c>
      <c r="BB321" s="0" t="n">
        <f aca="false">IF(Presupuesto!$B$34='Flujo de Pagos'!$E321,34,9999)</f>
        <v>34</v>
      </c>
      <c r="BC321" s="0" t="n">
        <f aca="false">IF(Presupuesto!$B$35='Flujo de Pagos'!$E321,35,9999)</f>
        <v>35</v>
      </c>
      <c r="BD321" s="0" t="n">
        <f aca="false">IF(Presupuesto!$B$36='Flujo de Pagos'!$E321,36,9999)</f>
        <v>36</v>
      </c>
      <c r="BE321" s="0" t="n">
        <f aca="false">IF(Presupuesto!$B$37='Flujo de Pagos'!$E321,37,9999)</f>
        <v>37</v>
      </c>
      <c r="BF321" s="0" t="n">
        <f aca="false">IF(Presupuesto!$B$38='Flujo de Pagos'!$E321,38,9999)</f>
        <v>38</v>
      </c>
      <c r="BG321" s="0" t="n">
        <f aca="false">IF(Presupuesto!$B$39='Flujo de Pagos'!$E321,39,9999)</f>
        <v>39</v>
      </c>
      <c r="BH321" s="0" t="n">
        <f aca="false">IF(Presupuesto!$B$40='Flujo de Pagos'!$E321,40,9999)</f>
        <v>40</v>
      </c>
      <c r="BI321" s="0" t="n">
        <f aca="false">IF(Presupuesto!$B$41='Flujo de Pagos'!$E321,41,9999)</f>
        <v>41</v>
      </c>
      <c r="BJ321" s="0" t="n">
        <f aca="false">IF(Presupuesto!$B$42='Flujo de Pagos'!$E321,42,9999)</f>
        <v>42</v>
      </c>
      <c r="BK321" s="0" t="n">
        <f aca="false">IF(Presupuesto!$B$43='Flujo de Pagos'!$E321,43,9999)</f>
        <v>43</v>
      </c>
      <c r="BL321" s="0" t="n">
        <f aca="false">IF(Presupuesto!$B$44='Flujo de Pagos'!$E321,44,9999)</f>
        <v>44</v>
      </c>
      <c r="BM321" s="0" t="n">
        <f aca="false">IF(Presupuesto!$B$45='Flujo de Pagos'!$E321,45,9999)</f>
        <v>45</v>
      </c>
      <c r="BN321" s="0" t="n">
        <f aca="false">IF(Presupuesto!$B$46='Flujo de Pagos'!$E321,46,9999)</f>
        <v>46</v>
      </c>
      <c r="BO321" s="0" t="n">
        <f aca="false">IF(Presupuesto!$B$47='Flujo de Pagos'!$E321,47,9999)</f>
        <v>47</v>
      </c>
      <c r="BP321" s="0" t="n">
        <f aca="false">IF(Presupuesto!$B$48='Flujo de Pagos'!$E321,48,9999)</f>
        <v>48</v>
      </c>
      <c r="BQ321" s="0" t="n">
        <f aca="false">IF(Presupuesto!$B$49='Flujo de Pagos'!$E321,49,9999)</f>
        <v>49</v>
      </c>
      <c r="BR321" s="0" t="n">
        <f aca="false">IF(Presupuesto!$B$50='Flujo de Pagos'!$E321,50,9999)</f>
        <v>50</v>
      </c>
      <c r="BS321" s="0" t="n">
        <f aca="false">IF(Presupuesto!$B$51='Flujo de Pagos'!$E321,51,9999)</f>
        <v>51</v>
      </c>
      <c r="BT321" s="0" t="n">
        <f aca="false">IF(Presupuesto!$B$52='Flujo de Pagos'!$E321,52,9999)</f>
        <v>52</v>
      </c>
      <c r="BU321" s="0" t="n">
        <f aca="false">IF(Presupuesto!$B$53='Flujo de Pagos'!$E321,53,9999)</f>
        <v>53</v>
      </c>
      <c r="BV321" s="0" t="n">
        <f aca="false">IF(Presupuesto!$B$54='Flujo de Pagos'!$E321,54,9999)</f>
        <v>54</v>
      </c>
      <c r="BW321" s="0" t="n">
        <f aca="false">IF(Presupuesto!$B$55='Flujo de Pagos'!$E321,55,9999)</f>
        <v>55</v>
      </c>
      <c r="BX321" s="0" t="n">
        <f aca="false">IF(Presupuesto!$B$56='Flujo de Pagos'!$E321,56,9999)</f>
        <v>56</v>
      </c>
      <c r="BY321" s="0" t="n">
        <f aca="false">IF(Presupuesto!$B$57='Flujo de Pagos'!$E321,57,9999)</f>
        <v>57</v>
      </c>
      <c r="BZ321" s="0" t="n">
        <f aca="false">IF(Presupuesto!$B$58='Flujo de Pagos'!$E321,58,9999)</f>
        <v>58</v>
      </c>
      <c r="CA321" s="0" t="n">
        <f aca="false">IF(Presupuesto!$B$59='Flujo de Pagos'!$E321,59,9999)</f>
        <v>59</v>
      </c>
      <c r="CB321" s="0" t="n">
        <f aca="false">IF(Presupuesto!$B$60='Flujo de Pagos'!$E321,60,9999)</f>
        <v>60</v>
      </c>
      <c r="CC321" s="0" t="n">
        <f aca="false">IF(Presupuesto!$B$61='Flujo de Pagos'!$E321,61,9999)</f>
        <v>61</v>
      </c>
      <c r="CD321" s="0" t="n">
        <f aca="false">IF(Presupuesto!$B$62='Flujo de Pagos'!$E321,62,9999)</f>
        <v>62</v>
      </c>
      <c r="CE321" s="0" t="n">
        <f aca="false">IF(Presupuesto!$B$63='Flujo de Pagos'!$E321,63,9999)</f>
        <v>63</v>
      </c>
      <c r="CF321" s="0" t="n">
        <f aca="false">IF(Presupuesto!$B$64='Flujo de Pagos'!$E321,64,9999)</f>
        <v>64</v>
      </c>
      <c r="CG321" s="0" t="n">
        <f aca="false">IF(Presupuesto!$B$65='Flujo de Pagos'!$E321,65,9999)</f>
        <v>65</v>
      </c>
      <c r="CH321" s="0" t="n">
        <f aca="false">IF(Presupuesto!$B$66='Flujo de Pagos'!$E321,66,9999)</f>
        <v>66</v>
      </c>
    </row>
    <row r="322" customFormat="false" ht="15" hidden="false" customHeight="true" outlineLevel="0" collapsed="false">
      <c r="B322" s="1" t="n">
        <f aca="false">IF(AND('Flujo de Pagos'!E327=Carátula!$B$2,'Flujo de Pagos'!F327=Carátula!$B$4,'Flujo de Pagos'!H327&lt;&gt;""),327,99999)</f>
        <v>99999</v>
      </c>
      <c r="H322" s="1" t="n">
        <f aca="false">IF(SMALL($AA322:$CH322,1)&gt;=9999,"",INDEX(Presupuesto!$C:$C,SMALL($AA322:$CH322,1)))</f>
        <v>0</v>
      </c>
      <c r="I322" s="1" t="n">
        <f aca="false">IF(SMALL($AA322:$CH322,2)&gt;=9999,"",INDEX(Presupuesto!$C:$C,SMALL($AA322:$CH322,2)))</f>
        <v>0</v>
      </c>
      <c r="J322" s="1" t="n">
        <f aca="false">IF(SMALL($AA322:$CH322,3)&gt;=9999,"",INDEX(Presupuesto!$C:$C,SMALL($AA322:$CH322,3)))</f>
        <v>0</v>
      </c>
      <c r="K322" s="1" t="n">
        <f aca="false">IF(SMALL($AA322:$CH322,4)&gt;=9999,"",INDEX(Presupuesto!$C:$C,SMALL($AA322:$CH322,4)))</f>
        <v>0</v>
      </c>
      <c r="L322" s="1" t="n">
        <f aca="false">IF(SMALL($AA322:$CH322,5)&gt;=9999,"",INDEX(Presupuesto!$C:$C,SMALL($AA322:$CH322,5)))</f>
        <v>0</v>
      </c>
      <c r="M322" s="1" t="n">
        <f aca="false">IF(SMALL($AA322:$CH322,6)&gt;=9999,"",INDEX(Presupuesto!$C:$C,SMALL($AA322:$CH322,6)))</f>
        <v>0</v>
      </c>
      <c r="N322" s="1" t="n">
        <f aca="false">IF(SMALL($AA322:$CH322,7)&gt;=9999,"",INDEX(Presupuesto!$C:$C,SMALL($AA322:$CH322,7)))</f>
        <v>0</v>
      </c>
      <c r="O322" s="1" t="n">
        <f aca="false">IF(SMALL($AA322:$CH322,8)&gt;=9999,"",INDEX(Presupuesto!$C:$C,SMALL($AA322:$CH322,8)))</f>
        <v>0</v>
      </c>
      <c r="P322" s="1" t="n">
        <f aca="false">IF(SMALL($AA322:$CH322,9)&gt;=9999,"",INDEX(Presupuesto!$C:$C,SMALL($AA322:$CH322,9)))</f>
        <v>0</v>
      </c>
      <c r="Q322" s="1" t="n">
        <f aca="false">IF(SMALL($AA322:$CH322,10)&gt;=9999,"",INDEX(Presupuesto!$C:$C,SMALL($AA322:$CH322,10)))</f>
        <v>0</v>
      </c>
      <c r="AA322" s="0" t="n">
        <f aca="false">IF(Presupuesto!$B$7='Flujo de Pagos'!$E322,7,9999)</f>
        <v>9999</v>
      </c>
      <c r="AB322" s="0" t="n">
        <f aca="false">IF(Presupuesto!$B$8='Flujo de Pagos'!$E322,8,9999)</f>
        <v>9999</v>
      </c>
      <c r="AC322" s="0" t="n">
        <f aca="false">IF(Presupuesto!$B$9='Flujo de Pagos'!$E322,9,9999)</f>
        <v>9999</v>
      </c>
      <c r="AD322" s="0" t="n">
        <f aca="false">IF(Presupuesto!$B$10='Flujo de Pagos'!$E322,10,9999)</f>
        <v>9999</v>
      </c>
      <c r="AE322" s="0" t="n">
        <f aca="false">IF(Presupuesto!$B$11='Flujo de Pagos'!$E322,11,9999)</f>
        <v>9999</v>
      </c>
      <c r="AF322" s="0" t="n">
        <f aca="false">IF(Presupuesto!$B$12='Flujo de Pagos'!$E322,12,9999)</f>
        <v>12</v>
      </c>
      <c r="AG322" s="0" t="n">
        <f aca="false">IF(Presupuesto!$B$13='Flujo de Pagos'!$E322,13,9999)</f>
        <v>13</v>
      </c>
      <c r="AH322" s="0" t="n">
        <f aca="false">IF(Presupuesto!$B$14='Flujo de Pagos'!$E322,14,9999)</f>
        <v>14</v>
      </c>
      <c r="AI322" s="0" t="n">
        <f aca="false">IF(Presupuesto!$B$15='Flujo de Pagos'!$E322,15,9999)</f>
        <v>15</v>
      </c>
      <c r="AJ322" s="0" t="n">
        <f aca="false">IF(Presupuesto!$B$16='Flujo de Pagos'!$E322,16,9999)</f>
        <v>16</v>
      </c>
      <c r="AK322" s="0" t="n">
        <f aca="false">IF(Presupuesto!$B$17='Flujo de Pagos'!$E322,17,9999)</f>
        <v>17</v>
      </c>
      <c r="AL322" s="0" t="n">
        <f aca="false">IF(Presupuesto!$B$18='Flujo de Pagos'!$E322,18,9999)</f>
        <v>18</v>
      </c>
      <c r="AM322" s="0" t="n">
        <f aca="false">IF(Presupuesto!$B$19='Flujo de Pagos'!$E322,19,9999)</f>
        <v>19</v>
      </c>
      <c r="AN322" s="0" t="n">
        <f aca="false">IF(Presupuesto!$B$20='Flujo de Pagos'!$E322,20,9999)</f>
        <v>20</v>
      </c>
      <c r="AO322" s="0" t="n">
        <f aca="false">IF(Presupuesto!$B$21='Flujo de Pagos'!$E322,21,9999)</f>
        <v>21</v>
      </c>
      <c r="AP322" s="0" t="n">
        <f aca="false">IF(Presupuesto!$B$22='Flujo de Pagos'!$E322,22,9999)</f>
        <v>22</v>
      </c>
      <c r="AQ322" s="0" t="n">
        <f aca="false">IF(Presupuesto!$B$23='Flujo de Pagos'!$E322,23,9999)</f>
        <v>23</v>
      </c>
      <c r="AR322" s="0" t="n">
        <f aca="false">IF(Presupuesto!$B$24='Flujo de Pagos'!$E322,24,9999)</f>
        <v>24</v>
      </c>
      <c r="AS322" s="0" t="n">
        <f aca="false">IF(Presupuesto!$B$25='Flujo de Pagos'!$E322,25,9999)</f>
        <v>25</v>
      </c>
      <c r="AT322" s="0" t="n">
        <f aca="false">IF(Presupuesto!$B$26='Flujo de Pagos'!$E322,26,9999)</f>
        <v>26</v>
      </c>
      <c r="AU322" s="0" t="n">
        <f aca="false">IF(Presupuesto!$B$27='Flujo de Pagos'!$E322,27,9999)</f>
        <v>27</v>
      </c>
      <c r="AV322" s="0" t="n">
        <f aca="false">IF(Presupuesto!$B$28='Flujo de Pagos'!$E322,28,9999)</f>
        <v>28</v>
      </c>
      <c r="AW322" s="0" t="n">
        <f aca="false">IF(Presupuesto!$B$29='Flujo de Pagos'!$E322,29,9999)</f>
        <v>29</v>
      </c>
      <c r="AX322" s="0" t="n">
        <f aca="false">IF(Presupuesto!$B$30='Flujo de Pagos'!$E322,30,9999)</f>
        <v>30</v>
      </c>
      <c r="AY322" s="0" t="n">
        <f aca="false">IF(Presupuesto!$B$31='Flujo de Pagos'!$E322,31,9999)</f>
        <v>31</v>
      </c>
      <c r="AZ322" s="0" t="n">
        <f aca="false">IF(Presupuesto!$B$32='Flujo de Pagos'!$E322,32,9999)</f>
        <v>32</v>
      </c>
      <c r="BA322" s="0" t="n">
        <f aca="false">IF(Presupuesto!$B$33='Flujo de Pagos'!$E322,33,9999)</f>
        <v>33</v>
      </c>
      <c r="BB322" s="0" t="n">
        <f aca="false">IF(Presupuesto!$B$34='Flujo de Pagos'!$E322,34,9999)</f>
        <v>34</v>
      </c>
      <c r="BC322" s="0" t="n">
        <f aca="false">IF(Presupuesto!$B$35='Flujo de Pagos'!$E322,35,9999)</f>
        <v>35</v>
      </c>
      <c r="BD322" s="0" t="n">
        <f aca="false">IF(Presupuesto!$B$36='Flujo de Pagos'!$E322,36,9999)</f>
        <v>36</v>
      </c>
      <c r="BE322" s="0" t="n">
        <f aca="false">IF(Presupuesto!$B$37='Flujo de Pagos'!$E322,37,9999)</f>
        <v>37</v>
      </c>
      <c r="BF322" s="0" t="n">
        <f aca="false">IF(Presupuesto!$B$38='Flujo de Pagos'!$E322,38,9999)</f>
        <v>38</v>
      </c>
      <c r="BG322" s="0" t="n">
        <f aca="false">IF(Presupuesto!$B$39='Flujo de Pagos'!$E322,39,9999)</f>
        <v>39</v>
      </c>
      <c r="BH322" s="0" t="n">
        <f aca="false">IF(Presupuesto!$B$40='Flujo de Pagos'!$E322,40,9999)</f>
        <v>40</v>
      </c>
      <c r="BI322" s="0" t="n">
        <f aca="false">IF(Presupuesto!$B$41='Flujo de Pagos'!$E322,41,9999)</f>
        <v>41</v>
      </c>
      <c r="BJ322" s="0" t="n">
        <f aca="false">IF(Presupuesto!$B$42='Flujo de Pagos'!$E322,42,9999)</f>
        <v>42</v>
      </c>
      <c r="BK322" s="0" t="n">
        <f aca="false">IF(Presupuesto!$B$43='Flujo de Pagos'!$E322,43,9999)</f>
        <v>43</v>
      </c>
      <c r="BL322" s="0" t="n">
        <f aca="false">IF(Presupuesto!$B$44='Flujo de Pagos'!$E322,44,9999)</f>
        <v>44</v>
      </c>
      <c r="BM322" s="0" t="n">
        <f aca="false">IF(Presupuesto!$B$45='Flujo de Pagos'!$E322,45,9999)</f>
        <v>45</v>
      </c>
      <c r="BN322" s="0" t="n">
        <f aca="false">IF(Presupuesto!$B$46='Flujo de Pagos'!$E322,46,9999)</f>
        <v>46</v>
      </c>
      <c r="BO322" s="0" t="n">
        <f aca="false">IF(Presupuesto!$B$47='Flujo de Pagos'!$E322,47,9999)</f>
        <v>47</v>
      </c>
      <c r="BP322" s="0" t="n">
        <f aca="false">IF(Presupuesto!$B$48='Flujo de Pagos'!$E322,48,9999)</f>
        <v>48</v>
      </c>
      <c r="BQ322" s="0" t="n">
        <f aca="false">IF(Presupuesto!$B$49='Flujo de Pagos'!$E322,49,9999)</f>
        <v>49</v>
      </c>
      <c r="BR322" s="0" t="n">
        <f aca="false">IF(Presupuesto!$B$50='Flujo de Pagos'!$E322,50,9999)</f>
        <v>50</v>
      </c>
      <c r="BS322" s="0" t="n">
        <f aca="false">IF(Presupuesto!$B$51='Flujo de Pagos'!$E322,51,9999)</f>
        <v>51</v>
      </c>
      <c r="BT322" s="0" t="n">
        <f aca="false">IF(Presupuesto!$B$52='Flujo de Pagos'!$E322,52,9999)</f>
        <v>52</v>
      </c>
      <c r="BU322" s="0" t="n">
        <f aca="false">IF(Presupuesto!$B$53='Flujo de Pagos'!$E322,53,9999)</f>
        <v>53</v>
      </c>
      <c r="BV322" s="0" t="n">
        <f aca="false">IF(Presupuesto!$B$54='Flujo de Pagos'!$E322,54,9999)</f>
        <v>54</v>
      </c>
      <c r="BW322" s="0" t="n">
        <f aca="false">IF(Presupuesto!$B$55='Flujo de Pagos'!$E322,55,9999)</f>
        <v>55</v>
      </c>
      <c r="BX322" s="0" t="n">
        <f aca="false">IF(Presupuesto!$B$56='Flujo de Pagos'!$E322,56,9999)</f>
        <v>56</v>
      </c>
      <c r="BY322" s="0" t="n">
        <f aca="false">IF(Presupuesto!$B$57='Flujo de Pagos'!$E322,57,9999)</f>
        <v>57</v>
      </c>
      <c r="BZ322" s="0" t="n">
        <f aca="false">IF(Presupuesto!$B$58='Flujo de Pagos'!$E322,58,9999)</f>
        <v>58</v>
      </c>
      <c r="CA322" s="0" t="n">
        <f aca="false">IF(Presupuesto!$B$59='Flujo de Pagos'!$E322,59,9999)</f>
        <v>59</v>
      </c>
      <c r="CB322" s="0" t="n">
        <f aca="false">IF(Presupuesto!$B$60='Flujo de Pagos'!$E322,60,9999)</f>
        <v>60</v>
      </c>
      <c r="CC322" s="0" t="n">
        <f aca="false">IF(Presupuesto!$B$61='Flujo de Pagos'!$E322,61,9999)</f>
        <v>61</v>
      </c>
      <c r="CD322" s="0" t="n">
        <f aca="false">IF(Presupuesto!$B$62='Flujo de Pagos'!$E322,62,9999)</f>
        <v>62</v>
      </c>
      <c r="CE322" s="0" t="n">
        <f aca="false">IF(Presupuesto!$B$63='Flujo de Pagos'!$E322,63,9999)</f>
        <v>63</v>
      </c>
      <c r="CF322" s="0" t="n">
        <f aca="false">IF(Presupuesto!$B$64='Flujo de Pagos'!$E322,64,9999)</f>
        <v>64</v>
      </c>
      <c r="CG322" s="0" t="n">
        <f aca="false">IF(Presupuesto!$B$65='Flujo de Pagos'!$E322,65,9999)</f>
        <v>65</v>
      </c>
      <c r="CH322" s="0" t="n">
        <f aca="false">IF(Presupuesto!$B$66='Flujo de Pagos'!$E322,66,9999)</f>
        <v>66</v>
      </c>
    </row>
    <row r="323" customFormat="false" ht="15" hidden="false" customHeight="true" outlineLevel="0" collapsed="false">
      <c r="B323" s="1" t="n">
        <f aca="false">IF(AND('Flujo de Pagos'!E328=Carátula!$B$2,'Flujo de Pagos'!F328=Carátula!$B$4,'Flujo de Pagos'!H328&lt;&gt;""),328,99999)</f>
        <v>99999</v>
      </c>
      <c r="H323" s="1" t="n">
        <f aca="false">IF(SMALL($AA323:$CH323,1)&gt;=9999,"",INDEX(Presupuesto!$C:$C,SMALL($AA323:$CH323,1)))</f>
        <v>0</v>
      </c>
      <c r="I323" s="1" t="n">
        <f aca="false">IF(SMALL($AA323:$CH323,2)&gt;=9999,"",INDEX(Presupuesto!$C:$C,SMALL($AA323:$CH323,2)))</f>
        <v>0</v>
      </c>
      <c r="J323" s="1" t="n">
        <f aca="false">IF(SMALL($AA323:$CH323,3)&gt;=9999,"",INDEX(Presupuesto!$C:$C,SMALL($AA323:$CH323,3)))</f>
        <v>0</v>
      </c>
      <c r="K323" s="1" t="n">
        <f aca="false">IF(SMALL($AA323:$CH323,4)&gt;=9999,"",INDEX(Presupuesto!$C:$C,SMALL($AA323:$CH323,4)))</f>
        <v>0</v>
      </c>
      <c r="L323" s="1" t="n">
        <f aca="false">IF(SMALL($AA323:$CH323,5)&gt;=9999,"",INDEX(Presupuesto!$C:$C,SMALL($AA323:$CH323,5)))</f>
        <v>0</v>
      </c>
      <c r="M323" s="1" t="n">
        <f aca="false">IF(SMALL($AA323:$CH323,6)&gt;=9999,"",INDEX(Presupuesto!$C:$C,SMALL($AA323:$CH323,6)))</f>
        <v>0</v>
      </c>
      <c r="N323" s="1" t="n">
        <f aca="false">IF(SMALL($AA323:$CH323,7)&gt;=9999,"",INDEX(Presupuesto!$C:$C,SMALL($AA323:$CH323,7)))</f>
        <v>0</v>
      </c>
      <c r="O323" s="1" t="n">
        <f aca="false">IF(SMALL($AA323:$CH323,8)&gt;=9999,"",INDEX(Presupuesto!$C:$C,SMALL($AA323:$CH323,8)))</f>
        <v>0</v>
      </c>
      <c r="P323" s="1" t="n">
        <f aca="false">IF(SMALL($AA323:$CH323,9)&gt;=9999,"",INDEX(Presupuesto!$C:$C,SMALL($AA323:$CH323,9)))</f>
        <v>0</v>
      </c>
      <c r="Q323" s="1" t="n">
        <f aca="false">IF(SMALL($AA323:$CH323,10)&gt;=9999,"",INDEX(Presupuesto!$C:$C,SMALL($AA323:$CH323,10)))</f>
        <v>0</v>
      </c>
      <c r="AA323" s="0" t="n">
        <f aca="false">IF(Presupuesto!$B$7='Flujo de Pagos'!$E323,7,9999)</f>
        <v>9999</v>
      </c>
      <c r="AB323" s="0" t="n">
        <f aca="false">IF(Presupuesto!$B$8='Flujo de Pagos'!$E323,8,9999)</f>
        <v>9999</v>
      </c>
      <c r="AC323" s="0" t="n">
        <f aca="false">IF(Presupuesto!$B$9='Flujo de Pagos'!$E323,9,9999)</f>
        <v>9999</v>
      </c>
      <c r="AD323" s="0" t="n">
        <f aca="false">IF(Presupuesto!$B$10='Flujo de Pagos'!$E323,10,9999)</f>
        <v>9999</v>
      </c>
      <c r="AE323" s="0" t="n">
        <f aca="false">IF(Presupuesto!$B$11='Flujo de Pagos'!$E323,11,9999)</f>
        <v>9999</v>
      </c>
      <c r="AF323" s="0" t="n">
        <f aca="false">IF(Presupuesto!$B$12='Flujo de Pagos'!$E323,12,9999)</f>
        <v>12</v>
      </c>
      <c r="AG323" s="0" t="n">
        <f aca="false">IF(Presupuesto!$B$13='Flujo de Pagos'!$E323,13,9999)</f>
        <v>13</v>
      </c>
      <c r="AH323" s="0" t="n">
        <f aca="false">IF(Presupuesto!$B$14='Flujo de Pagos'!$E323,14,9999)</f>
        <v>14</v>
      </c>
      <c r="AI323" s="0" t="n">
        <f aca="false">IF(Presupuesto!$B$15='Flujo de Pagos'!$E323,15,9999)</f>
        <v>15</v>
      </c>
      <c r="AJ323" s="0" t="n">
        <f aca="false">IF(Presupuesto!$B$16='Flujo de Pagos'!$E323,16,9999)</f>
        <v>16</v>
      </c>
      <c r="AK323" s="0" t="n">
        <f aca="false">IF(Presupuesto!$B$17='Flujo de Pagos'!$E323,17,9999)</f>
        <v>17</v>
      </c>
      <c r="AL323" s="0" t="n">
        <f aca="false">IF(Presupuesto!$B$18='Flujo de Pagos'!$E323,18,9999)</f>
        <v>18</v>
      </c>
      <c r="AM323" s="0" t="n">
        <f aca="false">IF(Presupuesto!$B$19='Flujo de Pagos'!$E323,19,9999)</f>
        <v>19</v>
      </c>
      <c r="AN323" s="0" t="n">
        <f aca="false">IF(Presupuesto!$B$20='Flujo de Pagos'!$E323,20,9999)</f>
        <v>20</v>
      </c>
      <c r="AO323" s="0" t="n">
        <f aca="false">IF(Presupuesto!$B$21='Flujo de Pagos'!$E323,21,9999)</f>
        <v>21</v>
      </c>
      <c r="AP323" s="0" t="n">
        <f aca="false">IF(Presupuesto!$B$22='Flujo de Pagos'!$E323,22,9999)</f>
        <v>22</v>
      </c>
      <c r="AQ323" s="0" t="n">
        <f aca="false">IF(Presupuesto!$B$23='Flujo de Pagos'!$E323,23,9999)</f>
        <v>23</v>
      </c>
      <c r="AR323" s="0" t="n">
        <f aca="false">IF(Presupuesto!$B$24='Flujo de Pagos'!$E323,24,9999)</f>
        <v>24</v>
      </c>
      <c r="AS323" s="0" t="n">
        <f aca="false">IF(Presupuesto!$B$25='Flujo de Pagos'!$E323,25,9999)</f>
        <v>25</v>
      </c>
      <c r="AT323" s="0" t="n">
        <f aca="false">IF(Presupuesto!$B$26='Flujo de Pagos'!$E323,26,9999)</f>
        <v>26</v>
      </c>
      <c r="AU323" s="0" t="n">
        <f aca="false">IF(Presupuesto!$B$27='Flujo de Pagos'!$E323,27,9999)</f>
        <v>27</v>
      </c>
      <c r="AV323" s="0" t="n">
        <f aca="false">IF(Presupuesto!$B$28='Flujo de Pagos'!$E323,28,9999)</f>
        <v>28</v>
      </c>
      <c r="AW323" s="0" t="n">
        <f aca="false">IF(Presupuesto!$B$29='Flujo de Pagos'!$E323,29,9999)</f>
        <v>29</v>
      </c>
      <c r="AX323" s="0" t="n">
        <f aca="false">IF(Presupuesto!$B$30='Flujo de Pagos'!$E323,30,9999)</f>
        <v>30</v>
      </c>
      <c r="AY323" s="0" t="n">
        <f aca="false">IF(Presupuesto!$B$31='Flujo de Pagos'!$E323,31,9999)</f>
        <v>31</v>
      </c>
      <c r="AZ323" s="0" t="n">
        <f aca="false">IF(Presupuesto!$B$32='Flujo de Pagos'!$E323,32,9999)</f>
        <v>32</v>
      </c>
      <c r="BA323" s="0" t="n">
        <f aca="false">IF(Presupuesto!$B$33='Flujo de Pagos'!$E323,33,9999)</f>
        <v>33</v>
      </c>
      <c r="BB323" s="0" t="n">
        <f aca="false">IF(Presupuesto!$B$34='Flujo de Pagos'!$E323,34,9999)</f>
        <v>34</v>
      </c>
      <c r="BC323" s="0" t="n">
        <f aca="false">IF(Presupuesto!$B$35='Flujo de Pagos'!$E323,35,9999)</f>
        <v>35</v>
      </c>
      <c r="BD323" s="0" t="n">
        <f aca="false">IF(Presupuesto!$B$36='Flujo de Pagos'!$E323,36,9999)</f>
        <v>36</v>
      </c>
      <c r="BE323" s="0" t="n">
        <f aca="false">IF(Presupuesto!$B$37='Flujo de Pagos'!$E323,37,9999)</f>
        <v>37</v>
      </c>
      <c r="BF323" s="0" t="n">
        <f aca="false">IF(Presupuesto!$B$38='Flujo de Pagos'!$E323,38,9999)</f>
        <v>38</v>
      </c>
      <c r="BG323" s="0" t="n">
        <f aca="false">IF(Presupuesto!$B$39='Flujo de Pagos'!$E323,39,9999)</f>
        <v>39</v>
      </c>
      <c r="BH323" s="0" t="n">
        <f aca="false">IF(Presupuesto!$B$40='Flujo de Pagos'!$E323,40,9999)</f>
        <v>40</v>
      </c>
      <c r="BI323" s="0" t="n">
        <f aca="false">IF(Presupuesto!$B$41='Flujo de Pagos'!$E323,41,9999)</f>
        <v>41</v>
      </c>
      <c r="BJ323" s="0" t="n">
        <f aca="false">IF(Presupuesto!$B$42='Flujo de Pagos'!$E323,42,9999)</f>
        <v>42</v>
      </c>
      <c r="BK323" s="0" t="n">
        <f aca="false">IF(Presupuesto!$B$43='Flujo de Pagos'!$E323,43,9999)</f>
        <v>43</v>
      </c>
      <c r="BL323" s="0" t="n">
        <f aca="false">IF(Presupuesto!$B$44='Flujo de Pagos'!$E323,44,9999)</f>
        <v>44</v>
      </c>
      <c r="BM323" s="0" t="n">
        <f aca="false">IF(Presupuesto!$B$45='Flujo de Pagos'!$E323,45,9999)</f>
        <v>45</v>
      </c>
      <c r="BN323" s="0" t="n">
        <f aca="false">IF(Presupuesto!$B$46='Flujo de Pagos'!$E323,46,9999)</f>
        <v>46</v>
      </c>
      <c r="BO323" s="0" t="n">
        <f aca="false">IF(Presupuesto!$B$47='Flujo de Pagos'!$E323,47,9999)</f>
        <v>47</v>
      </c>
      <c r="BP323" s="0" t="n">
        <f aca="false">IF(Presupuesto!$B$48='Flujo de Pagos'!$E323,48,9999)</f>
        <v>48</v>
      </c>
      <c r="BQ323" s="0" t="n">
        <f aca="false">IF(Presupuesto!$B$49='Flujo de Pagos'!$E323,49,9999)</f>
        <v>49</v>
      </c>
      <c r="BR323" s="0" t="n">
        <f aca="false">IF(Presupuesto!$B$50='Flujo de Pagos'!$E323,50,9999)</f>
        <v>50</v>
      </c>
      <c r="BS323" s="0" t="n">
        <f aca="false">IF(Presupuesto!$B$51='Flujo de Pagos'!$E323,51,9999)</f>
        <v>51</v>
      </c>
      <c r="BT323" s="0" t="n">
        <f aca="false">IF(Presupuesto!$B$52='Flujo de Pagos'!$E323,52,9999)</f>
        <v>52</v>
      </c>
      <c r="BU323" s="0" t="n">
        <f aca="false">IF(Presupuesto!$B$53='Flujo de Pagos'!$E323,53,9999)</f>
        <v>53</v>
      </c>
      <c r="BV323" s="0" t="n">
        <f aca="false">IF(Presupuesto!$B$54='Flujo de Pagos'!$E323,54,9999)</f>
        <v>54</v>
      </c>
      <c r="BW323" s="0" t="n">
        <f aca="false">IF(Presupuesto!$B$55='Flujo de Pagos'!$E323,55,9999)</f>
        <v>55</v>
      </c>
      <c r="BX323" s="0" t="n">
        <f aca="false">IF(Presupuesto!$B$56='Flujo de Pagos'!$E323,56,9999)</f>
        <v>56</v>
      </c>
      <c r="BY323" s="0" t="n">
        <f aca="false">IF(Presupuesto!$B$57='Flujo de Pagos'!$E323,57,9999)</f>
        <v>57</v>
      </c>
      <c r="BZ323" s="0" t="n">
        <f aca="false">IF(Presupuesto!$B$58='Flujo de Pagos'!$E323,58,9999)</f>
        <v>58</v>
      </c>
      <c r="CA323" s="0" t="n">
        <f aca="false">IF(Presupuesto!$B$59='Flujo de Pagos'!$E323,59,9999)</f>
        <v>59</v>
      </c>
      <c r="CB323" s="0" t="n">
        <f aca="false">IF(Presupuesto!$B$60='Flujo de Pagos'!$E323,60,9999)</f>
        <v>60</v>
      </c>
      <c r="CC323" s="0" t="n">
        <f aca="false">IF(Presupuesto!$B$61='Flujo de Pagos'!$E323,61,9999)</f>
        <v>61</v>
      </c>
      <c r="CD323" s="0" t="n">
        <f aca="false">IF(Presupuesto!$B$62='Flujo de Pagos'!$E323,62,9999)</f>
        <v>62</v>
      </c>
      <c r="CE323" s="0" t="n">
        <f aca="false">IF(Presupuesto!$B$63='Flujo de Pagos'!$E323,63,9999)</f>
        <v>63</v>
      </c>
      <c r="CF323" s="0" t="n">
        <f aca="false">IF(Presupuesto!$B$64='Flujo de Pagos'!$E323,64,9999)</f>
        <v>64</v>
      </c>
      <c r="CG323" s="0" t="n">
        <f aca="false">IF(Presupuesto!$B$65='Flujo de Pagos'!$E323,65,9999)</f>
        <v>65</v>
      </c>
      <c r="CH323" s="0" t="n">
        <f aca="false">IF(Presupuesto!$B$66='Flujo de Pagos'!$E323,66,9999)</f>
        <v>66</v>
      </c>
    </row>
    <row r="324" customFormat="false" ht="15" hidden="false" customHeight="true" outlineLevel="0" collapsed="false">
      <c r="B324" s="1" t="n">
        <f aca="false">IF(AND('Flujo de Pagos'!E329=Carátula!$B$2,'Flujo de Pagos'!F329=Carátula!$B$4,'Flujo de Pagos'!H329&lt;&gt;""),329,99999)</f>
        <v>99999</v>
      </c>
      <c r="H324" s="1" t="n">
        <f aca="false">IF(SMALL($AA324:$CH324,1)&gt;=9999,"",INDEX(Presupuesto!$C:$C,SMALL($AA324:$CH324,1)))</f>
        <v>0</v>
      </c>
      <c r="I324" s="1" t="n">
        <f aca="false">IF(SMALL($AA324:$CH324,2)&gt;=9999,"",INDEX(Presupuesto!$C:$C,SMALL($AA324:$CH324,2)))</f>
        <v>0</v>
      </c>
      <c r="J324" s="1" t="n">
        <f aca="false">IF(SMALL($AA324:$CH324,3)&gt;=9999,"",INDEX(Presupuesto!$C:$C,SMALL($AA324:$CH324,3)))</f>
        <v>0</v>
      </c>
      <c r="K324" s="1" t="n">
        <f aca="false">IF(SMALL($AA324:$CH324,4)&gt;=9999,"",INDEX(Presupuesto!$C:$C,SMALL($AA324:$CH324,4)))</f>
        <v>0</v>
      </c>
      <c r="L324" s="1" t="n">
        <f aca="false">IF(SMALL($AA324:$CH324,5)&gt;=9999,"",INDEX(Presupuesto!$C:$C,SMALL($AA324:$CH324,5)))</f>
        <v>0</v>
      </c>
      <c r="M324" s="1" t="n">
        <f aca="false">IF(SMALL($AA324:$CH324,6)&gt;=9999,"",INDEX(Presupuesto!$C:$C,SMALL($AA324:$CH324,6)))</f>
        <v>0</v>
      </c>
      <c r="N324" s="1" t="n">
        <f aca="false">IF(SMALL($AA324:$CH324,7)&gt;=9999,"",INDEX(Presupuesto!$C:$C,SMALL($AA324:$CH324,7)))</f>
        <v>0</v>
      </c>
      <c r="O324" s="1" t="n">
        <f aca="false">IF(SMALL($AA324:$CH324,8)&gt;=9999,"",INDEX(Presupuesto!$C:$C,SMALL($AA324:$CH324,8)))</f>
        <v>0</v>
      </c>
      <c r="P324" s="1" t="n">
        <f aca="false">IF(SMALL($AA324:$CH324,9)&gt;=9999,"",INDEX(Presupuesto!$C:$C,SMALL($AA324:$CH324,9)))</f>
        <v>0</v>
      </c>
      <c r="Q324" s="1" t="n">
        <f aca="false">IF(SMALL($AA324:$CH324,10)&gt;=9999,"",INDEX(Presupuesto!$C:$C,SMALL($AA324:$CH324,10)))</f>
        <v>0</v>
      </c>
      <c r="AA324" s="0" t="n">
        <f aca="false">IF(Presupuesto!$B$7='Flujo de Pagos'!$E324,7,9999)</f>
        <v>9999</v>
      </c>
      <c r="AB324" s="0" t="n">
        <f aca="false">IF(Presupuesto!$B$8='Flujo de Pagos'!$E324,8,9999)</f>
        <v>9999</v>
      </c>
      <c r="AC324" s="0" t="n">
        <f aca="false">IF(Presupuesto!$B$9='Flujo de Pagos'!$E324,9,9999)</f>
        <v>9999</v>
      </c>
      <c r="AD324" s="0" t="n">
        <f aca="false">IF(Presupuesto!$B$10='Flujo de Pagos'!$E324,10,9999)</f>
        <v>9999</v>
      </c>
      <c r="AE324" s="0" t="n">
        <f aca="false">IF(Presupuesto!$B$11='Flujo de Pagos'!$E324,11,9999)</f>
        <v>9999</v>
      </c>
      <c r="AF324" s="0" t="n">
        <f aca="false">IF(Presupuesto!$B$12='Flujo de Pagos'!$E324,12,9999)</f>
        <v>12</v>
      </c>
      <c r="AG324" s="0" t="n">
        <f aca="false">IF(Presupuesto!$B$13='Flujo de Pagos'!$E324,13,9999)</f>
        <v>13</v>
      </c>
      <c r="AH324" s="0" t="n">
        <f aca="false">IF(Presupuesto!$B$14='Flujo de Pagos'!$E324,14,9999)</f>
        <v>14</v>
      </c>
      <c r="AI324" s="0" t="n">
        <f aca="false">IF(Presupuesto!$B$15='Flujo de Pagos'!$E324,15,9999)</f>
        <v>15</v>
      </c>
      <c r="AJ324" s="0" t="n">
        <f aca="false">IF(Presupuesto!$B$16='Flujo de Pagos'!$E324,16,9999)</f>
        <v>16</v>
      </c>
      <c r="AK324" s="0" t="n">
        <f aca="false">IF(Presupuesto!$B$17='Flujo de Pagos'!$E324,17,9999)</f>
        <v>17</v>
      </c>
      <c r="AL324" s="0" t="n">
        <f aca="false">IF(Presupuesto!$B$18='Flujo de Pagos'!$E324,18,9999)</f>
        <v>18</v>
      </c>
      <c r="AM324" s="0" t="n">
        <f aca="false">IF(Presupuesto!$B$19='Flujo de Pagos'!$E324,19,9999)</f>
        <v>19</v>
      </c>
      <c r="AN324" s="0" t="n">
        <f aca="false">IF(Presupuesto!$B$20='Flujo de Pagos'!$E324,20,9999)</f>
        <v>20</v>
      </c>
      <c r="AO324" s="0" t="n">
        <f aca="false">IF(Presupuesto!$B$21='Flujo de Pagos'!$E324,21,9999)</f>
        <v>21</v>
      </c>
      <c r="AP324" s="0" t="n">
        <f aca="false">IF(Presupuesto!$B$22='Flujo de Pagos'!$E324,22,9999)</f>
        <v>22</v>
      </c>
      <c r="AQ324" s="0" t="n">
        <f aca="false">IF(Presupuesto!$B$23='Flujo de Pagos'!$E324,23,9999)</f>
        <v>23</v>
      </c>
      <c r="AR324" s="0" t="n">
        <f aca="false">IF(Presupuesto!$B$24='Flujo de Pagos'!$E324,24,9999)</f>
        <v>24</v>
      </c>
      <c r="AS324" s="0" t="n">
        <f aca="false">IF(Presupuesto!$B$25='Flujo de Pagos'!$E324,25,9999)</f>
        <v>25</v>
      </c>
      <c r="AT324" s="0" t="n">
        <f aca="false">IF(Presupuesto!$B$26='Flujo de Pagos'!$E324,26,9999)</f>
        <v>26</v>
      </c>
      <c r="AU324" s="0" t="n">
        <f aca="false">IF(Presupuesto!$B$27='Flujo de Pagos'!$E324,27,9999)</f>
        <v>27</v>
      </c>
      <c r="AV324" s="0" t="n">
        <f aca="false">IF(Presupuesto!$B$28='Flujo de Pagos'!$E324,28,9999)</f>
        <v>28</v>
      </c>
      <c r="AW324" s="0" t="n">
        <f aca="false">IF(Presupuesto!$B$29='Flujo de Pagos'!$E324,29,9999)</f>
        <v>29</v>
      </c>
      <c r="AX324" s="0" t="n">
        <f aca="false">IF(Presupuesto!$B$30='Flujo de Pagos'!$E324,30,9999)</f>
        <v>30</v>
      </c>
      <c r="AY324" s="0" t="n">
        <f aca="false">IF(Presupuesto!$B$31='Flujo de Pagos'!$E324,31,9999)</f>
        <v>31</v>
      </c>
      <c r="AZ324" s="0" t="n">
        <f aca="false">IF(Presupuesto!$B$32='Flujo de Pagos'!$E324,32,9999)</f>
        <v>32</v>
      </c>
      <c r="BA324" s="0" t="n">
        <f aca="false">IF(Presupuesto!$B$33='Flujo de Pagos'!$E324,33,9999)</f>
        <v>33</v>
      </c>
      <c r="BB324" s="0" t="n">
        <f aca="false">IF(Presupuesto!$B$34='Flujo de Pagos'!$E324,34,9999)</f>
        <v>34</v>
      </c>
      <c r="BC324" s="0" t="n">
        <f aca="false">IF(Presupuesto!$B$35='Flujo de Pagos'!$E324,35,9999)</f>
        <v>35</v>
      </c>
      <c r="BD324" s="0" t="n">
        <f aca="false">IF(Presupuesto!$B$36='Flujo de Pagos'!$E324,36,9999)</f>
        <v>36</v>
      </c>
      <c r="BE324" s="0" t="n">
        <f aca="false">IF(Presupuesto!$B$37='Flujo de Pagos'!$E324,37,9999)</f>
        <v>37</v>
      </c>
      <c r="BF324" s="0" t="n">
        <f aca="false">IF(Presupuesto!$B$38='Flujo de Pagos'!$E324,38,9999)</f>
        <v>38</v>
      </c>
      <c r="BG324" s="0" t="n">
        <f aca="false">IF(Presupuesto!$B$39='Flujo de Pagos'!$E324,39,9999)</f>
        <v>39</v>
      </c>
      <c r="BH324" s="0" t="n">
        <f aca="false">IF(Presupuesto!$B$40='Flujo de Pagos'!$E324,40,9999)</f>
        <v>40</v>
      </c>
      <c r="BI324" s="0" t="n">
        <f aca="false">IF(Presupuesto!$B$41='Flujo de Pagos'!$E324,41,9999)</f>
        <v>41</v>
      </c>
      <c r="BJ324" s="0" t="n">
        <f aca="false">IF(Presupuesto!$B$42='Flujo de Pagos'!$E324,42,9999)</f>
        <v>42</v>
      </c>
      <c r="BK324" s="0" t="n">
        <f aca="false">IF(Presupuesto!$B$43='Flujo de Pagos'!$E324,43,9999)</f>
        <v>43</v>
      </c>
      <c r="BL324" s="0" t="n">
        <f aca="false">IF(Presupuesto!$B$44='Flujo de Pagos'!$E324,44,9999)</f>
        <v>44</v>
      </c>
      <c r="BM324" s="0" t="n">
        <f aca="false">IF(Presupuesto!$B$45='Flujo de Pagos'!$E324,45,9999)</f>
        <v>45</v>
      </c>
      <c r="BN324" s="0" t="n">
        <f aca="false">IF(Presupuesto!$B$46='Flujo de Pagos'!$E324,46,9999)</f>
        <v>46</v>
      </c>
      <c r="BO324" s="0" t="n">
        <f aca="false">IF(Presupuesto!$B$47='Flujo de Pagos'!$E324,47,9999)</f>
        <v>47</v>
      </c>
      <c r="BP324" s="0" t="n">
        <f aca="false">IF(Presupuesto!$B$48='Flujo de Pagos'!$E324,48,9999)</f>
        <v>48</v>
      </c>
      <c r="BQ324" s="0" t="n">
        <f aca="false">IF(Presupuesto!$B$49='Flujo de Pagos'!$E324,49,9999)</f>
        <v>49</v>
      </c>
      <c r="BR324" s="0" t="n">
        <f aca="false">IF(Presupuesto!$B$50='Flujo de Pagos'!$E324,50,9999)</f>
        <v>50</v>
      </c>
      <c r="BS324" s="0" t="n">
        <f aca="false">IF(Presupuesto!$B$51='Flujo de Pagos'!$E324,51,9999)</f>
        <v>51</v>
      </c>
      <c r="BT324" s="0" t="n">
        <f aca="false">IF(Presupuesto!$B$52='Flujo de Pagos'!$E324,52,9999)</f>
        <v>52</v>
      </c>
      <c r="BU324" s="0" t="n">
        <f aca="false">IF(Presupuesto!$B$53='Flujo de Pagos'!$E324,53,9999)</f>
        <v>53</v>
      </c>
      <c r="BV324" s="0" t="n">
        <f aca="false">IF(Presupuesto!$B$54='Flujo de Pagos'!$E324,54,9999)</f>
        <v>54</v>
      </c>
      <c r="BW324" s="0" t="n">
        <f aca="false">IF(Presupuesto!$B$55='Flujo de Pagos'!$E324,55,9999)</f>
        <v>55</v>
      </c>
      <c r="BX324" s="0" t="n">
        <f aca="false">IF(Presupuesto!$B$56='Flujo de Pagos'!$E324,56,9999)</f>
        <v>56</v>
      </c>
      <c r="BY324" s="0" t="n">
        <f aca="false">IF(Presupuesto!$B$57='Flujo de Pagos'!$E324,57,9999)</f>
        <v>57</v>
      </c>
      <c r="BZ324" s="0" t="n">
        <f aca="false">IF(Presupuesto!$B$58='Flujo de Pagos'!$E324,58,9999)</f>
        <v>58</v>
      </c>
      <c r="CA324" s="0" t="n">
        <f aca="false">IF(Presupuesto!$B$59='Flujo de Pagos'!$E324,59,9999)</f>
        <v>59</v>
      </c>
      <c r="CB324" s="0" t="n">
        <f aca="false">IF(Presupuesto!$B$60='Flujo de Pagos'!$E324,60,9999)</f>
        <v>60</v>
      </c>
      <c r="CC324" s="0" t="n">
        <f aca="false">IF(Presupuesto!$B$61='Flujo de Pagos'!$E324,61,9999)</f>
        <v>61</v>
      </c>
      <c r="CD324" s="0" t="n">
        <f aca="false">IF(Presupuesto!$B$62='Flujo de Pagos'!$E324,62,9999)</f>
        <v>62</v>
      </c>
      <c r="CE324" s="0" t="n">
        <f aca="false">IF(Presupuesto!$B$63='Flujo de Pagos'!$E324,63,9999)</f>
        <v>63</v>
      </c>
      <c r="CF324" s="0" t="n">
        <f aca="false">IF(Presupuesto!$B$64='Flujo de Pagos'!$E324,64,9999)</f>
        <v>64</v>
      </c>
      <c r="CG324" s="0" t="n">
        <f aca="false">IF(Presupuesto!$B$65='Flujo de Pagos'!$E324,65,9999)</f>
        <v>65</v>
      </c>
      <c r="CH324" s="0" t="n">
        <f aca="false">IF(Presupuesto!$B$66='Flujo de Pagos'!$E324,66,9999)</f>
        <v>66</v>
      </c>
    </row>
    <row r="325" customFormat="false" ht="15" hidden="false" customHeight="true" outlineLevel="0" collapsed="false">
      <c r="B325" s="1" t="n">
        <f aca="false">IF(AND('Flujo de Pagos'!E330=Carátula!$B$2,'Flujo de Pagos'!F330=Carátula!$B$4,'Flujo de Pagos'!H330&lt;&gt;""),330,99999)</f>
        <v>99999</v>
      </c>
      <c r="H325" s="1" t="n">
        <f aca="false">IF(SMALL($AA325:$CH325,1)&gt;=9999,"",INDEX(Presupuesto!$C:$C,SMALL($AA325:$CH325,1)))</f>
        <v>0</v>
      </c>
      <c r="I325" s="1" t="n">
        <f aca="false">IF(SMALL($AA325:$CH325,2)&gt;=9999,"",INDEX(Presupuesto!$C:$C,SMALL($AA325:$CH325,2)))</f>
        <v>0</v>
      </c>
      <c r="J325" s="1" t="n">
        <f aca="false">IF(SMALL($AA325:$CH325,3)&gt;=9999,"",INDEX(Presupuesto!$C:$C,SMALL($AA325:$CH325,3)))</f>
        <v>0</v>
      </c>
      <c r="K325" s="1" t="n">
        <f aca="false">IF(SMALL($AA325:$CH325,4)&gt;=9999,"",INDEX(Presupuesto!$C:$C,SMALL($AA325:$CH325,4)))</f>
        <v>0</v>
      </c>
      <c r="L325" s="1" t="n">
        <f aca="false">IF(SMALL($AA325:$CH325,5)&gt;=9999,"",INDEX(Presupuesto!$C:$C,SMALL($AA325:$CH325,5)))</f>
        <v>0</v>
      </c>
      <c r="M325" s="1" t="n">
        <f aca="false">IF(SMALL($AA325:$CH325,6)&gt;=9999,"",INDEX(Presupuesto!$C:$C,SMALL($AA325:$CH325,6)))</f>
        <v>0</v>
      </c>
      <c r="N325" s="1" t="n">
        <f aca="false">IF(SMALL($AA325:$CH325,7)&gt;=9999,"",INDEX(Presupuesto!$C:$C,SMALL($AA325:$CH325,7)))</f>
        <v>0</v>
      </c>
      <c r="O325" s="1" t="n">
        <f aca="false">IF(SMALL($AA325:$CH325,8)&gt;=9999,"",INDEX(Presupuesto!$C:$C,SMALL($AA325:$CH325,8)))</f>
        <v>0</v>
      </c>
      <c r="P325" s="1" t="n">
        <f aca="false">IF(SMALL($AA325:$CH325,9)&gt;=9999,"",INDEX(Presupuesto!$C:$C,SMALL($AA325:$CH325,9)))</f>
        <v>0</v>
      </c>
      <c r="Q325" s="1" t="n">
        <f aca="false">IF(SMALL($AA325:$CH325,10)&gt;=9999,"",INDEX(Presupuesto!$C:$C,SMALL($AA325:$CH325,10)))</f>
        <v>0</v>
      </c>
      <c r="AA325" s="0" t="n">
        <f aca="false">IF(Presupuesto!$B$7='Flujo de Pagos'!$E325,7,9999)</f>
        <v>9999</v>
      </c>
      <c r="AB325" s="0" t="n">
        <f aca="false">IF(Presupuesto!$B$8='Flujo de Pagos'!$E325,8,9999)</f>
        <v>9999</v>
      </c>
      <c r="AC325" s="0" t="n">
        <f aca="false">IF(Presupuesto!$B$9='Flujo de Pagos'!$E325,9,9999)</f>
        <v>9999</v>
      </c>
      <c r="AD325" s="0" t="n">
        <f aca="false">IF(Presupuesto!$B$10='Flujo de Pagos'!$E325,10,9999)</f>
        <v>9999</v>
      </c>
      <c r="AE325" s="0" t="n">
        <f aca="false">IF(Presupuesto!$B$11='Flujo de Pagos'!$E325,11,9999)</f>
        <v>9999</v>
      </c>
      <c r="AF325" s="0" t="n">
        <f aca="false">IF(Presupuesto!$B$12='Flujo de Pagos'!$E325,12,9999)</f>
        <v>12</v>
      </c>
      <c r="AG325" s="0" t="n">
        <f aca="false">IF(Presupuesto!$B$13='Flujo de Pagos'!$E325,13,9999)</f>
        <v>13</v>
      </c>
      <c r="AH325" s="0" t="n">
        <f aca="false">IF(Presupuesto!$B$14='Flujo de Pagos'!$E325,14,9999)</f>
        <v>14</v>
      </c>
      <c r="AI325" s="0" t="n">
        <f aca="false">IF(Presupuesto!$B$15='Flujo de Pagos'!$E325,15,9999)</f>
        <v>15</v>
      </c>
      <c r="AJ325" s="0" t="n">
        <f aca="false">IF(Presupuesto!$B$16='Flujo de Pagos'!$E325,16,9999)</f>
        <v>16</v>
      </c>
      <c r="AK325" s="0" t="n">
        <f aca="false">IF(Presupuesto!$B$17='Flujo de Pagos'!$E325,17,9999)</f>
        <v>17</v>
      </c>
      <c r="AL325" s="0" t="n">
        <f aca="false">IF(Presupuesto!$B$18='Flujo de Pagos'!$E325,18,9999)</f>
        <v>18</v>
      </c>
      <c r="AM325" s="0" t="n">
        <f aca="false">IF(Presupuesto!$B$19='Flujo de Pagos'!$E325,19,9999)</f>
        <v>19</v>
      </c>
      <c r="AN325" s="0" t="n">
        <f aca="false">IF(Presupuesto!$B$20='Flujo de Pagos'!$E325,20,9999)</f>
        <v>20</v>
      </c>
      <c r="AO325" s="0" t="n">
        <f aca="false">IF(Presupuesto!$B$21='Flujo de Pagos'!$E325,21,9999)</f>
        <v>21</v>
      </c>
      <c r="AP325" s="0" t="n">
        <f aca="false">IF(Presupuesto!$B$22='Flujo de Pagos'!$E325,22,9999)</f>
        <v>22</v>
      </c>
      <c r="AQ325" s="0" t="n">
        <f aca="false">IF(Presupuesto!$B$23='Flujo de Pagos'!$E325,23,9999)</f>
        <v>23</v>
      </c>
      <c r="AR325" s="0" t="n">
        <f aca="false">IF(Presupuesto!$B$24='Flujo de Pagos'!$E325,24,9999)</f>
        <v>24</v>
      </c>
      <c r="AS325" s="0" t="n">
        <f aca="false">IF(Presupuesto!$B$25='Flujo de Pagos'!$E325,25,9999)</f>
        <v>25</v>
      </c>
      <c r="AT325" s="0" t="n">
        <f aca="false">IF(Presupuesto!$B$26='Flujo de Pagos'!$E325,26,9999)</f>
        <v>26</v>
      </c>
      <c r="AU325" s="0" t="n">
        <f aca="false">IF(Presupuesto!$B$27='Flujo de Pagos'!$E325,27,9999)</f>
        <v>27</v>
      </c>
      <c r="AV325" s="0" t="n">
        <f aca="false">IF(Presupuesto!$B$28='Flujo de Pagos'!$E325,28,9999)</f>
        <v>28</v>
      </c>
      <c r="AW325" s="0" t="n">
        <f aca="false">IF(Presupuesto!$B$29='Flujo de Pagos'!$E325,29,9999)</f>
        <v>29</v>
      </c>
      <c r="AX325" s="0" t="n">
        <f aca="false">IF(Presupuesto!$B$30='Flujo de Pagos'!$E325,30,9999)</f>
        <v>30</v>
      </c>
      <c r="AY325" s="0" t="n">
        <f aca="false">IF(Presupuesto!$B$31='Flujo de Pagos'!$E325,31,9999)</f>
        <v>31</v>
      </c>
      <c r="AZ325" s="0" t="n">
        <f aca="false">IF(Presupuesto!$B$32='Flujo de Pagos'!$E325,32,9999)</f>
        <v>32</v>
      </c>
      <c r="BA325" s="0" t="n">
        <f aca="false">IF(Presupuesto!$B$33='Flujo de Pagos'!$E325,33,9999)</f>
        <v>33</v>
      </c>
      <c r="BB325" s="0" t="n">
        <f aca="false">IF(Presupuesto!$B$34='Flujo de Pagos'!$E325,34,9999)</f>
        <v>34</v>
      </c>
      <c r="BC325" s="0" t="n">
        <f aca="false">IF(Presupuesto!$B$35='Flujo de Pagos'!$E325,35,9999)</f>
        <v>35</v>
      </c>
      <c r="BD325" s="0" t="n">
        <f aca="false">IF(Presupuesto!$B$36='Flujo de Pagos'!$E325,36,9999)</f>
        <v>36</v>
      </c>
      <c r="BE325" s="0" t="n">
        <f aca="false">IF(Presupuesto!$B$37='Flujo de Pagos'!$E325,37,9999)</f>
        <v>37</v>
      </c>
      <c r="BF325" s="0" t="n">
        <f aca="false">IF(Presupuesto!$B$38='Flujo de Pagos'!$E325,38,9999)</f>
        <v>38</v>
      </c>
      <c r="BG325" s="0" t="n">
        <f aca="false">IF(Presupuesto!$B$39='Flujo de Pagos'!$E325,39,9999)</f>
        <v>39</v>
      </c>
      <c r="BH325" s="0" t="n">
        <f aca="false">IF(Presupuesto!$B$40='Flujo de Pagos'!$E325,40,9999)</f>
        <v>40</v>
      </c>
      <c r="BI325" s="0" t="n">
        <f aca="false">IF(Presupuesto!$B$41='Flujo de Pagos'!$E325,41,9999)</f>
        <v>41</v>
      </c>
      <c r="BJ325" s="0" t="n">
        <f aca="false">IF(Presupuesto!$B$42='Flujo de Pagos'!$E325,42,9999)</f>
        <v>42</v>
      </c>
      <c r="BK325" s="0" t="n">
        <f aca="false">IF(Presupuesto!$B$43='Flujo de Pagos'!$E325,43,9999)</f>
        <v>43</v>
      </c>
      <c r="BL325" s="0" t="n">
        <f aca="false">IF(Presupuesto!$B$44='Flujo de Pagos'!$E325,44,9999)</f>
        <v>44</v>
      </c>
      <c r="BM325" s="0" t="n">
        <f aca="false">IF(Presupuesto!$B$45='Flujo de Pagos'!$E325,45,9999)</f>
        <v>45</v>
      </c>
      <c r="BN325" s="0" t="n">
        <f aca="false">IF(Presupuesto!$B$46='Flujo de Pagos'!$E325,46,9999)</f>
        <v>46</v>
      </c>
      <c r="BO325" s="0" t="n">
        <f aca="false">IF(Presupuesto!$B$47='Flujo de Pagos'!$E325,47,9999)</f>
        <v>47</v>
      </c>
      <c r="BP325" s="0" t="n">
        <f aca="false">IF(Presupuesto!$B$48='Flujo de Pagos'!$E325,48,9999)</f>
        <v>48</v>
      </c>
      <c r="BQ325" s="0" t="n">
        <f aca="false">IF(Presupuesto!$B$49='Flujo de Pagos'!$E325,49,9999)</f>
        <v>49</v>
      </c>
      <c r="BR325" s="0" t="n">
        <f aca="false">IF(Presupuesto!$B$50='Flujo de Pagos'!$E325,50,9999)</f>
        <v>50</v>
      </c>
      <c r="BS325" s="0" t="n">
        <f aca="false">IF(Presupuesto!$B$51='Flujo de Pagos'!$E325,51,9999)</f>
        <v>51</v>
      </c>
      <c r="BT325" s="0" t="n">
        <f aca="false">IF(Presupuesto!$B$52='Flujo de Pagos'!$E325,52,9999)</f>
        <v>52</v>
      </c>
      <c r="BU325" s="0" t="n">
        <f aca="false">IF(Presupuesto!$B$53='Flujo de Pagos'!$E325,53,9999)</f>
        <v>53</v>
      </c>
      <c r="BV325" s="0" t="n">
        <f aca="false">IF(Presupuesto!$B$54='Flujo de Pagos'!$E325,54,9999)</f>
        <v>54</v>
      </c>
      <c r="BW325" s="0" t="n">
        <f aca="false">IF(Presupuesto!$B$55='Flujo de Pagos'!$E325,55,9999)</f>
        <v>55</v>
      </c>
      <c r="BX325" s="0" t="n">
        <f aca="false">IF(Presupuesto!$B$56='Flujo de Pagos'!$E325,56,9999)</f>
        <v>56</v>
      </c>
      <c r="BY325" s="0" t="n">
        <f aca="false">IF(Presupuesto!$B$57='Flujo de Pagos'!$E325,57,9999)</f>
        <v>57</v>
      </c>
      <c r="BZ325" s="0" t="n">
        <f aca="false">IF(Presupuesto!$B$58='Flujo de Pagos'!$E325,58,9999)</f>
        <v>58</v>
      </c>
      <c r="CA325" s="0" t="n">
        <f aca="false">IF(Presupuesto!$B$59='Flujo de Pagos'!$E325,59,9999)</f>
        <v>59</v>
      </c>
      <c r="CB325" s="0" t="n">
        <f aca="false">IF(Presupuesto!$B$60='Flujo de Pagos'!$E325,60,9999)</f>
        <v>60</v>
      </c>
      <c r="CC325" s="0" t="n">
        <f aca="false">IF(Presupuesto!$B$61='Flujo de Pagos'!$E325,61,9999)</f>
        <v>61</v>
      </c>
      <c r="CD325" s="0" t="n">
        <f aca="false">IF(Presupuesto!$B$62='Flujo de Pagos'!$E325,62,9999)</f>
        <v>62</v>
      </c>
      <c r="CE325" s="0" t="n">
        <f aca="false">IF(Presupuesto!$B$63='Flujo de Pagos'!$E325,63,9999)</f>
        <v>63</v>
      </c>
      <c r="CF325" s="0" t="n">
        <f aca="false">IF(Presupuesto!$B$64='Flujo de Pagos'!$E325,64,9999)</f>
        <v>64</v>
      </c>
      <c r="CG325" s="0" t="n">
        <f aca="false">IF(Presupuesto!$B$65='Flujo de Pagos'!$E325,65,9999)</f>
        <v>65</v>
      </c>
      <c r="CH325" s="0" t="n">
        <f aca="false">IF(Presupuesto!$B$66='Flujo de Pagos'!$E325,66,9999)</f>
        <v>66</v>
      </c>
    </row>
    <row r="326" customFormat="false" ht="15" hidden="false" customHeight="true" outlineLevel="0" collapsed="false">
      <c r="B326" s="1" t="n">
        <f aca="false">IF(AND('Flujo de Pagos'!E331=Carátula!$B$2,'Flujo de Pagos'!F331=Carátula!$B$4,'Flujo de Pagos'!H331&lt;&gt;""),331,99999)</f>
        <v>99999</v>
      </c>
      <c r="H326" s="1" t="n">
        <f aca="false">IF(SMALL($AA326:$CH326,1)&gt;=9999,"",INDEX(Presupuesto!$C:$C,SMALL($AA326:$CH326,1)))</f>
        <v>0</v>
      </c>
      <c r="I326" s="1" t="n">
        <f aca="false">IF(SMALL($AA326:$CH326,2)&gt;=9999,"",INDEX(Presupuesto!$C:$C,SMALL($AA326:$CH326,2)))</f>
        <v>0</v>
      </c>
      <c r="J326" s="1" t="n">
        <f aca="false">IF(SMALL($AA326:$CH326,3)&gt;=9999,"",INDEX(Presupuesto!$C:$C,SMALL($AA326:$CH326,3)))</f>
        <v>0</v>
      </c>
      <c r="K326" s="1" t="n">
        <f aca="false">IF(SMALL($AA326:$CH326,4)&gt;=9999,"",INDEX(Presupuesto!$C:$C,SMALL($AA326:$CH326,4)))</f>
        <v>0</v>
      </c>
      <c r="L326" s="1" t="n">
        <f aca="false">IF(SMALL($AA326:$CH326,5)&gt;=9999,"",INDEX(Presupuesto!$C:$C,SMALL($AA326:$CH326,5)))</f>
        <v>0</v>
      </c>
      <c r="M326" s="1" t="n">
        <f aca="false">IF(SMALL($AA326:$CH326,6)&gt;=9999,"",INDEX(Presupuesto!$C:$C,SMALL($AA326:$CH326,6)))</f>
        <v>0</v>
      </c>
      <c r="N326" s="1" t="n">
        <f aca="false">IF(SMALL($AA326:$CH326,7)&gt;=9999,"",INDEX(Presupuesto!$C:$C,SMALL($AA326:$CH326,7)))</f>
        <v>0</v>
      </c>
      <c r="O326" s="1" t="n">
        <f aca="false">IF(SMALL($AA326:$CH326,8)&gt;=9999,"",INDEX(Presupuesto!$C:$C,SMALL($AA326:$CH326,8)))</f>
        <v>0</v>
      </c>
      <c r="P326" s="1" t="n">
        <f aca="false">IF(SMALL($AA326:$CH326,9)&gt;=9999,"",INDEX(Presupuesto!$C:$C,SMALL($AA326:$CH326,9)))</f>
        <v>0</v>
      </c>
      <c r="Q326" s="1" t="n">
        <f aca="false">IF(SMALL($AA326:$CH326,10)&gt;=9999,"",INDEX(Presupuesto!$C:$C,SMALL($AA326:$CH326,10)))</f>
        <v>0</v>
      </c>
      <c r="AA326" s="0" t="n">
        <f aca="false">IF(Presupuesto!$B$7='Flujo de Pagos'!$E326,7,9999)</f>
        <v>9999</v>
      </c>
      <c r="AB326" s="0" t="n">
        <f aca="false">IF(Presupuesto!$B$8='Flujo de Pagos'!$E326,8,9999)</f>
        <v>9999</v>
      </c>
      <c r="AC326" s="0" t="n">
        <f aca="false">IF(Presupuesto!$B$9='Flujo de Pagos'!$E326,9,9999)</f>
        <v>9999</v>
      </c>
      <c r="AD326" s="0" t="n">
        <f aca="false">IF(Presupuesto!$B$10='Flujo de Pagos'!$E326,10,9999)</f>
        <v>9999</v>
      </c>
      <c r="AE326" s="0" t="n">
        <f aca="false">IF(Presupuesto!$B$11='Flujo de Pagos'!$E326,11,9999)</f>
        <v>9999</v>
      </c>
      <c r="AF326" s="0" t="n">
        <f aca="false">IF(Presupuesto!$B$12='Flujo de Pagos'!$E326,12,9999)</f>
        <v>12</v>
      </c>
      <c r="AG326" s="0" t="n">
        <f aca="false">IF(Presupuesto!$B$13='Flujo de Pagos'!$E326,13,9999)</f>
        <v>13</v>
      </c>
      <c r="AH326" s="0" t="n">
        <f aca="false">IF(Presupuesto!$B$14='Flujo de Pagos'!$E326,14,9999)</f>
        <v>14</v>
      </c>
      <c r="AI326" s="0" t="n">
        <f aca="false">IF(Presupuesto!$B$15='Flujo de Pagos'!$E326,15,9999)</f>
        <v>15</v>
      </c>
      <c r="AJ326" s="0" t="n">
        <f aca="false">IF(Presupuesto!$B$16='Flujo de Pagos'!$E326,16,9999)</f>
        <v>16</v>
      </c>
      <c r="AK326" s="0" t="n">
        <f aca="false">IF(Presupuesto!$B$17='Flujo de Pagos'!$E326,17,9999)</f>
        <v>17</v>
      </c>
      <c r="AL326" s="0" t="n">
        <f aca="false">IF(Presupuesto!$B$18='Flujo de Pagos'!$E326,18,9999)</f>
        <v>18</v>
      </c>
      <c r="AM326" s="0" t="n">
        <f aca="false">IF(Presupuesto!$B$19='Flujo de Pagos'!$E326,19,9999)</f>
        <v>19</v>
      </c>
      <c r="AN326" s="0" t="n">
        <f aca="false">IF(Presupuesto!$B$20='Flujo de Pagos'!$E326,20,9999)</f>
        <v>20</v>
      </c>
      <c r="AO326" s="0" t="n">
        <f aca="false">IF(Presupuesto!$B$21='Flujo de Pagos'!$E326,21,9999)</f>
        <v>21</v>
      </c>
      <c r="AP326" s="0" t="n">
        <f aca="false">IF(Presupuesto!$B$22='Flujo de Pagos'!$E326,22,9999)</f>
        <v>22</v>
      </c>
      <c r="AQ326" s="0" t="n">
        <f aca="false">IF(Presupuesto!$B$23='Flujo de Pagos'!$E326,23,9999)</f>
        <v>23</v>
      </c>
      <c r="AR326" s="0" t="n">
        <f aca="false">IF(Presupuesto!$B$24='Flujo de Pagos'!$E326,24,9999)</f>
        <v>24</v>
      </c>
      <c r="AS326" s="0" t="n">
        <f aca="false">IF(Presupuesto!$B$25='Flujo de Pagos'!$E326,25,9999)</f>
        <v>25</v>
      </c>
      <c r="AT326" s="0" t="n">
        <f aca="false">IF(Presupuesto!$B$26='Flujo de Pagos'!$E326,26,9999)</f>
        <v>26</v>
      </c>
      <c r="AU326" s="0" t="n">
        <f aca="false">IF(Presupuesto!$B$27='Flujo de Pagos'!$E326,27,9999)</f>
        <v>27</v>
      </c>
      <c r="AV326" s="0" t="n">
        <f aca="false">IF(Presupuesto!$B$28='Flujo de Pagos'!$E326,28,9999)</f>
        <v>28</v>
      </c>
      <c r="AW326" s="0" t="n">
        <f aca="false">IF(Presupuesto!$B$29='Flujo de Pagos'!$E326,29,9999)</f>
        <v>29</v>
      </c>
      <c r="AX326" s="0" t="n">
        <f aca="false">IF(Presupuesto!$B$30='Flujo de Pagos'!$E326,30,9999)</f>
        <v>30</v>
      </c>
      <c r="AY326" s="0" t="n">
        <f aca="false">IF(Presupuesto!$B$31='Flujo de Pagos'!$E326,31,9999)</f>
        <v>31</v>
      </c>
      <c r="AZ326" s="0" t="n">
        <f aca="false">IF(Presupuesto!$B$32='Flujo de Pagos'!$E326,32,9999)</f>
        <v>32</v>
      </c>
      <c r="BA326" s="0" t="n">
        <f aca="false">IF(Presupuesto!$B$33='Flujo de Pagos'!$E326,33,9999)</f>
        <v>33</v>
      </c>
      <c r="BB326" s="0" t="n">
        <f aca="false">IF(Presupuesto!$B$34='Flujo de Pagos'!$E326,34,9999)</f>
        <v>34</v>
      </c>
      <c r="BC326" s="0" t="n">
        <f aca="false">IF(Presupuesto!$B$35='Flujo de Pagos'!$E326,35,9999)</f>
        <v>35</v>
      </c>
      <c r="BD326" s="0" t="n">
        <f aca="false">IF(Presupuesto!$B$36='Flujo de Pagos'!$E326,36,9999)</f>
        <v>36</v>
      </c>
      <c r="BE326" s="0" t="n">
        <f aca="false">IF(Presupuesto!$B$37='Flujo de Pagos'!$E326,37,9999)</f>
        <v>37</v>
      </c>
      <c r="BF326" s="0" t="n">
        <f aca="false">IF(Presupuesto!$B$38='Flujo de Pagos'!$E326,38,9999)</f>
        <v>38</v>
      </c>
      <c r="BG326" s="0" t="n">
        <f aca="false">IF(Presupuesto!$B$39='Flujo de Pagos'!$E326,39,9999)</f>
        <v>39</v>
      </c>
      <c r="BH326" s="0" t="n">
        <f aca="false">IF(Presupuesto!$B$40='Flujo de Pagos'!$E326,40,9999)</f>
        <v>40</v>
      </c>
      <c r="BI326" s="0" t="n">
        <f aca="false">IF(Presupuesto!$B$41='Flujo de Pagos'!$E326,41,9999)</f>
        <v>41</v>
      </c>
      <c r="BJ326" s="0" t="n">
        <f aca="false">IF(Presupuesto!$B$42='Flujo de Pagos'!$E326,42,9999)</f>
        <v>42</v>
      </c>
      <c r="BK326" s="0" t="n">
        <f aca="false">IF(Presupuesto!$B$43='Flujo de Pagos'!$E326,43,9999)</f>
        <v>43</v>
      </c>
      <c r="BL326" s="0" t="n">
        <f aca="false">IF(Presupuesto!$B$44='Flujo de Pagos'!$E326,44,9999)</f>
        <v>44</v>
      </c>
      <c r="BM326" s="0" t="n">
        <f aca="false">IF(Presupuesto!$B$45='Flujo de Pagos'!$E326,45,9999)</f>
        <v>45</v>
      </c>
      <c r="BN326" s="0" t="n">
        <f aca="false">IF(Presupuesto!$B$46='Flujo de Pagos'!$E326,46,9999)</f>
        <v>46</v>
      </c>
      <c r="BO326" s="0" t="n">
        <f aca="false">IF(Presupuesto!$B$47='Flujo de Pagos'!$E326,47,9999)</f>
        <v>47</v>
      </c>
      <c r="BP326" s="0" t="n">
        <f aca="false">IF(Presupuesto!$B$48='Flujo de Pagos'!$E326,48,9999)</f>
        <v>48</v>
      </c>
      <c r="BQ326" s="0" t="n">
        <f aca="false">IF(Presupuesto!$B$49='Flujo de Pagos'!$E326,49,9999)</f>
        <v>49</v>
      </c>
      <c r="BR326" s="0" t="n">
        <f aca="false">IF(Presupuesto!$B$50='Flujo de Pagos'!$E326,50,9999)</f>
        <v>50</v>
      </c>
      <c r="BS326" s="0" t="n">
        <f aca="false">IF(Presupuesto!$B$51='Flujo de Pagos'!$E326,51,9999)</f>
        <v>51</v>
      </c>
      <c r="BT326" s="0" t="n">
        <f aca="false">IF(Presupuesto!$B$52='Flujo de Pagos'!$E326,52,9999)</f>
        <v>52</v>
      </c>
      <c r="BU326" s="0" t="n">
        <f aca="false">IF(Presupuesto!$B$53='Flujo de Pagos'!$E326,53,9999)</f>
        <v>53</v>
      </c>
      <c r="BV326" s="0" t="n">
        <f aca="false">IF(Presupuesto!$B$54='Flujo de Pagos'!$E326,54,9999)</f>
        <v>54</v>
      </c>
      <c r="BW326" s="0" t="n">
        <f aca="false">IF(Presupuesto!$B$55='Flujo de Pagos'!$E326,55,9999)</f>
        <v>55</v>
      </c>
      <c r="BX326" s="0" t="n">
        <f aca="false">IF(Presupuesto!$B$56='Flujo de Pagos'!$E326,56,9999)</f>
        <v>56</v>
      </c>
      <c r="BY326" s="0" t="n">
        <f aca="false">IF(Presupuesto!$B$57='Flujo de Pagos'!$E326,57,9999)</f>
        <v>57</v>
      </c>
      <c r="BZ326" s="0" t="n">
        <f aca="false">IF(Presupuesto!$B$58='Flujo de Pagos'!$E326,58,9999)</f>
        <v>58</v>
      </c>
      <c r="CA326" s="0" t="n">
        <f aca="false">IF(Presupuesto!$B$59='Flujo de Pagos'!$E326,59,9999)</f>
        <v>59</v>
      </c>
      <c r="CB326" s="0" t="n">
        <f aca="false">IF(Presupuesto!$B$60='Flujo de Pagos'!$E326,60,9999)</f>
        <v>60</v>
      </c>
      <c r="CC326" s="0" t="n">
        <f aca="false">IF(Presupuesto!$B$61='Flujo de Pagos'!$E326,61,9999)</f>
        <v>61</v>
      </c>
      <c r="CD326" s="0" t="n">
        <f aca="false">IF(Presupuesto!$B$62='Flujo de Pagos'!$E326,62,9999)</f>
        <v>62</v>
      </c>
      <c r="CE326" s="0" t="n">
        <f aca="false">IF(Presupuesto!$B$63='Flujo de Pagos'!$E326,63,9999)</f>
        <v>63</v>
      </c>
      <c r="CF326" s="0" t="n">
        <f aca="false">IF(Presupuesto!$B$64='Flujo de Pagos'!$E326,64,9999)</f>
        <v>64</v>
      </c>
      <c r="CG326" s="0" t="n">
        <f aca="false">IF(Presupuesto!$B$65='Flujo de Pagos'!$E326,65,9999)</f>
        <v>65</v>
      </c>
      <c r="CH326" s="0" t="n">
        <f aca="false">IF(Presupuesto!$B$66='Flujo de Pagos'!$E326,66,9999)</f>
        <v>66</v>
      </c>
    </row>
    <row r="327" customFormat="false" ht="15" hidden="false" customHeight="true" outlineLevel="0" collapsed="false">
      <c r="B327" s="1" t="n">
        <f aca="false">IF(AND('Flujo de Pagos'!E332=Carátula!$B$2,'Flujo de Pagos'!F332=Carátula!$B$4,'Flujo de Pagos'!H332&lt;&gt;""),332,99999)</f>
        <v>99999</v>
      </c>
      <c r="H327" s="1" t="n">
        <f aca="false">IF(SMALL($AA327:$CH327,1)&gt;=9999,"",INDEX(Presupuesto!$C:$C,SMALL($AA327:$CH327,1)))</f>
        <v>0</v>
      </c>
      <c r="I327" s="1" t="n">
        <f aca="false">IF(SMALL($AA327:$CH327,2)&gt;=9999,"",INDEX(Presupuesto!$C:$C,SMALL($AA327:$CH327,2)))</f>
        <v>0</v>
      </c>
      <c r="J327" s="1" t="n">
        <f aca="false">IF(SMALL($AA327:$CH327,3)&gt;=9999,"",INDEX(Presupuesto!$C:$C,SMALL($AA327:$CH327,3)))</f>
        <v>0</v>
      </c>
      <c r="K327" s="1" t="n">
        <f aca="false">IF(SMALL($AA327:$CH327,4)&gt;=9999,"",INDEX(Presupuesto!$C:$C,SMALL($AA327:$CH327,4)))</f>
        <v>0</v>
      </c>
      <c r="L327" s="1" t="n">
        <f aca="false">IF(SMALL($AA327:$CH327,5)&gt;=9999,"",INDEX(Presupuesto!$C:$C,SMALL($AA327:$CH327,5)))</f>
        <v>0</v>
      </c>
      <c r="M327" s="1" t="n">
        <f aca="false">IF(SMALL($AA327:$CH327,6)&gt;=9999,"",INDEX(Presupuesto!$C:$C,SMALL($AA327:$CH327,6)))</f>
        <v>0</v>
      </c>
      <c r="N327" s="1" t="n">
        <f aca="false">IF(SMALL($AA327:$CH327,7)&gt;=9999,"",INDEX(Presupuesto!$C:$C,SMALL($AA327:$CH327,7)))</f>
        <v>0</v>
      </c>
      <c r="O327" s="1" t="n">
        <f aca="false">IF(SMALL($AA327:$CH327,8)&gt;=9999,"",INDEX(Presupuesto!$C:$C,SMALL($AA327:$CH327,8)))</f>
        <v>0</v>
      </c>
      <c r="P327" s="1" t="n">
        <f aca="false">IF(SMALL($AA327:$CH327,9)&gt;=9999,"",INDEX(Presupuesto!$C:$C,SMALL($AA327:$CH327,9)))</f>
        <v>0</v>
      </c>
      <c r="Q327" s="1" t="n">
        <f aca="false">IF(SMALL($AA327:$CH327,10)&gt;=9999,"",INDEX(Presupuesto!$C:$C,SMALL($AA327:$CH327,10)))</f>
        <v>0</v>
      </c>
      <c r="AA327" s="0" t="n">
        <f aca="false">IF(Presupuesto!$B$7='Flujo de Pagos'!$E327,7,9999)</f>
        <v>9999</v>
      </c>
      <c r="AB327" s="0" t="n">
        <f aca="false">IF(Presupuesto!$B$8='Flujo de Pagos'!$E327,8,9999)</f>
        <v>9999</v>
      </c>
      <c r="AC327" s="0" t="n">
        <f aca="false">IF(Presupuesto!$B$9='Flujo de Pagos'!$E327,9,9999)</f>
        <v>9999</v>
      </c>
      <c r="AD327" s="0" t="n">
        <f aca="false">IF(Presupuesto!$B$10='Flujo de Pagos'!$E327,10,9999)</f>
        <v>9999</v>
      </c>
      <c r="AE327" s="0" t="n">
        <f aca="false">IF(Presupuesto!$B$11='Flujo de Pagos'!$E327,11,9999)</f>
        <v>9999</v>
      </c>
      <c r="AF327" s="0" t="n">
        <f aca="false">IF(Presupuesto!$B$12='Flujo de Pagos'!$E327,12,9999)</f>
        <v>12</v>
      </c>
      <c r="AG327" s="0" t="n">
        <f aca="false">IF(Presupuesto!$B$13='Flujo de Pagos'!$E327,13,9999)</f>
        <v>13</v>
      </c>
      <c r="AH327" s="0" t="n">
        <f aca="false">IF(Presupuesto!$B$14='Flujo de Pagos'!$E327,14,9999)</f>
        <v>14</v>
      </c>
      <c r="AI327" s="0" t="n">
        <f aca="false">IF(Presupuesto!$B$15='Flujo de Pagos'!$E327,15,9999)</f>
        <v>15</v>
      </c>
      <c r="AJ327" s="0" t="n">
        <f aca="false">IF(Presupuesto!$B$16='Flujo de Pagos'!$E327,16,9999)</f>
        <v>16</v>
      </c>
      <c r="AK327" s="0" t="n">
        <f aca="false">IF(Presupuesto!$B$17='Flujo de Pagos'!$E327,17,9999)</f>
        <v>17</v>
      </c>
      <c r="AL327" s="0" t="n">
        <f aca="false">IF(Presupuesto!$B$18='Flujo de Pagos'!$E327,18,9999)</f>
        <v>18</v>
      </c>
      <c r="AM327" s="0" t="n">
        <f aca="false">IF(Presupuesto!$B$19='Flujo de Pagos'!$E327,19,9999)</f>
        <v>19</v>
      </c>
      <c r="AN327" s="0" t="n">
        <f aca="false">IF(Presupuesto!$B$20='Flujo de Pagos'!$E327,20,9999)</f>
        <v>20</v>
      </c>
      <c r="AO327" s="0" t="n">
        <f aca="false">IF(Presupuesto!$B$21='Flujo de Pagos'!$E327,21,9999)</f>
        <v>21</v>
      </c>
      <c r="AP327" s="0" t="n">
        <f aca="false">IF(Presupuesto!$B$22='Flujo de Pagos'!$E327,22,9999)</f>
        <v>22</v>
      </c>
      <c r="AQ327" s="0" t="n">
        <f aca="false">IF(Presupuesto!$B$23='Flujo de Pagos'!$E327,23,9999)</f>
        <v>23</v>
      </c>
      <c r="AR327" s="0" t="n">
        <f aca="false">IF(Presupuesto!$B$24='Flujo de Pagos'!$E327,24,9999)</f>
        <v>24</v>
      </c>
      <c r="AS327" s="0" t="n">
        <f aca="false">IF(Presupuesto!$B$25='Flujo de Pagos'!$E327,25,9999)</f>
        <v>25</v>
      </c>
      <c r="AT327" s="0" t="n">
        <f aca="false">IF(Presupuesto!$B$26='Flujo de Pagos'!$E327,26,9999)</f>
        <v>26</v>
      </c>
      <c r="AU327" s="0" t="n">
        <f aca="false">IF(Presupuesto!$B$27='Flujo de Pagos'!$E327,27,9999)</f>
        <v>27</v>
      </c>
      <c r="AV327" s="0" t="n">
        <f aca="false">IF(Presupuesto!$B$28='Flujo de Pagos'!$E327,28,9999)</f>
        <v>28</v>
      </c>
      <c r="AW327" s="0" t="n">
        <f aca="false">IF(Presupuesto!$B$29='Flujo de Pagos'!$E327,29,9999)</f>
        <v>29</v>
      </c>
      <c r="AX327" s="0" t="n">
        <f aca="false">IF(Presupuesto!$B$30='Flujo de Pagos'!$E327,30,9999)</f>
        <v>30</v>
      </c>
      <c r="AY327" s="0" t="n">
        <f aca="false">IF(Presupuesto!$B$31='Flujo de Pagos'!$E327,31,9999)</f>
        <v>31</v>
      </c>
      <c r="AZ327" s="0" t="n">
        <f aca="false">IF(Presupuesto!$B$32='Flujo de Pagos'!$E327,32,9999)</f>
        <v>32</v>
      </c>
      <c r="BA327" s="0" t="n">
        <f aca="false">IF(Presupuesto!$B$33='Flujo de Pagos'!$E327,33,9999)</f>
        <v>33</v>
      </c>
      <c r="BB327" s="0" t="n">
        <f aca="false">IF(Presupuesto!$B$34='Flujo de Pagos'!$E327,34,9999)</f>
        <v>34</v>
      </c>
      <c r="BC327" s="0" t="n">
        <f aca="false">IF(Presupuesto!$B$35='Flujo de Pagos'!$E327,35,9999)</f>
        <v>35</v>
      </c>
      <c r="BD327" s="0" t="n">
        <f aca="false">IF(Presupuesto!$B$36='Flujo de Pagos'!$E327,36,9999)</f>
        <v>36</v>
      </c>
      <c r="BE327" s="0" t="n">
        <f aca="false">IF(Presupuesto!$B$37='Flujo de Pagos'!$E327,37,9999)</f>
        <v>37</v>
      </c>
      <c r="BF327" s="0" t="n">
        <f aca="false">IF(Presupuesto!$B$38='Flujo de Pagos'!$E327,38,9999)</f>
        <v>38</v>
      </c>
      <c r="BG327" s="0" t="n">
        <f aca="false">IF(Presupuesto!$B$39='Flujo de Pagos'!$E327,39,9999)</f>
        <v>39</v>
      </c>
      <c r="BH327" s="0" t="n">
        <f aca="false">IF(Presupuesto!$B$40='Flujo de Pagos'!$E327,40,9999)</f>
        <v>40</v>
      </c>
      <c r="BI327" s="0" t="n">
        <f aca="false">IF(Presupuesto!$B$41='Flujo de Pagos'!$E327,41,9999)</f>
        <v>41</v>
      </c>
      <c r="BJ327" s="0" t="n">
        <f aca="false">IF(Presupuesto!$B$42='Flujo de Pagos'!$E327,42,9999)</f>
        <v>42</v>
      </c>
      <c r="BK327" s="0" t="n">
        <f aca="false">IF(Presupuesto!$B$43='Flujo de Pagos'!$E327,43,9999)</f>
        <v>43</v>
      </c>
      <c r="BL327" s="0" t="n">
        <f aca="false">IF(Presupuesto!$B$44='Flujo de Pagos'!$E327,44,9999)</f>
        <v>44</v>
      </c>
      <c r="BM327" s="0" t="n">
        <f aca="false">IF(Presupuesto!$B$45='Flujo de Pagos'!$E327,45,9999)</f>
        <v>45</v>
      </c>
      <c r="BN327" s="0" t="n">
        <f aca="false">IF(Presupuesto!$B$46='Flujo de Pagos'!$E327,46,9999)</f>
        <v>46</v>
      </c>
      <c r="BO327" s="0" t="n">
        <f aca="false">IF(Presupuesto!$B$47='Flujo de Pagos'!$E327,47,9999)</f>
        <v>47</v>
      </c>
      <c r="BP327" s="0" t="n">
        <f aca="false">IF(Presupuesto!$B$48='Flujo de Pagos'!$E327,48,9999)</f>
        <v>48</v>
      </c>
      <c r="BQ327" s="0" t="n">
        <f aca="false">IF(Presupuesto!$B$49='Flujo de Pagos'!$E327,49,9999)</f>
        <v>49</v>
      </c>
      <c r="BR327" s="0" t="n">
        <f aca="false">IF(Presupuesto!$B$50='Flujo de Pagos'!$E327,50,9999)</f>
        <v>50</v>
      </c>
      <c r="BS327" s="0" t="n">
        <f aca="false">IF(Presupuesto!$B$51='Flujo de Pagos'!$E327,51,9999)</f>
        <v>51</v>
      </c>
      <c r="BT327" s="0" t="n">
        <f aca="false">IF(Presupuesto!$B$52='Flujo de Pagos'!$E327,52,9999)</f>
        <v>52</v>
      </c>
      <c r="BU327" s="0" t="n">
        <f aca="false">IF(Presupuesto!$B$53='Flujo de Pagos'!$E327,53,9999)</f>
        <v>53</v>
      </c>
      <c r="BV327" s="0" t="n">
        <f aca="false">IF(Presupuesto!$B$54='Flujo de Pagos'!$E327,54,9999)</f>
        <v>54</v>
      </c>
      <c r="BW327" s="0" t="n">
        <f aca="false">IF(Presupuesto!$B$55='Flujo de Pagos'!$E327,55,9999)</f>
        <v>55</v>
      </c>
      <c r="BX327" s="0" t="n">
        <f aca="false">IF(Presupuesto!$B$56='Flujo de Pagos'!$E327,56,9999)</f>
        <v>56</v>
      </c>
      <c r="BY327" s="0" t="n">
        <f aca="false">IF(Presupuesto!$B$57='Flujo de Pagos'!$E327,57,9999)</f>
        <v>57</v>
      </c>
      <c r="BZ327" s="0" t="n">
        <f aca="false">IF(Presupuesto!$B$58='Flujo de Pagos'!$E327,58,9999)</f>
        <v>58</v>
      </c>
      <c r="CA327" s="0" t="n">
        <f aca="false">IF(Presupuesto!$B$59='Flujo de Pagos'!$E327,59,9999)</f>
        <v>59</v>
      </c>
      <c r="CB327" s="0" t="n">
        <f aca="false">IF(Presupuesto!$B$60='Flujo de Pagos'!$E327,60,9999)</f>
        <v>60</v>
      </c>
      <c r="CC327" s="0" t="n">
        <f aca="false">IF(Presupuesto!$B$61='Flujo de Pagos'!$E327,61,9999)</f>
        <v>61</v>
      </c>
      <c r="CD327" s="0" t="n">
        <f aca="false">IF(Presupuesto!$B$62='Flujo de Pagos'!$E327,62,9999)</f>
        <v>62</v>
      </c>
      <c r="CE327" s="0" t="n">
        <f aca="false">IF(Presupuesto!$B$63='Flujo de Pagos'!$E327,63,9999)</f>
        <v>63</v>
      </c>
      <c r="CF327" s="0" t="n">
        <f aca="false">IF(Presupuesto!$B$64='Flujo de Pagos'!$E327,64,9999)</f>
        <v>64</v>
      </c>
      <c r="CG327" s="0" t="n">
        <f aca="false">IF(Presupuesto!$B$65='Flujo de Pagos'!$E327,65,9999)</f>
        <v>65</v>
      </c>
      <c r="CH327" s="0" t="n">
        <f aca="false">IF(Presupuesto!$B$66='Flujo de Pagos'!$E327,66,9999)</f>
        <v>66</v>
      </c>
    </row>
    <row r="328" customFormat="false" ht="15" hidden="false" customHeight="true" outlineLevel="0" collapsed="false">
      <c r="B328" s="1" t="n">
        <f aca="false">IF(AND('Flujo de Pagos'!E333=Carátula!$B$2,'Flujo de Pagos'!F333=Carátula!$B$4,'Flujo de Pagos'!H333&lt;&gt;""),333,99999)</f>
        <v>99999</v>
      </c>
      <c r="H328" s="1" t="n">
        <f aca="false">IF(SMALL($AA328:$CH328,1)&gt;=9999,"",INDEX(Presupuesto!$C:$C,SMALL($AA328:$CH328,1)))</f>
        <v>0</v>
      </c>
      <c r="I328" s="1" t="n">
        <f aca="false">IF(SMALL($AA328:$CH328,2)&gt;=9999,"",INDEX(Presupuesto!$C:$C,SMALL($AA328:$CH328,2)))</f>
        <v>0</v>
      </c>
      <c r="J328" s="1" t="n">
        <f aca="false">IF(SMALL($AA328:$CH328,3)&gt;=9999,"",INDEX(Presupuesto!$C:$C,SMALL($AA328:$CH328,3)))</f>
        <v>0</v>
      </c>
      <c r="K328" s="1" t="n">
        <f aca="false">IF(SMALL($AA328:$CH328,4)&gt;=9999,"",INDEX(Presupuesto!$C:$C,SMALL($AA328:$CH328,4)))</f>
        <v>0</v>
      </c>
      <c r="L328" s="1" t="n">
        <f aca="false">IF(SMALL($AA328:$CH328,5)&gt;=9999,"",INDEX(Presupuesto!$C:$C,SMALL($AA328:$CH328,5)))</f>
        <v>0</v>
      </c>
      <c r="M328" s="1" t="n">
        <f aca="false">IF(SMALL($AA328:$CH328,6)&gt;=9999,"",INDEX(Presupuesto!$C:$C,SMALL($AA328:$CH328,6)))</f>
        <v>0</v>
      </c>
      <c r="N328" s="1" t="n">
        <f aca="false">IF(SMALL($AA328:$CH328,7)&gt;=9999,"",INDEX(Presupuesto!$C:$C,SMALL($AA328:$CH328,7)))</f>
        <v>0</v>
      </c>
      <c r="O328" s="1" t="n">
        <f aca="false">IF(SMALL($AA328:$CH328,8)&gt;=9999,"",INDEX(Presupuesto!$C:$C,SMALL($AA328:$CH328,8)))</f>
        <v>0</v>
      </c>
      <c r="P328" s="1" t="n">
        <f aca="false">IF(SMALL($AA328:$CH328,9)&gt;=9999,"",INDEX(Presupuesto!$C:$C,SMALL($AA328:$CH328,9)))</f>
        <v>0</v>
      </c>
      <c r="Q328" s="1" t="n">
        <f aca="false">IF(SMALL($AA328:$CH328,10)&gt;=9999,"",INDEX(Presupuesto!$C:$C,SMALL($AA328:$CH328,10)))</f>
        <v>0</v>
      </c>
      <c r="AA328" s="0" t="n">
        <f aca="false">IF(Presupuesto!$B$7='Flujo de Pagos'!$E328,7,9999)</f>
        <v>9999</v>
      </c>
      <c r="AB328" s="0" t="n">
        <f aca="false">IF(Presupuesto!$B$8='Flujo de Pagos'!$E328,8,9999)</f>
        <v>9999</v>
      </c>
      <c r="AC328" s="0" t="n">
        <f aca="false">IF(Presupuesto!$B$9='Flujo de Pagos'!$E328,9,9999)</f>
        <v>9999</v>
      </c>
      <c r="AD328" s="0" t="n">
        <f aca="false">IF(Presupuesto!$B$10='Flujo de Pagos'!$E328,10,9999)</f>
        <v>9999</v>
      </c>
      <c r="AE328" s="0" t="n">
        <f aca="false">IF(Presupuesto!$B$11='Flujo de Pagos'!$E328,11,9999)</f>
        <v>9999</v>
      </c>
      <c r="AF328" s="0" t="n">
        <f aca="false">IF(Presupuesto!$B$12='Flujo de Pagos'!$E328,12,9999)</f>
        <v>12</v>
      </c>
      <c r="AG328" s="0" t="n">
        <f aca="false">IF(Presupuesto!$B$13='Flujo de Pagos'!$E328,13,9999)</f>
        <v>13</v>
      </c>
      <c r="AH328" s="0" t="n">
        <f aca="false">IF(Presupuesto!$B$14='Flujo de Pagos'!$E328,14,9999)</f>
        <v>14</v>
      </c>
      <c r="AI328" s="0" t="n">
        <f aca="false">IF(Presupuesto!$B$15='Flujo de Pagos'!$E328,15,9999)</f>
        <v>15</v>
      </c>
      <c r="AJ328" s="0" t="n">
        <f aca="false">IF(Presupuesto!$B$16='Flujo de Pagos'!$E328,16,9999)</f>
        <v>16</v>
      </c>
      <c r="AK328" s="0" t="n">
        <f aca="false">IF(Presupuesto!$B$17='Flujo de Pagos'!$E328,17,9999)</f>
        <v>17</v>
      </c>
      <c r="AL328" s="0" t="n">
        <f aca="false">IF(Presupuesto!$B$18='Flujo de Pagos'!$E328,18,9999)</f>
        <v>18</v>
      </c>
      <c r="AM328" s="0" t="n">
        <f aca="false">IF(Presupuesto!$B$19='Flujo de Pagos'!$E328,19,9999)</f>
        <v>19</v>
      </c>
      <c r="AN328" s="0" t="n">
        <f aca="false">IF(Presupuesto!$B$20='Flujo de Pagos'!$E328,20,9999)</f>
        <v>20</v>
      </c>
      <c r="AO328" s="0" t="n">
        <f aca="false">IF(Presupuesto!$B$21='Flujo de Pagos'!$E328,21,9999)</f>
        <v>21</v>
      </c>
      <c r="AP328" s="0" t="n">
        <f aca="false">IF(Presupuesto!$B$22='Flujo de Pagos'!$E328,22,9999)</f>
        <v>22</v>
      </c>
      <c r="AQ328" s="0" t="n">
        <f aca="false">IF(Presupuesto!$B$23='Flujo de Pagos'!$E328,23,9999)</f>
        <v>23</v>
      </c>
      <c r="AR328" s="0" t="n">
        <f aca="false">IF(Presupuesto!$B$24='Flujo de Pagos'!$E328,24,9999)</f>
        <v>24</v>
      </c>
      <c r="AS328" s="0" t="n">
        <f aca="false">IF(Presupuesto!$B$25='Flujo de Pagos'!$E328,25,9999)</f>
        <v>25</v>
      </c>
      <c r="AT328" s="0" t="n">
        <f aca="false">IF(Presupuesto!$B$26='Flujo de Pagos'!$E328,26,9999)</f>
        <v>26</v>
      </c>
      <c r="AU328" s="0" t="n">
        <f aca="false">IF(Presupuesto!$B$27='Flujo de Pagos'!$E328,27,9999)</f>
        <v>27</v>
      </c>
      <c r="AV328" s="0" t="n">
        <f aca="false">IF(Presupuesto!$B$28='Flujo de Pagos'!$E328,28,9999)</f>
        <v>28</v>
      </c>
      <c r="AW328" s="0" t="n">
        <f aca="false">IF(Presupuesto!$B$29='Flujo de Pagos'!$E328,29,9999)</f>
        <v>29</v>
      </c>
      <c r="AX328" s="0" t="n">
        <f aca="false">IF(Presupuesto!$B$30='Flujo de Pagos'!$E328,30,9999)</f>
        <v>30</v>
      </c>
      <c r="AY328" s="0" t="n">
        <f aca="false">IF(Presupuesto!$B$31='Flujo de Pagos'!$E328,31,9999)</f>
        <v>31</v>
      </c>
      <c r="AZ328" s="0" t="n">
        <f aca="false">IF(Presupuesto!$B$32='Flujo de Pagos'!$E328,32,9999)</f>
        <v>32</v>
      </c>
      <c r="BA328" s="0" t="n">
        <f aca="false">IF(Presupuesto!$B$33='Flujo de Pagos'!$E328,33,9999)</f>
        <v>33</v>
      </c>
      <c r="BB328" s="0" t="n">
        <f aca="false">IF(Presupuesto!$B$34='Flujo de Pagos'!$E328,34,9999)</f>
        <v>34</v>
      </c>
      <c r="BC328" s="0" t="n">
        <f aca="false">IF(Presupuesto!$B$35='Flujo de Pagos'!$E328,35,9999)</f>
        <v>35</v>
      </c>
      <c r="BD328" s="0" t="n">
        <f aca="false">IF(Presupuesto!$B$36='Flujo de Pagos'!$E328,36,9999)</f>
        <v>36</v>
      </c>
      <c r="BE328" s="0" t="n">
        <f aca="false">IF(Presupuesto!$B$37='Flujo de Pagos'!$E328,37,9999)</f>
        <v>37</v>
      </c>
      <c r="BF328" s="0" t="n">
        <f aca="false">IF(Presupuesto!$B$38='Flujo de Pagos'!$E328,38,9999)</f>
        <v>38</v>
      </c>
      <c r="BG328" s="0" t="n">
        <f aca="false">IF(Presupuesto!$B$39='Flujo de Pagos'!$E328,39,9999)</f>
        <v>39</v>
      </c>
      <c r="BH328" s="0" t="n">
        <f aca="false">IF(Presupuesto!$B$40='Flujo de Pagos'!$E328,40,9999)</f>
        <v>40</v>
      </c>
      <c r="BI328" s="0" t="n">
        <f aca="false">IF(Presupuesto!$B$41='Flujo de Pagos'!$E328,41,9999)</f>
        <v>41</v>
      </c>
      <c r="BJ328" s="0" t="n">
        <f aca="false">IF(Presupuesto!$B$42='Flujo de Pagos'!$E328,42,9999)</f>
        <v>42</v>
      </c>
      <c r="BK328" s="0" t="n">
        <f aca="false">IF(Presupuesto!$B$43='Flujo de Pagos'!$E328,43,9999)</f>
        <v>43</v>
      </c>
      <c r="BL328" s="0" t="n">
        <f aca="false">IF(Presupuesto!$B$44='Flujo de Pagos'!$E328,44,9999)</f>
        <v>44</v>
      </c>
      <c r="BM328" s="0" t="n">
        <f aca="false">IF(Presupuesto!$B$45='Flujo de Pagos'!$E328,45,9999)</f>
        <v>45</v>
      </c>
      <c r="BN328" s="0" t="n">
        <f aca="false">IF(Presupuesto!$B$46='Flujo de Pagos'!$E328,46,9999)</f>
        <v>46</v>
      </c>
      <c r="BO328" s="0" t="n">
        <f aca="false">IF(Presupuesto!$B$47='Flujo de Pagos'!$E328,47,9999)</f>
        <v>47</v>
      </c>
      <c r="BP328" s="0" t="n">
        <f aca="false">IF(Presupuesto!$B$48='Flujo de Pagos'!$E328,48,9999)</f>
        <v>48</v>
      </c>
      <c r="BQ328" s="0" t="n">
        <f aca="false">IF(Presupuesto!$B$49='Flujo de Pagos'!$E328,49,9999)</f>
        <v>49</v>
      </c>
      <c r="BR328" s="0" t="n">
        <f aca="false">IF(Presupuesto!$B$50='Flujo de Pagos'!$E328,50,9999)</f>
        <v>50</v>
      </c>
      <c r="BS328" s="0" t="n">
        <f aca="false">IF(Presupuesto!$B$51='Flujo de Pagos'!$E328,51,9999)</f>
        <v>51</v>
      </c>
      <c r="BT328" s="0" t="n">
        <f aca="false">IF(Presupuesto!$B$52='Flujo de Pagos'!$E328,52,9999)</f>
        <v>52</v>
      </c>
      <c r="BU328" s="0" t="n">
        <f aca="false">IF(Presupuesto!$B$53='Flujo de Pagos'!$E328,53,9999)</f>
        <v>53</v>
      </c>
      <c r="BV328" s="0" t="n">
        <f aca="false">IF(Presupuesto!$B$54='Flujo de Pagos'!$E328,54,9999)</f>
        <v>54</v>
      </c>
      <c r="BW328" s="0" t="n">
        <f aca="false">IF(Presupuesto!$B$55='Flujo de Pagos'!$E328,55,9999)</f>
        <v>55</v>
      </c>
      <c r="BX328" s="0" t="n">
        <f aca="false">IF(Presupuesto!$B$56='Flujo de Pagos'!$E328,56,9999)</f>
        <v>56</v>
      </c>
      <c r="BY328" s="0" t="n">
        <f aca="false">IF(Presupuesto!$B$57='Flujo de Pagos'!$E328,57,9999)</f>
        <v>57</v>
      </c>
      <c r="BZ328" s="0" t="n">
        <f aca="false">IF(Presupuesto!$B$58='Flujo de Pagos'!$E328,58,9999)</f>
        <v>58</v>
      </c>
      <c r="CA328" s="0" t="n">
        <f aca="false">IF(Presupuesto!$B$59='Flujo de Pagos'!$E328,59,9999)</f>
        <v>59</v>
      </c>
      <c r="CB328" s="0" t="n">
        <f aca="false">IF(Presupuesto!$B$60='Flujo de Pagos'!$E328,60,9999)</f>
        <v>60</v>
      </c>
      <c r="CC328" s="0" t="n">
        <f aca="false">IF(Presupuesto!$B$61='Flujo de Pagos'!$E328,61,9999)</f>
        <v>61</v>
      </c>
      <c r="CD328" s="0" t="n">
        <f aca="false">IF(Presupuesto!$B$62='Flujo de Pagos'!$E328,62,9999)</f>
        <v>62</v>
      </c>
      <c r="CE328" s="0" t="n">
        <f aca="false">IF(Presupuesto!$B$63='Flujo de Pagos'!$E328,63,9999)</f>
        <v>63</v>
      </c>
      <c r="CF328" s="0" t="n">
        <f aca="false">IF(Presupuesto!$B$64='Flujo de Pagos'!$E328,64,9999)</f>
        <v>64</v>
      </c>
      <c r="CG328" s="0" t="n">
        <f aca="false">IF(Presupuesto!$B$65='Flujo de Pagos'!$E328,65,9999)</f>
        <v>65</v>
      </c>
      <c r="CH328" s="0" t="n">
        <f aca="false">IF(Presupuesto!$B$66='Flujo de Pagos'!$E328,66,9999)</f>
        <v>66</v>
      </c>
    </row>
    <row r="329" customFormat="false" ht="15" hidden="false" customHeight="true" outlineLevel="0" collapsed="false">
      <c r="B329" s="1" t="n">
        <f aca="false">IF(AND('Flujo de Pagos'!E334=Carátula!$B$2,'Flujo de Pagos'!F334=Carátula!$B$4,'Flujo de Pagos'!H334&lt;&gt;""),334,99999)</f>
        <v>99999</v>
      </c>
      <c r="H329" s="1" t="n">
        <f aca="false">IF(SMALL($AA329:$CH329,1)&gt;=9999,"",INDEX(Presupuesto!$C:$C,SMALL($AA329:$CH329,1)))</f>
        <v>0</v>
      </c>
      <c r="I329" s="1" t="n">
        <f aca="false">IF(SMALL($AA329:$CH329,2)&gt;=9999,"",INDEX(Presupuesto!$C:$C,SMALL($AA329:$CH329,2)))</f>
        <v>0</v>
      </c>
      <c r="J329" s="1" t="n">
        <f aca="false">IF(SMALL($AA329:$CH329,3)&gt;=9999,"",INDEX(Presupuesto!$C:$C,SMALL($AA329:$CH329,3)))</f>
        <v>0</v>
      </c>
      <c r="K329" s="1" t="n">
        <f aca="false">IF(SMALL($AA329:$CH329,4)&gt;=9999,"",INDEX(Presupuesto!$C:$C,SMALL($AA329:$CH329,4)))</f>
        <v>0</v>
      </c>
      <c r="L329" s="1" t="n">
        <f aca="false">IF(SMALL($AA329:$CH329,5)&gt;=9999,"",INDEX(Presupuesto!$C:$C,SMALL($AA329:$CH329,5)))</f>
        <v>0</v>
      </c>
      <c r="M329" s="1" t="n">
        <f aca="false">IF(SMALL($AA329:$CH329,6)&gt;=9999,"",INDEX(Presupuesto!$C:$C,SMALL($AA329:$CH329,6)))</f>
        <v>0</v>
      </c>
      <c r="N329" s="1" t="n">
        <f aca="false">IF(SMALL($AA329:$CH329,7)&gt;=9999,"",INDEX(Presupuesto!$C:$C,SMALL($AA329:$CH329,7)))</f>
        <v>0</v>
      </c>
      <c r="O329" s="1" t="n">
        <f aca="false">IF(SMALL($AA329:$CH329,8)&gt;=9999,"",INDEX(Presupuesto!$C:$C,SMALL($AA329:$CH329,8)))</f>
        <v>0</v>
      </c>
      <c r="P329" s="1" t="n">
        <f aca="false">IF(SMALL($AA329:$CH329,9)&gt;=9999,"",INDEX(Presupuesto!$C:$C,SMALL($AA329:$CH329,9)))</f>
        <v>0</v>
      </c>
      <c r="Q329" s="1" t="n">
        <f aca="false">IF(SMALL($AA329:$CH329,10)&gt;=9999,"",INDEX(Presupuesto!$C:$C,SMALL($AA329:$CH329,10)))</f>
        <v>0</v>
      </c>
      <c r="AA329" s="0" t="n">
        <f aca="false">IF(Presupuesto!$B$7='Flujo de Pagos'!$E329,7,9999)</f>
        <v>9999</v>
      </c>
      <c r="AB329" s="0" t="n">
        <f aca="false">IF(Presupuesto!$B$8='Flujo de Pagos'!$E329,8,9999)</f>
        <v>9999</v>
      </c>
      <c r="AC329" s="0" t="n">
        <f aca="false">IF(Presupuesto!$B$9='Flujo de Pagos'!$E329,9,9999)</f>
        <v>9999</v>
      </c>
      <c r="AD329" s="0" t="n">
        <f aca="false">IF(Presupuesto!$B$10='Flujo de Pagos'!$E329,10,9999)</f>
        <v>9999</v>
      </c>
      <c r="AE329" s="0" t="n">
        <f aca="false">IF(Presupuesto!$B$11='Flujo de Pagos'!$E329,11,9999)</f>
        <v>9999</v>
      </c>
      <c r="AF329" s="0" t="n">
        <f aca="false">IF(Presupuesto!$B$12='Flujo de Pagos'!$E329,12,9999)</f>
        <v>12</v>
      </c>
      <c r="AG329" s="0" t="n">
        <f aca="false">IF(Presupuesto!$B$13='Flujo de Pagos'!$E329,13,9999)</f>
        <v>13</v>
      </c>
      <c r="AH329" s="0" t="n">
        <f aca="false">IF(Presupuesto!$B$14='Flujo de Pagos'!$E329,14,9999)</f>
        <v>14</v>
      </c>
      <c r="AI329" s="0" t="n">
        <f aca="false">IF(Presupuesto!$B$15='Flujo de Pagos'!$E329,15,9999)</f>
        <v>15</v>
      </c>
      <c r="AJ329" s="0" t="n">
        <f aca="false">IF(Presupuesto!$B$16='Flujo de Pagos'!$E329,16,9999)</f>
        <v>16</v>
      </c>
      <c r="AK329" s="0" t="n">
        <f aca="false">IF(Presupuesto!$B$17='Flujo de Pagos'!$E329,17,9999)</f>
        <v>17</v>
      </c>
      <c r="AL329" s="0" t="n">
        <f aca="false">IF(Presupuesto!$B$18='Flujo de Pagos'!$E329,18,9999)</f>
        <v>18</v>
      </c>
      <c r="AM329" s="0" t="n">
        <f aca="false">IF(Presupuesto!$B$19='Flujo de Pagos'!$E329,19,9999)</f>
        <v>19</v>
      </c>
      <c r="AN329" s="0" t="n">
        <f aca="false">IF(Presupuesto!$B$20='Flujo de Pagos'!$E329,20,9999)</f>
        <v>20</v>
      </c>
      <c r="AO329" s="0" t="n">
        <f aca="false">IF(Presupuesto!$B$21='Flujo de Pagos'!$E329,21,9999)</f>
        <v>21</v>
      </c>
      <c r="AP329" s="0" t="n">
        <f aca="false">IF(Presupuesto!$B$22='Flujo de Pagos'!$E329,22,9999)</f>
        <v>22</v>
      </c>
      <c r="AQ329" s="0" t="n">
        <f aca="false">IF(Presupuesto!$B$23='Flujo de Pagos'!$E329,23,9999)</f>
        <v>23</v>
      </c>
      <c r="AR329" s="0" t="n">
        <f aca="false">IF(Presupuesto!$B$24='Flujo de Pagos'!$E329,24,9999)</f>
        <v>24</v>
      </c>
      <c r="AS329" s="0" t="n">
        <f aca="false">IF(Presupuesto!$B$25='Flujo de Pagos'!$E329,25,9999)</f>
        <v>25</v>
      </c>
      <c r="AT329" s="0" t="n">
        <f aca="false">IF(Presupuesto!$B$26='Flujo de Pagos'!$E329,26,9999)</f>
        <v>26</v>
      </c>
      <c r="AU329" s="0" t="n">
        <f aca="false">IF(Presupuesto!$B$27='Flujo de Pagos'!$E329,27,9999)</f>
        <v>27</v>
      </c>
      <c r="AV329" s="0" t="n">
        <f aca="false">IF(Presupuesto!$B$28='Flujo de Pagos'!$E329,28,9999)</f>
        <v>28</v>
      </c>
      <c r="AW329" s="0" t="n">
        <f aca="false">IF(Presupuesto!$B$29='Flujo de Pagos'!$E329,29,9999)</f>
        <v>29</v>
      </c>
      <c r="AX329" s="0" t="n">
        <f aca="false">IF(Presupuesto!$B$30='Flujo de Pagos'!$E329,30,9999)</f>
        <v>30</v>
      </c>
      <c r="AY329" s="0" t="n">
        <f aca="false">IF(Presupuesto!$B$31='Flujo de Pagos'!$E329,31,9999)</f>
        <v>31</v>
      </c>
      <c r="AZ329" s="0" t="n">
        <f aca="false">IF(Presupuesto!$B$32='Flujo de Pagos'!$E329,32,9999)</f>
        <v>32</v>
      </c>
      <c r="BA329" s="0" t="n">
        <f aca="false">IF(Presupuesto!$B$33='Flujo de Pagos'!$E329,33,9999)</f>
        <v>33</v>
      </c>
      <c r="BB329" s="0" t="n">
        <f aca="false">IF(Presupuesto!$B$34='Flujo de Pagos'!$E329,34,9999)</f>
        <v>34</v>
      </c>
      <c r="BC329" s="0" t="n">
        <f aca="false">IF(Presupuesto!$B$35='Flujo de Pagos'!$E329,35,9999)</f>
        <v>35</v>
      </c>
      <c r="BD329" s="0" t="n">
        <f aca="false">IF(Presupuesto!$B$36='Flujo de Pagos'!$E329,36,9999)</f>
        <v>36</v>
      </c>
      <c r="BE329" s="0" t="n">
        <f aca="false">IF(Presupuesto!$B$37='Flujo de Pagos'!$E329,37,9999)</f>
        <v>37</v>
      </c>
      <c r="BF329" s="0" t="n">
        <f aca="false">IF(Presupuesto!$B$38='Flujo de Pagos'!$E329,38,9999)</f>
        <v>38</v>
      </c>
      <c r="BG329" s="0" t="n">
        <f aca="false">IF(Presupuesto!$B$39='Flujo de Pagos'!$E329,39,9999)</f>
        <v>39</v>
      </c>
      <c r="BH329" s="0" t="n">
        <f aca="false">IF(Presupuesto!$B$40='Flujo de Pagos'!$E329,40,9999)</f>
        <v>40</v>
      </c>
      <c r="BI329" s="0" t="n">
        <f aca="false">IF(Presupuesto!$B$41='Flujo de Pagos'!$E329,41,9999)</f>
        <v>41</v>
      </c>
      <c r="BJ329" s="0" t="n">
        <f aca="false">IF(Presupuesto!$B$42='Flujo de Pagos'!$E329,42,9999)</f>
        <v>42</v>
      </c>
      <c r="BK329" s="0" t="n">
        <f aca="false">IF(Presupuesto!$B$43='Flujo de Pagos'!$E329,43,9999)</f>
        <v>43</v>
      </c>
      <c r="BL329" s="0" t="n">
        <f aca="false">IF(Presupuesto!$B$44='Flujo de Pagos'!$E329,44,9999)</f>
        <v>44</v>
      </c>
      <c r="BM329" s="0" t="n">
        <f aca="false">IF(Presupuesto!$B$45='Flujo de Pagos'!$E329,45,9999)</f>
        <v>45</v>
      </c>
      <c r="BN329" s="0" t="n">
        <f aca="false">IF(Presupuesto!$B$46='Flujo de Pagos'!$E329,46,9999)</f>
        <v>46</v>
      </c>
      <c r="BO329" s="0" t="n">
        <f aca="false">IF(Presupuesto!$B$47='Flujo de Pagos'!$E329,47,9999)</f>
        <v>47</v>
      </c>
      <c r="BP329" s="0" t="n">
        <f aca="false">IF(Presupuesto!$B$48='Flujo de Pagos'!$E329,48,9999)</f>
        <v>48</v>
      </c>
      <c r="BQ329" s="0" t="n">
        <f aca="false">IF(Presupuesto!$B$49='Flujo de Pagos'!$E329,49,9999)</f>
        <v>49</v>
      </c>
      <c r="BR329" s="0" t="n">
        <f aca="false">IF(Presupuesto!$B$50='Flujo de Pagos'!$E329,50,9999)</f>
        <v>50</v>
      </c>
      <c r="BS329" s="0" t="n">
        <f aca="false">IF(Presupuesto!$B$51='Flujo de Pagos'!$E329,51,9999)</f>
        <v>51</v>
      </c>
      <c r="BT329" s="0" t="n">
        <f aca="false">IF(Presupuesto!$B$52='Flujo de Pagos'!$E329,52,9999)</f>
        <v>52</v>
      </c>
      <c r="BU329" s="0" t="n">
        <f aca="false">IF(Presupuesto!$B$53='Flujo de Pagos'!$E329,53,9999)</f>
        <v>53</v>
      </c>
      <c r="BV329" s="0" t="n">
        <f aca="false">IF(Presupuesto!$B$54='Flujo de Pagos'!$E329,54,9999)</f>
        <v>54</v>
      </c>
      <c r="BW329" s="0" t="n">
        <f aca="false">IF(Presupuesto!$B$55='Flujo de Pagos'!$E329,55,9999)</f>
        <v>55</v>
      </c>
      <c r="BX329" s="0" t="n">
        <f aca="false">IF(Presupuesto!$B$56='Flujo de Pagos'!$E329,56,9999)</f>
        <v>56</v>
      </c>
      <c r="BY329" s="0" t="n">
        <f aca="false">IF(Presupuesto!$B$57='Flujo de Pagos'!$E329,57,9999)</f>
        <v>57</v>
      </c>
      <c r="BZ329" s="0" t="n">
        <f aca="false">IF(Presupuesto!$B$58='Flujo de Pagos'!$E329,58,9999)</f>
        <v>58</v>
      </c>
      <c r="CA329" s="0" t="n">
        <f aca="false">IF(Presupuesto!$B$59='Flujo de Pagos'!$E329,59,9999)</f>
        <v>59</v>
      </c>
      <c r="CB329" s="0" t="n">
        <f aca="false">IF(Presupuesto!$B$60='Flujo de Pagos'!$E329,60,9999)</f>
        <v>60</v>
      </c>
      <c r="CC329" s="0" t="n">
        <f aca="false">IF(Presupuesto!$B$61='Flujo de Pagos'!$E329,61,9999)</f>
        <v>61</v>
      </c>
      <c r="CD329" s="0" t="n">
        <f aca="false">IF(Presupuesto!$B$62='Flujo de Pagos'!$E329,62,9999)</f>
        <v>62</v>
      </c>
      <c r="CE329" s="0" t="n">
        <f aca="false">IF(Presupuesto!$B$63='Flujo de Pagos'!$E329,63,9999)</f>
        <v>63</v>
      </c>
      <c r="CF329" s="0" t="n">
        <f aca="false">IF(Presupuesto!$B$64='Flujo de Pagos'!$E329,64,9999)</f>
        <v>64</v>
      </c>
      <c r="CG329" s="0" t="n">
        <f aca="false">IF(Presupuesto!$B$65='Flujo de Pagos'!$E329,65,9999)</f>
        <v>65</v>
      </c>
      <c r="CH329" s="0" t="n">
        <f aca="false">IF(Presupuesto!$B$66='Flujo de Pagos'!$E329,66,9999)</f>
        <v>66</v>
      </c>
    </row>
    <row r="330" customFormat="false" ht="15" hidden="false" customHeight="true" outlineLevel="0" collapsed="false">
      <c r="B330" s="1" t="n">
        <f aca="false">IF(AND('Flujo de Pagos'!E335=Carátula!$B$2,'Flujo de Pagos'!F335=Carátula!$B$4,'Flujo de Pagos'!H335&lt;&gt;""),335,99999)</f>
        <v>99999</v>
      </c>
      <c r="H330" s="1" t="n">
        <f aca="false">IF(SMALL($AA330:$CH330,1)&gt;=9999,"",INDEX(Presupuesto!$C:$C,SMALL($AA330:$CH330,1)))</f>
        <v>0</v>
      </c>
      <c r="I330" s="1" t="n">
        <f aca="false">IF(SMALL($AA330:$CH330,2)&gt;=9999,"",INDEX(Presupuesto!$C:$C,SMALL($AA330:$CH330,2)))</f>
        <v>0</v>
      </c>
      <c r="J330" s="1" t="n">
        <f aca="false">IF(SMALL($AA330:$CH330,3)&gt;=9999,"",INDEX(Presupuesto!$C:$C,SMALL($AA330:$CH330,3)))</f>
        <v>0</v>
      </c>
      <c r="K330" s="1" t="n">
        <f aca="false">IF(SMALL($AA330:$CH330,4)&gt;=9999,"",INDEX(Presupuesto!$C:$C,SMALL($AA330:$CH330,4)))</f>
        <v>0</v>
      </c>
      <c r="L330" s="1" t="n">
        <f aca="false">IF(SMALL($AA330:$CH330,5)&gt;=9999,"",INDEX(Presupuesto!$C:$C,SMALL($AA330:$CH330,5)))</f>
        <v>0</v>
      </c>
      <c r="M330" s="1" t="n">
        <f aca="false">IF(SMALL($AA330:$CH330,6)&gt;=9999,"",INDEX(Presupuesto!$C:$C,SMALL($AA330:$CH330,6)))</f>
        <v>0</v>
      </c>
      <c r="N330" s="1" t="n">
        <f aca="false">IF(SMALL($AA330:$CH330,7)&gt;=9999,"",INDEX(Presupuesto!$C:$C,SMALL($AA330:$CH330,7)))</f>
        <v>0</v>
      </c>
      <c r="O330" s="1" t="n">
        <f aca="false">IF(SMALL($AA330:$CH330,8)&gt;=9999,"",INDEX(Presupuesto!$C:$C,SMALL($AA330:$CH330,8)))</f>
        <v>0</v>
      </c>
      <c r="P330" s="1" t="n">
        <f aca="false">IF(SMALL($AA330:$CH330,9)&gt;=9999,"",INDEX(Presupuesto!$C:$C,SMALL($AA330:$CH330,9)))</f>
        <v>0</v>
      </c>
      <c r="Q330" s="1" t="n">
        <f aca="false">IF(SMALL($AA330:$CH330,10)&gt;=9999,"",INDEX(Presupuesto!$C:$C,SMALL($AA330:$CH330,10)))</f>
        <v>0</v>
      </c>
      <c r="AA330" s="0" t="n">
        <f aca="false">IF(Presupuesto!$B$7='Flujo de Pagos'!$E330,7,9999)</f>
        <v>9999</v>
      </c>
      <c r="AB330" s="0" t="n">
        <f aca="false">IF(Presupuesto!$B$8='Flujo de Pagos'!$E330,8,9999)</f>
        <v>9999</v>
      </c>
      <c r="AC330" s="0" t="n">
        <f aca="false">IF(Presupuesto!$B$9='Flujo de Pagos'!$E330,9,9999)</f>
        <v>9999</v>
      </c>
      <c r="AD330" s="0" t="n">
        <f aca="false">IF(Presupuesto!$B$10='Flujo de Pagos'!$E330,10,9999)</f>
        <v>9999</v>
      </c>
      <c r="AE330" s="0" t="n">
        <f aca="false">IF(Presupuesto!$B$11='Flujo de Pagos'!$E330,11,9999)</f>
        <v>9999</v>
      </c>
      <c r="AF330" s="0" t="n">
        <f aca="false">IF(Presupuesto!$B$12='Flujo de Pagos'!$E330,12,9999)</f>
        <v>12</v>
      </c>
      <c r="AG330" s="0" t="n">
        <f aca="false">IF(Presupuesto!$B$13='Flujo de Pagos'!$E330,13,9999)</f>
        <v>13</v>
      </c>
      <c r="AH330" s="0" t="n">
        <f aca="false">IF(Presupuesto!$B$14='Flujo de Pagos'!$E330,14,9999)</f>
        <v>14</v>
      </c>
      <c r="AI330" s="0" t="n">
        <f aca="false">IF(Presupuesto!$B$15='Flujo de Pagos'!$E330,15,9999)</f>
        <v>15</v>
      </c>
      <c r="AJ330" s="0" t="n">
        <f aca="false">IF(Presupuesto!$B$16='Flujo de Pagos'!$E330,16,9999)</f>
        <v>16</v>
      </c>
      <c r="AK330" s="0" t="n">
        <f aca="false">IF(Presupuesto!$B$17='Flujo de Pagos'!$E330,17,9999)</f>
        <v>17</v>
      </c>
      <c r="AL330" s="0" t="n">
        <f aca="false">IF(Presupuesto!$B$18='Flujo de Pagos'!$E330,18,9999)</f>
        <v>18</v>
      </c>
      <c r="AM330" s="0" t="n">
        <f aca="false">IF(Presupuesto!$B$19='Flujo de Pagos'!$E330,19,9999)</f>
        <v>19</v>
      </c>
      <c r="AN330" s="0" t="n">
        <f aca="false">IF(Presupuesto!$B$20='Flujo de Pagos'!$E330,20,9999)</f>
        <v>20</v>
      </c>
      <c r="AO330" s="0" t="n">
        <f aca="false">IF(Presupuesto!$B$21='Flujo de Pagos'!$E330,21,9999)</f>
        <v>21</v>
      </c>
      <c r="AP330" s="0" t="n">
        <f aca="false">IF(Presupuesto!$B$22='Flujo de Pagos'!$E330,22,9999)</f>
        <v>22</v>
      </c>
      <c r="AQ330" s="0" t="n">
        <f aca="false">IF(Presupuesto!$B$23='Flujo de Pagos'!$E330,23,9999)</f>
        <v>23</v>
      </c>
      <c r="AR330" s="0" t="n">
        <f aca="false">IF(Presupuesto!$B$24='Flujo de Pagos'!$E330,24,9999)</f>
        <v>24</v>
      </c>
      <c r="AS330" s="0" t="n">
        <f aca="false">IF(Presupuesto!$B$25='Flujo de Pagos'!$E330,25,9999)</f>
        <v>25</v>
      </c>
      <c r="AT330" s="0" t="n">
        <f aca="false">IF(Presupuesto!$B$26='Flujo de Pagos'!$E330,26,9999)</f>
        <v>26</v>
      </c>
      <c r="AU330" s="0" t="n">
        <f aca="false">IF(Presupuesto!$B$27='Flujo de Pagos'!$E330,27,9999)</f>
        <v>27</v>
      </c>
      <c r="AV330" s="0" t="n">
        <f aca="false">IF(Presupuesto!$B$28='Flujo de Pagos'!$E330,28,9999)</f>
        <v>28</v>
      </c>
      <c r="AW330" s="0" t="n">
        <f aca="false">IF(Presupuesto!$B$29='Flujo de Pagos'!$E330,29,9999)</f>
        <v>29</v>
      </c>
      <c r="AX330" s="0" t="n">
        <f aca="false">IF(Presupuesto!$B$30='Flujo de Pagos'!$E330,30,9999)</f>
        <v>30</v>
      </c>
      <c r="AY330" s="0" t="n">
        <f aca="false">IF(Presupuesto!$B$31='Flujo de Pagos'!$E330,31,9999)</f>
        <v>31</v>
      </c>
      <c r="AZ330" s="0" t="n">
        <f aca="false">IF(Presupuesto!$B$32='Flujo de Pagos'!$E330,32,9999)</f>
        <v>32</v>
      </c>
      <c r="BA330" s="0" t="n">
        <f aca="false">IF(Presupuesto!$B$33='Flujo de Pagos'!$E330,33,9999)</f>
        <v>33</v>
      </c>
      <c r="BB330" s="0" t="n">
        <f aca="false">IF(Presupuesto!$B$34='Flujo de Pagos'!$E330,34,9999)</f>
        <v>34</v>
      </c>
      <c r="BC330" s="0" t="n">
        <f aca="false">IF(Presupuesto!$B$35='Flujo de Pagos'!$E330,35,9999)</f>
        <v>35</v>
      </c>
      <c r="BD330" s="0" t="n">
        <f aca="false">IF(Presupuesto!$B$36='Flujo de Pagos'!$E330,36,9999)</f>
        <v>36</v>
      </c>
      <c r="BE330" s="0" t="n">
        <f aca="false">IF(Presupuesto!$B$37='Flujo de Pagos'!$E330,37,9999)</f>
        <v>37</v>
      </c>
      <c r="BF330" s="0" t="n">
        <f aca="false">IF(Presupuesto!$B$38='Flujo de Pagos'!$E330,38,9999)</f>
        <v>38</v>
      </c>
      <c r="BG330" s="0" t="n">
        <f aca="false">IF(Presupuesto!$B$39='Flujo de Pagos'!$E330,39,9999)</f>
        <v>39</v>
      </c>
      <c r="BH330" s="0" t="n">
        <f aca="false">IF(Presupuesto!$B$40='Flujo de Pagos'!$E330,40,9999)</f>
        <v>40</v>
      </c>
      <c r="BI330" s="0" t="n">
        <f aca="false">IF(Presupuesto!$B$41='Flujo de Pagos'!$E330,41,9999)</f>
        <v>41</v>
      </c>
      <c r="BJ330" s="0" t="n">
        <f aca="false">IF(Presupuesto!$B$42='Flujo de Pagos'!$E330,42,9999)</f>
        <v>42</v>
      </c>
      <c r="BK330" s="0" t="n">
        <f aca="false">IF(Presupuesto!$B$43='Flujo de Pagos'!$E330,43,9999)</f>
        <v>43</v>
      </c>
      <c r="BL330" s="0" t="n">
        <f aca="false">IF(Presupuesto!$B$44='Flujo de Pagos'!$E330,44,9999)</f>
        <v>44</v>
      </c>
      <c r="BM330" s="0" t="n">
        <f aca="false">IF(Presupuesto!$B$45='Flujo de Pagos'!$E330,45,9999)</f>
        <v>45</v>
      </c>
      <c r="BN330" s="0" t="n">
        <f aca="false">IF(Presupuesto!$B$46='Flujo de Pagos'!$E330,46,9999)</f>
        <v>46</v>
      </c>
      <c r="BO330" s="0" t="n">
        <f aca="false">IF(Presupuesto!$B$47='Flujo de Pagos'!$E330,47,9999)</f>
        <v>47</v>
      </c>
      <c r="BP330" s="0" t="n">
        <f aca="false">IF(Presupuesto!$B$48='Flujo de Pagos'!$E330,48,9999)</f>
        <v>48</v>
      </c>
      <c r="BQ330" s="0" t="n">
        <f aca="false">IF(Presupuesto!$B$49='Flujo de Pagos'!$E330,49,9999)</f>
        <v>49</v>
      </c>
      <c r="BR330" s="0" t="n">
        <f aca="false">IF(Presupuesto!$B$50='Flujo de Pagos'!$E330,50,9999)</f>
        <v>50</v>
      </c>
      <c r="BS330" s="0" t="n">
        <f aca="false">IF(Presupuesto!$B$51='Flujo de Pagos'!$E330,51,9999)</f>
        <v>51</v>
      </c>
      <c r="BT330" s="0" t="n">
        <f aca="false">IF(Presupuesto!$B$52='Flujo de Pagos'!$E330,52,9999)</f>
        <v>52</v>
      </c>
      <c r="BU330" s="0" t="n">
        <f aca="false">IF(Presupuesto!$B$53='Flujo de Pagos'!$E330,53,9999)</f>
        <v>53</v>
      </c>
      <c r="BV330" s="0" t="n">
        <f aca="false">IF(Presupuesto!$B$54='Flujo de Pagos'!$E330,54,9999)</f>
        <v>54</v>
      </c>
      <c r="BW330" s="0" t="n">
        <f aca="false">IF(Presupuesto!$B$55='Flujo de Pagos'!$E330,55,9999)</f>
        <v>55</v>
      </c>
      <c r="BX330" s="0" t="n">
        <f aca="false">IF(Presupuesto!$B$56='Flujo de Pagos'!$E330,56,9999)</f>
        <v>56</v>
      </c>
      <c r="BY330" s="0" t="n">
        <f aca="false">IF(Presupuesto!$B$57='Flujo de Pagos'!$E330,57,9999)</f>
        <v>57</v>
      </c>
      <c r="BZ330" s="0" t="n">
        <f aca="false">IF(Presupuesto!$B$58='Flujo de Pagos'!$E330,58,9999)</f>
        <v>58</v>
      </c>
      <c r="CA330" s="0" t="n">
        <f aca="false">IF(Presupuesto!$B$59='Flujo de Pagos'!$E330,59,9999)</f>
        <v>59</v>
      </c>
      <c r="CB330" s="0" t="n">
        <f aca="false">IF(Presupuesto!$B$60='Flujo de Pagos'!$E330,60,9999)</f>
        <v>60</v>
      </c>
      <c r="CC330" s="0" t="n">
        <f aca="false">IF(Presupuesto!$B$61='Flujo de Pagos'!$E330,61,9999)</f>
        <v>61</v>
      </c>
      <c r="CD330" s="0" t="n">
        <f aca="false">IF(Presupuesto!$B$62='Flujo de Pagos'!$E330,62,9999)</f>
        <v>62</v>
      </c>
      <c r="CE330" s="0" t="n">
        <f aca="false">IF(Presupuesto!$B$63='Flujo de Pagos'!$E330,63,9999)</f>
        <v>63</v>
      </c>
      <c r="CF330" s="0" t="n">
        <f aca="false">IF(Presupuesto!$B$64='Flujo de Pagos'!$E330,64,9999)</f>
        <v>64</v>
      </c>
      <c r="CG330" s="0" t="n">
        <f aca="false">IF(Presupuesto!$B$65='Flujo de Pagos'!$E330,65,9999)</f>
        <v>65</v>
      </c>
      <c r="CH330" s="0" t="n">
        <f aca="false">IF(Presupuesto!$B$66='Flujo de Pagos'!$E330,66,9999)</f>
        <v>66</v>
      </c>
    </row>
    <row r="331" customFormat="false" ht="15" hidden="false" customHeight="true" outlineLevel="0" collapsed="false">
      <c r="B331" s="1" t="n">
        <f aca="false">IF(AND('Flujo de Pagos'!E336=Carátula!$B$2,'Flujo de Pagos'!F336=Carátula!$B$4,'Flujo de Pagos'!H336&lt;&gt;""),336,99999)</f>
        <v>99999</v>
      </c>
      <c r="H331" s="1" t="n">
        <f aca="false">IF(SMALL($AA331:$CH331,1)&gt;=9999,"",INDEX(Presupuesto!$C:$C,SMALL($AA331:$CH331,1)))</f>
        <v>0</v>
      </c>
      <c r="I331" s="1" t="n">
        <f aca="false">IF(SMALL($AA331:$CH331,2)&gt;=9999,"",INDEX(Presupuesto!$C:$C,SMALL($AA331:$CH331,2)))</f>
        <v>0</v>
      </c>
      <c r="J331" s="1" t="n">
        <f aca="false">IF(SMALL($AA331:$CH331,3)&gt;=9999,"",INDEX(Presupuesto!$C:$C,SMALL($AA331:$CH331,3)))</f>
        <v>0</v>
      </c>
      <c r="K331" s="1" t="n">
        <f aca="false">IF(SMALL($AA331:$CH331,4)&gt;=9999,"",INDEX(Presupuesto!$C:$C,SMALL($AA331:$CH331,4)))</f>
        <v>0</v>
      </c>
      <c r="L331" s="1" t="n">
        <f aca="false">IF(SMALL($AA331:$CH331,5)&gt;=9999,"",INDEX(Presupuesto!$C:$C,SMALL($AA331:$CH331,5)))</f>
        <v>0</v>
      </c>
      <c r="M331" s="1" t="n">
        <f aca="false">IF(SMALL($AA331:$CH331,6)&gt;=9999,"",INDEX(Presupuesto!$C:$C,SMALL($AA331:$CH331,6)))</f>
        <v>0</v>
      </c>
      <c r="N331" s="1" t="n">
        <f aca="false">IF(SMALL($AA331:$CH331,7)&gt;=9999,"",INDEX(Presupuesto!$C:$C,SMALL($AA331:$CH331,7)))</f>
        <v>0</v>
      </c>
      <c r="O331" s="1" t="n">
        <f aca="false">IF(SMALL($AA331:$CH331,8)&gt;=9999,"",INDEX(Presupuesto!$C:$C,SMALL($AA331:$CH331,8)))</f>
        <v>0</v>
      </c>
      <c r="P331" s="1" t="n">
        <f aca="false">IF(SMALL($AA331:$CH331,9)&gt;=9999,"",INDEX(Presupuesto!$C:$C,SMALL($AA331:$CH331,9)))</f>
        <v>0</v>
      </c>
      <c r="Q331" s="1" t="n">
        <f aca="false">IF(SMALL($AA331:$CH331,10)&gt;=9999,"",INDEX(Presupuesto!$C:$C,SMALL($AA331:$CH331,10)))</f>
        <v>0</v>
      </c>
      <c r="AA331" s="0" t="n">
        <f aca="false">IF(Presupuesto!$B$7='Flujo de Pagos'!$E331,7,9999)</f>
        <v>9999</v>
      </c>
      <c r="AB331" s="0" t="n">
        <f aca="false">IF(Presupuesto!$B$8='Flujo de Pagos'!$E331,8,9999)</f>
        <v>9999</v>
      </c>
      <c r="AC331" s="0" t="n">
        <f aca="false">IF(Presupuesto!$B$9='Flujo de Pagos'!$E331,9,9999)</f>
        <v>9999</v>
      </c>
      <c r="AD331" s="0" t="n">
        <f aca="false">IF(Presupuesto!$B$10='Flujo de Pagos'!$E331,10,9999)</f>
        <v>9999</v>
      </c>
      <c r="AE331" s="0" t="n">
        <f aca="false">IF(Presupuesto!$B$11='Flujo de Pagos'!$E331,11,9999)</f>
        <v>9999</v>
      </c>
      <c r="AF331" s="0" t="n">
        <f aca="false">IF(Presupuesto!$B$12='Flujo de Pagos'!$E331,12,9999)</f>
        <v>12</v>
      </c>
      <c r="AG331" s="0" t="n">
        <f aca="false">IF(Presupuesto!$B$13='Flujo de Pagos'!$E331,13,9999)</f>
        <v>13</v>
      </c>
      <c r="AH331" s="0" t="n">
        <f aca="false">IF(Presupuesto!$B$14='Flujo de Pagos'!$E331,14,9999)</f>
        <v>14</v>
      </c>
      <c r="AI331" s="0" t="n">
        <f aca="false">IF(Presupuesto!$B$15='Flujo de Pagos'!$E331,15,9999)</f>
        <v>15</v>
      </c>
      <c r="AJ331" s="0" t="n">
        <f aca="false">IF(Presupuesto!$B$16='Flujo de Pagos'!$E331,16,9999)</f>
        <v>16</v>
      </c>
      <c r="AK331" s="0" t="n">
        <f aca="false">IF(Presupuesto!$B$17='Flujo de Pagos'!$E331,17,9999)</f>
        <v>17</v>
      </c>
      <c r="AL331" s="0" t="n">
        <f aca="false">IF(Presupuesto!$B$18='Flujo de Pagos'!$E331,18,9999)</f>
        <v>18</v>
      </c>
      <c r="AM331" s="0" t="n">
        <f aca="false">IF(Presupuesto!$B$19='Flujo de Pagos'!$E331,19,9999)</f>
        <v>19</v>
      </c>
      <c r="AN331" s="0" t="n">
        <f aca="false">IF(Presupuesto!$B$20='Flujo de Pagos'!$E331,20,9999)</f>
        <v>20</v>
      </c>
      <c r="AO331" s="0" t="n">
        <f aca="false">IF(Presupuesto!$B$21='Flujo de Pagos'!$E331,21,9999)</f>
        <v>21</v>
      </c>
      <c r="AP331" s="0" t="n">
        <f aca="false">IF(Presupuesto!$B$22='Flujo de Pagos'!$E331,22,9999)</f>
        <v>22</v>
      </c>
      <c r="AQ331" s="0" t="n">
        <f aca="false">IF(Presupuesto!$B$23='Flujo de Pagos'!$E331,23,9999)</f>
        <v>23</v>
      </c>
      <c r="AR331" s="0" t="n">
        <f aca="false">IF(Presupuesto!$B$24='Flujo de Pagos'!$E331,24,9999)</f>
        <v>24</v>
      </c>
      <c r="AS331" s="0" t="n">
        <f aca="false">IF(Presupuesto!$B$25='Flujo de Pagos'!$E331,25,9999)</f>
        <v>25</v>
      </c>
      <c r="AT331" s="0" t="n">
        <f aca="false">IF(Presupuesto!$B$26='Flujo de Pagos'!$E331,26,9999)</f>
        <v>26</v>
      </c>
      <c r="AU331" s="0" t="n">
        <f aca="false">IF(Presupuesto!$B$27='Flujo de Pagos'!$E331,27,9999)</f>
        <v>27</v>
      </c>
      <c r="AV331" s="0" t="n">
        <f aca="false">IF(Presupuesto!$B$28='Flujo de Pagos'!$E331,28,9999)</f>
        <v>28</v>
      </c>
      <c r="AW331" s="0" t="n">
        <f aca="false">IF(Presupuesto!$B$29='Flujo de Pagos'!$E331,29,9999)</f>
        <v>29</v>
      </c>
      <c r="AX331" s="0" t="n">
        <f aca="false">IF(Presupuesto!$B$30='Flujo de Pagos'!$E331,30,9999)</f>
        <v>30</v>
      </c>
      <c r="AY331" s="0" t="n">
        <f aca="false">IF(Presupuesto!$B$31='Flujo de Pagos'!$E331,31,9999)</f>
        <v>31</v>
      </c>
      <c r="AZ331" s="0" t="n">
        <f aca="false">IF(Presupuesto!$B$32='Flujo de Pagos'!$E331,32,9999)</f>
        <v>32</v>
      </c>
      <c r="BA331" s="0" t="n">
        <f aca="false">IF(Presupuesto!$B$33='Flujo de Pagos'!$E331,33,9999)</f>
        <v>33</v>
      </c>
      <c r="BB331" s="0" t="n">
        <f aca="false">IF(Presupuesto!$B$34='Flujo de Pagos'!$E331,34,9999)</f>
        <v>34</v>
      </c>
      <c r="BC331" s="0" t="n">
        <f aca="false">IF(Presupuesto!$B$35='Flujo de Pagos'!$E331,35,9999)</f>
        <v>35</v>
      </c>
      <c r="BD331" s="0" t="n">
        <f aca="false">IF(Presupuesto!$B$36='Flujo de Pagos'!$E331,36,9999)</f>
        <v>36</v>
      </c>
      <c r="BE331" s="0" t="n">
        <f aca="false">IF(Presupuesto!$B$37='Flujo de Pagos'!$E331,37,9999)</f>
        <v>37</v>
      </c>
      <c r="BF331" s="0" t="n">
        <f aca="false">IF(Presupuesto!$B$38='Flujo de Pagos'!$E331,38,9999)</f>
        <v>38</v>
      </c>
      <c r="BG331" s="0" t="n">
        <f aca="false">IF(Presupuesto!$B$39='Flujo de Pagos'!$E331,39,9999)</f>
        <v>39</v>
      </c>
      <c r="BH331" s="0" t="n">
        <f aca="false">IF(Presupuesto!$B$40='Flujo de Pagos'!$E331,40,9999)</f>
        <v>40</v>
      </c>
      <c r="BI331" s="0" t="n">
        <f aca="false">IF(Presupuesto!$B$41='Flujo de Pagos'!$E331,41,9999)</f>
        <v>41</v>
      </c>
      <c r="BJ331" s="0" t="n">
        <f aca="false">IF(Presupuesto!$B$42='Flujo de Pagos'!$E331,42,9999)</f>
        <v>42</v>
      </c>
      <c r="BK331" s="0" t="n">
        <f aca="false">IF(Presupuesto!$B$43='Flujo de Pagos'!$E331,43,9999)</f>
        <v>43</v>
      </c>
      <c r="BL331" s="0" t="n">
        <f aca="false">IF(Presupuesto!$B$44='Flujo de Pagos'!$E331,44,9999)</f>
        <v>44</v>
      </c>
      <c r="BM331" s="0" t="n">
        <f aca="false">IF(Presupuesto!$B$45='Flujo de Pagos'!$E331,45,9999)</f>
        <v>45</v>
      </c>
      <c r="BN331" s="0" t="n">
        <f aca="false">IF(Presupuesto!$B$46='Flujo de Pagos'!$E331,46,9999)</f>
        <v>46</v>
      </c>
      <c r="BO331" s="0" t="n">
        <f aca="false">IF(Presupuesto!$B$47='Flujo de Pagos'!$E331,47,9999)</f>
        <v>47</v>
      </c>
      <c r="BP331" s="0" t="n">
        <f aca="false">IF(Presupuesto!$B$48='Flujo de Pagos'!$E331,48,9999)</f>
        <v>48</v>
      </c>
      <c r="BQ331" s="0" t="n">
        <f aca="false">IF(Presupuesto!$B$49='Flujo de Pagos'!$E331,49,9999)</f>
        <v>49</v>
      </c>
      <c r="BR331" s="0" t="n">
        <f aca="false">IF(Presupuesto!$B$50='Flujo de Pagos'!$E331,50,9999)</f>
        <v>50</v>
      </c>
      <c r="BS331" s="0" t="n">
        <f aca="false">IF(Presupuesto!$B$51='Flujo de Pagos'!$E331,51,9999)</f>
        <v>51</v>
      </c>
      <c r="BT331" s="0" t="n">
        <f aca="false">IF(Presupuesto!$B$52='Flujo de Pagos'!$E331,52,9999)</f>
        <v>52</v>
      </c>
      <c r="BU331" s="0" t="n">
        <f aca="false">IF(Presupuesto!$B$53='Flujo de Pagos'!$E331,53,9999)</f>
        <v>53</v>
      </c>
      <c r="BV331" s="0" t="n">
        <f aca="false">IF(Presupuesto!$B$54='Flujo de Pagos'!$E331,54,9999)</f>
        <v>54</v>
      </c>
      <c r="BW331" s="0" t="n">
        <f aca="false">IF(Presupuesto!$B$55='Flujo de Pagos'!$E331,55,9999)</f>
        <v>55</v>
      </c>
      <c r="BX331" s="0" t="n">
        <f aca="false">IF(Presupuesto!$B$56='Flujo de Pagos'!$E331,56,9999)</f>
        <v>56</v>
      </c>
      <c r="BY331" s="0" t="n">
        <f aca="false">IF(Presupuesto!$B$57='Flujo de Pagos'!$E331,57,9999)</f>
        <v>57</v>
      </c>
      <c r="BZ331" s="0" t="n">
        <f aca="false">IF(Presupuesto!$B$58='Flujo de Pagos'!$E331,58,9999)</f>
        <v>58</v>
      </c>
      <c r="CA331" s="0" t="n">
        <f aca="false">IF(Presupuesto!$B$59='Flujo de Pagos'!$E331,59,9999)</f>
        <v>59</v>
      </c>
      <c r="CB331" s="0" t="n">
        <f aca="false">IF(Presupuesto!$B$60='Flujo de Pagos'!$E331,60,9999)</f>
        <v>60</v>
      </c>
      <c r="CC331" s="0" t="n">
        <f aca="false">IF(Presupuesto!$B$61='Flujo de Pagos'!$E331,61,9999)</f>
        <v>61</v>
      </c>
      <c r="CD331" s="0" t="n">
        <f aca="false">IF(Presupuesto!$B$62='Flujo de Pagos'!$E331,62,9999)</f>
        <v>62</v>
      </c>
      <c r="CE331" s="0" t="n">
        <f aca="false">IF(Presupuesto!$B$63='Flujo de Pagos'!$E331,63,9999)</f>
        <v>63</v>
      </c>
      <c r="CF331" s="0" t="n">
        <f aca="false">IF(Presupuesto!$B$64='Flujo de Pagos'!$E331,64,9999)</f>
        <v>64</v>
      </c>
      <c r="CG331" s="0" t="n">
        <f aca="false">IF(Presupuesto!$B$65='Flujo de Pagos'!$E331,65,9999)</f>
        <v>65</v>
      </c>
      <c r="CH331" s="0" t="n">
        <f aca="false">IF(Presupuesto!$B$66='Flujo de Pagos'!$E331,66,9999)</f>
        <v>66</v>
      </c>
    </row>
    <row r="332" customFormat="false" ht="15" hidden="false" customHeight="true" outlineLevel="0" collapsed="false">
      <c r="B332" s="1" t="n">
        <f aca="false">IF(AND('Flujo de Pagos'!E337=Carátula!$B$2,'Flujo de Pagos'!F337=Carátula!$B$4,'Flujo de Pagos'!H337&lt;&gt;""),337,99999)</f>
        <v>99999</v>
      </c>
      <c r="H332" s="1" t="n">
        <f aca="false">IF(SMALL($AA332:$CH332,1)&gt;=9999,"",INDEX(Presupuesto!$C:$C,SMALL($AA332:$CH332,1)))</f>
        <v>0</v>
      </c>
      <c r="I332" s="1" t="n">
        <f aca="false">IF(SMALL($AA332:$CH332,2)&gt;=9999,"",INDEX(Presupuesto!$C:$C,SMALL($AA332:$CH332,2)))</f>
        <v>0</v>
      </c>
      <c r="J332" s="1" t="n">
        <f aca="false">IF(SMALL($AA332:$CH332,3)&gt;=9999,"",INDEX(Presupuesto!$C:$C,SMALL($AA332:$CH332,3)))</f>
        <v>0</v>
      </c>
      <c r="K332" s="1" t="n">
        <f aca="false">IF(SMALL($AA332:$CH332,4)&gt;=9999,"",INDEX(Presupuesto!$C:$C,SMALL($AA332:$CH332,4)))</f>
        <v>0</v>
      </c>
      <c r="L332" s="1" t="n">
        <f aca="false">IF(SMALL($AA332:$CH332,5)&gt;=9999,"",INDEX(Presupuesto!$C:$C,SMALL($AA332:$CH332,5)))</f>
        <v>0</v>
      </c>
      <c r="M332" s="1" t="n">
        <f aca="false">IF(SMALL($AA332:$CH332,6)&gt;=9999,"",INDEX(Presupuesto!$C:$C,SMALL($AA332:$CH332,6)))</f>
        <v>0</v>
      </c>
      <c r="N332" s="1" t="n">
        <f aca="false">IF(SMALL($AA332:$CH332,7)&gt;=9999,"",INDEX(Presupuesto!$C:$C,SMALL($AA332:$CH332,7)))</f>
        <v>0</v>
      </c>
      <c r="O332" s="1" t="n">
        <f aca="false">IF(SMALL($AA332:$CH332,8)&gt;=9999,"",INDEX(Presupuesto!$C:$C,SMALL($AA332:$CH332,8)))</f>
        <v>0</v>
      </c>
      <c r="P332" s="1" t="n">
        <f aca="false">IF(SMALL($AA332:$CH332,9)&gt;=9999,"",INDEX(Presupuesto!$C:$C,SMALL($AA332:$CH332,9)))</f>
        <v>0</v>
      </c>
      <c r="Q332" s="1" t="n">
        <f aca="false">IF(SMALL($AA332:$CH332,10)&gt;=9999,"",INDEX(Presupuesto!$C:$C,SMALL($AA332:$CH332,10)))</f>
        <v>0</v>
      </c>
      <c r="AA332" s="0" t="n">
        <f aca="false">IF(Presupuesto!$B$7='Flujo de Pagos'!$E332,7,9999)</f>
        <v>9999</v>
      </c>
      <c r="AB332" s="0" t="n">
        <f aca="false">IF(Presupuesto!$B$8='Flujo de Pagos'!$E332,8,9999)</f>
        <v>9999</v>
      </c>
      <c r="AC332" s="0" t="n">
        <f aca="false">IF(Presupuesto!$B$9='Flujo de Pagos'!$E332,9,9999)</f>
        <v>9999</v>
      </c>
      <c r="AD332" s="0" t="n">
        <f aca="false">IF(Presupuesto!$B$10='Flujo de Pagos'!$E332,10,9999)</f>
        <v>9999</v>
      </c>
      <c r="AE332" s="0" t="n">
        <f aca="false">IF(Presupuesto!$B$11='Flujo de Pagos'!$E332,11,9999)</f>
        <v>9999</v>
      </c>
      <c r="AF332" s="0" t="n">
        <f aca="false">IF(Presupuesto!$B$12='Flujo de Pagos'!$E332,12,9999)</f>
        <v>12</v>
      </c>
      <c r="AG332" s="0" t="n">
        <f aca="false">IF(Presupuesto!$B$13='Flujo de Pagos'!$E332,13,9999)</f>
        <v>13</v>
      </c>
      <c r="AH332" s="0" t="n">
        <f aca="false">IF(Presupuesto!$B$14='Flujo de Pagos'!$E332,14,9999)</f>
        <v>14</v>
      </c>
      <c r="AI332" s="0" t="n">
        <f aca="false">IF(Presupuesto!$B$15='Flujo de Pagos'!$E332,15,9999)</f>
        <v>15</v>
      </c>
      <c r="AJ332" s="0" t="n">
        <f aca="false">IF(Presupuesto!$B$16='Flujo de Pagos'!$E332,16,9999)</f>
        <v>16</v>
      </c>
      <c r="AK332" s="0" t="n">
        <f aca="false">IF(Presupuesto!$B$17='Flujo de Pagos'!$E332,17,9999)</f>
        <v>17</v>
      </c>
      <c r="AL332" s="0" t="n">
        <f aca="false">IF(Presupuesto!$B$18='Flujo de Pagos'!$E332,18,9999)</f>
        <v>18</v>
      </c>
      <c r="AM332" s="0" t="n">
        <f aca="false">IF(Presupuesto!$B$19='Flujo de Pagos'!$E332,19,9999)</f>
        <v>19</v>
      </c>
      <c r="AN332" s="0" t="n">
        <f aca="false">IF(Presupuesto!$B$20='Flujo de Pagos'!$E332,20,9999)</f>
        <v>20</v>
      </c>
      <c r="AO332" s="0" t="n">
        <f aca="false">IF(Presupuesto!$B$21='Flujo de Pagos'!$E332,21,9999)</f>
        <v>21</v>
      </c>
      <c r="AP332" s="0" t="n">
        <f aca="false">IF(Presupuesto!$B$22='Flujo de Pagos'!$E332,22,9999)</f>
        <v>22</v>
      </c>
      <c r="AQ332" s="0" t="n">
        <f aca="false">IF(Presupuesto!$B$23='Flujo de Pagos'!$E332,23,9999)</f>
        <v>23</v>
      </c>
      <c r="AR332" s="0" t="n">
        <f aca="false">IF(Presupuesto!$B$24='Flujo de Pagos'!$E332,24,9999)</f>
        <v>24</v>
      </c>
      <c r="AS332" s="0" t="n">
        <f aca="false">IF(Presupuesto!$B$25='Flujo de Pagos'!$E332,25,9999)</f>
        <v>25</v>
      </c>
      <c r="AT332" s="0" t="n">
        <f aca="false">IF(Presupuesto!$B$26='Flujo de Pagos'!$E332,26,9999)</f>
        <v>26</v>
      </c>
      <c r="AU332" s="0" t="n">
        <f aca="false">IF(Presupuesto!$B$27='Flujo de Pagos'!$E332,27,9999)</f>
        <v>27</v>
      </c>
      <c r="AV332" s="0" t="n">
        <f aca="false">IF(Presupuesto!$B$28='Flujo de Pagos'!$E332,28,9999)</f>
        <v>28</v>
      </c>
      <c r="AW332" s="0" t="n">
        <f aca="false">IF(Presupuesto!$B$29='Flujo de Pagos'!$E332,29,9999)</f>
        <v>29</v>
      </c>
      <c r="AX332" s="0" t="n">
        <f aca="false">IF(Presupuesto!$B$30='Flujo de Pagos'!$E332,30,9999)</f>
        <v>30</v>
      </c>
      <c r="AY332" s="0" t="n">
        <f aca="false">IF(Presupuesto!$B$31='Flujo de Pagos'!$E332,31,9999)</f>
        <v>31</v>
      </c>
      <c r="AZ332" s="0" t="n">
        <f aca="false">IF(Presupuesto!$B$32='Flujo de Pagos'!$E332,32,9999)</f>
        <v>32</v>
      </c>
      <c r="BA332" s="0" t="n">
        <f aca="false">IF(Presupuesto!$B$33='Flujo de Pagos'!$E332,33,9999)</f>
        <v>33</v>
      </c>
      <c r="BB332" s="0" t="n">
        <f aca="false">IF(Presupuesto!$B$34='Flujo de Pagos'!$E332,34,9999)</f>
        <v>34</v>
      </c>
      <c r="BC332" s="0" t="n">
        <f aca="false">IF(Presupuesto!$B$35='Flujo de Pagos'!$E332,35,9999)</f>
        <v>35</v>
      </c>
      <c r="BD332" s="0" t="n">
        <f aca="false">IF(Presupuesto!$B$36='Flujo de Pagos'!$E332,36,9999)</f>
        <v>36</v>
      </c>
      <c r="BE332" s="0" t="n">
        <f aca="false">IF(Presupuesto!$B$37='Flujo de Pagos'!$E332,37,9999)</f>
        <v>37</v>
      </c>
      <c r="BF332" s="0" t="n">
        <f aca="false">IF(Presupuesto!$B$38='Flujo de Pagos'!$E332,38,9999)</f>
        <v>38</v>
      </c>
      <c r="BG332" s="0" t="n">
        <f aca="false">IF(Presupuesto!$B$39='Flujo de Pagos'!$E332,39,9999)</f>
        <v>39</v>
      </c>
      <c r="BH332" s="0" t="n">
        <f aca="false">IF(Presupuesto!$B$40='Flujo de Pagos'!$E332,40,9999)</f>
        <v>40</v>
      </c>
      <c r="BI332" s="0" t="n">
        <f aca="false">IF(Presupuesto!$B$41='Flujo de Pagos'!$E332,41,9999)</f>
        <v>41</v>
      </c>
      <c r="BJ332" s="0" t="n">
        <f aca="false">IF(Presupuesto!$B$42='Flujo de Pagos'!$E332,42,9999)</f>
        <v>42</v>
      </c>
      <c r="BK332" s="0" t="n">
        <f aca="false">IF(Presupuesto!$B$43='Flujo de Pagos'!$E332,43,9999)</f>
        <v>43</v>
      </c>
      <c r="BL332" s="0" t="n">
        <f aca="false">IF(Presupuesto!$B$44='Flujo de Pagos'!$E332,44,9999)</f>
        <v>44</v>
      </c>
      <c r="BM332" s="0" t="n">
        <f aca="false">IF(Presupuesto!$B$45='Flujo de Pagos'!$E332,45,9999)</f>
        <v>45</v>
      </c>
      <c r="BN332" s="0" t="n">
        <f aca="false">IF(Presupuesto!$B$46='Flujo de Pagos'!$E332,46,9999)</f>
        <v>46</v>
      </c>
      <c r="BO332" s="0" t="n">
        <f aca="false">IF(Presupuesto!$B$47='Flujo de Pagos'!$E332,47,9999)</f>
        <v>47</v>
      </c>
      <c r="BP332" s="0" t="n">
        <f aca="false">IF(Presupuesto!$B$48='Flujo de Pagos'!$E332,48,9999)</f>
        <v>48</v>
      </c>
      <c r="BQ332" s="0" t="n">
        <f aca="false">IF(Presupuesto!$B$49='Flujo de Pagos'!$E332,49,9999)</f>
        <v>49</v>
      </c>
      <c r="BR332" s="0" t="n">
        <f aca="false">IF(Presupuesto!$B$50='Flujo de Pagos'!$E332,50,9999)</f>
        <v>50</v>
      </c>
      <c r="BS332" s="0" t="n">
        <f aca="false">IF(Presupuesto!$B$51='Flujo de Pagos'!$E332,51,9999)</f>
        <v>51</v>
      </c>
      <c r="BT332" s="0" t="n">
        <f aca="false">IF(Presupuesto!$B$52='Flujo de Pagos'!$E332,52,9999)</f>
        <v>52</v>
      </c>
      <c r="BU332" s="0" t="n">
        <f aca="false">IF(Presupuesto!$B$53='Flujo de Pagos'!$E332,53,9999)</f>
        <v>53</v>
      </c>
      <c r="BV332" s="0" t="n">
        <f aca="false">IF(Presupuesto!$B$54='Flujo de Pagos'!$E332,54,9999)</f>
        <v>54</v>
      </c>
      <c r="BW332" s="0" t="n">
        <f aca="false">IF(Presupuesto!$B$55='Flujo de Pagos'!$E332,55,9999)</f>
        <v>55</v>
      </c>
      <c r="BX332" s="0" t="n">
        <f aca="false">IF(Presupuesto!$B$56='Flujo de Pagos'!$E332,56,9999)</f>
        <v>56</v>
      </c>
      <c r="BY332" s="0" t="n">
        <f aca="false">IF(Presupuesto!$B$57='Flujo de Pagos'!$E332,57,9999)</f>
        <v>57</v>
      </c>
      <c r="BZ332" s="0" t="n">
        <f aca="false">IF(Presupuesto!$B$58='Flujo de Pagos'!$E332,58,9999)</f>
        <v>58</v>
      </c>
      <c r="CA332" s="0" t="n">
        <f aca="false">IF(Presupuesto!$B$59='Flujo de Pagos'!$E332,59,9999)</f>
        <v>59</v>
      </c>
      <c r="CB332" s="0" t="n">
        <f aca="false">IF(Presupuesto!$B$60='Flujo de Pagos'!$E332,60,9999)</f>
        <v>60</v>
      </c>
      <c r="CC332" s="0" t="n">
        <f aca="false">IF(Presupuesto!$B$61='Flujo de Pagos'!$E332,61,9999)</f>
        <v>61</v>
      </c>
      <c r="CD332" s="0" t="n">
        <f aca="false">IF(Presupuesto!$B$62='Flujo de Pagos'!$E332,62,9999)</f>
        <v>62</v>
      </c>
      <c r="CE332" s="0" t="n">
        <f aca="false">IF(Presupuesto!$B$63='Flujo de Pagos'!$E332,63,9999)</f>
        <v>63</v>
      </c>
      <c r="CF332" s="0" t="n">
        <f aca="false">IF(Presupuesto!$B$64='Flujo de Pagos'!$E332,64,9999)</f>
        <v>64</v>
      </c>
      <c r="CG332" s="0" t="n">
        <f aca="false">IF(Presupuesto!$B$65='Flujo de Pagos'!$E332,65,9999)</f>
        <v>65</v>
      </c>
      <c r="CH332" s="0" t="n">
        <f aca="false">IF(Presupuesto!$B$66='Flujo de Pagos'!$E332,66,9999)</f>
        <v>66</v>
      </c>
    </row>
    <row r="333" customFormat="false" ht="15" hidden="false" customHeight="true" outlineLevel="0" collapsed="false">
      <c r="B333" s="1" t="n">
        <f aca="false">IF(AND('Flujo de Pagos'!E338=Carátula!$B$2,'Flujo de Pagos'!F338=Carátula!$B$4,'Flujo de Pagos'!H338&lt;&gt;""),338,99999)</f>
        <v>99999</v>
      </c>
      <c r="H333" s="1" t="n">
        <f aca="false">IF(SMALL($AA333:$CH333,1)&gt;=9999,"",INDEX(Presupuesto!$C:$C,SMALL($AA333:$CH333,1)))</f>
        <v>0</v>
      </c>
      <c r="I333" s="1" t="n">
        <f aca="false">IF(SMALL($AA333:$CH333,2)&gt;=9999,"",INDEX(Presupuesto!$C:$C,SMALL($AA333:$CH333,2)))</f>
        <v>0</v>
      </c>
      <c r="J333" s="1" t="n">
        <f aca="false">IF(SMALL($AA333:$CH333,3)&gt;=9999,"",INDEX(Presupuesto!$C:$C,SMALL($AA333:$CH333,3)))</f>
        <v>0</v>
      </c>
      <c r="K333" s="1" t="n">
        <f aca="false">IF(SMALL($AA333:$CH333,4)&gt;=9999,"",INDEX(Presupuesto!$C:$C,SMALL($AA333:$CH333,4)))</f>
        <v>0</v>
      </c>
      <c r="L333" s="1" t="n">
        <f aca="false">IF(SMALL($AA333:$CH333,5)&gt;=9999,"",INDEX(Presupuesto!$C:$C,SMALL($AA333:$CH333,5)))</f>
        <v>0</v>
      </c>
      <c r="M333" s="1" t="n">
        <f aca="false">IF(SMALL($AA333:$CH333,6)&gt;=9999,"",INDEX(Presupuesto!$C:$C,SMALL($AA333:$CH333,6)))</f>
        <v>0</v>
      </c>
      <c r="N333" s="1" t="n">
        <f aca="false">IF(SMALL($AA333:$CH333,7)&gt;=9999,"",INDEX(Presupuesto!$C:$C,SMALL($AA333:$CH333,7)))</f>
        <v>0</v>
      </c>
      <c r="O333" s="1" t="n">
        <f aca="false">IF(SMALL($AA333:$CH333,8)&gt;=9999,"",INDEX(Presupuesto!$C:$C,SMALL($AA333:$CH333,8)))</f>
        <v>0</v>
      </c>
      <c r="P333" s="1" t="n">
        <f aca="false">IF(SMALL($AA333:$CH333,9)&gt;=9999,"",INDEX(Presupuesto!$C:$C,SMALL($AA333:$CH333,9)))</f>
        <v>0</v>
      </c>
      <c r="Q333" s="1" t="n">
        <f aca="false">IF(SMALL($AA333:$CH333,10)&gt;=9999,"",INDEX(Presupuesto!$C:$C,SMALL($AA333:$CH333,10)))</f>
        <v>0</v>
      </c>
      <c r="AA333" s="0" t="n">
        <f aca="false">IF(Presupuesto!$B$7='Flujo de Pagos'!$E333,7,9999)</f>
        <v>9999</v>
      </c>
      <c r="AB333" s="0" t="n">
        <f aca="false">IF(Presupuesto!$B$8='Flujo de Pagos'!$E333,8,9999)</f>
        <v>9999</v>
      </c>
      <c r="AC333" s="0" t="n">
        <f aca="false">IF(Presupuesto!$B$9='Flujo de Pagos'!$E333,9,9999)</f>
        <v>9999</v>
      </c>
      <c r="AD333" s="0" t="n">
        <f aca="false">IF(Presupuesto!$B$10='Flujo de Pagos'!$E333,10,9999)</f>
        <v>9999</v>
      </c>
      <c r="AE333" s="0" t="n">
        <f aca="false">IF(Presupuesto!$B$11='Flujo de Pagos'!$E333,11,9999)</f>
        <v>9999</v>
      </c>
      <c r="AF333" s="0" t="n">
        <f aca="false">IF(Presupuesto!$B$12='Flujo de Pagos'!$E333,12,9999)</f>
        <v>12</v>
      </c>
      <c r="AG333" s="0" t="n">
        <f aca="false">IF(Presupuesto!$B$13='Flujo de Pagos'!$E333,13,9999)</f>
        <v>13</v>
      </c>
      <c r="AH333" s="0" t="n">
        <f aca="false">IF(Presupuesto!$B$14='Flujo de Pagos'!$E333,14,9999)</f>
        <v>14</v>
      </c>
      <c r="AI333" s="0" t="n">
        <f aca="false">IF(Presupuesto!$B$15='Flujo de Pagos'!$E333,15,9999)</f>
        <v>15</v>
      </c>
      <c r="AJ333" s="0" t="n">
        <f aca="false">IF(Presupuesto!$B$16='Flujo de Pagos'!$E333,16,9999)</f>
        <v>16</v>
      </c>
      <c r="AK333" s="0" t="n">
        <f aca="false">IF(Presupuesto!$B$17='Flujo de Pagos'!$E333,17,9999)</f>
        <v>17</v>
      </c>
      <c r="AL333" s="0" t="n">
        <f aca="false">IF(Presupuesto!$B$18='Flujo de Pagos'!$E333,18,9999)</f>
        <v>18</v>
      </c>
      <c r="AM333" s="0" t="n">
        <f aca="false">IF(Presupuesto!$B$19='Flujo de Pagos'!$E333,19,9999)</f>
        <v>19</v>
      </c>
      <c r="AN333" s="0" t="n">
        <f aca="false">IF(Presupuesto!$B$20='Flujo de Pagos'!$E333,20,9999)</f>
        <v>20</v>
      </c>
      <c r="AO333" s="0" t="n">
        <f aca="false">IF(Presupuesto!$B$21='Flujo de Pagos'!$E333,21,9999)</f>
        <v>21</v>
      </c>
      <c r="AP333" s="0" t="n">
        <f aca="false">IF(Presupuesto!$B$22='Flujo de Pagos'!$E333,22,9999)</f>
        <v>22</v>
      </c>
      <c r="AQ333" s="0" t="n">
        <f aca="false">IF(Presupuesto!$B$23='Flujo de Pagos'!$E333,23,9999)</f>
        <v>23</v>
      </c>
      <c r="AR333" s="0" t="n">
        <f aca="false">IF(Presupuesto!$B$24='Flujo de Pagos'!$E333,24,9999)</f>
        <v>24</v>
      </c>
      <c r="AS333" s="0" t="n">
        <f aca="false">IF(Presupuesto!$B$25='Flujo de Pagos'!$E333,25,9999)</f>
        <v>25</v>
      </c>
      <c r="AT333" s="0" t="n">
        <f aca="false">IF(Presupuesto!$B$26='Flujo de Pagos'!$E333,26,9999)</f>
        <v>26</v>
      </c>
      <c r="AU333" s="0" t="n">
        <f aca="false">IF(Presupuesto!$B$27='Flujo de Pagos'!$E333,27,9999)</f>
        <v>27</v>
      </c>
      <c r="AV333" s="0" t="n">
        <f aca="false">IF(Presupuesto!$B$28='Flujo de Pagos'!$E333,28,9999)</f>
        <v>28</v>
      </c>
      <c r="AW333" s="0" t="n">
        <f aca="false">IF(Presupuesto!$B$29='Flujo de Pagos'!$E333,29,9999)</f>
        <v>29</v>
      </c>
      <c r="AX333" s="0" t="n">
        <f aca="false">IF(Presupuesto!$B$30='Flujo de Pagos'!$E333,30,9999)</f>
        <v>30</v>
      </c>
      <c r="AY333" s="0" t="n">
        <f aca="false">IF(Presupuesto!$B$31='Flujo de Pagos'!$E333,31,9999)</f>
        <v>31</v>
      </c>
      <c r="AZ333" s="0" t="n">
        <f aca="false">IF(Presupuesto!$B$32='Flujo de Pagos'!$E333,32,9999)</f>
        <v>32</v>
      </c>
      <c r="BA333" s="0" t="n">
        <f aca="false">IF(Presupuesto!$B$33='Flujo de Pagos'!$E333,33,9999)</f>
        <v>33</v>
      </c>
      <c r="BB333" s="0" t="n">
        <f aca="false">IF(Presupuesto!$B$34='Flujo de Pagos'!$E333,34,9999)</f>
        <v>34</v>
      </c>
      <c r="BC333" s="0" t="n">
        <f aca="false">IF(Presupuesto!$B$35='Flujo de Pagos'!$E333,35,9999)</f>
        <v>35</v>
      </c>
      <c r="BD333" s="0" t="n">
        <f aca="false">IF(Presupuesto!$B$36='Flujo de Pagos'!$E333,36,9999)</f>
        <v>36</v>
      </c>
      <c r="BE333" s="0" t="n">
        <f aca="false">IF(Presupuesto!$B$37='Flujo de Pagos'!$E333,37,9999)</f>
        <v>37</v>
      </c>
      <c r="BF333" s="0" t="n">
        <f aca="false">IF(Presupuesto!$B$38='Flujo de Pagos'!$E333,38,9999)</f>
        <v>38</v>
      </c>
      <c r="BG333" s="0" t="n">
        <f aca="false">IF(Presupuesto!$B$39='Flujo de Pagos'!$E333,39,9999)</f>
        <v>39</v>
      </c>
      <c r="BH333" s="0" t="n">
        <f aca="false">IF(Presupuesto!$B$40='Flujo de Pagos'!$E333,40,9999)</f>
        <v>40</v>
      </c>
      <c r="BI333" s="0" t="n">
        <f aca="false">IF(Presupuesto!$B$41='Flujo de Pagos'!$E333,41,9999)</f>
        <v>41</v>
      </c>
      <c r="BJ333" s="0" t="n">
        <f aca="false">IF(Presupuesto!$B$42='Flujo de Pagos'!$E333,42,9999)</f>
        <v>42</v>
      </c>
      <c r="BK333" s="0" t="n">
        <f aca="false">IF(Presupuesto!$B$43='Flujo de Pagos'!$E333,43,9999)</f>
        <v>43</v>
      </c>
      <c r="BL333" s="0" t="n">
        <f aca="false">IF(Presupuesto!$B$44='Flujo de Pagos'!$E333,44,9999)</f>
        <v>44</v>
      </c>
      <c r="BM333" s="0" t="n">
        <f aca="false">IF(Presupuesto!$B$45='Flujo de Pagos'!$E333,45,9999)</f>
        <v>45</v>
      </c>
      <c r="BN333" s="0" t="n">
        <f aca="false">IF(Presupuesto!$B$46='Flujo de Pagos'!$E333,46,9999)</f>
        <v>46</v>
      </c>
      <c r="BO333" s="0" t="n">
        <f aca="false">IF(Presupuesto!$B$47='Flujo de Pagos'!$E333,47,9999)</f>
        <v>47</v>
      </c>
      <c r="BP333" s="0" t="n">
        <f aca="false">IF(Presupuesto!$B$48='Flujo de Pagos'!$E333,48,9999)</f>
        <v>48</v>
      </c>
      <c r="BQ333" s="0" t="n">
        <f aca="false">IF(Presupuesto!$B$49='Flujo de Pagos'!$E333,49,9999)</f>
        <v>49</v>
      </c>
      <c r="BR333" s="0" t="n">
        <f aca="false">IF(Presupuesto!$B$50='Flujo de Pagos'!$E333,50,9999)</f>
        <v>50</v>
      </c>
      <c r="BS333" s="0" t="n">
        <f aca="false">IF(Presupuesto!$B$51='Flujo de Pagos'!$E333,51,9999)</f>
        <v>51</v>
      </c>
      <c r="BT333" s="0" t="n">
        <f aca="false">IF(Presupuesto!$B$52='Flujo de Pagos'!$E333,52,9999)</f>
        <v>52</v>
      </c>
      <c r="BU333" s="0" t="n">
        <f aca="false">IF(Presupuesto!$B$53='Flujo de Pagos'!$E333,53,9999)</f>
        <v>53</v>
      </c>
      <c r="BV333" s="0" t="n">
        <f aca="false">IF(Presupuesto!$B$54='Flujo de Pagos'!$E333,54,9999)</f>
        <v>54</v>
      </c>
      <c r="BW333" s="0" t="n">
        <f aca="false">IF(Presupuesto!$B$55='Flujo de Pagos'!$E333,55,9999)</f>
        <v>55</v>
      </c>
      <c r="BX333" s="0" t="n">
        <f aca="false">IF(Presupuesto!$B$56='Flujo de Pagos'!$E333,56,9999)</f>
        <v>56</v>
      </c>
      <c r="BY333" s="0" t="n">
        <f aca="false">IF(Presupuesto!$B$57='Flujo de Pagos'!$E333,57,9999)</f>
        <v>57</v>
      </c>
      <c r="BZ333" s="0" t="n">
        <f aca="false">IF(Presupuesto!$B$58='Flujo de Pagos'!$E333,58,9999)</f>
        <v>58</v>
      </c>
      <c r="CA333" s="0" t="n">
        <f aca="false">IF(Presupuesto!$B$59='Flujo de Pagos'!$E333,59,9999)</f>
        <v>59</v>
      </c>
      <c r="CB333" s="0" t="n">
        <f aca="false">IF(Presupuesto!$B$60='Flujo de Pagos'!$E333,60,9999)</f>
        <v>60</v>
      </c>
      <c r="CC333" s="0" t="n">
        <f aca="false">IF(Presupuesto!$B$61='Flujo de Pagos'!$E333,61,9999)</f>
        <v>61</v>
      </c>
      <c r="CD333" s="0" t="n">
        <f aca="false">IF(Presupuesto!$B$62='Flujo de Pagos'!$E333,62,9999)</f>
        <v>62</v>
      </c>
      <c r="CE333" s="0" t="n">
        <f aca="false">IF(Presupuesto!$B$63='Flujo de Pagos'!$E333,63,9999)</f>
        <v>63</v>
      </c>
      <c r="CF333" s="0" t="n">
        <f aca="false">IF(Presupuesto!$B$64='Flujo de Pagos'!$E333,64,9999)</f>
        <v>64</v>
      </c>
      <c r="CG333" s="0" t="n">
        <f aca="false">IF(Presupuesto!$B$65='Flujo de Pagos'!$E333,65,9999)</f>
        <v>65</v>
      </c>
      <c r="CH333" s="0" t="n">
        <f aca="false">IF(Presupuesto!$B$66='Flujo de Pagos'!$E333,66,9999)</f>
        <v>66</v>
      </c>
    </row>
    <row r="334" customFormat="false" ht="15" hidden="false" customHeight="true" outlineLevel="0" collapsed="false">
      <c r="B334" s="1" t="n">
        <f aca="false">IF(AND('Flujo de Pagos'!E339=Carátula!$B$2,'Flujo de Pagos'!F339=Carátula!$B$4,'Flujo de Pagos'!H339&lt;&gt;""),339,99999)</f>
        <v>99999</v>
      </c>
      <c r="H334" s="1" t="n">
        <f aca="false">IF(SMALL($AA334:$CH334,1)&gt;=9999,"",INDEX(Presupuesto!$C:$C,SMALL($AA334:$CH334,1)))</f>
        <v>0</v>
      </c>
      <c r="I334" s="1" t="n">
        <f aca="false">IF(SMALL($AA334:$CH334,2)&gt;=9999,"",INDEX(Presupuesto!$C:$C,SMALL($AA334:$CH334,2)))</f>
        <v>0</v>
      </c>
      <c r="J334" s="1" t="n">
        <f aca="false">IF(SMALL($AA334:$CH334,3)&gt;=9999,"",INDEX(Presupuesto!$C:$C,SMALL($AA334:$CH334,3)))</f>
        <v>0</v>
      </c>
      <c r="K334" s="1" t="n">
        <f aca="false">IF(SMALL($AA334:$CH334,4)&gt;=9999,"",INDEX(Presupuesto!$C:$C,SMALL($AA334:$CH334,4)))</f>
        <v>0</v>
      </c>
      <c r="L334" s="1" t="n">
        <f aca="false">IF(SMALL($AA334:$CH334,5)&gt;=9999,"",INDEX(Presupuesto!$C:$C,SMALL($AA334:$CH334,5)))</f>
        <v>0</v>
      </c>
      <c r="M334" s="1" t="n">
        <f aca="false">IF(SMALL($AA334:$CH334,6)&gt;=9999,"",INDEX(Presupuesto!$C:$C,SMALL($AA334:$CH334,6)))</f>
        <v>0</v>
      </c>
      <c r="N334" s="1" t="n">
        <f aca="false">IF(SMALL($AA334:$CH334,7)&gt;=9999,"",INDEX(Presupuesto!$C:$C,SMALL($AA334:$CH334,7)))</f>
        <v>0</v>
      </c>
      <c r="O334" s="1" t="n">
        <f aca="false">IF(SMALL($AA334:$CH334,8)&gt;=9999,"",INDEX(Presupuesto!$C:$C,SMALL($AA334:$CH334,8)))</f>
        <v>0</v>
      </c>
      <c r="P334" s="1" t="n">
        <f aca="false">IF(SMALL($AA334:$CH334,9)&gt;=9999,"",INDEX(Presupuesto!$C:$C,SMALL($AA334:$CH334,9)))</f>
        <v>0</v>
      </c>
      <c r="Q334" s="1" t="n">
        <f aca="false">IF(SMALL($AA334:$CH334,10)&gt;=9999,"",INDEX(Presupuesto!$C:$C,SMALL($AA334:$CH334,10)))</f>
        <v>0</v>
      </c>
      <c r="AA334" s="0" t="n">
        <f aca="false">IF(Presupuesto!$B$7='Flujo de Pagos'!$E334,7,9999)</f>
        <v>9999</v>
      </c>
      <c r="AB334" s="0" t="n">
        <f aca="false">IF(Presupuesto!$B$8='Flujo de Pagos'!$E334,8,9999)</f>
        <v>9999</v>
      </c>
      <c r="AC334" s="0" t="n">
        <f aca="false">IF(Presupuesto!$B$9='Flujo de Pagos'!$E334,9,9999)</f>
        <v>9999</v>
      </c>
      <c r="AD334" s="0" t="n">
        <f aca="false">IF(Presupuesto!$B$10='Flujo de Pagos'!$E334,10,9999)</f>
        <v>9999</v>
      </c>
      <c r="AE334" s="0" t="n">
        <f aca="false">IF(Presupuesto!$B$11='Flujo de Pagos'!$E334,11,9999)</f>
        <v>9999</v>
      </c>
      <c r="AF334" s="0" t="n">
        <f aca="false">IF(Presupuesto!$B$12='Flujo de Pagos'!$E334,12,9999)</f>
        <v>12</v>
      </c>
      <c r="AG334" s="0" t="n">
        <f aca="false">IF(Presupuesto!$B$13='Flujo de Pagos'!$E334,13,9999)</f>
        <v>13</v>
      </c>
      <c r="AH334" s="0" t="n">
        <f aca="false">IF(Presupuesto!$B$14='Flujo de Pagos'!$E334,14,9999)</f>
        <v>14</v>
      </c>
      <c r="AI334" s="0" t="n">
        <f aca="false">IF(Presupuesto!$B$15='Flujo de Pagos'!$E334,15,9999)</f>
        <v>15</v>
      </c>
      <c r="AJ334" s="0" t="n">
        <f aca="false">IF(Presupuesto!$B$16='Flujo de Pagos'!$E334,16,9999)</f>
        <v>16</v>
      </c>
      <c r="AK334" s="0" t="n">
        <f aca="false">IF(Presupuesto!$B$17='Flujo de Pagos'!$E334,17,9999)</f>
        <v>17</v>
      </c>
      <c r="AL334" s="0" t="n">
        <f aca="false">IF(Presupuesto!$B$18='Flujo de Pagos'!$E334,18,9999)</f>
        <v>18</v>
      </c>
      <c r="AM334" s="0" t="n">
        <f aca="false">IF(Presupuesto!$B$19='Flujo de Pagos'!$E334,19,9999)</f>
        <v>19</v>
      </c>
      <c r="AN334" s="0" t="n">
        <f aca="false">IF(Presupuesto!$B$20='Flujo de Pagos'!$E334,20,9999)</f>
        <v>20</v>
      </c>
      <c r="AO334" s="0" t="n">
        <f aca="false">IF(Presupuesto!$B$21='Flujo de Pagos'!$E334,21,9999)</f>
        <v>21</v>
      </c>
      <c r="AP334" s="0" t="n">
        <f aca="false">IF(Presupuesto!$B$22='Flujo de Pagos'!$E334,22,9999)</f>
        <v>22</v>
      </c>
      <c r="AQ334" s="0" t="n">
        <f aca="false">IF(Presupuesto!$B$23='Flujo de Pagos'!$E334,23,9999)</f>
        <v>23</v>
      </c>
      <c r="AR334" s="0" t="n">
        <f aca="false">IF(Presupuesto!$B$24='Flujo de Pagos'!$E334,24,9999)</f>
        <v>24</v>
      </c>
      <c r="AS334" s="0" t="n">
        <f aca="false">IF(Presupuesto!$B$25='Flujo de Pagos'!$E334,25,9999)</f>
        <v>25</v>
      </c>
      <c r="AT334" s="0" t="n">
        <f aca="false">IF(Presupuesto!$B$26='Flujo de Pagos'!$E334,26,9999)</f>
        <v>26</v>
      </c>
      <c r="AU334" s="0" t="n">
        <f aca="false">IF(Presupuesto!$B$27='Flujo de Pagos'!$E334,27,9999)</f>
        <v>27</v>
      </c>
      <c r="AV334" s="0" t="n">
        <f aca="false">IF(Presupuesto!$B$28='Flujo de Pagos'!$E334,28,9999)</f>
        <v>28</v>
      </c>
      <c r="AW334" s="0" t="n">
        <f aca="false">IF(Presupuesto!$B$29='Flujo de Pagos'!$E334,29,9999)</f>
        <v>29</v>
      </c>
      <c r="AX334" s="0" t="n">
        <f aca="false">IF(Presupuesto!$B$30='Flujo de Pagos'!$E334,30,9999)</f>
        <v>30</v>
      </c>
      <c r="AY334" s="0" t="n">
        <f aca="false">IF(Presupuesto!$B$31='Flujo de Pagos'!$E334,31,9999)</f>
        <v>31</v>
      </c>
      <c r="AZ334" s="0" t="n">
        <f aca="false">IF(Presupuesto!$B$32='Flujo de Pagos'!$E334,32,9999)</f>
        <v>32</v>
      </c>
      <c r="BA334" s="0" t="n">
        <f aca="false">IF(Presupuesto!$B$33='Flujo de Pagos'!$E334,33,9999)</f>
        <v>33</v>
      </c>
      <c r="BB334" s="0" t="n">
        <f aca="false">IF(Presupuesto!$B$34='Flujo de Pagos'!$E334,34,9999)</f>
        <v>34</v>
      </c>
      <c r="BC334" s="0" t="n">
        <f aca="false">IF(Presupuesto!$B$35='Flujo de Pagos'!$E334,35,9999)</f>
        <v>35</v>
      </c>
      <c r="BD334" s="0" t="n">
        <f aca="false">IF(Presupuesto!$B$36='Flujo de Pagos'!$E334,36,9999)</f>
        <v>36</v>
      </c>
      <c r="BE334" s="0" t="n">
        <f aca="false">IF(Presupuesto!$B$37='Flujo de Pagos'!$E334,37,9999)</f>
        <v>37</v>
      </c>
      <c r="BF334" s="0" t="n">
        <f aca="false">IF(Presupuesto!$B$38='Flujo de Pagos'!$E334,38,9999)</f>
        <v>38</v>
      </c>
      <c r="BG334" s="0" t="n">
        <f aca="false">IF(Presupuesto!$B$39='Flujo de Pagos'!$E334,39,9999)</f>
        <v>39</v>
      </c>
      <c r="BH334" s="0" t="n">
        <f aca="false">IF(Presupuesto!$B$40='Flujo de Pagos'!$E334,40,9999)</f>
        <v>40</v>
      </c>
      <c r="BI334" s="0" t="n">
        <f aca="false">IF(Presupuesto!$B$41='Flujo de Pagos'!$E334,41,9999)</f>
        <v>41</v>
      </c>
      <c r="BJ334" s="0" t="n">
        <f aca="false">IF(Presupuesto!$B$42='Flujo de Pagos'!$E334,42,9999)</f>
        <v>42</v>
      </c>
      <c r="BK334" s="0" t="n">
        <f aca="false">IF(Presupuesto!$B$43='Flujo de Pagos'!$E334,43,9999)</f>
        <v>43</v>
      </c>
      <c r="BL334" s="0" t="n">
        <f aca="false">IF(Presupuesto!$B$44='Flujo de Pagos'!$E334,44,9999)</f>
        <v>44</v>
      </c>
      <c r="BM334" s="0" t="n">
        <f aca="false">IF(Presupuesto!$B$45='Flujo de Pagos'!$E334,45,9999)</f>
        <v>45</v>
      </c>
      <c r="BN334" s="0" t="n">
        <f aca="false">IF(Presupuesto!$B$46='Flujo de Pagos'!$E334,46,9999)</f>
        <v>46</v>
      </c>
      <c r="BO334" s="0" t="n">
        <f aca="false">IF(Presupuesto!$B$47='Flujo de Pagos'!$E334,47,9999)</f>
        <v>47</v>
      </c>
      <c r="BP334" s="0" t="n">
        <f aca="false">IF(Presupuesto!$B$48='Flujo de Pagos'!$E334,48,9999)</f>
        <v>48</v>
      </c>
      <c r="BQ334" s="0" t="n">
        <f aca="false">IF(Presupuesto!$B$49='Flujo de Pagos'!$E334,49,9999)</f>
        <v>49</v>
      </c>
      <c r="BR334" s="0" t="n">
        <f aca="false">IF(Presupuesto!$B$50='Flujo de Pagos'!$E334,50,9999)</f>
        <v>50</v>
      </c>
      <c r="BS334" s="0" t="n">
        <f aca="false">IF(Presupuesto!$B$51='Flujo de Pagos'!$E334,51,9999)</f>
        <v>51</v>
      </c>
      <c r="BT334" s="0" t="n">
        <f aca="false">IF(Presupuesto!$B$52='Flujo de Pagos'!$E334,52,9999)</f>
        <v>52</v>
      </c>
      <c r="BU334" s="0" t="n">
        <f aca="false">IF(Presupuesto!$B$53='Flujo de Pagos'!$E334,53,9999)</f>
        <v>53</v>
      </c>
      <c r="BV334" s="0" t="n">
        <f aca="false">IF(Presupuesto!$B$54='Flujo de Pagos'!$E334,54,9999)</f>
        <v>54</v>
      </c>
      <c r="BW334" s="0" t="n">
        <f aca="false">IF(Presupuesto!$B$55='Flujo de Pagos'!$E334,55,9999)</f>
        <v>55</v>
      </c>
      <c r="BX334" s="0" t="n">
        <f aca="false">IF(Presupuesto!$B$56='Flujo de Pagos'!$E334,56,9999)</f>
        <v>56</v>
      </c>
      <c r="BY334" s="0" t="n">
        <f aca="false">IF(Presupuesto!$B$57='Flujo de Pagos'!$E334,57,9999)</f>
        <v>57</v>
      </c>
      <c r="BZ334" s="0" t="n">
        <f aca="false">IF(Presupuesto!$B$58='Flujo de Pagos'!$E334,58,9999)</f>
        <v>58</v>
      </c>
      <c r="CA334" s="0" t="n">
        <f aca="false">IF(Presupuesto!$B$59='Flujo de Pagos'!$E334,59,9999)</f>
        <v>59</v>
      </c>
      <c r="CB334" s="0" t="n">
        <f aca="false">IF(Presupuesto!$B$60='Flujo de Pagos'!$E334,60,9999)</f>
        <v>60</v>
      </c>
      <c r="CC334" s="0" t="n">
        <f aca="false">IF(Presupuesto!$B$61='Flujo de Pagos'!$E334,61,9999)</f>
        <v>61</v>
      </c>
      <c r="CD334" s="0" t="n">
        <f aca="false">IF(Presupuesto!$B$62='Flujo de Pagos'!$E334,62,9999)</f>
        <v>62</v>
      </c>
      <c r="CE334" s="0" t="n">
        <f aca="false">IF(Presupuesto!$B$63='Flujo de Pagos'!$E334,63,9999)</f>
        <v>63</v>
      </c>
      <c r="CF334" s="0" t="n">
        <f aca="false">IF(Presupuesto!$B$64='Flujo de Pagos'!$E334,64,9999)</f>
        <v>64</v>
      </c>
      <c r="CG334" s="0" t="n">
        <f aca="false">IF(Presupuesto!$B$65='Flujo de Pagos'!$E334,65,9999)</f>
        <v>65</v>
      </c>
      <c r="CH334" s="0" t="n">
        <f aca="false">IF(Presupuesto!$B$66='Flujo de Pagos'!$E334,66,9999)</f>
        <v>66</v>
      </c>
    </row>
    <row r="335" customFormat="false" ht="15" hidden="false" customHeight="true" outlineLevel="0" collapsed="false">
      <c r="B335" s="1" t="n">
        <f aca="false">IF(AND('Flujo de Pagos'!E340=Carátula!$B$2,'Flujo de Pagos'!F340=Carátula!$B$4,'Flujo de Pagos'!H340&lt;&gt;""),340,99999)</f>
        <v>99999</v>
      </c>
      <c r="H335" s="1" t="n">
        <f aca="false">IF(SMALL($AA335:$CH335,1)&gt;=9999,"",INDEX(Presupuesto!$C:$C,SMALL($AA335:$CH335,1)))</f>
        <v>0</v>
      </c>
      <c r="I335" s="1" t="n">
        <f aca="false">IF(SMALL($AA335:$CH335,2)&gt;=9999,"",INDEX(Presupuesto!$C:$C,SMALL($AA335:$CH335,2)))</f>
        <v>0</v>
      </c>
      <c r="J335" s="1" t="n">
        <f aca="false">IF(SMALL($AA335:$CH335,3)&gt;=9999,"",INDEX(Presupuesto!$C:$C,SMALL($AA335:$CH335,3)))</f>
        <v>0</v>
      </c>
      <c r="K335" s="1" t="n">
        <f aca="false">IF(SMALL($AA335:$CH335,4)&gt;=9999,"",INDEX(Presupuesto!$C:$C,SMALL($AA335:$CH335,4)))</f>
        <v>0</v>
      </c>
      <c r="L335" s="1" t="n">
        <f aca="false">IF(SMALL($AA335:$CH335,5)&gt;=9999,"",INDEX(Presupuesto!$C:$C,SMALL($AA335:$CH335,5)))</f>
        <v>0</v>
      </c>
      <c r="M335" s="1" t="n">
        <f aca="false">IF(SMALL($AA335:$CH335,6)&gt;=9999,"",INDEX(Presupuesto!$C:$C,SMALL($AA335:$CH335,6)))</f>
        <v>0</v>
      </c>
      <c r="N335" s="1" t="n">
        <f aca="false">IF(SMALL($AA335:$CH335,7)&gt;=9999,"",INDEX(Presupuesto!$C:$C,SMALL($AA335:$CH335,7)))</f>
        <v>0</v>
      </c>
      <c r="O335" s="1" t="n">
        <f aca="false">IF(SMALL($AA335:$CH335,8)&gt;=9999,"",INDEX(Presupuesto!$C:$C,SMALL($AA335:$CH335,8)))</f>
        <v>0</v>
      </c>
      <c r="P335" s="1" t="n">
        <f aca="false">IF(SMALL($AA335:$CH335,9)&gt;=9999,"",INDEX(Presupuesto!$C:$C,SMALL($AA335:$CH335,9)))</f>
        <v>0</v>
      </c>
      <c r="Q335" s="1" t="n">
        <f aca="false">IF(SMALL($AA335:$CH335,10)&gt;=9999,"",INDEX(Presupuesto!$C:$C,SMALL($AA335:$CH335,10)))</f>
        <v>0</v>
      </c>
      <c r="AA335" s="0" t="n">
        <f aca="false">IF(Presupuesto!$B$7='Flujo de Pagos'!$E335,7,9999)</f>
        <v>9999</v>
      </c>
      <c r="AB335" s="0" t="n">
        <f aca="false">IF(Presupuesto!$B$8='Flujo de Pagos'!$E335,8,9999)</f>
        <v>9999</v>
      </c>
      <c r="AC335" s="0" t="n">
        <f aca="false">IF(Presupuesto!$B$9='Flujo de Pagos'!$E335,9,9999)</f>
        <v>9999</v>
      </c>
      <c r="AD335" s="0" t="n">
        <f aca="false">IF(Presupuesto!$B$10='Flujo de Pagos'!$E335,10,9999)</f>
        <v>9999</v>
      </c>
      <c r="AE335" s="0" t="n">
        <f aca="false">IF(Presupuesto!$B$11='Flujo de Pagos'!$E335,11,9999)</f>
        <v>9999</v>
      </c>
      <c r="AF335" s="0" t="n">
        <f aca="false">IF(Presupuesto!$B$12='Flujo de Pagos'!$E335,12,9999)</f>
        <v>12</v>
      </c>
      <c r="AG335" s="0" t="n">
        <f aca="false">IF(Presupuesto!$B$13='Flujo de Pagos'!$E335,13,9999)</f>
        <v>13</v>
      </c>
      <c r="AH335" s="0" t="n">
        <f aca="false">IF(Presupuesto!$B$14='Flujo de Pagos'!$E335,14,9999)</f>
        <v>14</v>
      </c>
      <c r="AI335" s="0" t="n">
        <f aca="false">IF(Presupuesto!$B$15='Flujo de Pagos'!$E335,15,9999)</f>
        <v>15</v>
      </c>
      <c r="AJ335" s="0" t="n">
        <f aca="false">IF(Presupuesto!$B$16='Flujo de Pagos'!$E335,16,9999)</f>
        <v>16</v>
      </c>
      <c r="AK335" s="0" t="n">
        <f aca="false">IF(Presupuesto!$B$17='Flujo de Pagos'!$E335,17,9999)</f>
        <v>17</v>
      </c>
      <c r="AL335" s="0" t="n">
        <f aca="false">IF(Presupuesto!$B$18='Flujo de Pagos'!$E335,18,9999)</f>
        <v>18</v>
      </c>
      <c r="AM335" s="0" t="n">
        <f aca="false">IF(Presupuesto!$B$19='Flujo de Pagos'!$E335,19,9999)</f>
        <v>19</v>
      </c>
      <c r="AN335" s="0" t="n">
        <f aca="false">IF(Presupuesto!$B$20='Flujo de Pagos'!$E335,20,9999)</f>
        <v>20</v>
      </c>
      <c r="AO335" s="0" t="n">
        <f aca="false">IF(Presupuesto!$B$21='Flujo de Pagos'!$E335,21,9999)</f>
        <v>21</v>
      </c>
      <c r="AP335" s="0" t="n">
        <f aca="false">IF(Presupuesto!$B$22='Flujo de Pagos'!$E335,22,9999)</f>
        <v>22</v>
      </c>
      <c r="AQ335" s="0" t="n">
        <f aca="false">IF(Presupuesto!$B$23='Flujo de Pagos'!$E335,23,9999)</f>
        <v>23</v>
      </c>
      <c r="AR335" s="0" t="n">
        <f aca="false">IF(Presupuesto!$B$24='Flujo de Pagos'!$E335,24,9999)</f>
        <v>24</v>
      </c>
      <c r="AS335" s="0" t="n">
        <f aca="false">IF(Presupuesto!$B$25='Flujo de Pagos'!$E335,25,9999)</f>
        <v>25</v>
      </c>
      <c r="AT335" s="0" t="n">
        <f aca="false">IF(Presupuesto!$B$26='Flujo de Pagos'!$E335,26,9999)</f>
        <v>26</v>
      </c>
      <c r="AU335" s="0" t="n">
        <f aca="false">IF(Presupuesto!$B$27='Flujo de Pagos'!$E335,27,9999)</f>
        <v>27</v>
      </c>
      <c r="AV335" s="0" t="n">
        <f aca="false">IF(Presupuesto!$B$28='Flujo de Pagos'!$E335,28,9999)</f>
        <v>28</v>
      </c>
      <c r="AW335" s="0" t="n">
        <f aca="false">IF(Presupuesto!$B$29='Flujo de Pagos'!$E335,29,9999)</f>
        <v>29</v>
      </c>
      <c r="AX335" s="0" t="n">
        <f aca="false">IF(Presupuesto!$B$30='Flujo de Pagos'!$E335,30,9999)</f>
        <v>30</v>
      </c>
      <c r="AY335" s="0" t="n">
        <f aca="false">IF(Presupuesto!$B$31='Flujo de Pagos'!$E335,31,9999)</f>
        <v>31</v>
      </c>
      <c r="AZ335" s="0" t="n">
        <f aca="false">IF(Presupuesto!$B$32='Flujo de Pagos'!$E335,32,9999)</f>
        <v>32</v>
      </c>
      <c r="BA335" s="0" t="n">
        <f aca="false">IF(Presupuesto!$B$33='Flujo de Pagos'!$E335,33,9999)</f>
        <v>33</v>
      </c>
      <c r="BB335" s="0" t="n">
        <f aca="false">IF(Presupuesto!$B$34='Flujo de Pagos'!$E335,34,9999)</f>
        <v>34</v>
      </c>
      <c r="BC335" s="0" t="n">
        <f aca="false">IF(Presupuesto!$B$35='Flujo de Pagos'!$E335,35,9999)</f>
        <v>35</v>
      </c>
      <c r="BD335" s="0" t="n">
        <f aca="false">IF(Presupuesto!$B$36='Flujo de Pagos'!$E335,36,9999)</f>
        <v>36</v>
      </c>
      <c r="BE335" s="0" t="n">
        <f aca="false">IF(Presupuesto!$B$37='Flujo de Pagos'!$E335,37,9999)</f>
        <v>37</v>
      </c>
      <c r="BF335" s="0" t="n">
        <f aca="false">IF(Presupuesto!$B$38='Flujo de Pagos'!$E335,38,9999)</f>
        <v>38</v>
      </c>
      <c r="BG335" s="0" t="n">
        <f aca="false">IF(Presupuesto!$B$39='Flujo de Pagos'!$E335,39,9999)</f>
        <v>39</v>
      </c>
      <c r="BH335" s="0" t="n">
        <f aca="false">IF(Presupuesto!$B$40='Flujo de Pagos'!$E335,40,9999)</f>
        <v>40</v>
      </c>
      <c r="BI335" s="0" t="n">
        <f aca="false">IF(Presupuesto!$B$41='Flujo de Pagos'!$E335,41,9999)</f>
        <v>41</v>
      </c>
      <c r="BJ335" s="0" t="n">
        <f aca="false">IF(Presupuesto!$B$42='Flujo de Pagos'!$E335,42,9999)</f>
        <v>42</v>
      </c>
      <c r="BK335" s="0" t="n">
        <f aca="false">IF(Presupuesto!$B$43='Flujo de Pagos'!$E335,43,9999)</f>
        <v>43</v>
      </c>
      <c r="BL335" s="0" t="n">
        <f aca="false">IF(Presupuesto!$B$44='Flujo de Pagos'!$E335,44,9999)</f>
        <v>44</v>
      </c>
      <c r="BM335" s="0" t="n">
        <f aca="false">IF(Presupuesto!$B$45='Flujo de Pagos'!$E335,45,9999)</f>
        <v>45</v>
      </c>
      <c r="BN335" s="0" t="n">
        <f aca="false">IF(Presupuesto!$B$46='Flujo de Pagos'!$E335,46,9999)</f>
        <v>46</v>
      </c>
      <c r="BO335" s="0" t="n">
        <f aca="false">IF(Presupuesto!$B$47='Flujo de Pagos'!$E335,47,9999)</f>
        <v>47</v>
      </c>
      <c r="BP335" s="0" t="n">
        <f aca="false">IF(Presupuesto!$B$48='Flujo de Pagos'!$E335,48,9999)</f>
        <v>48</v>
      </c>
      <c r="BQ335" s="0" t="n">
        <f aca="false">IF(Presupuesto!$B$49='Flujo de Pagos'!$E335,49,9999)</f>
        <v>49</v>
      </c>
      <c r="BR335" s="0" t="n">
        <f aca="false">IF(Presupuesto!$B$50='Flujo de Pagos'!$E335,50,9999)</f>
        <v>50</v>
      </c>
      <c r="BS335" s="0" t="n">
        <f aca="false">IF(Presupuesto!$B$51='Flujo de Pagos'!$E335,51,9999)</f>
        <v>51</v>
      </c>
      <c r="BT335" s="0" t="n">
        <f aca="false">IF(Presupuesto!$B$52='Flujo de Pagos'!$E335,52,9999)</f>
        <v>52</v>
      </c>
      <c r="BU335" s="0" t="n">
        <f aca="false">IF(Presupuesto!$B$53='Flujo de Pagos'!$E335,53,9999)</f>
        <v>53</v>
      </c>
      <c r="BV335" s="0" t="n">
        <f aca="false">IF(Presupuesto!$B$54='Flujo de Pagos'!$E335,54,9999)</f>
        <v>54</v>
      </c>
      <c r="BW335" s="0" t="n">
        <f aca="false">IF(Presupuesto!$B$55='Flujo de Pagos'!$E335,55,9999)</f>
        <v>55</v>
      </c>
      <c r="BX335" s="0" t="n">
        <f aca="false">IF(Presupuesto!$B$56='Flujo de Pagos'!$E335,56,9999)</f>
        <v>56</v>
      </c>
      <c r="BY335" s="0" t="n">
        <f aca="false">IF(Presupuesto!$B$57='Flujo de Pagos'!$E335,57,9999)</f>
        <v>57</v>
      </c>
      <c r="BZ335" s="0" t="n">
        <f aca="false">IF(Presupuesto!$B$58='Flujo de Pagos'!$E335,58,9999)</f>
        <v>58</v>
      </c>
      <c r="CA335" s="0" t="n">
        <f aca="false">IF(Presupuesto!$B$59='Flujo de Pagos'!$E335,59,9999)</f>
        <v>59</v>
      </c>
      <c r="CB335" s="0" t="n">
        <f aca="false">IF(Presupuesto!$B$60='Flujo de Pagos'!$E335,60,9999)</f>
        <v>60</v>
      </c>
      <c r="CC335" s="0" t="n">
        <f aca="false">IF(Presupuesto!$B$61='Flujo de Pagos'!$E335,61,9999)</f>
        <v>61</v>
      </c>
      <c r="CD335" s="0" t="n">
        <f aca="false">IF(Presupuesto!$B$62='Flujo de Pagos'!$E335,62,9999)</f>
        <v>62</v>
      </c>
      <c r="CE335" s="0" t="n">
        <f aca="false">IF(Presupuesto!$B$63='Flujo de Pagos'!$E335,63,9999)</f>
        <v>63</v>
      </c>
      <c r="CF335" s="0" t="n">
        <f aca="false">IF(Presupuesto!$B$64='Flujo de Pagos'!$E335,64,9999)</f>
        <v>64</v>
      </c>
      <c r="CG335" s="0" t="n">
        <f aca="false">IF(Presupuesto!$B$65='Flujo de Pagos'!$E335,65,9999)</f>
        <v>65</v>
      </c>
      <c r="CH335" s="0" t="n">
        <f aca="false">IF(Presupuesto!$B$66='Flujo de Pagos'!$E335,66,9999)</f>
        <v>66</v>
      </c>
    </row>
    <row r="336" customFormat="false" ht="15" hidden="false" customHeight="true" outlineLevel="0" collapsed="false">
      <c r="B336" s="1" t="n">
        <f aca="false">IF(AND('Flujo de Pagos'!E341=Carátula!$B$2,'Flujo de Pagos'!F341=Carátula!$B$4,'Flujo de Pagos'!H341&lt;&gt;""),341,99999)</f>
        <v>99999</v>
      </c>
      <c r="H336" s="1" t="n">
        <f aca="false">IF(SMALL($AA336:$CH336,1)&gt;=9999,"",INDEX(Presupuesto!$C:$C,SMALL($AA336:$CH336,1)))</f>
        <v>0</v>
      </c>
      <c r="I336" s="1" t="n">
        <f aca="false">IF(SMALL($AA336:$CH336,2)&gt;=9999,"",INDEX(Presupuesto!$C:$C,SMALL($AA336:$CH336,2)))</f>
        <v>0</v>
      </c>
      <c r="J336" s="1" t="n">
        <f aca="false">IF(SMALL($AA336:$CH336,3)&gt;=9999,"",INDEX(Presupuesto!$C:$C,SMALL($AA336:$CH336,3)))</f>
        <v>0</v>
      </c>
      <c r="K336" s="1" t="n">
        <f aca="false">IF(SMALL($AA336:$CH336,4)&gt;=9999,"",INDEX(Presupuesto!$C:$C,SMALL($AA336:$CH336,4)))</f>
        <v>0</v>
      </c>
      <c r="L336" s="1" t="n">
        <f aca="false">IF(SMALL($AA336:$CH336,5)&gt;=9999,"",INDEX(Presupuesto!$C:$C,SMALL($AA336:$CH336,5)))</f>
        <v>0</v>
      </c>
      <c r="M336" s="1" t="n">
        <f aca="false">IF(SMALL($AA336:$CH336,6)&gt;=9999,"",INDEX(Presupuesto!$C:$C,SMALL($AA336:$CH336,6)))</f>
        <v>0</v>
      </c>
      <c r="N336" s="1" t="n">
        <f aca="false">IF(SMALL($AA336:$CH336,7)&gt;=9999,"",INDEX(Presupuesto!$C:$C,SMALL($AA336:$CH336,7)))</f>
        <v>0</v>
      </c>
      <c r="O336" s="1" t="n">
        <f aca="false">IF(SMALL($AA336:$CH336,8)&gt;=9999,"",INDEX(Presupuesto!$C:$C,SMALL($AA336:$CH336,8)))</f>
        <v>0</v>
      </c>
      <c r="P336" s="1" t="n">
        <f aca="false">IF(SMALL($AA336:$CH336,9)&gt;=9999,"",INDEX(Presupuesto!$C:$C,SMALL($AA336:$CH336,9)))</f>
        <v>0</v>
      </c>
      <c r="Q336" s="1" t="n">
        <f aca="false">IF(SMALL($AA336:$CH336,10)&gt;=9999,"",INDEX(Presupuesto!$C:$C,SMALL($AA336:$CH336,10)))</f>
        <v>0</v>
      </c>
      <c r="AA336" s="0" t="n">
        <f aca="false">IF(Presupuesto!$B$7='Flujo de Pagos'!$E336,7,9999)</f>
        <v>9999</v>
      </c>
      <c r="AB336" s="0" t="n">
        <f aca="false">IF(Presupuesto!$B$8='Flujo de Pagos'!$E336,8,9999)</f>
        <v>9999</v>
      </c>
      <c r="AC336" s="0" t="n">
        <f aca="false">IF(Presupuesto!$B$9='Flujo de Pagos'!$E336,9,9999)</f>
        <v>9999</v>
      </c>
      <c r="AD336" s="0" t="n">
        <f aca="false">IF(Presupuesto!$B$10='Flujo de Pagos'!$E336,10,9999)</f>
        <v>9999</v>
      </c>
      <c r="AE336" s="0" t="n">
        <f aca="false">IF(Presupuesto!$B$11='Flujo de Pagos'!$E336,11,9999)</f>
        <v>9999</v>
      </c>
      <c r="AF336" s="0" t="n">
        <f aca="false">IF(Presupuesto!$B$12='Flujo de Pagos'!$E336,12,9999)</f>
        <v>12</v>
      </c>
      <c r="AG336" s="0" t="n">
        <f aca="false">IF(Presupuesto!$B$13='Flujo de Pagos'!$E336,13,9999)</f>
        <v>13</v>
      </c>
      <c r="AH336" s="0" t="n">
        <f aca="false">IF(Presupuesto!$B$14='Flujo de Pagos'!$E336,14,9999)</f>
        <v>14</v>
      </c>
      <c r="AI336" s="0" t="n">
        <f aca="false">IF(Presupuesto!$B$15='Flujo de Pagos'!$E336,15,9999)</f>
        <v>15</v>
      </c>
      <c r="AJ336" s="0" t="n">
        <f aca="false">IF(Presupuesto!$B$16='Flujo de Pagos'!$E336,16,9999)</f>
        <v>16</v>
      </c>
      <c r="AK336" s="0" t="n">
        <f aca="false">IF(Presupuesto!$B$17='Flujo de Pagos'!$E336,17,9999)</f>
        <v>17</v>
      </c>
      <c r="AL336" s="0" t="n">
        <f aca="false">IF(Presupuesto!$B$18='Flujo de Pagos'!$E336,18,9999)</f>
        <v>18</v>
      </c>
      <c r="AM336" s="0" t="n">
        <f aca="false">IF(Presupuesto!$B$19='Flujo de Pagos'!$E336,19,9999)</f>
        <v>19</v>
      </c>
      <c r="AN336" s="0" t="n">
        <f aca="false">IF(Presupuesto!$B$20='Flujo de Pagos'!$E336,20,9999)</f>
        <v>20</v>
      </c>
      <c r="AO336" s="0" t="n">
        <f aca="false">IF(Presupuesto!$B$21='Flujo de Pagos'!$E336,21,9999)</f>
        <v>21</v>
      </c>
      <c r="AP336" s="0" t="n">
        <f aca="false">IF(Presupuesto!$B$22='Flujo de Pagos'!$E336,22,9999)</f>
        <v>22</v>
      </c>
      <c r="AQ336" s="0" t="n">
        <f aca="false">IF(Presupuesto!$B$23='Flujo de Pagos'!$E336,23,9999)</f>
        <v>23</v>
      </c>
      <c r="AR336" s="0" t="n">
        <f aca="false">IF(Presupuesto!$B$24='Flujo de Pagos'!$E336,24,9999)</f>
        <v>24</v>
      </c>
      <c r="AS336" s="0" t="n">
        <f aca="false">IF(Presupuesto!$B$25='Flujo de Pagos'!$E336,25,9999)</f>
        <v>25</v>
      </c>
      <c r="AT336" s="0" t="n">
        <f aca="false">IF(Presupuesto!$B$26='Flujo de Pagos'!$E336,26,9999)</f>
        <v>26</v>
      </c>
      <c r="AU336" s="0" t="n">
        <f aca="false">IF(Presupuesto!$B$27='Flujo de Pagos'!$E336,27,9999)</f>
        <v>27</v>
      </c>
      <c r="AV336" s="0" t="n">
        <f aca="false">IF(Presupuesto!$B$28='Flujo de Pagos'!$E336,28,9999)</f>
        <v>28</v>
      </c>
      <c r="AW336" s="0" t="n">
        <f aca="false">IF(Presupuesto!$B$29='Flujo de Pagos'!$E336,29,9999)</f>
        <v>29</v>
      </c>
      <c r="AX336" s="0" t="n">
        <f aca="false">IF(Presupuesto!$B$30='Flujo de Pagos'!$E336,30,9999)</f>
        <v>30</v>
      </c>
      <c r="AY336" s="0" t="n">
        <f aca="false">IF(Presupuesto!$B$31='Flujo de Pagos'!$E336,31,9999)</f>
        <v>31</v>
      </c>
      <c r="AZ336" s="0" t="n">
        <f aca="false">IF(Presupuesto!$B$32='Flujo de Pagos'!$E336,32,9999)</f>
        <v>32</v>
      </c>
      <c r="BA336" s="0" t="n">
        <f aca="false">IF(Presupuesto!$B$33='Flujo de Pagos'!$E336,33,9999)</f>
        <v>33</v>
      </c>
      <c r="BB336" s="0" t="n">
        <f aca="false">IF(Presupuesto!$B$34='Flujo de Pagos'!$E336,34,9999)</f>
        <v>34</v>
      </c>
      <c r="BC336" s="0" t="n">
        <f aca="false">IF(Presupuesto!$B$35='Flujo de Pagos'!$E336,35,9999)</f>
        <v>35</v>
      </c>
      <c r="BD336" s="0" t="n">
        <f aca="false">IF(Presupuesto!$B$36='Flujo de Pagos'!$E336,36,9999)</f>
        <v>36</v>
      </c>
      <c r="BE336" s="0" t="n">
        <f aca="false">IF(Presupuesto!$B$37='Flujo de Pagos'!$E336,37,9999)</f>
        <v>37</v>
      </c>
      <c r="BF336" s="0" t="n">
        <f aca="false">IF(Presupuesto!$B$38='Flujo de Pagos'!$E336,38,9999)</f>
        <v>38</v>
      </c>
      <c r="BG336" s="0" t="n">
        <f aca="false">IF(Presupuesto!$B$39='Flujo de Pagos'!$E336,39,9999)</f>
        <v>39</v>
      </c>
      <c r="BH336" s="0" t="n">
        <f aca="false">IF(Presupuesto!$B$40='Flujo de Pagos'!$E336,40,9999)</f>
        <v>40</v>
      </c>
      <c r="BI336" s="0" t="n">
        <f aca="false">IF(Presupuesto!$B$41='Flujo de Pagos'!$E336,41,9999)</f>
        <v>41</v>
      </c>
      <c r="BJ336" s="0" t="n">
        <f aca="false">IF(Presupuesto!$B$42='Flujo de Pagos'!$E336,42,9999)</f>
        <v>42</v>
      </c>
      <c r="BK336" s="0" t="n">
        <f aca="false">IF(Presupuesto!$B$43='Flujo de Pagos'!$E336,43,9999)</f>
        <v>43</v>
      </c>
      <c r="BL336" s="0" t="n">
        <f aca="false">IF(Presupuesto!$B$44='Flujo de Pagos'!$E336,44,9999)</f>
        <v>44</v>
      </c>
      <c r="BM336" s="0" t="n">
        <f aca="false">IF(Presupuesto!$B$45='Flujo de Pagos'!$E336,45,9999)</f>
        <v>45</v>
      </c>
      <c r="BN336" s="0" t="n">
        <f aca="false">IF(Presupuesto!$B$46='Flujo de Pagos'!$E336,46,9999)</f>
        <v>46</v>
      </c>
      <c r="BO336" s="0" t="n">
        <f aca="false">IF(Presupuesto!$B$47='Flujo de Pagos'!$E336,47,9999)</f>
        <v>47</v>
      </c>
      <c r="BP336" s="0" t="n">
        <f aca="false">IF(Presupuesto!$B$48='Flujo de Pagos'!$E336,48,9999)</f>
        <v>48</v>
      </c>
      <c r="BQ336" s="0" t="n">
        <f aca="false">IF(Presupuesto!$B$49='Flujo de Pagos'!$E336,49,9999)</f>
        <v>49</v>
      </c>
      <c r="BR336" s="0" t="n">
        <f aca="false">IF(Presupuesto!$B$50='Flujo de Pagos'!$E336,50,9999)</f>
        <v>50</v>
      </c>
      <c r="BS336" s="0" t="n">
        <f aca="false">IF(Presupuesto!$B$51='Flujo de Pagos'!$E336,51,9999)</f>
        <v>51</v>
      </c>
      <c r="BT336" s="0" t="n">
        <f aca="false">IF(Presupuesto!$B$52='Flujo de Pagos'!$E336,52,9999)</f>
        <v>52</v>
      </c>
      <c r="BU336" s="0" t="n">
        <f aca="false">IF(Presupuesto!$B$53='Flujo de Pagos'!$E336,53,9999)</f>
        <v>53</v>
      </c>
      <c r="BV336" s="0" t="n">
        <f aca="false">IF(Presupuesto!$B$54='Flujo de Pagos'!$E336,54,9999)</f>
        <v>54</v>
      </c>
      <c r="BW336" s="0" t="n">
        <f aca="false">IF(Presupuesto!$B$55='Flujo de Pagos'!$E336,55,9999)</f>
        <v>55</v>
      </c>
      <c r="BX336" s="0" t="n">
        <f aca="false">IF(Presupuesto!$B$56='Flujo de Pagos'!$E336,56,9999)</f>
        <v>56</v>
      </c>
      <c r="BY336" s="0" t="n">
        <f aca="false">IF(Presupuesto!$B$57='Flujo de Pagos'!$E336,57,9999)</f>
        <v>57</v>
      </c>
      <c r="BZ336" s="0" t="n">
        <f aca="false">IF(Presupuesto!$B$58='Flujo de Pagos'!$E336,58,9999)</f>
        <v>58</v>
      </c>
      <c r="CA336" s="0" t="n">
        <f aca="false">IF(Presupuesto!$B$59='Flujo de Pagos'!$E336,59,9999)</f>
        <v>59</v>
      </c>
      <c r="CB336" s="0" t="n">
        <f aca="false">IF(Presupuesto!$B$60='Flujo de Pagos'!$E336,60,9999)</f>
        <v>60</v>
      </c>
      <c r="CC336" s="0" t="n">
        <f aca="false">IF(Presupuesto!$B$61='Flujo de Pagos'!$E336,61,9999)</f>
        <v>61</v>
      </c>
      <c r="CD336" s="0" t="n">
        <f aca="false">IF(Presupuesto!$B$62='Flujo de Pagos'!$E336,62,9999)</f>
        <v>62</v>
      </c>
      <c r="CE336" s="0" t="n">
        <f aca="false">IF(Presupuesto!$B$63='Flujo de Pagos'!$E336,63,9999)</f>
        <v>63</v>
      </c>
      <c r="CF336" s="0" t="n">
        <f aca="false">IF(Presupuesto!$B$64='Flujo de Pagos'!$E336,64,9999)</f>
        <v>64</v>
      </c>
      <c r="CG336" s="0" t="n">
        <f aca="false">IF(Presupuesto!$B$65='Flujo de Pagos'!$E336,65,9999)</f>
        <v>65</v>
      </c>
      <c r="CH336" s="0" t="n">
        <f aca="false">IF(Presupuesto!$B$66='Flujo de Pagos'!$E336,66,9999)</f>
        <v>66</v>
      </c>
    </row>
    <row r="337" customFormat="false" ht="15" hidden="false" customHeight="true" outlineLevel="0" collapsed="false">
      <c r="B337" s="1" t="n">
        <f aca="false">IF(AND('Flujo de Pagos'!E342=Carátula!$B$2,'Flujo de Pagos'!F342=Carátula!$B$4,'Flujo de Pagos'!H342&lt;&gt;""),342,99999)</f>
        <v>99999</v>
      </c>
      <c r="H337" s="1" t="n">
        <f aca="false">IF(SMALL($AA337:$CH337,1)&gt;=9999,"",INDEX(Presupuesto!$C:$C,SMALL($AA337:$CH337,1)))</f>
        <v>0</v>
      </c>
      <c r="I337" s="1" t="n">
        <f aca="false">IF(SMALL($AA337:$CH337,2)&gt;=9999,"",INDEX(Presupuesto!$C:$C,SMALL($AA337:$CH337,2)))</f>
        <v>0</v>
      </c>
      <c r="J337" s="1" t="n">
        <f aca="false">IF(SMALL($AA337:$CH337,3)&gt;=9999,"",INDEX(Presupuesto!$C:$C,SMALL($AA337:$CH337,3)))</f>
        <v>0</v>
      </c>
      <c r="K337" s="1" t="n">
        <f aca="false">IF(SMALL($AA337:$CH337,4)&gt;=9999,"",INDEX(Presupuesto!$C:$C,SMALL($AA337:$CH337,4)))</f>
        <v>0</v>
      </c>
      <c r="L337" s="1" t="n">
        <f aca="false">IF(SMALL($AA337:$CH337,5)&gt;=9999,"",INDEX(Presupuesto!$C:$C,SMALL($AA337:$CH337,5)))</f>
        <v>0</v>
      </c>
      <c r="M337" s="1" t="n">
        <f aca="false">IF(SMALL($AA337:$CH337,6)&gt;=9999,"",INDEX(Presupuesto!$C:$C,SMALL($AA337:$CH337,6)))</f>
        <v>0</v>
      </c>
      <c r="N337" s="1" t="n">
        <f aca="false">IF(SMALL($AA337:$CH337,7)&gt;=9999,"",INDEX(Presupuesto!$C:$C,SMALL($AA337:$CH337,7)))</f>
        <v>0</v>
      </c>
      <c r="O337" s="1" t="n">
        <f aca="false">IF(SMALL($AA337:$CH337,8)&gt;=9999,"",INDEX(Presupuesto!$C:$C,SMALL($AA337:$CH337,8)))</f>
        <v>0</v>
      </c>
      <c r="P337" s="1" t="n">
        <f aca="false">IF(SMALL($AA337:$CH337,9)&gt;=9999,"",INDEX(Presupuesto!$C:$C,SMALL($AA337:$CH337,9)))</f>
        <v>0</v>
      </c>
      <c r="Q337" s="1" t="n">
        <f aca="false">IF(SMALL($AA337:$CH337,10)&gt;=9999,"",INDEX(Presupuesto!$C:$C,SMALL($AA337:$CH337,10)))</f>
        <v>0</v>
      </c>
      <c r="AA337" s="0" t="n">
        <f aca="false">IF(Presupuesto!$B$7='Flujo de Pagos'!$E337,7,9999)</f>
        <v>9999</v>
      </c>
      <c r="AB337" s="0" t="n">
        <f aca="false">IF(Presupuesto!$B$8='Flujo de Pagos'!$E337,8,9999)</f>
        <v>9999</v>
      </c>
      <c r="AC337" s="0" t="n">
        <f aca="false">IF(Presupuesto!$B$9='Flujo de Pagos'!$E337,9,9999)</f>
        <v>9999</v>
      </c>
      <c r="AD337" s="0" t="n">
        <f aca="false">IF(Presupuesto!$B$10='Flujo de Pagos'!$E337,10,9999)</f>
        <v>9999</v>
      </c>
      <c r="AE337" s="0" t="n">
        <f aca="false">IF(Presupuesto!$B$11='Flujo de Pagos'!$E337,11,9999)</f>
        <v>9999</v>
      </c>
      <c r="AF337" s="0" t="n">
        <f aca="false">IF(Presupuesto!$B$12='Flujo de Pagos'!$E337,12,9999)</f>
        <v>12</v>
      </c>
      <c r="AG337" s="0" t="n">
        <f aca="false">IF(Presupuesto!$B$13='Flujo de Pagos'!$E337,13,9999)</f>
        <v>13</v>
      </c>
      <c r="AH337" s="0" t="n">
        <f aca="false">IF(Presupuesto!$B$14='Flujo de Pagos'!$E337,14,9999)</f>
        <v>14</v>
      </c>
      <c r="AI337" s="0" t="n">
        <f aca="false">IF(Presupuesto!$B$15='Flujo de Pagos'!$E337,15,9999)</f>
        <v>15</v>
      </c>
      <c r="AJ337" s="0" t="n">
        <f aca="false">IF(Presupuesto!$B$16='Flujo de Pagos'!$E337,16,9999)</f>
        <v>16</v>
      </c>
      <c r="AK337" s="0" t="n">
        <f aca="false">IF(Presupuesto!$B$17='Flujo de Pagos'!$E337,17,9999)</f>
        <v>17</v>
      </c>
      <c r="AL337" s="0" t="n">
        <f aca="false">IF(Presupuesto!$B$18='Flujo de Pagos'!$E337,18,9999)</f>
        <v>18</v>
      </c>
      <c r="AM337" s="0" t="n">
        <f aca="false">IF(Presupuesto!$B$19='Flujo de Pagos'!$E337,19,9999)</f>
        <v>19</v>
      </c>
      <c r="AN337" s="0" t="n">
        <f aca="false">IF(Presupuesto!$B$20='Flujo de Pagos'!$E337,20,9999)</f>
        <v>20</v>
      </c>
      <c r="AO337" s="0" t="n">
        <f aca="false">IF(Presupuesto!$B$21='Flujo de Pagos'!$E337,21,9999)</f>
        <v>21</v>
      </c>
      <c r="AP337" s="0" t="n">
        <f aca="false">IF(Presupuesto!$B$22='Flujo de Pagos'!$E337,22,9999)</f>
        <v>22</v>
      </c>
      <c r="AQ337" s="0" t="n">
        <f aca="false">IF(Presupuesto!$B$23='Flujo de Pagos'!$E337,23,9999)</f>
        <v>23</v>
      </c>
      <c r="AR337" s="0" t="n">
        <f aca="false">IF(Presupuesto!$B$24='Flujo de Pagos'!$E337,24,9999)</f>
        <v>24</v>
      </c>
      <c r="AS337" s="0" t="n">
        <f aca="false">IF(Presupuesto!$B$25='Flujo de Pagos'!$E337,25,9999)</f>
        <v>25</v>
      </c>
      <c r="AT337" s="0" t="n">
        <f aca="false">IF(Presupuesto!$B$26='Flujo de Pagos'!$E337,26,9999)</f>
        <v>26</v>
      </c>
      <c r="AU337" s="0" t="n">
        <f aca="false">IF(Presupuesto!$B$27='Flujo de Pagos'!$E337,27,9999)</f>
        <v>27</v>
      </c>
      <c r="AV337" s="0" t="n">
        <f aca="false">IF(Presupuesto!$B$28='Flujo de Pagos'!$E337,28,9999)</f>
        <v>28</v>
      </c>
      <c r="AW337" s="0" t="n">
        <f aca="false">IF(Presupuesto!$B$29='Flujo de Pagos'!$E337,29,9999)</f>
        <v>29</v>
      </c>
      <c r="AX337" s="0" t="n">
        <f aca="false">IF(Presupuesto!$B$30='Flujo de Pagos'!$E337,30,9999)</f>
        <v>30</v>
      </c>
      <c r="AY337" s="0" t="n">
        <f aca="false">IF(Presupuesto!$B$31='Flujo de Pagos'!$E337,31,9999)</f>
        <v>31</v>
      </c>
      <c r="AZ337" s="0" t="n">
        <f aca="false">IF(Presupuesto!$B$32='Flujo de Pagos'!$E337,32,9999)</f>
        <v>32</v>
      </c>
      <c r="BA337" s="0" t="n">
        <f aca="false">IF(Presupuesto!$B$33='Flujo de Pagos'!$E337,33,9999)</f>
        <v>33</v>
      </c>
      <c r="BB337" s="0" t="n">
        <f aca="false">IF(Presupuesto!$B$34='Flujo de Pagos'!$E337,34,9999)</f>
        <v>34</v>
      </c>
      <c r="BC337" s="0" t="n">
        <f aca="false">IF(Presupuesto!$B$35='Flujo de Pagos'!$E337,35,9999)</f>
        <v>35</v>
      </c>
      <c r="BD337" s="0" t="n">
        <f aca="false">IF(Presupuesto!$B$36='Flujo de Pagos'!$E337,36,9999)</f>
        <v>36</v>
      </c>
      <c r="BE337" s="0" t="n">
        <f aca="false">IF(Presupuesto!$B$37='Flujo de Pagos'!$E337,37,9999)</f>
        <v>37</v>
      </c>
      <c r="BF337" s="0" t="n">
        <f aca="false">IF(Presupuesto!$B$38='Flujo de Pagos'!$E337,38,9999)</f>
        <v>38</v>
      </c>
      <c r="BG337" s="0" t="n">
        <f aca="false">IF(Presupuesto!$B$39='Flujo de Pagos'!$E337,39,9999)</f>
        <v>39</v>
      </c>
      <c r="BH337" s="0" t="n">
        <f aca="false">IF(Presupuesto!$B$40='Flujo de Pagos'!$E337,40,9999)</f>
        <v>40</v>
      </c>
      <c r="BI337" s="0" t="n">
        <f aca="false">IF(Presupuesto!$B$41='Flujo de Pagos'!$E337,41,9999)</f>
        <v>41</v>
      </c>
      <c r="BJ337" s="0" t="n">
        <f aca="false">IF(Presupuesto!$B$42='Flujo de Pagos'!$E337,42,9999)</f>
        <v>42</v>
      </c>
      <c r="BK337" s="0" t="n">
        <f aca="false">IF(Presupuesto!$B$43='Flujo de Pagos'!$E337,43,9999)</f>
        <v>43</v>
      </c>
      <c r="BL337" s="0" t="n">
        <f aca="false">IF(Presupuesto!$B$44='Flujo de Pagos'!$E337,44,9999)</f>
        <v>44</v>
      </c>
      <c r="BM337" s="0" t="n">
        <f aca="false">IF(Presupuesto!$B$45='Flujo de Pagos'!$E337,45,9999)</f>
        <v>45</v>
      </c>
      <c r="BN337" s="0" t="n">
        <f aca="false">IF(Presupuesto!$B$46='Flujo de Pagos'!$E337,46,9999)</f>
        <v>46</v>
      </c>
      <c r="BO337" s="0" t="n">
        <f aca="false">IF(Presupuesto!$B$47='Flujo de Pagos'!$E337,47,9999)</f>
        <v>47</v>
      </c>
      <c r="BP337" s="0" t="n">
        <f aca="false">IF(Presupuesto!$B$48='Flujo de Pagos'!$E337,48,9999)</f>
        <v>48</v>
      </c>
      <c r="BQ337" s="0" t="n">
        <f aca="false">IF(Presupuesto!$B$49='Flujo de Pagos'!$E337,49,9999)</f>
        <v>49</v>
      </c>
      <c r="BR337" s="0" t="n">
        <f aca="false">IF(Presupuesto!$B$50='Flujo de Pagos'!$E337,50,9999)</f>
        <v>50</v>
      </c>
      <c r="BS337" s="0" t="n">
        <f aca="false">IF(Presupuesto!$B$51='Flujo de Pagos'!$E337,51,9999)</f>
        <v>51</v>
      </c>
      <c r="BT337" s="0" t="n">
        <f aca="false">IF(Presupuesto!$B$52='Flujo de Pagos'!$E337,52,9999)</f>
        <v>52</v>
      </c>
      <c r="BU337" s="0" t="n">
        <f aca="false">IF(Presupuesto!$B$53='Flujo de Pagos'!$E337,53,9999)</f>
        <v>53</v>
      </c>
      <c r="BV337" s="0" t="n">
        <f aca="false">IF(Presupuesto!$B$54='Flujo de Pagos'!$E337,54,9999)</f>
        <v>54</v>
      </c>
      <c r="BW337" s="0" t="n">
        <f aca="false">IF(Presupuesto!$B$55='Flujo de Pagos'!$E337,55,9999)</f>
        <v>55</v>
      </c>
      <c r="BX337" s="0" t="n">
        <f aca="false">IF(Presupuesto!$B$56='Flujo de Pagos'!$E337,56,9999)</f>
        <v>56</v>
      </c>
      <c r="BY337" s="0" t="n">
        <f aca="false">IF(Presupuesto!$B$57='Flujo de Pagos'!$E337,57,9999)</f>
        <v>57</v>
      </c>
      <c r="BZ337" s="0" t="n">
        <f aca="false">IF(Presupuesto!$B$58='Flujo de Pagos'!$E337,58,9999)</f>
        <v>58</v>
      </c>
      <c r="CA337" s="0" t="n">
        <f aca="false">IF(Presupuesto!$B$59='Flujo de Pagos'!$E337,59,9999)</f>
        <v>59</v>
      </c>
      <c r="CB337" s="0" t="n">
        <f aca="false">IF(Presupuesto!$B$60='Flujo de Pagos'!$E337,60,9999)</f>
        <v>60</v>
      </c>
      <c r="CC337" s="0" t="n">
        <f aca="false">IF(Presupuesto!$B$61='Flujo de Pagos'!$E337,61,9999)</f>
        <v>61</v>
      </c>
      <c r="CD337" s="0" t="n">
        <f aca="false">IF(Presupuesto!$B$62='Flujo de Pagos'!$E337,62,9999)</f>
        <v>62</v>
      </c>
      <c r="CE337" s="0" t="n">
        <f aca="false">IF(Presupuesto!$B$63='Flujo de Pagos'!$E337,63,9999)</f>
        <v>63</v>
      </c>
      <c r="CF337" s="0" t="n">
        <f aca="false">IF(Presupuesto!$B$64='Flujo de Pagos'!$E337,64,9999)</f>
        <v>64</v>
      </c>
      <c r="CG337" s="0" t="n">
        <f aca="false">IF(Presupuesto!$B$65='Flujo de Pagos'!$E337,65,9999)</f>
        <v>65</v>
      </c>
      <c r="CH337" s="0" t="n">
        <f aca="false">IF(Presupuesto!$B$66='Flujo de Pagos'!$E337,66,9999)</f>
        <v>66</v>
      </c>
    </row>
    <row r="338" customFormat="false" ht="15" hidden="false" customHeight="true" outlineLevel="0" collapsed="false">
      <c r="B338" s="1" t="n">
        <f aca="false">IF(AND('Flujo de Pagos'!E343=Carátula!$B$2,'Flujo de Pagos'!F343=Carátula!$B$4,'Flujo de Pagos'!H343&lt;&gt;""),343,99999)</f>
        <v>99999</v>
      </c>
      <c r="H338" s="1" t="n">
        <f aca="false">IF(SMALL($AA338:$CH338,1)&gt;=9999,"",INDEX(Presupuesto!$C:$C,SMALL($AA338:$CH338,1)))</f>
        <v>0</v>
      </c>
      <c r="I338" s="1" t="n">
        <f aca="false">IF(SMALL($AA338:$CH338,2)&gt;=9999,"",INDEX(Presupuesto!$C:$C,SMALL($AA338:$CH338,2)))</f>
        <v>0</v>
      </c>
      <c r="J338" s="1" t="n">
        <f aca="false">IF(SMALL($AA338:$CH338,3)&gt;=9999,"",INDEX(Presupuesto!$C:$C,SMALL($AA338:$CH338,3)))</f>
        <v>0</v>
      </c>
      <c r="K338" s="1" t="n">
        <f aca="false">IF(SMALL($AA338:$CH338,4)&gt;=9999,"",INDEX(Presupuesto!$C:$C,SMALL($AA338:$CH338,4)))</f>
        <v>0</v>
      </c>
      <c r="L338" s="1" t="n">
        <f aca="false">IF(SMALL($AA338:$CH338,5)&gt;=9999,"",INDEX(Presupuesto!$C:$C,SMALL($AA338:$CH338,5)))</f>
        <v>0</v>
      </c>
      <c r="M338" s="1" t="n">
        <f aca="false">IF(SMALL($AA338:$CH338,6)&gt;=9999,"",INDEX(Presupuesto!$C:$C,SMALL($AA338:$CH338,6)))</f>
        <v>0</v>
      </c>
      <c r="N338" s="1" t="n">
        <f aca="false">IF(SMALL($AA338:$CH338,7)&gt;=9999,"",INDEX(Presupuesto!$C:$C,SMALL($AA338:$CH338,7)))</f>
        <v>0</v>
      </c>
      <c r="O338" s="1" t="n">
        <f aca="false">IF(SMALL($AA338:$CH338,8)&gt;=9999,"",INDEX(Presupuesto!$C:$C,SMALL($AA338:$CH338,8)))</f>
        <v>0</v>
      </c>
      <c r="P338" s="1" t="n">
        <f aca="false">IF(SMALL($AA338:$CH338,9)&gt;=9999,"",INDEX(Presupuesto!$C:$C,SMALL($AA338:$CH338,9)))</f>
        <v>0</v>
      </c>
      <c r="Q338" s="1" t="n">
        <f aca="false">IF(SMALL($AA338:$CH338,10)&gt;=9999,"",INDEX(Presupuesto!$C:$C,SMALL($AA338:$CH338,10)))</f>
        <v>0</v>
      </c>
      <c r="AA338" s="0" t="n">
        <f aca="false">IF(Presupuesto!$B$7='Flujo de Pagos'!$E338,7,9999)</f>
        <v>9999</v>
      </c>
      <c r="AB338" s="0" t="n">
        <f aca="false">IF(Presupuesto!$B$8='Flujo de Pagos'!$E338,8,9999)</f>
        <v>9999</v>
      </c>
      <c r="AC338" s="0" t="n">
        <f aca="false">IF(Presupuesto!$B$9='Flujo de Pagos'!$E338,9,9999)</f>
        <v>9999</v>
      </c>
      <c r="AD338" s="0" t="n">
        <f aca="false">IF(Presupuesto!$B$10='Flujo de Pagos'!$E338,10,9999)</f>
        <v>9999</v>
      </c>
      <c r="AE338" s="0" t="n">
        <f aca="false">IF(Presupuesto!$B$11='Flujo de Pagos'!$E338,11,9999)</f>
        <v>9999</v>
      </c>
      <c r="AF338" s="0" t="n">
        <f aca="false">IF(Presupuesto!$B$12='Flujo de Pagos'!$E338,12,9999)</f>
        <v>12</v>
      </c>
      <c r="AG338" s="0" t="n">
        <f aca="false">IF(Presupuesto!$B$13='Flujo de Pagos'!$E338,13,9999)</f>
        <v>13</v>
      </c>
      <c r="AH338" s="0" t="n">
        <f aca="false">IF(Presupuesto!$B$14='Flujo de Pagos'!$E338,14,9999)</f>
        <v>14</v>
      </c>
      <c r="AI338" s="0" t="n">
        <f aca="false">IF(Presupuesto!$B$15='Flujo de Pagos'!$E338,15,9999)</f>
        <v>15</v>
      </c>
      <c r="AJ338" s="0" t="n">
        <f aca="false">IF(Presupuesto!$B$16='Flujo de Pagos'!$E338,16,9999)</f>
        <v>16</v>
      </c>
      <c r="AK338" s="0" t="n">
        <f aca="false">IF(Presupuesto!$B$17='Flujo de Pagos'!$E338,17,9999)</f>
        <v>17</v>
      </c>
      <c r="AL338" s="0" t="n">
        <f aca="false">IF(Presupuesto!$B$18='Flujo de Pagos'!$E338,18,9999)</f>
        <v>18</v>
      </c>
      <c r="AM338" s="0" t="n">
        <f aca="false">IF(Presupuesto!$B$19='Flujo de Pagos'!$E338,19,9999)</f>
        <v>19</v>
      </c>
      <c r="AN338" s="0" t="n">
        <f aca="false">IF(Presupuesto!$B$20='Flujo de Pagos'!$E338,20,9999)</f>
        <v>20</v>
      </c>
      <c r="AO338" s="0" t="n">
        <f aca="false">IF(Presupuesto!$B$21='Flujo de Pagos'!$E338,21,9999)</f>
        <v>21</v>
      </c>
      <c r="AP338" s="0" t="n">
        <f aca="false">IF(Presupuesto!$B$22='Flujo de Pagos'!$E338,22,9999)</f>
        <v>22</v>
      </c>
      <c r="AQ338" s="0" t="n">
        <f aca="false">IF(Presupuesto!$B$23='Flujo de Pagos'!$E338,23,9999)</f>
        <v>23</v>
      </c>
      <c r="AR338" s="0" t="n">
        <f aca="false">IF(Presupuesto!$B$24='Flujo de Pagos'!$E338,24,9999)</f>
        <v>24</v>
      </c>
      <c r="AS338" s="0" t="n">
        <f aca="false">IF(Presupuesto!$B$25='Flujo de Pagos'!$E338,25,9999)</f>
        <v>25</v>
      </c>
      <c r="AT338" s="0" t="n">
        <f aca="false">IF(Presupuesto!$B$26='Flujo de Pagos'!$E338,26,9999)</f>
        <v>26</v>
      </c>
      <c r="AU338" s="0" t="n">
        <f aca="false">IF(Presupuesto!$B$27='Flujo de Pagos'!$E338,27,9999)</f>
        <v>27</v>
      </c>
      <c r="AV338" s="0" t="n">
        <f aca="false">IF(Presupuesto!$B$28='Flujo de Pagos'!$E338,28,9999)</f>
        <v>28</v>
      </c>
      <c r="AW338" s="0" t="n">
        <f aca="false">IF(Presupuesto!$B$29='Flujo de Pagos'!$E338,29,9999)</f>
        <v>29</v>
      </c>
      <c r="AX338" s="0" t="n">
        <f aca="false">IF(Presupuesto!$B$30='Flujo de Pagos'!$E338,30,9999)</f>
        <v>30</v>
      </c>
      <c r="AY338" s="0" t="n">
        <f aca="false">IF(Presupuesto!$B$31='Flujo de Pagos'!$E338,31,9999)</f>
        <v>31</v>
      </c>
      <c r="AZ338" s="0" t="n">
        <f aca="false">IF(Presupuesto!$B$32='Flujo de Pagos'!$E338,32,9999)</f>
        <v>32</v>
      </c>
      <c r="BA338" s="0" t="n">
        <f aca="false">IF(Presupuesto!$B$33='Flujo de Pagos'!$E338,33,9999)</f>
        <v>33</v>
      </c>
      <c r="BB338" s="0" t="n">
        <f aca="false">IF(Presupuesto!$B$34='Flujo de Pagos'!$E338,34,9999)</f>
        <v>34</v>
      </c>
      <c r="BC338" s="0" t="n">
        <f aca="false">IF(Presupuesto!$B$35='Flujo de Pagos'!$E338,35,9999)</f>
        <v>35</v>
      </c>
      <c r="BD338" s="0" t="n">
        <f aca="false">IF(Presupuesto!$B$36='Flujo de Pagos'!$E338,36,9999)</f>
        <v>36</v>
      </c>
      <c r="BE338" s="0" t="n">
        <f aca="false">IF(Presupuesto!$B$37='Flujo de Pagos'!$E338,37,9999)</f>
        <v>37</v>
      </c>
      <c r="BF338" s="0" t="n">
        <f aca="false">IF(Presupuesto!$B$38='Flujo de Pagos'!$E338,38,9999)</f>
        <v>38</v>
      </c>
      <c r="BG338" s="0" t="n">
        <f aca="false">IF(Presupuesto!$B$39='Flujo de Pagos'!$E338,39,9999)</f>
        <v>39</v>
      </c>
      <c r="BH338" s="0" t="n">
        <f aca="false">IF(Presupuesto!$B$40='Flujo de Pagos'!$E338,40,9999)</f>
        <v>40</v>
      </c>
      <c r="BI338" s="0" t="n">
        <f aca="false">IF(Presupuesto!$B$41='Flujo de Pagos'!$E338,41,9999)</f>
        <v>41</v>
      </c>
      <c r="BJ338" s="0" t="n">
        <f aca="false">IF(Presupuesto!$B$42='Flujo de Pagos'!$E338,42,9999)</f>
        <v>42</v>
      </c>
      <c r="BK338" s="0" t="n">
        <f aca="false">IF(Presupuesto!$B$43='Flujo de Pagos'!$E338,43,9999)</f>
        <v>43</v>
      </c>
      <c r="BL338" s="0" t="n">
        <f aca="false">IF(Presupuesto!$B$44='Flujo de Pagos'!$E338,44,9999)</f>
        <v>44</v>
      </c>
      <c r="BM338" s="0" t="n">
        <f aca="false">IF(Presupuesto!$B$45='Flujo de Pagos'!$E338,45,9999)</f>
        <v>45</v>
      </c>
      <c r="BN338" s="0" t="n">
        <f aca="false">IF(Presupuesto!$B$46='Flujo de Pagos'!$E338,46,9999)</f>
        <v>46</v>
      </c>
      <c r="BO338" s="0" t="n">
        <f aca="false">IF(Presupuesto!$B$47='Flujo de Pagos'!$E338,47,9999)</f>
        <v>47</v>
      </c>
      <c r="BP338" s="0" t="n">
        <f aca="false">IF(Presupuesto!$B$48='Flujo de Pagos'!$E338,48,9999)</f>
        <v>48</v>
      </c>
      <c r="BQ338" s="0" t="n">
        <f aca="false">IF(Presupuesto!$B$49='Flujo de Pagos'!$E338,49,9999)</f>
        <v>49</v>
      </c>
      <c r="BR338" s="0" t="n">
        <f aca="false">IF(Presupuesto!$B$50='Flujo de Pagos'!$E338,50,9999)</f>
        <v>50</v>
      </c>
      <c r="BS338" s="0" t="n">
        <f aca="false">IF(Presupuesto!$B$51='Flujo de Pagos'!$E338,51,9999)</f>
        <v>51</v>
      </c>
      <c r="BT338" s="0" t="n">
        <f aca="false">IF(Presupuesto!$B$52='Flujo de Pagos'!$E338,52,9999)</f>
        <v>52</v>
      </c>
      <c r="BU338" s="0" t="n">
        <f aca="false">IF(Presupuesto!$B$53='Flujo de Pagos'!$E338,53,9999)</f>
        <v>53</v>
      </c>
      <c r="BV338" s="0" t="n">
        <f aca="false">IF(Presupuesto!$B$54='Flujo de Pagos'!$E338,54,9999)</f>
        <v>54</v>
      </c>
      <c r="BW338" s="0" t="n">
        <f aca="false">IF(Presupuesto!$B$55='Flujo de Pagos'!$E338,55,9999)</f>
        <v>55</v>
      </c>
      <c r="BX338" s="0" t="n">
        <f aca="false">IF(Presupuesto!$B$56='Flujo de Pagos'!$E338,56,9999)</f>
        <v>56</v>
      </c>
      <c r="BY338" s="0" t="n">
        <f aca="false">IF(Presupuesto!$B$57='Flujo de Pagos'!$E338,57,9999)</f>
        <v>57</v>
      </c>
      <c r="BZ338" s="0" t="n">
        <f aca="false">IF(Presupuesto!$B$58='Flujo de Pagos'!$E338,58,9999)</f>
        <v>58</v>
      </c>
      <c r="CA338" s="0" t="n">
        <f aca="false">IF(Presupuesto!$B$59='Flujo de Pagos'!$E338,59,9999)</f>
        <v>59</v>
      </c>
      <c r="CB338" s="0" t="n">
        <f aca="false">IF(Presupuesto!$B$60='Flujo de Pagos'!$E338,60,9999)</f>
        <v>60</v>
      </c>
      <c r="CC338" s="0" t="n">
        <f aca="false">IF(Presupuesto!$B$61='Flujo de Pagos'!$E338,61,9999)</f>
        <v>61</v>
      </c>
      <c r="CD338" s="0" t="n">
        <f aca="false">IF(Presupuesto!$B$62='Flujo de Pagos'!$E338,62,9999)</f>
        <v>62</v>
      </c>
      <c r="CE338" s="0" t="n">
        <f aca="false">IF(Presupuesto!$B$63='Flujo de Pagos'!$E338,63,9999)</f>
        <v>63</v>
      </c>
      <c r="CF338" s="0" t="n">
        <f aca="false">IF(Presupuesto!$B$64='Flujo de Pagos'!$E338,64,9999)</f>
        <v>64</v>
      </c>
      <c r="CG338" s="0" t="n">
        <f aca="false">IF(Presupuesto!$B$65='Flujo de Pagos'!$E338,65,9999)</f>
        <v>65</v>
      </c>
      <c r="CH338" s="0" t="n">
        <f aca="false">IF(Presupuesto!$B$66='Flujo de Pagos'!$E338,66,9999)</f>
        <v>66</v>
      </c>
    </row>
    <row r="339" customFormat="false" ht="15" hidden="false" customHeight="true" outlineLevel="0" collapsed="false">
      <c r="B339" s="1" t="n">
        <f aca="false">IF(AND('Flujo de Pagos'!E344=Carátula!$B$2,'Flujo de Pagos'!F344=Carátula!$B$4,'Flujo de Pagos'!H344&lt;&gt;""),344,99999)</f>
        <v>99999</v>
      </c>
      <c r="H339" s="1" t="n">
        <f aca="false">IF(SMALL($AA339:$CH339,1)&gt;=9999,"",INDEX(Presupuesto!$C:$C,SMALL($AA339:$CH339,1)))</f>
        <v>0</v>
      </c>
      <c r="I339" s="1" t="n">
        <f aca="false">IF(SMALL($AA339:$CH339,2)&gt;=9999,"",INDEX(Presupuesto!$C:$C,SMALL($AA339:$CH339,2)))</f>
        <v>0</v>
      </c>
      <c r="J339" s="1" t="n">
        <f aca="false">IF(SMALL($AA339:$CH339,3)&gt;=9999,"",INDEX(Presupuesto!$C:$C,SMALL($AA339:$CH339,3)))</f>
        <v>0</v>
      </c>
      <c r="K339" s="1" t="n">
        <f aca="false">IF(SMALL($AA339:$CH339,4)&gt;=9999,"",INDEX(Presupuesto!$C:$C,SMALL($AA339:$CH339,4)))</f>
        <v>0</v>
      </c>
      <c r="L339" s="1" t="n">
        <f aca="false">IF(SMALL($AA339:$CH339,5)&gt;=9999,"",INDEX(Presupuesto!$C:$C,SMALL($AA339:$CH339,5)))</f>
        <v>0</v>
      </c>
      <c r="M339" s="1" t="n">
        <f aca="false">IF(SMALL($AA339:$CH339,6)&gt;=9999,"",INDEX(Presupuesto!$C:$C,SMALL($AA339:$CH339,6)))</f>
        <v>0</v>
      </c>
      <c r="N339" s="1" t="n">
        <f aca="false">IF(SMALL($AA339:$CH339,7)&gt;=9999,"",INDEX(Presupuesto!$C:$C,SMALL($AA339:$CH339,7)))</f>
        <v>0</v>
      </c>
      <c r="O339" s="1" t="n">
        <f aca="false">IF(SMALL($AA339:$CH339,8)&gt;=9999,"",INDEX(Presupuesto!$C:$C,SMALL($AA339:$CH339,8)))</f>
        <v>0</v>
      </c>
      <c r="P339" s="1" t="n">
        <f aca="false">IF(SMALL($AA339:$CH339,9)&gt;=9999,"",INDEX(Presupuesto!$C:$C,SMALL($AA339:$CH339,9)))</f>
        <v>0</v>
      </c>
      <c r="Q339" s="1" t="n">
        <f aca="false">IF(SMALL($AA339:$CH339,10)&gt;=9999,"",INDEX(Presupuesto!$C:$C,SMALL($AA339:$CH339,10)))</f>
        <v>0</v>
      </c>
      <c r="AA339" s="0" t="n">
        <f aca="false">IF(Presupuesto!$B$7='Flujo de Pagos'!$E339,7,9999)</f>
        <v>9999</v>
      </c>
      <c r="AB339" s="0" t="n">
        <f aca="false">IF(Presupuesto!$B$8='Flujo de Pagos'!$E339,8,9999)</f>
        <v>9999</v>
      </c>
      <c r="AC339" s="0" t="n">
        <f aca="false">IF(Presupuesto!$B$9='Flujo de Pagos'!$E339,9,9999)</f>
        <v>9999</v>
      </c>
      <c r="AD339" s="0" t="n">
        <f aca="false">IF(Presupuesto!$B$10='Flujo de Pagos'!$E339,10,9999)</f>
        <v>9999</v>
      </c>
      <c r="AE339" s="0" t="n">
        <f aca="false">IF(Presupuesto!$B$11='Flujo de Pagos'!$E339,11,9999)</f>
        <v>9999</v>
      </c>
      <c r="AF339" s="0" t="n">
        <f aca="false">IF(Presupuesto!$B$12='Flujo de Pagos'!$E339,12,9999)</f>
        <v>12</v>
      </c>
      <c r="AG339" s="0" t="n">
        <f aca="false">IF(Presupuesto!$B$13='Flujo de Pagos'!$E339,13,9999)</f>
        <v>13</v>
      </c>
      <c r="AH339" s="0" t="n">
        <f aca="false">IF(Presupuesto!$B$14='Flujo de Pagos'!$E339,14,9999)</f>
        <v>14</v>
      </c>
      <c r="AI339" s="0" t="n">
        <f aca="false">IF(Presupuesto!$B$15='Flujo de Pagos'!$E339,15,9999)</f>
        <v>15</v>
      </c>
      <c r="AJ339" s="0" t="n">
        <f aca="false">IF(Presupuesto!$B$16='Flujo de Pagos'!$E339,16,9999)</f>
        <v>16</v>
      </c>
      <c r="AK339" s="0" t="n">
        <f aca="false">IF(Presupuesto!$B$17='Flujo de Pagos'!$E339,17,9999)</f>
        <v>17</v>
      </c>
      <c r="AL339" s="0" t="n">
        <f aca="false">IF(Presupuesto!$B$18='Flujo de Pagos'!$E339,18,9999)</f>
        <v>18</v>
      </c>
      <c r="AM339" s="0" t="n">
        <f aca="false">IF(Presupuesto!$B$19='Flujo de Pagos'!$E339,19,9999)</f>
        <v>19</v>
      </c>
      <c r="AN339" s="0" t="n">
        <f aca="false">IF(Presupuesto!$B$20='Flujo de Pagos'!$E339,20,9999)</f>
        <v>20</v>
      </c>
      <c r="AO339" s="0" t="n">
        <f aca="false">IF(Presupuesto!$B$21='Flujo de Pagos'!$E339,21,9999)</f>
        <v>21</v>
      </c>
      <c r="AP339" s="0" t="n">
        <f aca="false">IF(Presupuesto!$B$22='Flujo de Pagos'!$E339,22,9999)</f>
        <v>22</v>
      </c>
      <c r="AQ339" s="0" t="n">
        <f aca="false">IF(Presupuesto!$B$23='Flujo de Pagos'!$E339,23,9999)</f>
        <v>23</v>
      </c>
      <c r="AR339" s="0" t="n">
        <f aca="false">IF(Presupuesto!$B$24='Flujo de Pagos'!$E339,24,9999)</f>
        <v>24</v>
      </c>
      <c r="AS339" s="0" t="n">
        <f aca="false">IF(Presupuesto!$B$25='Flujo de Pagos'!$E339,25,9999)</f>
        <v>25</v>
      </c>
      <c r="AT339" s="0" t="n">
        <f aca="false">IF(Presupuesto!$B$26='Flujo de Pagos'!$E339,26,9999)</f>
        <v>26</v>
      </c>
      <c r="AU339" s="0" t="n">
        <f aca="false">IF(Presupuesto!$B$27='Flujo de Pagos'!$E339,27,9999)</f>
        <v>27</v>
      </c>
      <c r="AV339" s="0" t="n">
        <f aca="false">IF(Presupuesto!$B$28='Flujo de Pagos'!$E339,28,9999)</f>
        <v>28</v>
      </c>
      <c r="AW339" s="0" t="n">
        <f aca="false">IF(Presupuesto!$B$29='Flujo de Pagos'!$E339,29,9999)</f>
        <v>29</v>
      </c>
      <c r="AX339" s="0" t="n">
        <f aca="false">IF(Presupuesto!$B$30='Flujo de Pagos'!$E339,30,9999)</f>
        <v>30</v>
      </c>
      <c r="AY339" s="0" t="n">
        <f aca="false">IF(Presupuesto!$B$31='Flujo de Pagos'!$E339,31,9999)</f>
        <v>31</v>
      </c>
      <c r="AZ339" s="0" t="n">
        <f aca="false">IF(Presupuesto!$B$32='Flujo de Pagos'!$E339,32,9999)</f>
        <v>32</v>
      </c>
      <c r="BA339" s="0" t="n">
        <f aca="false">IF(Presupuesto!$B$33='Flujo de Pagos'!$E339,33,9999)</f>
        <v>33</v>
      </c>
      <c r="BB339" s="0" t="n">
        <f aca="false">IF(Presupuesto!$B$34='Flujo de Pagos'!$E339,34,9999)</f>
        <v>34</v>
      </c>
      <c r="BC339" s="0" t="n">
        <f aca="false">IF(Presupuesto!$B$35='Flujo de Pagos'!$E339,35,9999)</f>
        <v>35</v>
      </c>
      <c r="BD339" s="0" t="n">
        <f aca="false">IF(Presupuesto!$B$36='Flujo de Pagos'!$E339,36,9999)</f>
        <v>36</v>
      </c>
      <c r="BE339" s="0" t="n">
        <f aca="false">IF(Presupuesto!$B$37='Flujo de Pagos'!$E339,37,9999)</f>
        <v>37</v>
      </c>
      <c r="BF339" s="0" t="n">
        <f aca="false">IF(Presupuesto!$B$38='Flujo de Pagos'!$E339,38,9999)</f>
        <v>38</v>
      </c>
      <c r="BG339" s="0" t="n">
        <f aca="false">IF(Presupuesto!$B$39='Flujo de Pagos'!$E339,39,9999)</f>
        <v>39</v>
      </c>
      <c r="BH339" s="0" t="n">
        <f aca="false">IF(Presupuesto!$B$40='Flujo de Pagos'!$E339,40,9999)</f>
        <v>40</v>
      </c>
      <c r="BI339" s="0" t="n">
        <f aca="false">IF(Presupuesto!$B$41='Flujo de Pagos'!$E339,41,9999)</f>
        <v>41</v>
      </c>
      <c r="BJ339" s="0" t="n">
        <f aca="false">IF(Presupuesto!$B$42='Flujo de Pagos'!$E339,42,9999)</f>
        <v>42</v>
      </c>
      <c r="BK339" s="0" t="n">
        <f aca="false">IF(Presupuesto!$B$43='Flujo de Pagos'!$E339,43,9999)</f>
        <v>43</v>
      </c>
      <c r="BL339" s="0" t="n">
        <f aca="false">IF(Presupuesto!$B$44='Flujo de Pagos'!$E339,44,9999)</f>
        <v>44</v>
      </c>
      <c r="BM339" s="0" t="n">
        <f aca="false">IF(Presupuesto!$B$45='Flujo de Pagos'!$E339,45,9999)</f>
        <v>45</v>
      </c>
      <c r="BN339" s="0" t="n">
        <f aca="false">IF(Presupuesto!$B$46='Flujo de Pagos'!$E339,46,9999)</f>
        <v>46</v>
      </c>
      <c r="BO339" s="0" t="n">
        <f aca="false">IF(Presupuesto!$B$47='Flujo de Pagos'!$E339,47,9999)</f>
        <v>47</v>
      </c>
      <c r="BP339" s="0" t="n">
        <f aca="false">IF(Presupuesto!$B$48='Flujo de Pagos'!$E339,48,9999)</f>
        <v>48</v>
      </c>
      <c r="BQ339" s="0" t="n">
        <f aca="false">IF(Presupuesto!$B$49='Flujo de Pagos'!$E339,49,9999)</f>
        <v>49</v>
      </c>
      <c r="BR339" s="0" t="n">
        <f aca="false">IF(Presupuesto!$B$50='Flujo de Pagos'!$E339,50,9999)</f>
        <v>50</v>
      </c>
      <c r="BS339" s="0" t="n">
        <f aca="false">IF(Presupuesto!$B$51='Flujo de Pagos'!$E339,51,9999)</f>
        <v>51</v>
      </c>
      <c r="BT339" s="0" t="n">
        <f aca="false">IF(Presupuesto!$B$52='Flujo de Pagos'!$E339,52,9999)</f>
        <v>52</v>
      </c>
      <c r="BU339" s="0" t="n">
        <f aca="false">IF(Presupuesto!$B$53='Flujo de Pagos'!$E339,53,9999)</f>
        <v>53</v>
      </c>
      <c r="BV339" s="0" t="n">
        <f aca="false">IF(Presupuesto!$B$54='Flujo de Pagos'!$E339,54,9999)</f>
        <v>54</v>
      </c>
      <c r="BW339" s="0" t="n">
        <f aca="false">IF(Presupuesto!$B$55='Flujo de Pagos'!$E339,55,9999)</f>
        <v>55</v>
      </c>
      <c r="BX339" s="0" t="n">
        <f aca="false">IF(Presupuesto!$B$56='Flujo de Pagos'!$E339,56,9999)</f>
        <v>56</v>
      </c>
      <c r="BY339" s="0" t="n">
        <f aca="false">IF(Presupuesto!$B$57='Flujo de Pagos'!$E339,57,9999)</f>
        <v>57</v>
      </c>
      <c r="BZ339" s="0" t="n">
        <f aca="false">IF(Presupuesto!$B$58='Flujo de Pagos'!$E339,58,9999)</f>
        <v>58</v>
      </c>
      <c r="CA339" s="0" t="n">
        <f aca="false">IF(Presupuesto!$B$59='Flujo de Pagos'!$E339,59,9999)</f>
        <v>59</v>
      </c>
      <c r="CB339" s="0" t="n">
        <f aca="false">IF(Presupuesto!$B$60='Flujo de Pagos'!$E339,60,9999)</f>
        <v>60</v>
      </c>
      <c r="CC339" s="0" t="n">
        <f aca="false">IF(Presupuesto!$B$61='Flujo de Pagos'!$E339,61,9999)</f>
        <v>61</v>
      </c>
      <c r="CD339" s="0" t="n">
        <f aca="false">IF(Presupuesto!$B$62='Flujo de Pagos'!$E339,62,9999)</f>
        <v>62</v>
      </c>
      <c r="CE339" s="0" t="n">
        <f aca="false">IF(Presupuesto!$B$63='Flujo de Pagos'!$E339,63,9999)</f>
        <v>63</v>
      </c>
      <c r="CF339" s="0" t="n">
        <f aca="false">IF(Presupuesto!$B$64='Flujo de Pagos'!$E339,64,9999)</f>
        <v>64</v>
      </c>
      <c r="CG339" s="0" t="n">
        <f aca="false">IF(Presupuesto!$B$65='Flujo de Pagos'!$E339,65,9999)</f>
        <v>65</v>
      </c>
      <c r="CH339" s="0" t="n">
        <f aca="false">IF(Presupuesto!$B$66='Flujo de Pagos'!$E339,66,9999)</f>
        <v>66</v>
      </c>
    </row>
    <row r="340" customFormat="false" ht="15" hidden="false" customHeight="true" outlineLevel="0" collapsed="false">
      <c r="B340" s="1" t="n">
        <f aca="false">IF(AND('Flujo de Pagos'!E345=Carátula!$B$2,'Flujo de Pagos'!F345=Carátula!$B$4,'Flujo de Pagos'!H345&lt;&gt;""),345,99999)</f>
        <v>99999</v>
      </c>
      <c r="H340" s="1" t="n">
        <f aca="false">IF(SMALL($AA340:$CH340,1)&gt;=9999,"",INDEX(Presupuesto!$C:$C,SMALL($AA340:$CH340,1)))</f>
        <v>0</v>
      </c>
      <c r="I340" s="1" t="n">
        <f aca="false">IF(SMALL($AA340:$CH340,2)&gt;=9999,"",INDEX(Presupuesto!$C:$C,SMALL($AA340:$CH340,2)))</f>
        <v>0</v>
      </c>
      <c r="J340" s="1" t="n">
        <f aca="false">IF(SMALL($AA340:$CH340,3)&gt;=9999,"",INDEX(Presupuesto!$C:$C,SMALL($AA340:$CH340,3)))</f>
        <v>0</v>
      </c>
      <c r="K340" s="1" t="n">
        <f aca="false">IF(SMALL($AA340:$CH340,4)&gt;=9999,"",INDEX(Presupuesto!$C:$C,SMALL($AA340:$CH340,4)))</f>
        <v>0</v>
      </c>
      <c r="L340" s="1" t="n">
        <f aca="false">IF(SMALL($AA340:$CH340,5)&gt;=9999,"",INDEX(Presupuesto!$C:$C,SMALL($AA340:$CH340,5)))</f>
        <v>0</v>
      </c>
      <c r="M340" s="1" t="n">
        <f aca="false">IF(SMALL($AA340:$CH340,6)&gt;=9999,"",INDEX(Presupuesto!$C:$C,SMALL($AA340:$CH340,6)))</f>
        <v>0</v>
      </c>
      <c r="N340" s="1" t="n">
        <f aca="false">IF(SMALL($AA340:$CH340,7)&gt;=9999,"",INDEX(Presupuesto!$C:$C,SMALL($AA340:$CH340,7)))</f>
        <v>0</v>
      </c>
      <c r="O340" s="1" t="n">
        <f aca="false">IF(SMALL($AA340:$CH340,8)&gt;=9999,"",INDEX(Presupuesto!$C:$C,SMALL($AA340:$CH340,8)))</f>
        <v>0</v>
      </c>
      <c r="P340" s="1" t="n">
        <f aca="false">IF(SMALL($AA340:$CH340,9)&gt;=9999,"",INDEX(Presupuesto!$C:$C,SMALL($AA340:$CH340,9)))</f>
        <v>0</v>
      </c>
      <c r="Q340" s="1" t="n">
        <f aca="false">IF(SMALL($AA340:$CH340,10)&gt;=9999,"",INDEX(Presupuesto!$C:$C,SMALL($AA340:$CH340,10)))</f>
        <v>0</v>
      </c>
      <c r="AA340" s="0" t="n">
        <f aca="false">IF(Presupuesto!$B$7='Flujo de Pagos'!$E340,7,9999)</f>
        <v>9999</v>
      </c>
      <c r="AB340" s="0" t="n">
        <f aca="false">IF(Presupuesto!$B$8='Flujo de Pagos'!$E340,8,9999)</f>
        <v>9999</v>
      </c>
      <c r="AC340" s="0" t="n">
        <f aca="false">IF(Presupuesto!$B$9='Flujo de Pagos'!$E340,9,9999)</f>
        <v>9999</v>
      </c>
      <c r="AD340" s="0" t="n">
        <f aca="false">IF(Presupuesto!$B$10='Flujo de Pagos'!$E340,10,9999)</f>
        <v>9999</v>
      </c>
      <c r="AE340" s="0" t="n">
        <f aca="false">IF(Presupuesto!$B$11='Flujo de Pagos'!$E340,11,9999)</f>
        <v>9999</v>
      </c>
      <c r="AF340" s="0" t="n">
        <f aca="false">IF(Presupuesto!$B$12='Flujo de Pagos'!$E340,12,9999)</f>
        <v>12</v>
      </c>
      <c r="AG340" s="0" t="n">
        <f aca="false">IF(Presupuesto!$B$13='Flujo de Pagos'!$E340,13,9999)</f>
        <v>13</v>
      </c>
      <c r="AH340" s="0" t="n">
        <f aca="false">IF(Presupuesto!$B$14='Flujo de Pagos'!$E340,14,9999)</f>
        <v>14</v>
      </c>
      <c r="AI340" s="0" t="n">
        <f aca="false">IF(Presupuesto!$B$15='Flujo de Pagos'!$E340,15,9999)</f>
        <v>15</v>
      </c>
      <c r="AJ340" s="0" t="n">
        <f aca="false">IF(Presupuesto!$B$16='Flujo de Pagos'!$E340,16,9999)</f>
        <v>16</v>
      </c>
      <c r="AK340" s="0" t="n">
        <f aca="false">IF(Presupuesto!$B$17='Flujo de Pagos'!$E340,17,9999)</f>
        <v>17</v>
      </c>
      <c r="AL340" s="0" t="n">
        <f aca="false">IF(Presupuesto!$B$18='Flujo de Pagos'!$E340,18,9999)</f>
        <v>18</v>
      </c>
      <c r="AM340" s="0" t="n">
        <f aca="false">IF(Presupuesto!$B$19='Flujo de Pagos'!$E340,19,9999)</f>
        <v>19</v>
      </c>
      <c r="AN340" s="0" t="n">
        <f aca="false">IF(Presupuesto!$B$20='Flujo de Pagos'!$E340,20,9999)</f>
        <v>20</v>
      </c>
      <c r="AO340" s="0" t="n">
        <f aca="false">IF(Presupuesto!$B$21='Flujo de Pagos'!$E340,21,9999)</f>
        <v>21</v>
      </c>
      <c r="AP340" s="0" t="n">
        <f aca="false">IF(Presupuesto!$B$22='Flujo de Pagos'!$E340,22,9999)</f>
        <v>22</v>
      </c>
      <c r="AQ340" s="0" t="n">
        <f aca="false">IF(Presupuesto!$B$23='Flujo de Pagos'!$E340,23,9999)</f>
        <v>23</v>
      </c>
      <c r="AR340" s="0" t="n">
        <f aca="false">IF(Presupuesto!$B$24='Flujo de Pagos'!$E340,24,9999)</f>
        <v>24</v>
      </c>
      <c r="AS340" s="0" t="n">
        <f aca="false">IF(Presupuesto!$B$25='Flujo de Pagos'!$E340,25,9999)</f>
        <v>25</v>
      </c>
      <c r="AT340" s="0" t="n">
        <f aca="false">IF(Presupuesto!$B$26='Flujo de Pagos'!$E340,26,9999)</f>
        <v>26</v>
      </c>
      <c r="AU340" s="0" t="n">
        <f aca="false">IF(Presupuesto!$B$27='Flujo de Pagos'!$E340,27,9999)</f>
        <v>27</v>
      </c>
      <c r="AV340" s="0" t="n">
        <f aca="false">IF(Presupuesto!$B$28='Flujo de Pagos'!$E340,28,9999)</f>
        <v>28</v>
      </c>
      <c r="AW340" s="0" t="n">
        <f aca="false">IF(Presupuesto!$B$29='Flujo de Pagos'!$E340,29,9999)</f>
        <v>29</v>
      </c>
      <c r="AX340" s="0" t="n">
        <f aca="false">IF(Presupuesto!$B$30='Flujo de Pagos'!$E340,30,9999)</f>
        <v>30</v>
      </c>
      <c r="AY340" s="0" t="n">
        <f aca="false">IF(Presupuesto!$B$31='Flujo de Pagos'!$E340,31,9999)</f>
        <v>31</v>
      </c>
      <c r="AZ340" s="0" t="n">
        <f aca="false">IF(Presupuesto!$B$32='Flujo de Pagos'!$E340,32,9999)</f>
        <v>32</v>
      </c>
      <c r="BA340" s="0" t="n">
        <f aca="false">IF(Presupuesto!$B$33='Flujo de Pagos'!$E340,33,9999)</f>
        <v>33</v>
      </c>
      <c r="BB340" s="0" t="n">
        <f aca="false">IF(Presupuesto!$B$34='Flujo de Pagos'!$E340,34,9999)</f>
        <v>34</v>
      </c>
      <c r="BC340" s="0" t="n">
        <f aca="false">IF(Presupuesto!$B$35='Flujo de Pagos'!$E340,35,9999)</f>
        <v>35</v>
      </c>
      <c r="BD340" s="0" t="n">
        <f aca="false">IF(Presupuesto!$B$36='Flujo de Pagos'!$E340,36,9999)</f>
        <v>36</v>
      </c>
      <c r="BE340" s="0" t="n">
        <f aca="false">IF(Presupuesto!$B$37='Flujo de Pagos'!$E340,37,9999)</f>
        <v>37</v>
      </c>
      <c r="BF340" s="0" t="n">
        <f aca="false">IF(Presupuesto!$B$38='Flujo de Pagos'!$E340,38,9999)</f>
        <v>38</v>
      </c>
      <c r="BG340" s="0" t="n">
        <f aca="false">IF(Presupuesto!$B$39='Flujo de Pagos'!$E340,39,9999)</f>
        <v>39</v>
      </c>
      <c r="BH340" s="0" t="n">
        <f aca="false">IF(Presupuesto!$B$40='Flujo de Pagos'!$E340,40,9999)</f>
        <v>40</v>
      </c>
      <c r="BI340" s="0" t="n">
        <f aca="false">IF(Presupuesto!$B$41='Flujo de Pagos'!$E340,41,9999)</f>
        <v>41</v>
      </c>
      <c r="BJ340" s="0" t="n">
        <f aca="false">IF(Presupuesto!$B$42='Flujo de Pagos'!$E340,42,9999)</f>
        <v>42</v>
      </c>
      <c r="BK340" s="0" t="n">
        <f aca="false">IF(Presupuesto!$B$43='Flujo de Pagos'!$E340,43,9999)</f>
        <v>43</v>
      </c>
      <c r="BL340" s="0" t="n">
        <f aca="false">IF(Presupuesto!$B$44='Flujo de Pagos'!$E340,44,9999)</f>
        <v>44</v>
      </c>
      <c r="BM340" s="0" t="n">
        <f aca="false">IF(Presupuesto!$B$45='Flujo de Pagos'!$E340,45,9999)</f>
        <v>45</v>
      </c>
      <c r="BN340" s="0" t="n">
        <f aca="false">IF(Presupuesto!$B$46='Flujo de Pagos'!$E340,46,9999)</f>
        <v>46</v>
      </c>
      <c r="BO340" s="0" t="n">
        <f aca="false">IF(Presupuesto!$B$47='Flujo de Pagos'!$E340,47,9999)</f>
        <v>47</v>
      </c>
      <c r="BP340" s="0" t="n">
        <f aca="false">IF(Presupuesto!$B$48='Flujo de Pagos'!$E340,48,9999)</f>
        <v>48</v>
      </c>
      <c r="BQ340" s="0" t="n">
        <f aca="false">IF(Presupuesto!$B$49='Flujo de Pagos'!$E340,49,9999)</f>
        <v>49</v>
      </c>
      <c r="BR340" s="0" t="n">
        <f aca="false">IF(Presupuesto!$B$50='Flujo de Pagos'!$E340,50,9999)</f>
        <v>50</v>
      </c>
      <c r="BS340" s="0" t="n">
        <f aca="false">IF(Presupuesto!$B$51='Flujo de Pagos'!$E340,51,9999)</f>
        <v>51</v>
      </c>
      <c r="BT340" s="0" t="n">
        <f aca="false">IF(Presupuesto!$B$52='Flujo de Pagos'!$E340,52,9999)</f>
        <v>52</v>
      </c>
      <c r="BU340" s="0" t="n">
        <f aca="false">IF(Presupuesto!$B$53='Flujo de Pagos'!$E340,53,9999)</f>
        <v>53</v>
      </c>
      <c r="BV340" s="0" t="n">
        <f aca="false">IF(Presupuesto!$B$54='Flujo de Pagos'!$E340,54,9999)</f>
        <v>54</v>
      </c>
      <c r="BW340" s="0" t="n">
        <f aca="false">IF(Presupuesto!$B$55='Flujo de Pagos'!$E340,55,9999)</f>
        <v>55</v>
      </c>
      <c r="BX340" s="0" t="n">
        <f aca="false">IF(Presupuesto!$B$56='Flujo de Pagos'!$E340,56,9999)</f>
        <v>56</v>
      </c>
      <c r="BY340" s="0" t="n">
        <f aca="false">IF(Presupuesto!$B$57='Flujo de Pagos'!$E340,57,9999)</f>
        <v>57</v>
      </c>
      <c r="BZ340" s="0" t="n">
        <f aca="false">IF(Presupuesto!$B$58='Flujo de Pagos'!$E340,58,9999)</f>
        <v>58</v>
      </c>
      <c r="CA340" s="0" t="n">
        <f aca="false">IF(Presupuesto!$B$59='Flujo de Pagos'!$E340,59,9999)</f>
        <v>59</v>
      </c>
      <c r="CB340" s="0" t="n">
        <f aca="false">IF(Presupuesto!$B$60='Flujo de Pagos'!$E340,60,9999)</f>
        <v>60</v>
      </c>
      <c r="CC340" s="0" t="n">
        <f aca="false">IF(Presupuesto!$B$61='Flujo de Pagos'!$E340,61,9999)</f>
        <v>61</v>
      </c>
      <c r="CD340" s="0" t="n">
        <f aca="false">IF(Presupuesto!$B$62='Flujo de Pagos'!$E340,62,9999)</f>
        <v>62</v>
      </c>
      <c r="CE340" s="0" t="n">
        <f aca="false">IF(Presupuesto!$B$63='Flujo de Pagos'!$E340,63,9999)</f>
        <v>63</v>
      </c>
      <c r="CF340" s="0" t="n">
        <f aca="false">IF(Presupuesto!$B$64='Flujo de Pagos'!$E340,64,9999)</f>
        <v>64</v>
      </c>
      <c r="CG340" s="0" t="n">
        <f aca="false">IF(Presupuesto!$B$65='Flujo de Pagos'!$E340,65,9999)</f>
        <v>65</v>
      </c>
      <c r="CH340" s="0" t="n">
        <f aca="false">IF(Presupuesto!$B$66='Flujo de Pagos'!$E340,66,9999)</f>
        <v>66</v>
      </c>
    </row>
    <row r="341" customFormat="false" ht="15" hidden="false" customHeight="true" outlineLevel="0" collapsed="false">
      <c r="B341" s="1" t="n">
        <f aca="false">IF(AND('Flujo de Pagos'!E346=Carátula!$B$2,'Flujo de Pagos'!F346=Carátula!$B$4,'Flujo de Pagos'!H346&lt;&gt;""),346,99999)</f>
        <v>99999</v>
      </c>
      <c r="H341" s="1" t="n">
        <f aca="false">IF(SMALL($AA341:$CH341,1)&gt;=9999,"",INDEX(Presupuesto!$C:$C,SMALL($AA341:$CH341,1)))</f>
        <v>0</v>
      </c>
      <c r="I341" s="1" t="n">
        <f aca="false">IF(SMALL($AA341:$CH341,2)&gt;=9999,"",INDEX(Presupuesto!$C:$C,SMALL($AA341:$CH341,2)))</f>
        <v>0</v>
      </c>
      <c r="J341" s="1" t="n">
        <f aca="false">IF(SMALL($AA341:$CH341,3)&gt;=9999,"",INDEX(Presupuesto!$C:$C,SMALL($AA341:$CH341,3)))</f>
        <v>0</v>
      </c>
      <c r="K341" s="1" t="n">
        <f aca="false">IF(SMALL($AA341:$CH341,4)&gt;=9999,"",INDEX(Presupuesto!$C:$C,SMALL($AA341:$CH341,4)))</f>
        <v>0</v>
      </c>
      <c r="L341" s="1" t="n">
        <f aca="false">IF(SMALL($AA341:$CH341,5)&gt;=9999,"",INDEX(Presupuesto!$C:$C,SMALL($AA341:$CH341,5)))</f>
        <v>0</v>
      </c>
      <c r="M341" s="1" t="n">
        <f aca="false">IF(SMALL($AA341:$CH341,6)&gt;=9999,"",INDEX(Presupuesto!$C:$C,SMALL($AA341:$CH341,6)))</f>
        <v>0</v>
      </c>
      <c r="N341" s="1" t="n">
        <f aca="false">IF(SMALL($AA341:$CH341,7)&gt;=9999,"",INDEX(Presupuesto!$C:$C,SMALL($AA341:$CH341,7)))</f>
        <v>0</v>
      </c>
      <c r="O341" s="1" t="n">
        <f aca="false">IF(SMALL($AA341:$CH341,8)&gt;=9999,"",INDEX(Presupuesto!$C:$C,SMALL($AA341:$CH341,8)))</f>
        <v>0</v>
      </c>
      <c r="P341" s="1" t="n">
        <f aca="false">IF(SMALL($AA341:$CH341,9)&gt;=9999,"",INDEX(Presupuesto!$C:$C,SMALL($AA341:$CH341,9)))</f>
        <v>0</v>
      </c>
      <c r="Q341" s="1" t="n">
        <f aca="false">IF(SMALL($AA341:$CH341,10)&gt;=9999,"",INDEX(Presupuesto!$C:$C,SMALL($AA341:$CH341,10)))</f>
        <v>0</v>
      </c>
      <c r="AA341" s="0" t="n">
        <f aca="false">IF(Presupuesto!$B$7='Flujo de Pagos'!$E341,7,9999)</f>
        <v>9999</v>
      </c>
      <c r="AB341" s="0" t="n">
        <f aca="false">IF(Presupuesto!$B$8='Flujo de Pagos'!$E341,8,9999)</f>
        <v>9999</v>
      </c>
      <c r="AC341" s="0" t="n">
        <f aca="false">IF(Presupuesto!$B$9='Flujo de Pagos'!$E341,9,9999)</f>
        <v>9999</v>
      </c>
      <c r="AD341" s="0" t="n">
        <f aca="false">IF(Presupuesto!$B$10='Flujo de Pagos'!$E341,10,9999)</f>
        <v>9999</v>
      </c>
      <c r="AE341" s="0" t="n">
        <f aca="false">IF(Presupuesto!$B$11='Flujo de Pagos'!$E341,11,9999)</f>
        <v>9999</v>
      </c>
      <c r="AF341" s="0" t="n">
        <f aca="false">IF(Presupuesto!$B$12='Flujo de Pagos'!$E341,12,9999)</f>
        <v>12</v>
      </c>
      <c r="AG341" s="0" t="n">
        <f aca="false">IF(Presupuesto!$B$13='Flujo de Pagos'!$E341,13,9999)</f>
        <v>13</v>
      </c>
      <c r="AH341" s="0" t="n">
        <f aca="false">IF(Presupuesto!$B$14='Flujo de Pagos'!$E341,14,9999)</f>
        <v>14</v>
      </c>
      <c r="AI341" s="0" t="n">
        <f aca="false">IF(Presupuesto!$B$15='Flujo de Pagos'!$E341,15,9999)</f>
        <v>15</v>
      </c>
      <c r="AJ341" s="0" t="n">
        <f aca="false">IF(Presupuesto!$B$16='Flujo de Pagos'!$E341,16,9999)</f>
        <v>16</v>
      </c>
      <c r="AK341" s="0" t="n">
        <f aca="false">IF(Presupuesto!$B$17='Flujo de Pagos'!$E341,17,9999)</f>
        <v>17</v>
      </c>
      <c r="AL341" s="0" t="n">
        <f aca="false">IF(Presupuesto!$B$18='Flujo de Pagos'!$E341,18,9999)</f>
        <v>18</v>
      </c>
      <c r="AM341" s="0" t="n">
        <f aca="false">IF(Presupuesto!$B$19='Flujo de Pagos'!$E341,19,9999)</f>
        <v>19</v>
      </c>
      <c r="AN341" s="0" t="n">
        <f aca="false">IF(Presupuesto!$B$20='Flujo de Pagos'!$E341,20,9999)</f>
        <v>20</v>
      </c>
      <c r="AO341" s="0" t="n">
        <f aca="false">IF(Presupuesto!$B$21='Flujo de Pagos'!$E341,21,9999)</f>
        <v>21</v>
      </c>
      <c r="AP341" s="0" t="n">
        <f aca="false">IF(Presupuesto!$B$22='Flujo de Pagos'!$E341,22,9999)</f>
        <v>22</v>
      </c>
      <c r="AQ341" s="0" t="n">
        <f aca="false">IF(Presupuesto!$B$23='Flujo de Pagos'!$E341,23,9999)</f>
        <v>23</v>
      </c>
      <c r="AR341" s="0" t="n">
        <f aca="false">IF(Presupuesto!$B$24='Flujo de Pagos'!$E341,24,9999)</f>
        <v>24</v>
      </c>
      <c r="AS341" s="0" t="n">
        <f aca="false">IF(Presupuesto!$B$25='Flujo de Pagos'!$E341,25,9999)</f>
        <v>25</v>
      </c>
      <c r="AT341" s="0" t="n">
        <f aca="false">IF(Presupuesto!$B$26='Flujo de Pagos'!$E341,26,9999)</f>
        <v>26</v>
      </c>
      <c r="AU341" s="0" t="n">
        <f aca="false">IF(Presupuesto!$B$27='Flujo de Pagos'!$E341,27,9999)</f>
        <v>27</v>
      </c>
      <c r="AV341" s="0" t="n">
        <f aca="false">IF(Presupuesto!$B$28='Flujo de Pagos'!$E341,28,9999)</f>
        <v>28</v>
      </c>
      <c r="AW341" s="0" t="n">
        <f aca="false">IF(Presupuesto!$B$29='Flujo de Pagos'!$E341,29,9999)</f>
        <v>29</v>
      </c>
      <c r="AX341" s="0" t="n">
        <f aca="false">IF(Presupuesto!$B$30='Flujo de Pagos'!$E341,30,9999)</f>
        <v>30</v>
      </c>
      <c r="AY341" s="0" t="n">
        <f aca="false">IF(Presupuesto!$B$31='Flujo de Pagos'!$E341,31,9999)</f>
        <v>31</v>
      </c>
      <c r="AZ341" s="0" t="n">
        <f aca="false">IF(Presupuesto!$B$32='Flujo de Pagos'!$E341,32,9999)</f>
        <v>32</v>
      </c>
      <c r="BA341" s="0" t="n">
        <f aca="false">IF(Presupuesto!$B$33='Flujo de Pagos'!$E341,33,9999)</f>
        <v>33</v>
      </c>
      <c r="BB341" s="0" t="n">
        <f aca="false">IF(Presupuesto!$B$34='Flujo de Pagos'!$E341,34,9999)</f>
        <v>34</v>
      </c>
      <c r="BC341" s="0" t="n">
        <f aca="false">IF(Presupuesto!$B$35='Flujo de Pagos'!$E341,35,9999)</f>
        <v>35</v>
      </c>
      <c r="BD341" s="0" t="n">
        <f aca="false">IF(Presupuesto!$B$36='Flujo de Pagos'!$E341,36,9999)</f>
        <v>36</v>
      </c>
      <c r="BE341" s="0" t="n">
        <f aca="false">IF(Presupuesto!$B$37='Flujo de Pagos'!$E341,37,9999)</f>
        <v>37</v>
      </c>
      <c r="BF341" s="0" t="n">
        <f aca="false">IF(Presupuesto!$B$38='Flujo de Pagos'!$E341,38,9999)</f>
        <v>38</v>
      </c>
      <c r="BG341" s="0" t="n">
        <f aca="false">IF(Presupuesto!$B$39='Flujo de Pagos'!$E341,39,9999)</f>
        <v>39</v>
      </c>
      <c r="BH341" s="0" t="n">
        <f aca="false">IF(Presupuesto!$B$40='Flujo de Pagos'!$E341,40,9999)</f>
        <v>40</v>
      </c>
      <c r="BI341" s="0" t="n">
        <f aca="false">IF(Presupuesto!$B$41='Flujo de Pagos'!$E341,41,9999)</f>
        <v>41</v>
      </c>
      <c r="BJ341" s="0" t="n">
        <f aca="false">IF(Presupuesto!$B$42='Flujo de Pagos'!$E341,42,9999)</f>
        <v>42</v>
      </c>
      <c r="BK341" s="0" t="n">
        <f aca="false">IF(Presupuesto!$B$43='Flujo de Pagos'!$E341,43,9999)</f>
        <v>43</v>
      </c>
      <c r="BL341" s="0" t="n">
        <f aca="false">IF(Presupuesto!$B$44='Flujo de Pagos'!$E341,44,9999)</f>
        <v>44</v>
      </c>
      <c r="BM341" s="0" t="n">
        <f aca="false">IF(Presupuesto!$B$45='Flujo de Pagos'!$E341,45,9999)</f>
        <v>45</v>
      </c>
      <c r="BN341" s="0" t="n">
        <f aca="false">IF(Presupuesto!$B$46='Flujo de Pagos'!$E341,46,9999)</f>
        <v>46</v>
      </c>
      <c r="BO341" s="0" t="n">
        <f aca="false">IF(Presupuesto!$B$47='Flujo de Pagos'!$E341,47,9999)</f>
        <v>47</v>
      </c>
      <c r="BP341" s="0" t="n">
        <f aca="false">IF(Presupuesto!$B$48='Flujo de Pagos'!$E341,48,9999)</f>
        <v>48</v>
      </c>
      <c r="BQ341" s="0" t="n">
        <f aca="false">IF(Presupuesto!$B$49='Flujo de Pagos'!$E341,49,9999)</f>
        <v>49</v>
      </c>
      <c r="BR341" s="0" t="n">
        <f aca="false">IF(Presupuesto!$B$50='Flujo de Pagos'!$E341,50,9999)</f>
        <v>50</v>
      </c>
      <c r="BS341" s="0" t="n">
        <f aca="false">IF(Presupuesto!$B$51='Flujo de Pagos'!$E341,51,9999)</f>
        <v>51</v>
      </c>
      <c r="BT341" s="0" t="n">
        <f aca="false">IF(Presupuesto!$B$52='Flujo de Pagos'!$E341,52,9999)</f>
        <v>52</v>
      </c>
      <c r="BU341" s="0" t="n">
        <f aca="false">IF(Presupuesto!$B$53='Flujo de Pagos'!$E341,53,9999)</f>
        <v>53</v>
      </c>
      <c r="BV341" s="0" t="n">
        <f aca="false">IF(Presupuesto!$B$54='Flujo de Pagos'!$E341,54,9999)</f>
        <v>54</v>
      </c>
      <c r="BW341" s="0" t="n">
        <f aca="false">IF(Presupuesto!$B$55='Flujo de Pagos'!$E341,55,9999)</f>
        <v>55</v>
      </c>
      <c r="BX341" s="0" t="n">
        <f aca="false">IF(Presupuesto!$B$56='Flujo de Pagos'!$E341,56,9999)</f>
        <v>56</v>
      </c>
      <c r="BY341" s="0" t="n">
        <f aca="false">IF(Presupuesto!$B$57='Flujo de Pagos'!$E341,57,9999)</f>
        <v>57</v>
      </c>
      <c r="BZ341" s="0" t="n">
        <f aca="false">IF(Presupuesto!$B$58='Flujo de Pagos'!$E341,58,9999)</f>
        <v>58</v>
      </c>
      <c r="CA341" s="0" t="n">
        <f aca="false">IF(Presupuesto!$B$59='Flujo de Pagos'!$E341,59,9999)</f>
        <v>59</v>
      </c>
      <c r="CB341" s="0" t="n">
        <f aca="false">IF(Presupuesto!$B$60='Flujo de Pagos'!$E341,60,9999)</f>
        <v>60</v>
      </c>
      <c r="CC341" s="0" t="n">
        <f aca="false">IF(Presupuesto!$B$61='Flujo de Pagos'!$E341,61,9999)</f>
        <v>61</v>
      </c>
      <c r="CD341" s="0" t="n">
        <f aca="false">IF(Presupuesto!$B$62='Flujo de Pagos'!$E341,62,9999)</f>
        <v>62</v>
      </c>
      <c r="CE341" s="0" t="n">
        <f aca="false">IF(Presupuesto!$B$63='Flujo de Pagos'!$E341,63,9999)</f>
        <v>63</v>
      </c>
      <c r="CF341" s="0" t="n">
        <f aca="false">IF(Presupuesto!$B$64='Flujo de Pagos'!$E341,64,9999)</f>
        <v>64</v>
      </c>
      <c r="CG341" s="0" t="n">
        <f aca="false">IF(Presupuesto!$B$65='Flujo de Pagos'!$E341,65,9999)</f>
        <v>65</v>
      </c>
      <c r="CH341" s="0" t="n">
        <f aca="false">IF(Presupuesto!$B$66='Flujo de Pagos'!$E341,66,9999)</f>
        <v>66</v>
      </c>
    </row>
    <row r="342" customFormat="false" ht="15" hidden="false" customHeight="true" outlineLevel="0" collapsed="false">
      <c r="B342" s="1" t="n">
        <f aca="false">IF(AND('Flujo de Pagos'!E347=Carátula!$B$2,'Flujo de Pagos'!F347=Carátula!$B$4,'Flujo de Pagos'!H347&lt;&gt;""),347,99999)</f>
        <v>99999</v>
      </c>
      <c r="H342" s="1" t="n">
        <f aca="false">IF(SMALL($AA342:$CH342,1)&gt;=9999,"",INDEX(Presupuesto!$C:$C,SMALL($AA342:$CH342,1)))</f>
        <v>0</v>
      </c>
      <c r="I342" s="1" t="n">
        <f aca="false">IF(SMALL($AA342:$CH342,2)&gt;=9999,"",INDEX(Presupuesto!$C:$C,SMALL($AA342:$CH342,2)))</f>
        <v>0</v>
      </c>
      <c r="J342" s="1" t="n">
        <f aca="false">IF(SMALL($AA342:$CH342,3)&gt;=9999,"",INDEX(Presupuesto!$C:$C,SMALL($AA342:$CH342,3)))</f>
        <v>0</v>
      </c>
      <c r="K342" s="1" t="n">
        <f aca="false">IF(SMALL($AA342:$CH342,4)&gt;=9999,"",INDEX(Presupuesto!$C:$C,SMALL($AA342:$CH342,4)))</f>
        <v>0</v>
      </c>
      <c r="L342" s="1" t="n">
        <f aca="false">IF(SMALL($AA342:$CH342,5)&gt;=9999,"",INDEX(Presupuesto!$C:$C,SMALL($AA342:$CH342,5)))</f>
        <v>0</v>
      </c>
      <c r="M342" s="1" t="n">
        <f aca="false">IF(SMALL($AA342:$CH342,6)&gt;=9999,"",INDEX(Presupuesto!$C:$C,SMALL($AA342:$CH342,6)))</f>
        <v>0</v>
      </c>
      <c r="N342" s="1" t="n">
        <f aca="false">IF(SMALL($AA342:$CH342,7)&gt;=9999,"",INDEX(Presupuesto!$C:$C,SMALL($AA342:$CH342,7)))</f>
        <v>0</v>
      </c>
      <c r="O342" s="1" t="n">
        <f aca="false">IF(SMALL($AA342:$CH342,8)&gt;=9999,"",INDEX(Presupuesto!$C:$C,SMALL($AA342:$CH342,8)))</f>
        <v>0</v>
      </c>
      <c r="P342" s="1" t="n">
        <f aca="false">IF(SMALL($AA342:$CH342,9)&gt;=9999,"",INDEX(Presupuesto!$C:$C,SMALL($AA342:$CH342,9)))</f>
        <v>0</v>
      </c>
      <c r="Q342" s="1" t="n">
        <f aca="false">IF(SMALL($AA342:$CH342,10)&gt;=9999,"",INDEX(Presupuesto!$C:$C,SMALL($AA342:$CH342,10)))</f>
        <v>0</v>
      </c>
      <c r="AA342" s="0" t="n">
        <f aca="false">IF(Presupuesto!$B$7='Flujo de Pagos'!$E342,7,9999)</f>
        <v>9999</v>
      </c>
      <c r="AB342" s="0" t="n">
        <f aca="false">IF(Presupuesto!$B$8='Flujo de Pagos'!$E342,8,9999)</f>
        <v>9999</v>
      </c>
      <c r="AC342" s="0" t="n">
        <f aca="false">IF(Presupuesto!$B$9='Flujo de Pagos'!$E342,9,9999)</f>
        <v>9999</v>
      </c>
      <c r="AD342" s="0" t="n">
        <f aca="false">IF(Presupuesto!$B$10='Flujo de Pagos'!$E342,10,9999)</f>
        <v>9999</v>
      </c>
      <c r="AE342" s="0" t="n">
        <f aca="false">IF(Presupuesto!$B$11='Flujo de Pagos'!$E342,11,9999)</f>
        <v>9999</v>
      </c>
      <c r="AF342" s="0" t="n">
        <f aca="false">IF(Presupuesto!$B$12='Flujo de Pagos'!$E342,12,9999)</f>
        <v>12</v>
      </c>
      <c r="AG342" s="0" t="n">
        <f aca="false">IF(Presupuesto!$B$13='Flujo de Pagos'!$E342,13,9999)</f>
        <v>13</v>
      </c>
      <c r="AH342" s="0" t="n">
        <f aca="false">IF(Presupuesto!$B$14='Flujo de Pagos'!$E342,14,9999)</f>
        <v>14</v>
      </c>
      <c r="AI342" s="0" t="n">
        <f aca="false">IF(Presupuesto!$B$15='Flujo de Pagos'!$E342,15,9999)</f>
        <v>15</v>
      </c>
      <c r="AJ342" s="0" t="n">
        <f aca="false">IF(Presupuesto!$B$16='Flujo de Pagos'!$E342,16,9999)</f>
        <v>16</v>
      </c>
      <c r="AK342" s="0" t="n">
        <f aca="false">IF(Presupuesto!$B$17='Flujo de Pagos'!$E342,17,9999)</f>
        <v>17</v>
      </c>
      <c r="AL342" s="0" t="n">
        <f aca="false">IF(Presupuesto!$B$18='Flujo de Pagos'!$E342,18,9999)</f>
        <v>18</v>
      </c>
      <c r="AM342" s="0" t="n">
        <f aca="false">IF(Presupuesto!$B$19='Flujo de Pagos'!$E342,19,9999)</f>
        <v>19</v>
      </c>
      <c r="AN342" s="0" t="n">
        <f aca="false">IF(Presupuesto!$B$20='Flujo de Pagos'!$E342,20,9999)</f>
        <v>20</v>
      </c>
      <c r="AO342" s="0" t="n">
        <f aca="false">IF(Presupuesto!$B$21='Flujo de Pagos'!$E342,21,9999)</f>
        <v>21</v>
      </c>
      <c r="AP342" s="0" t="n">
        <f aca="false">IF(Presupuesto!$B$22='Flujo de Pagos'!$E342,22,9999)</f>
        <v>22</v>
      </c>
      <c r="AQ342" s="0" t="n">
        <f aca="false">IF(Presupuesto!$B$23='Flujo de Pagos'!$E342,23,9999)</f>
        <v>23</v>
      </c>
      <c r="AR342" s="0" t="n">
        <f aca="false">IF(Presupuesto!$B$24='Flujo de Pagos'!$E342,24,9999)</f>
        <v>24</v>
      </c>
      <c r="AS342" s="0" t="n">
        <f aca="false">IF(Presupuesto!$B$25='Flujo de Pagos'!$E342,25,9999)</f>
        <v>25</v>
      </c>
      <c r="AT342" s="0" t="n">
        <f aca="false">IF(Presupuesto!$B$26='Flujo de Pagos'!$E342,26,9999)</f>
        <v>26</v>
      </c>
      <c r="AU342" s="0" t="n">
        <f aca="false">IF(Presupuesto!$B$27='Flujo de Pagos'!$E342,27,9999)</f>
        <v>27</v>
      </c>
      <c r="AV342" s="0" t="n">
        <f aca="false">IF(Presupuesto!$B$28='Flujo de Pagos'!$E342,28,9999)</f>
        <v>28</v>
      </c>
      <c r="AW342" s="0" t="n">
        <f aca="false">IF(Presupuesto!$B$29='Flujo de Pagos'!$E342,29,9999)</f>
        <v>29</v>
      </c>
      <c r="AX342" s="0" t="n">
        <f aca="false">IF(Presupuesto!$B$30='Flujo de Pagos'!$E342,30,9999)</f>
        <v>30</v>
      </c>
      <c r="AY342" s="0" t="n">
        <f aca="false">IF(Presupuesto!$B$31='Flujo de Pagos'!$E342,31,9999)</f>
        <v>31</v>
      </c>
      <c r="AZ342" s="0" t="n">
        <f aca="false">IF(Presupuesto!$B$32='Flujo de Pagos'!$E342,32,9999)</f>
        <v>32</v>
      </c>
      <c r="BA342" s="0" t="n">
        <f aca="false">IF(Presupuesto!$B$33='Flujo de Pagos'!$E342,33,9999)</f>
        <v>33</v>
      </c>
      <c r="BB342" s="0" t="n">
        <f aca="false">IF(Presupuesto!$B$34='Flujo de Pagos'!$E342,34,9999)</f>
        <v>34</v>
      </c>
      <c r="BC342" s="0" t="n">
        <f aca="false">IF(Presupuesto!$B$35='Flujo de Pagos'!$E342,35,9999)</f>
        <v>35</v>
      </c>
      <c r="BD342" s="0" t="n">
        <f aca="false">IF(Presupuesto!$B$36='Flujo de Pagos'!$E342,36,9999)</f>
        <v>36</v>
      </c>
      <c r="BE342" s="0" t="n">
        <f aca="false">IF(Presupuesto!$B$37='Flujo de Pagos'!$E342,37,9999)</f>
        <v>37</v>
      </c>
      <c r="BF342" s="0" t="n">
        <f aca="false">IF(Presupuesto!$B$38='Flujo de Pagos'!$E342,38,9999)</f>
        <v>38</v>
      </c>
      <c r="BG342" s="0" t="n">
        <f aca="false">IF(Presupuesto!$B$39='Flujo de Pagos'!$E342,39,9999)</f>
        <v>39</v>
      </c>
      <c r="BH342" s="0" t="n">
        <f aca="false">IF(Presupuesto!$B$40='Flujo de Pagos'!$E342,40,9999)</f>
        <v>40</v>
      </c>
      <c r="BI342" s="0" t="n">
        <f aca="false">IF(Presupuesto!$B$41='Flujo de Pagos'!$E342,41,9999)</f>
        <v>41</v>
      </c>
      <c r="BJ342" s="0" t="n">
        <f aca="false">IF(Presupuesto!$B$42='Flujo de Pagos'!$E342,42,9999)</f>
        <v>42</v>
      </c>
      <c r="BK342" s="0" t="n">
        <f aca="false">IF(Presupuesto!$B$43='Flujo de Pagos'!$E342,43,9999)</f>
        <v>43</v>
      </c>
      <c r="BL342" s="0" t="n">
        <f aca="false">IF(Presupuesto!$B$44='Flujo de Pagos'!$E342,44,9999)</f>
        <v>44</v>
      </c>
      <c r="BM342" s="0" t="n">
        <f aca="false">IF(Presupuesto!$B$45='Flujo de Pagos'!$E342,45,9999)</f>
        <v>45</v>
      </c>
      <c r="BN342" s="0" t="n">
        <f aca="false">IF(Presupuesto!$B$46='Flujo de Pagos'!$E342,46,9999)</f>
        <v>46</v>
      </c>
      <c r="BO342" s="0" t="n">
        <f aca="false">IF(Presupuesto!$B$47='Flujo de Pagos'!$E342,47,9999)</f>
        <v>47</v>
      </c>
      <c r="BP342" s="0" t="n">
        <f aca="false">IF(Presupuesto!$B$48='Flujo de Pagos'!$E342,48,9999)</f>
        <v>48</v>
      </c>
      <c r="BQ342" s="0" t="n">
        <f aca="false">IF(Presupuesto!$B$49='Flujo de Pagos'!$E342,49,9999)</f>
        <v>49</v>
      </c>
      <c r="BR342" s="0" t="n">
        <f aca="false">IF(Presupuesto!$B$50='Flujo de Pagos'!$E342,50,9999)</f>
        <v>50</v>
      </c>
      <c r="BS342" s="0" t="n">
        <f aca="false">IF(Presupuesto!$B$51='Flujo de Pagos'!$E342,51,9999)</f>
        <v>51</v>
      </c>
      <c r="BT342" s="0" t="n">
        <f aca="false">IF(Presupuesto!$B$52='Flujo de Pagos'!$E342,52,9999)</f>
        <v>52</v>
      </c>
      <c r="BU342" s="0" t="n">
        <f aca="false">IF(Presupuesto!$B$53='Flujo de Pagos'!$E342,53,9999)</f>
        <v>53</v>
      </c>
      <c r="BV342" s="0" t="n">
        <f aca="false">IF(Presupuesto!$B$54='Flujo de Pagos'!$E342,54,9999)</f>
        <v>54</v>
      </c>
      <c r="BW342" s="0" t="n">
        <f aca="false">IF(Presupuesto!$B$55='Flujo de Pagos'!$E342,55,9999)</f>
        <v>55</v>
      </c>
      <c r="BX342" s="0" t="n">
        <f aca="false">IF(Presupuesto!$B$56='Flujo de Pagos'!$E342,56,9999)</f>
        <v>56</v>
      </c>
      <c r="BY342" s="0" t="n">
        <f aca="false">IF(Presupuesto!$B$57='Flujo de Pagos'!$E342,57,9999)</f>
        <v>57</v>
      </c>
      <c r="BZ342" s="0" t="n">
        <f aca="false">IF(Presupuesto!$B$58='Flujo de Pagos'!$E342,58,9999)</f>
        <v>58</v>
      </c>
      <c r="CA342" s="0" t="n">
        <f aca="false">IF(Presupuesto!$B$59='Flujo de Pagos'!$E342,59,9999)</f>
        <v>59</v>
      </c>
      <c r="CB342" s="0" t="n">
        <f aca="false">IF(Presupuesto!$B$60='Flujo de Pagos'!$E342,60,9999)</f>
        <v>60</v>
      </c>
      <c r="CC342" s="0" t="n">
        <f aca="false">IF(Presupuesto!$B$61='Flujo de Pagos'!$E342,61,9999)</f>
        <v>61</v>
      </c>
      <c r="CD342" s="0" t="n">
        <f aca="false">IF(Presupuesto!$B$62='Flujo de Pagos'!$E342,62,9999)</f>
        <v>62</v>
      </c>
      <c r="CE342" s="0" t="n">
        <f aca="false">IF(Presupuesto!$B$63='Flujo de Pagos'!$E342,63,9999)</f>
        <v>63</v>
      </c>
      <c r="CF342" s="0" t="n">
        <f aca="false">IF(Presupuesto!$B$64='Flujo de Pagos'!$E342,64,9999)</f>
        <v>64</v>
      </c>
      <c r="CG342" s="0" t="n">
        <f aca="false">IF(Presupuesto!$B$65='Flujo de Pagos'!$E342,65,9999)</f>
        <v>65</v>
      </c>
      <c r="CH342" s="0" t="n">
        <f aca="false">IF(Presupuesto!$B$66='Flujo de Pagos'!$E342,66,9999)</f>
        <v>66</v>
      </c>
    </row>
    <row r="343" customFormat="false" ht="15" hidden="false" customHeight="true" outlineLevel="0" collapsed="false">
      <c r="B343" s="1" t="n">
        <f aca="false">IF(AND('Flujo de Pagos'!E348=Carátula!$B$2,'Flujo de Pagos'!F348=Carátula!$B$4,'Flujo de Pagos'!H348&lt;&gt;""),348,99999)</f>
        <v>99999</v>
      </c>
      <c r="H343" s="1" t="n">
        <f aca="false">IF(SMALL($AA343:$CH343,1)&gt;=9999,"",INDEX(Presupuesto!$C:$C,SMALL($AA343:$CH343,1)))</f>
        <v>0</v>
      </c>
      <c r="I343" s="1" t="n">
        <f aca="false">IF(SMALL($AA343:$CH343,2)&gt;=9999,"",INDEX(Presupuesto!$C:$C,SMALL($AA343:$CH343,2)))</f>
        <v>0</v>
      </c>
      <c r="J343" s="1" t="n">
        <f aca="false">IF(SMALL($AA343:$CH343,3)&gt;=9999,"",INDEX(Presupuesto!$C:$C,SMALL($AA343:$CH343,3)))</f>
        <v>0</v>
      </c>
      <c r="K343" s="1" t="n">
        <f aca="false">IF(SMALL($AA343:$CH343,4)&gt;=9999,"",INDEX(Presupuesto!$C:$C,SMALL($AA343:$CH343,4)))</f>
        <v>0</v>
      </c>
      <c r="L343" s="1" t="n">
        <f aca="false">IF(SMALL($AA343:$CH343,5)&gt;=9999,"",INDEX(Presupuesto!$C:$C,SMALL($AA343:$CH343,5)))</f>
        <v>0</v>
      </c>
      <c r="M343" s="1" t="n">
        <f aca="false">IF(SMALL($AA343:$CH343,6)&gt;=9999,"",INDEX(Presupuesto!$C:$C,SMALL($AA343:$CH343,6)))</f>
        <v>0</v>
      </c>
      <c r="N343" s="1" t="n">
        <f aca="false">IF(SMALL($AA343:$CH343,7)&gt;=9999,"",INDEX(Presupuesto!$C:$C,SMALL($AA343:$CH343,7)))</f>
        <v>0</v>
      </c>
      <c r="O343" s="1" t="n">
        <f aca="false">IF(SMALL($AA343:$CH343,8)&gt;=9999,"",INDEX(Presupuesto!$C:$C,SMALL($AA343:$CH343,8)))</f>
        <v>0</v>
      </c>
      <c r="P343" s="1" t="n">
        <f aca="false">IF(SMALL($AA343:$CH343,9)&gt;=9999,"",INDEX(Presupuesto!$C:$C,SMALL($AA343:$CH343,9)))</f>
        <v>0</v>
      </c>
      <c r="Q343" s="1" t="n">
        <f aca="false">IF(SMALL($AA343:$CH343,10)&gt;=9999,"",INDEX(Presupuesto!$C:$C,SMALL($AA343:$CH343,10)))</f>
        <v>0</v>
      </c>
      <c r="AA343" s="0" t="n">
        <f aca="false">IF(Presupuesto!$B$7='Flujo de Pagos'!$E343,7,9999)</f>
        <v>9999</v>
      </c>
      <c r="AB343" s="0" t="n">
        <f aca="false">IF(Presupuesto!$B$8='Flujo de Pagos'!$E343,8,9999)</f>
        <v>9999</v>
      </c>
      <c r="AC343" s="0" t="n">
        <f aca="false">IF(Presupuesto!$B$9='Flujo de Pagos'!$E343,9,9999)</f>
        <v>9999</v>
      </c>
      <c r="AD343" s="0" t="n">
        <f aca="false">IF(Presupuesto!$B$10='Flujo de Pagos'!$E343,10,9999)</f>
        <v>9999</v>
      </c>
      <c r="AE343" s="0" t="n">
        <f aca="false">IF(Presupuesto!$B$11='Flujo de Pagos'!$E343,11,9999)</f>
        <v>9999</v>
      </c>
      <c r="AF343" s="0" t="n">
        <f aca="false">IF(Presupuesto!$B$12='Flujo de Pagos'!$E343,12,9999)</f>
        <v>12</v>
      </c>
      <c r="AG343" s="0" t="n">
        <f aca="false">IF(Presupuesto!$B$13='Flujo de Pagos'!$E343,13,9999)</f>
        <v>13</v>
      </c>
      <c r="AH343" s="0" t="n">
        <f aca="false">IF(Presupuesto!$B$14='Flujo de Pagos'!$E343,14,9999)</f>
        <v>14</v>
      </c>
      <c r="AI343" s="0" t="n">
        <f aca="false">IF(Presupuesto!$B$15='Flujo de Pagos'!$E343,15,9999)</f>
        <v>15</v>
      </c>
      <c r="AJ343" s="0" t="n">
        <f aca="false">IF(Presupuesto!$B$16='Flujo de Pagos'!$E343,16,9999)</f>
        <v>16</v>
      </c>
      <c r="AK343" s="0" t="n">
        <f aca="false">IF(Presupuesto!$B$17='Flujo de Pagos'!$E343,17,9999)</f>
        <v>17</v>
      </c>
      <c r="AL343" s="0" t="n">
        <f aca="false">IF(Presupuesto!$B$18='Flujo de Pagos'!$E343,18,9999)</f>
        <v>18</v>
      </c>
      <c r="AM343" s="0" t="n">
        <f aca="false">IF(Presupuesto!$B$19='Flujo de Pagos'!$E343,19,9999)</f>
        <v>19</v>
      </c>
      <c r="AN343" s="0" t="n">
        <f aca="false">IF(Presupuesto!$B$20='Flujo de Pagos'!$E343,20,9999)</f>
        <v>20</v>
      </c>
      <c r="AO343" s="0" t="n">
        <f aca="false">IF(Presupuesto!$B$21='Flujo de Pagos'!$E343,21,9999)</f>
        <v>21</v>
      </c>
      <c r="AP343" s="0" t="n">
        <f aca="false">IF(Presupuesto!$B$22='Flujo de Pagos'!$E343,22,9999)</f>
        <v>22</v>
      </c>
      <c r="AQ343" s="0" t="n">
        <f aca="false">IF(Presupuesto!$B$23='Flujo de Pagos'!$E343,23,9999)</f>
        <v>23</v>
      </c>
      <c r="AR343" s="0" t="n">
        <f aca="false">IF(Presupuesto!$B$24='Flujo de Pagos'!$E343,24,9999)</f>
        <v>24</v>
      </c>
      <c r="AS343" s="0" t="n">
        <f aca="false">IF(Presupuesto!$B$25='Flujo de Pagos'!$E343,25,9999)</f>
        <v>25</v>
      </c>
      <c r="AT343" s="0" t="n">
        <f aca="false">IF(Presupuesto!$B$26='Flujo de Pagos'!$E343,26,9999)</f>
        <v>26</v>
      </c>
      <c r="AU343" s="0" t="n">
        <f aca="false">IF(Presupuesto!$B$27='Flujo de Pagos'!$E343,27,9999)</f>
        <v>27</v>
      </c>
      <c r="AV343" s="0" t="n">
        <f aca="false">IF(Presupuesto!$B$28='Flujo de Pagos'!$E343,28,9999)</f>
        <v>28</v>
      </c>
      <c r="AW343" s="0" t="n">
        <f aca="false">IF(Presupuesto!$B$29='Flujo de Pagos'!$E343,29,9999)</f>
        <v>29</v>
      </c>
      <c r="AX343" s="0" t="n">
        <f aca="false">IF(Presupuesto!$B$30='Flujo de Pagos'!$E343,30,9999)</f>
        <v>30</v>
      </c>
      <c r="AY343" s="0" t="n">
        <f aca="false">IF(Presupuesto!$B$31='Flujo de Pagos'!$E343,31,9999)</f>
        <v>31</v>
      </c>
      <c r="AZ343" s="0" t="n">
        <f aca="false">IF(Presupuesto!$B$32='Flujo de Pagos'!$E343,32,9999)</f>
        <v>32</v>
      </c>
      <c r="BA343" s="0" t="n">
        <f aca="false">IF(Presupuesto!$B$33='Flujo de Pagos'!$E343,33,9999)</f>
        <v>33</v>
      </c>
      <c r="BB343" s="0" t="n">
        <f aca="false">IF(Presupuesto!$B$34='Flujo de Pagos'!$E343,34,9999)</f>
        <v>34</v>
      </c>
      <c r="BC343" s="0" t="n">
        <f aca="false">IF(Presupuesto!$B$35='Flujo de Pagos'!$E343,35,9999)</f>
        <v>35</v>
      </c>
      <c r="BD343" s="0" t="n">
        <f aca="false">IF(Presupuesto!$B$36='Flujo de Pagos'!$E343,36,9999)</f>
        <v>36</v>
      </c>
      <c r="BE343" s="0" t="n">
        <f aca="false">IF(Presupuesto!$B$37='Flujo de Pagos'!$E343,37,9999)</f>
        <v>37</v>
      </c>
      <c r="BF343" s="0" t="n">
        <f aca="false">IF(Presupuesto!$B$38='Flujo de Pagos'!$E343,38,9999)</f>
        <v>38</v>
      </c>
      <c r="BG343" s="0" t="n">
        <f aca="false">IF(Presupuesto!$B$39='Flujo de Pagos'!$E343,39,9999)</f>
        <v>39</v>
      </c>
      <c r="BH343" s="0" t="n">
        <f aca="false">IF(Presupuesto!$B$40='Flujo de Pagos'!$E343,40,9999)</f>
        <v>40</v>
      </c>
      <c r="BI343" s="0" t="n">
        <f aca="false">IF(Presupuesto!$B$41='Flujo de Pagos'!$E343,41,9999)</f>
        <v>41</v>
      </c>
      <c r="BJ343" s="0" t="n">
        <f aca="false">IF(Presupuesto!$B$42='Flujo de Pagos'!$E343,42,9999)</f>
        <v>42</v>
      </c>
      <c r="BK343" s="0" t="n">
        <f aca="false">IF(Presupuesto!$B$43='Flujo de Pagos'!$E343,43,9999)</f>
        <v>43</v>
      </c>
      <c r="BL343" s="0" t="n">
        <f aca="false">IF(Presupuesto!$B$44='Flujo de Pagos'!$E343,44,9999)</f>
        <v>44</v>
      </c>
      <c r="BM343" s="0" t="n">
        <f aca="false">IF(Presupuesto!$B$45='Flujo de Pagos'!$E343,45,9999)</f>
        <v>45</v>
      </c>
      <c r="BN343" s="0" t="n">
        <f aca="false">IF(Presupuesto!$B$46='Flujo de Pagos'!$E343,46,9999)</f>
        <v>46</v>
      </c>
      <c r="BO343" s="0" t="n">
        <f aca="false">IF(Presupuesto!$B$47='Flujo de Pagos'!$E343,47,9999)</f>
        <v>47</v>
      </c>
      <c r="BP343" s="0" t="n">
        <f aca="false">IF(Presupuesto!$B$48='Flujo de Pagos'!$E343,48,9999)</f>
        <v>48</v>
      </c>
      <c r="BQ343" s="0" t="n">
        <f aca="false">IF(Presupuesto!$B$49='Flujo de Pagos'!$E343,49,9999)</f>
        <v>49</v>
      </c>
      <c r="BR343" s="0" t="n">
        <f aca="false">IF(Presupuesto!$B$50='Flujo de Pagos'!$E343,50,9999)</f>
        <v>50</v>
      </c>
      <c r="BS343" s="0" t="n">
        <f aca="false">IF(Presupuesto!$B$51='Flujo de Pagos'!$E343,51,9999)</f>
        <v>51</v>
      </c>
      <c r="BT343" s="0" t="n">
        <f aca="false">IF(Presupuesto!$B$52='Flujo de Pagos'!$E343,52,9999)</f>
        <v>52</v>
      </c>
      <c r="BU343" s="0" t="n">
        <f aca="false">IF(Presupuesto!$B$53='Flujo de Pagos'!$E343,53,9999)</f>
        <v>53</v>
      </c>
      <c r="BV343" s="0" t="n">
        <f aca="false">IF(Presupuesto!$B$54='Flujo de Pagos'!$E343,54,9999)</f>
        <v>54</v>
      </c>
      <c r="BW343" s="0" t="n">
        <f aca="false">IF(Presupuesto!$B$55='Flujo de Pagos'!$E343,55,9999)</f>
        <v>55</v>
      </c>
      <c r="BX343" s="0" t="n">
        <f aca="false">IF(Presupuesto!$B$56='Flujo de Pagos'!$E343,56,9999)</f>
        <v>56</v>
      </c>
      <c r="BY343" s="0" t="n">
        <f aca="false">IF(Presupuesto!$B$57='Flujo de Pagos'!$E343,57,9999)</f>
        <v>57</v>
      </c>
      <c r="BZ343" s="0" t="n">
        <f aca="false">IF(Presupuesto!$B$58='Flujo de Pagos'!$E343,58,9999)</f>
        <v>58</v>
      </c>
      <c r="CA343" s="0" t="n">
        <f aca="false">IF(Presupuesto!$B$59='Flujo de Pagos'!$E343,59,9999)</f>
        <v>59</v>
      </c>
      <c r="CB343" s="0" t="n">
        <f aca="false">IF(Presupuesto!$B$60='Flujo de Pagos'!$E343,60,9999)</f>
        <v>60</v>
      </c>
      <c r="CC343" s="0" t="n">
        <f aca="false">IF(Presupuesto!$B$61='Flujo de Pagos'!$E343,61,9999)</f>
        <v>61</v>
      </c>
      <c r="CD343" s="0" t="n">
        <f aca="false">IF(Presupuesto!$B$62='Flujo de Pagos'!$E343,62,9999)</f>
        <v>62</v>
      </c>
      <c r="CE343" s="0" t="n">
        <f aca="false">IF(Presupuesto!$B$63='Flujo de Pagos'!$E343,63,9999)</f>
        <v>63</v>
      </c>
      <c r="CF343" s="0" t="n">
        <f aca="false">IF(Presupuesto!$B$64='Flujo de Pagos'!$E343,64,9999)</f>
        <v>64</v>
      </c>
      <c r="CG343" s="0" t="n">
        <f aca="false">IF(Presupuesto!$B$65='Flujo de Pagos'!$E343,65,9999)</f>
        <v>65</v>
      </c>
      <c r="CH343" s="0" t="n">
        <f aca="false">IF(Presupuesto!$B$66='Flujo de Pagos'!$E343,66,9999)</f>
        <v>66</v>
      </c>
    </row>
    <row r="344" customFormat="false" ht="15" hidden="false" customHeight="true" outlineLevel="0" collapsed="false">
      <c r="B344" s="1" t="n">
        <f aca="false">IF(AND('Flujo de Pagos'!E349=Carátula!$B$2,'Flujo de Pagos'!F349=Carátula!$B$4,'Flujo de Pagos'!H349&lt;&gt;""),349,99999)</f>
        <v>99999</v>
      </c>
      <c r="H344" s="1" t="n">
        <f aca="false">IF(SMALL($AA344:$CH344,1)&gt;=9999,"",INDEX(Presupuesto!$C:$C,SMALL($AA344:$CH344,1)))</f>
        <v>0</v>
      </c>
      <c r="I344" s="1" t="n">
        <f aca="false">IF(SMALL($AA344:$CH344,2)&gt;=9999,"",INDEX(Presupuesto!$C:$C,SMALL($AA344:$CH344,2)))</f>
        <v>0</v>
      </c>
      <c r="J344" s="1" t="n">
        <f aca="false">IF(SMALL($AA344:$CH344,3)&gt;=9999,"",INDEX(Presupuesto!$C:$C,SMALL($AA344:$CH344,3)))</f>
        <v>0</v>
      </c>
      <c r="K344" s="1" t="n">
        <f aca="false">IF(SMALL($AA344:$CH344,4)&gt;=9999,"",INDEX(Presupuesto!$C:$C,SMALL($AA344:$CH344,4)))</f>
        <v>0</v>
      </c>
      <c r="L344" s="1" t="n">
        <f aca="false">IF(SMALL($AA344:$CH344,5)&gt;=9999,"",INDEX(Presupuesto!$C:$C,SMALL($AA344:$CH344,5)))</f>
        <v>0</v>
      </c>
      <c r="M344" s="1" t="n">
        <f aca="false">IF(SMALL($AA344:$CH344,6)&gt;=9999,"",INDEX(Presupuesto!$C:$C,SMALL($AA344:$CH344,6)))</f>
        <v>0</v>
      </c>
      <c r="N344" s="1" t="n">
        <f aca="false">IF(SMALL($AA344:$CH344,7)&gt;=9999,"",INDEX(Presupuesto!$C:$C,SMALL($AA344:$CH344,7)))</f>
        <v>0</v>
      </c>
      <c r="O344" s="1" t="n">
        <f aca="false">IF(SMALL($AA344:$CH344,8)&gt;=9999,"",INDEX(Presupuesto!$C:$C,SMALL($AA344:$CH344,8)))</f>
        <v>0</v>
      </c>
      <c r="P344" s="1" t="n">
        <f aca="false">IF(SMALL($AA344:$CH344,9)&gt;=9999,"",INDEX(Presupuesto!$C:$C,SMALL($AA344:$CH344,9)))</f>
        <v>0</v>
      </c>
      <c r="Q344" s="1" t="n">
        <f aca="false">IF(SMALL($AA344:$CH344,10)&gt;=9999,"",INDEX(Presupuesto!$C:$C,SMALL($AA344:$CH344,10)))</f>
        <v>0</v>
      </c>
      <c r="AA344" s="0" t="n">
        <f aca="false">IF(Presupuesto!$B$7='Flujo de Pagos'!$E344,7,9999)</f>
        <v>9999</v>
      </c>
      <c r="AB344" s="0" t="n">
        <f aca="false">IF(Presupuesto!$B$8='Flujo de Pagos'!$E344,8,9999)</f>
        <v>9999</v>
      </c>
      <c r="AC344" s="0" t="n">
        <f aca="false">IF(Presupuesto!$B$9='Flujo de Pagos'!$E344,9,9999)</f>
        <v>9999</v>
      </c>
      <c r="AD344" s="0" t="n">
        <f aca="false">IF(Presupuesto!$B$10='Flujo de Pagos'!$E344,10,9999)</f>
        <v>9999</v>
      </c>
      <c r="AE344" s="0" t="n">
        <f aca="false">IF(Presupuesto!$B$11='Flujo de Pagos'!$E344,11,9999)</f>
        <v>9999</v>
      </c>
      <c r="AF344" s="0" t="n">
        <f aca="false">IF(Presupuesto!$B$12='Flujo de Pagos'!$E344,12,9999)</f>
        <v>12</v>
      </c>
      <c r="AG344" s="0" t="n">
        <f aca="false">IF(Presupuesto!$B$13='Flujo de Pagos'!$E344,13,9999)</f>
        <v>13</v>
      </c>
      <c r="AH344" s="0" t="n">
        <f aca="false">IF(Presupuesto!$B$14='Flujo de Pagos'!$E344,14,9999)</f>
        <v>14</v>
      </c>
      <c r="AI344" s="0" t="n">
        <f aca="false">IF(Presupuesto!$B$15='Flujo de Pagos'!$E344,15,9999)</f>
        <v>15</v>
      </c>
      <c r="AJ344" s="0" t="n">
        <f aca="false">IF(Presupuesto!$B$16='Flujo de Pagos'!$E344,16,9999)</f>
        <v>16</v>
      </c>
      <c r="AK344" s="0" t="n">
        <f aca="false">IF(Presupuesto!$B$17='Flujo de Pagos'!$E344,17,9999)</f>
        <v>17</v>
      </c>
      <c r="AL344" s="0" t="n">
        <f aca="false">IF(Presupuesto!$B$18='Flujo de Pagos'!$E344,18,9999)</f>
        <v>18</v>
      </c>
      <c r="AM344" s="0" t="n">
        <f aca="false">IF(Presupuesto!$B$19='Flujo de Pagos'!$E344,19,9999)</f>
        <v>19</v>
      </c>
      <c r="AN344" s="0" t="n">
        <f aca="false">IF(Presupuesto!$B$20='Flujo de Pagos'!$E344,20,9999)</f>
        <v>20</v>
      </c>
      <c r="AO344" s="0" t="n">
        <f aca="false">IF(Presupuesto!$B$21='Flujo de Pagos'!$E344,21,9999)</f>
        <v>21</v>
      </c>
      <c r="AP344" s="0" t="n">
        <f aca="false">IF(Presupuesto!$B$22='Flujo de Pagos'!$E344,22,9999)</f>
        <v>22</v>
      </c>
      <c r="AQ344" s="0" t="n">
        <f aca="false">IF(Presupuesto!$B$23='Flujo de Pagos'!$E344,23,9999)</f>
        <v>23</v>
      </c>
      <c r="AR344" s="0" t="n">
        <f aca="false">IF(Presupuesto!$B$24='Flujo de Pagos'!$E344,24,9999)</f>
        <v>24</v>
      </c>
      <c r="AS344" s="0" t="n">
        <f aca="false">IF(Presupuesto!$B$25='Flujo de Pagos'!$E344,25,9999)</f>
        <v>25</v>
      </c>
      <c r="AT344" s="0" t="n">
        <f aca="false">IF(Presupuesto!$B$26='Flujo de Pagos'!$E344,26,9999)</f>
        <v>26</v>
      </c>
      <c r="AU344" s="0" t="n">
        <f aca="false">IF(Presupuesto!$B$27='Flujo de Pagos'!$E344,27,9999)</f>
        <v>27</v>
      </c>
      <c r="AV344" s="0" t="n">
        <f aca="false">IF(Presupuesto!$B$28='Flujo de Pagos'!$E344,28,9999)</f>
        <v>28</v>
      </c>
      <c r="AW344" s="0" t="n">
        <f aca="false">IF(Presupuesto!$B$29='Flujo de Pagos'!$E344,29,9999)</f>
        <v>29</v>
      </c>
      <c r="AX344" s="0" t="n">
        <f aca="false">IF(Presupuesto!$B$30='Flujo de Pagos'!$E344,30,9999)</f>
        <v>30</v>
      </c>
      <c r="AY344" s="0" t="n">
        <f aca="false">IF(Presupuesto!$B$31='Flujo de Pagos'!$E344,31,9999)</f>
        <v>31</v>
      </c>
      <c r="AZ344" s="0" t="n">
        <f aca="false">IF(Presupuesto!$B$32='Flujo de Pagos'!$E344,32,9999)</f>
        <v>32</v>
      </c>
      <c r="BA344" s="0" t="n">
        <f aca="false">IF(Presupuesto!$B$33='Flujo de Pagos'!$E344,33,9999)</f>
        <v>33</v>
      </c>
      <c r="BB344" s="0" t="n">
        <f aca="false">IF(Presupuesto!$B$34='Flujo de Pagos'!$E344,34,9999)</f>
        <v>34</v>
      </c>
      <c r="BC344" s="0" t="n">
        <f aca="false">IF(Presupuesto!$B$35='Flujo de Pagos'!$E344,35,9999)</f>
        <v>35</v>
      </c>
      <c r="BD344" s="0" t="n">
        <f aca="false">IF(Presupuesto!$B$36='Flujo de Pagos'!$E344,36,9999)</f>
        <v>36</v>
      </c>
      <c r="BE344" s="0" t="n">
        <f aca="false">IF(Presupuesto!$B$37='Flujo de Pagos'!$E344,37,9999)</f>
        <v>37</v>
      </c>
      <c r="BF344" s="0" t="n">
        <f aca="false">IF(Presupuesto!$B$38='Flujo de Pagos'!$E344,38,9999)</f>
        <v>38</v>
      </c>
      <c r="BG344" s="0" t="n">
        <f aca="false">IF(Presupuesto!$B$39='Flujo de Pagos'!$E344,39,9999)</f>
        <v>39</v>
      </c>
      <c r="BH344" s="0" t="n">
        <f aca="false">IF(Presupuesto!$B$40='Flujo de Pagos'!$E344,40,9999)</f>
        <v>40</v>
      </c>
      <c r="BI344" s="0" t="n">
        <f aca="false">IF(Presupuesto!$B$41='Flujo de Pagos'!$E344,41,9999)</f>
        <v>41</v>
      </c>
      <c r="BJ344" s="0" t="n">
        <f aca="false">IF(Presupuesto!$B$42='Flujo de Pagos'!$E344,42,9999)</f>
        <v>42</v>
      </c>
      <c r="BK344" s="0" t="n">
        <f aca="false">IF(Presupuesto!$B$43='Flujo de Pagos'!$E344,43,9999)</f>
        <v>43</v>
      </c>
      <c r="BL344" s="0" t="n">
        <f aca="false">IF(Presupuesto!$B$44='Flujo de Pagos'!$E344,44,9999)</f>
        <v>44</v>
      </c>
      <c r="BM344" s="0" t="n">
        <f aca="false">IF(Presupuesto!$B$45='Flujo de Pagos'!$E344,45,9999)</f>
        <v>45</v>
      </c>
      <c r="BN344" s="0" t="n">
        <f aca="false">IF(Presupuesto!$B$46='Flujo de Pagos'!$E344,46,9999)</f>
        <v>46</v>
      </c>
      <c r="BO344" s="0" t="n">
        <f aca="false">IF(Presupuesto!$B$47='Flujo de Pagos'!$E344,47,9999)</f>
        <v>47</v>
      </c>
      <c r="BP344" s="0" t="n">
        <f aca="false">IF(Presupuesto!$B$48='Flujo de Pagos'!$E344,48,9999)</f>
        <v>48</v>
      </c>
      <c r="BQ344" s="0" t="n">
        <f aca="false">IF(Presupuesto!$B$49='Flujo de Pagos'!$E344,49,9999)</f>
        <v>49</v>
      </c>
      <c r="BR344" s="0" t="n">
        <f aca="false">IF(Presupuesto!$B$50='Flujo de Pagos'!$E344,50,9999)</f>
        <v>50</v>
      </c>
      <c r="BS344" s="0" t="n">
        <f aca="false">IF(Presupuesto!$B$51='Flujo de Pagos'!$E344,51,9999)</f>
        <v>51</v>
      </c>
      <c r="BT344" s="0" t="n">
        <f aca="false">IF(Presupuesto!$B$52='Flujo de Pagos'!$E344,52,9999)</f>
        <v>52</v>
      </c>
      <c r="BU344" s="0" t="n">
        <f aca="false">IF(Presupuesto!$B$53='Flujo de Pagos'!$E344,53,9999)</f>
        <v>53</v>
      </c>
      <c r="BV344" s="0" t="n">
        <f aca="false">IF(Presupuesto!$B$54='Flujo de Pagos'!$E344,54,9999)</f>
        <v>54</v>
      </c>
      <c r="BW344" s="0" t="n">
        <f aca="false">IF(Presupuesto!$B$55='Flujo de Pagos'!$E344,55,9999)</f>
        <v>55</v>
      </c>
      <c r="BX344" s="0" t="n">
        <f aca="false">IF(Presupuesto!$B$56='Flujo de Pagos'!$E344,56,9999)</f>
        <v>56</v>
      </c>
      <c r="BY344" s="0" t="n">
        <f aca="false">IF(Presupuesto!$B$57='Flujo de Pagos'!$E344,57,9999)</f>
        <v>57</v>
      </c>
      <c r="BZ344" s="0" t="n">
        <f aca="false">IF(Presupuesto!$B$58='Flujo de Pagos'!$E344,58,9999)</f>
        <v>58</v>
      </c>
      <c r="CA344" s="0" t="n">
        <f aca="false">IF(Presupuesto!$B$59='Flujo de Pagos'!$E344,59,9999)</f>
        <v>59</v>
      </c>
      <c r="CB344" s="0" t="n">
        <f aca="false">IF(Presupuesto!$B$60='Flujo de Pagos'!$E344,60,9999)</f>
        <v>60</v>
      </c>
      <c r="CC344" s="0" t="n">
        <f aca="false">IF(Presupuesto!$B$61='Flujo de Pagos'!$E344,61,9999)</f>
        <v>61</v>
      </c>
      <c r="CD344" s="0" t="n">
        <f aca="false">IF(Presupuesto!$B$62='Flujo de Pagos'!$E344,62,9999)</f>
        <v>62</v>
      </c>
      <c r="CE344" s="0" t="n">
        <f aca="false">IF(Presupuesto!$B$63='Flujo de Pagos'!$E344,63,9999)</f>
        <v>63</v>
      </c>
      <c r="CF344" s="0" t="n">
        <f aca="false">IF(Presupuesto!$B$64='Flujo de Pagos'!$E344,64,9999)</f>
        <v>64</v>
      </c>
      <c r="CG344" s="0" t="n">
        <f aca="false">IF(Presupuesto!$B$65='Flujo de Pagos'!$E344,65,9999)</f>
        <v>65</v>
      </c>
      <c r="CH344" s="0" t="n">
        <f aca="false">IF(Presupuesto!$B$66='Flujo de Pagos'!$E344,66,9999)</f>
        <v>66</v>
      </c>
    </row>
    <row r="345" customFormat="false" ht="15" hidden="false" customHeight="true" outlineLevel="0" collapsed="false">
      <c r="B345" s="1" t="n">
        <f aca="false">IF(AND('Flujo de Pagos'!E350=Carátula!$B$2,'Flujo de Pagos'!F350=Carátula!$B$4,'Flujo de Pagos'!H350&lt;&gt;""),350,99999)</f>
        <v>99999</v>
      </c>
      <c r="H345" s="1" t="n">
        <f aca="false">IF(SMALL($AA345:$CH345,1)&gt;=9999,"",INDEX(Presupuesto!$C:$C,SMALL($AA345:$CH345,1)))</f>
        <v>0</v>
      </c>
      <c r="I345" s="1" t="n">
        <f aca="false">IF(SMALL($AA345:$CH345,2)&gt;=9999,"",INDEX(Presupuesto!$C:$C,SMALL($AA345:$CH345,2)))</f>
        <v>0</v>
      </c>
      <c r="J345" s="1" t="n">
        <f aca="false">IF(SMALL($AA345:$CH345,3)&gt;=9999,"",INDEX(Presupuesto!$C:$C,SMALL($AA345:$CH345,3)))</f>
        <v>0</v>
      </c>
      <c r="K345" s="1" t="n">
        <f aca="false">IF(SMALL($AA345:$CH345,4)&gt;=9999,"",INDEX(Presupuesto!$C:$C,SMALL($AA345:$CH345,4)))</f>
        <v>0</v>
      </c>
      <c r="L345" s="1" t="n">
        <f aca="false">IF(SMALL($AA345:$CH345,5)&gt;=9999,"",INDEX(Presupuesto!$C:$C,SMALL($AA345:$CH345,5)))</f>
        <v>0</v>
      </c>
      <c r="M345" s="1" t="n">
        <f aca="false">IF(SMALL($AA345:$CH345,6)&gt;=9999,"",INDEX(Presupuesto!$C:$C,SMALL($AA345:$CH345,6)))</f>
        <v>0</v>
      </c>
      <c r="N345" s="1" t="n">
        <f aca="false">IF(SMALL($AA345:$CH345,7)&gt;=9999,"",INDEX(Presupuesto!$C:$C,SMALL($AA345:$CH345,7)))</f>
        <v>0</v>
      </c>
      <c r="O345" s="1" t="n">
        <f aca="false">IF(SMALL($AA345:$CH345,8)&gt;=9999,"",INDEX(Presupuesto!$C:$C,SMALL($AA345:$CH345,8)))</f>
        <v>0</v>
      </c>
      <c r="P345" s="1" t="n">
        <f aca="false">IF(SMALL($AA345:$CH345,9)&gt;=9999,"",INDEX(Presupuesto!$C:$C,SMALL($AA345:$CH345,9)))</f>
        <v>0</v>
      </c>
      <c r="Q345" s="1" t="n">
        <f aca="false">IF(SMALL($AA345:$CH345,10)&gt;=9999,"",INDEX(Presupuesto!$C:$C,SMALL($AA345:$CH345,10)))</f>
        <v>0</v>
      </c>
      <c r="AA345" s="0" t="n">
        <f aca="false">IF(Presupuesto!$B$7='Flujo de Pagos'!$E345,7,9999)</f>
        <v>9999</v>
      </c>
      <c r="AB345" s="0" t="n">
        <f aca="false">IF(Presupuesto!$B$8='Flujo de Pagos'!$E345,8,9999)</f>
        <v>9999</v>
      </c>
      <c r="AC345" s="0" t="n">
        <f aca="false">IF(Presupuesto!$B$9='Flujo de Pagos'!$E345,9,9999)</f>
        <v>9999</v>
      </c>
      <c r="AD345" s="0" t="n">
        <f aca="false">IF(Presupuesto!$B$10='Flujo de Pagos'!$E345,10,9999)</f>
        <v>9999</v>
      </c>
      <c r="AE345" s="0" t="n">
        <f aca="false">IF(Presupuesto!$B$11='Flujo de Pagos'!$E345,11,9999)</f>
        <v>9999</v>
      </c>
      <c r="AF345" s="0" t="n">
        <f aca="false">IF(Presupuesto!$B$12='Flujo de Pagos'!$E345,12,9999)</f>
        <v>12</v>
      </c>
      <c r="AG345" s="0" t="n">
        <f aca="false">IF(Presupuesto!$B$13='Flujo de Pagos'!$E345,13,9999)</f>
        <v>13</v>
      </c>
      <c r="AH345" s="0" t="n">
        <f aca="false">IF(Presupuesto!$B$14='Flujo de Pagos'!$E345,14,9999)</f>
        <v>14</v>
      </c>
      <c r="AI345" s="0" t="n">
        <f aca="false">IF(Presupuesto!$B$15='Flujo de Pagos'!$E345,15,9999)</f>
        <v>15</v>
      </c>
      <c r="AJ345" s="0" t="n">
        <f aca="false">IF(Presupuesto!$B$16='Flujo de Pagos'!$E345,16,9999)</f>
        <v>16</v>
      </c>
      <c r="AK345" s="0" t="n">
        <f aca="false">IF(Presupuesto!$B$17='Flujo de Pagos'!$E345,17,9999)</f>
        <v>17</v>
      </c>
      <c r="AL345" s="0" t="n">
        <f aca="false">IF(Presupuesto!$B$18='Flujo de Pagos'!$E345,18,9999)</f>
        <v>18</v>
      </c>
      <c r="AM345" s="0" t="n">
        <f aca="false">IF(Presupuesto!$B$19='Flujo de Pagos'!$E345,19,9999)</f>
        <v>19</v>
      </c>
      <c r="AN345" s="0" t="n">
        <f aca="false">IF(Presupuesto!$B$20='Flujo de Pagos'!$E345,20,9999)</f>
        <v>20</v>
      </c>
      <c r="AO345" s="0" t="n">
        <f aca="false">IF(Presupuesto!$B$21='Flujo de Pagos'!$E345,21,9999)</f>
        <v>21</v>
      </c>
      <c r="AP345" s="0" t="n">
        <f aca="false">IF(Presupuesto!$B$22='Flujo de Pagos'!$E345,22,9999)</f>
        <v>22</v>
      </c>
      <c r="AQ345" s="0" t="n">
        <f aca="false">IF(Presupuesto!$B$23='Flujo de Pagos'!$E345,23,9999)</f>
        <v>23</v>
      </c>
      <c r="AR345" s="0" t="n">
        <f aca="false">IF(Presupuesto!$B$24='Flujo de Pagos'!$E345,24,9999)</f>
        <v>24</v>
      </c>
      <c r="AS345" s="0" t="n">
        <f aca="false">IF(Presupuesto!$B$25='Flujo de Pagos'!$E345,25,9999)</f>
        <v>25</v>
      </c>
      <c r="AT345" s="0" t="n">
        <f aca="false">IF(Presupuesto!$B$26='Flujo de Pagos'!$E345,26,9999)</f>
        <v>26</v>
      </c>
      <c r="AU345" s="0" t="n">
        <f aca="false">IF(Presupuesto!$B$27='Flujo de Pagos'!$E345,27,9999)</f>
        <v>27</v>
      </c>
      <c r="AV345" s="0" t="n">
        <f aca="false">IF(Presupuesto!$B$28='Flujo de Pagos'!$E345,28,9999)</f>
        <v>28</v>
      </c>
      <c r="AW345" s="0" t="n">
        <f aca="false">IF(Presupuesto!$B$29='Flujo de Pagos'!$E345,29,9999)</f>
        <v>29</v>
      </c>
      <c r="AX345" s="0" t="n">
        <f aca="false">IF(Presupuesto!$B$30='Flujo de Pagos'!$E345,30,9999)</f>
        <v>30</v>
      </c>
      <c r="AY345" s="0" t="n">
        <f aca="false">IF(Presupuesto!$B$31='Flujo de Pagos'!$E345,31,9999)</f>
        <v>31</v>
      </c>
      <c r="AZ345" s="0" t="n">
        <f aca="false">IF(Presupuesto!$B$32='Flujo de Pagos'!$E345,32,9999)</f>
        <v>32</v>
      </c>
      <c r="BA345" s="0" t="n">
        <f aca="false">IF(Presupuesto!$B$33='Flujo de Pagos'!$E345,33,9999)</f>
        <v>33</v>
      </c>
      <c r="BB345" s="0" t="n">
        <f aca="false">IF(Presupuesto!$B$34='Flujo de Pagos'!$E345,34,9999)</f>
        <v>34</v>
      </c>
      <c r="BC345" s="0" t="n">
        <f aca="false">IF(Presupuesto!$B$35='Flujo de Pagos'!$E345,35,9999)</f>
        <v>35</v>
      </c>
      <c r="BD345" s="0" t="n">
        <f aca="false">IF(Presupuesto!$B$36='Flujo de Pagos'!$E345,36,9999)</f>
        <v>36</v>
      </c>
      <c r="BE345" s="0" t="n">
        <f aca="false">IF(Presupuesto!$B$37='Flujo de Pagos'!$E345,37,9999)</f>
        <v>37</v>
      </c>
      <c r="BF345" s="0" t="n">
        <f aca="false">IF(Presupuesto!$B$38='Flujo de Pagos'!$E345,38,9999)</f>
        <v>38</v>
      </c>
      <c r="BG345" s="0" t="n">
        <f aca="false">IF(Presupuesto!$B$39='Flujo de Pagos'!$E345,39,9999)</f>
        <v>39</v>
      </c>
      <c r="BH345" s="0" t="n">
        <f aca="false">IF(Presupuesto!$B$40='Flujo de Pagos'!$E345,40,9999)</f>
        <v>40</v>
      </c>
      <c r="BI345" s="0" t="n">
        <f aca="false">IF(Presupuesto!$B$41='Flujo de Pagos'!$E345,41,9999)</f>
        <v>41</v>
      </c>
      <c r="BJ345" s="0" t="n">
        <f aca="false">IF(Presupuesto!$B$42='Flujo de Pagos'!$E345,42,9999)</f>
        <v>42</v>
      </c>
      <c r="BK345" s="0" t="n">
        <f aca="false">IF(Presupuesto!$B$43='Flujo de Pagos'!$E345,43,9999)</f>
        <v>43</v>
      </c>
      <c r="BL345" s="0" t="n">
        <f aca="false">IF(Presupuesto!$B$44='Flujo de Pagos'!$E345,44,9999)</f>
        <v>44</v>
      </c>
      <c r="BM345" s="0" t="n">
        <f aca="false">IF(Presupuesto!$B$45='Flujo de Pagos'!$E345,45,9999)</f>
        <v>45</v>
      </c>
      <c r="BN345" s="0" t="n">
        <f aca="false">IF(Presupuesto!$B$46='Flujo de Pagos'!$E345,46,9999)</f>
        <v>46</v>
      </c>
      <c r="BO345" s="0" t="n">
        <f aca="false">IF(Presupuesto!$B$47='Flujo de Pagos'!$E345,47,9999)</f>
        <v>47</v>
      </c>
      <c r="BP345" s="0" t="n">
        <f aca="false">IF(Presupuesto!$B$48='Flujo de Pagos'!$E345,48,9999)</f>
        <v>48</v>
      </c>
      <c r="BQ345" s="0" t="n">
        <f aca="false">IF(Presupuesto!$B$49='Flujo de Pagos'!$E345,49,9999)</f>
        <v>49</v>
      </c>
      <c r="BR345" s="0" t="n">
        <f aca="false">IF(Presupuesto!$B$50='Flujo de Pagos'!$E345,50,9999)</f>
        <v>50</v>
      </c>
      <c r="BS345" s="0" t="n">
        <f aca="false">IF(Presupuesto!$B$51='Flujo de Pagos'!$E345,51,9999)</f>
        <v>51</v>
      </c>
      <c r="BT345" s="0" t="n">
        <f aca="false">IF(Presupuesto!$B$52='Flujo de Pagos'!$E345,52,9999)</f>
        <v>52</v>
      </c>
      <c r="BU345" s="0" t="n">
        <f aca="false">IF(Presupuesto!$B$53='Flujo de Pagos'!$E345,53,9999)</f>
        <v>53</v>
      </c>
      <c r="BV345" s="0" t="n">
        <f aca="false">IF(Presupuesto!$B$54='Flujo de Pagos'!$E345,54,9999)</f>
        <v>54</v>
      </c>
      <c r="BW345" s="0" t="n">
        <f aca="false">IF(Presupuesto!$B$55='Flujo de Pagos'!$E345,55,9999)</f>
        <v>55</v>
      </c>
      <c r="BX345" s="0" t="n">
        <f aca="false">IF(Presupuesto!$B$56='Flujo de Pagos'!$E345,56,9999)</f>
        <v>56</v>
      </c>
      <c r="BY345" s="0" t="n">
        <f aca="false">IF(Presupuesto!$B$57='Flujo de Pagos'!$E345,57,9999)</f>
        <v>57</v>
      </c>
      <c r="BZ345" s="0" t="n">
        <f aca="false">IF(Presupuesto!$B$58='Flujo de Pagos'!$E345,58,9999)</f>
        <v>58</v>
      </c>
      <c r="CA345" s="0" t="n">
        <f aca="false">IF(Presupuesto!$B$59='Flujo de Pagos'!$E345,59,9999)</f>
        <v>59</v>
      </c>
      <c r="CB345" s="0" t="n">
        <f aca="false">IF(Presupuesto!$B$60='Flujo de Pagos'!$E345,60,9999)</f>
        <v>60</v>
      </c>
      <c r="CC345" s="0" t="n">
        <f aca="false">IF(Presupuesto!$B$61='Flujo de Pagos'!$E345,61,9999)</f>
        <v>61</v>
      </c>
      <c r="CD345" s="0" t="n">
        <f aca="false">IF(Presupuesto!$B$62='Flujo de Pagos'!$E345,62,9999)</f>
        <v>62</v>
      </c>
      <c r="CE345" s="0" t="n">
        <f aca="false">IF(Presupuesto!$B$63='Flujo de Pagos'!$E345,63,9999)</f>
        <v>63</v>
      </c>
      <c r="CF345" s="0" t="n">
        <f aca="false">IF(Presupuesto!$B$64='Flujo de Pagos'!$E345,64,9999)</f>
        <v>64</v>
      </c>
      <c r="CG345" s="0" t="n">
        <f aca="false">IF(Presupuesto!$B$65='Flujo de Pagos'!$E345,65,9999)</f>
        <v>65</v>
      </c>
      <c r="CH345" s="0" t="n">
        <f aca="false">IF(Presupuesto!$B$66='Flujo de Pagos'!$E345,66,9999)</f>
        <v>66</v>
      </c>
    </row>
    <row r="346" customFormat="false" ht="15" hidden="false" customHeight="true" outlineLevel="0" collapsed="false">
      <c r="B346" s="1" t="n">
        <f aca="false">IF(AND('Flujo de Pagos'!E351=Carátula!$B$2,'Flujo de Pagos'!F351=Carátula!$B$4,'Flujo de Pagos'!H351&lt;&gt;""),351,99999)</f>
        <v>99999</v>
      </c>
      <c r="H346" s="1" t="n">
        <f aca="false">IF(SMALL($AA346:$CH346,1)&gt;=9999,"",INDEX(Presupuesto!$C:$C,SMALL($AA346:$CH346,1)))</f>
        <v>0</v>
      </c>
      <c r="I346" s="1" t="n">
        <f aca="false">IF(SMALL($AA346:$CH346,2)&gt;=9999,"",INDEX(Presupuesto!$C:$C,SMALL($AA346:$CH346,2)))</f>
        <v>0</v>
      </c>
      <c r="J346" s="1" t="n">
        <f aca="false">IF(SMALL($AA346:$CH346,3)&gt;=9999,"",INDEX(Presupuesto!$C:$C,SMALL($AA346:$CH346,3)))</f>
        <v>0</v>
      </c>
      <c r="K346" s="1" t="n">
        <f aca="false">IF(SMALL($AA346:$CH346,4)&gt;=9999,"",INDEX(Presupuesto!$C:$C,SMALL($AA346:$CH346,4)))</f>
        <v>0</v>
      </c>
      <c r="L346" s="1" t="n">
        <f aca="false">IF(SMALL($AA346:$CH346,5)&gt;=9999,"",INDEX(Presupuesto!$C:$C,SMALL($AA346:$CH346,5)))</f>
        <v>0</v>
      </c>
      <c r="M346" s="1" t="n">
        <f aca="false">IF(SMALL($AA346:$CH346,6)&gt;=9999,"",INDEX(Presupuesto!$C:$C,SMALL($AA346:$CH346,6)))</f>
        <v>0</v>
      </c>
      <c r="N346" s="1" t="n">
        <f aca="false">IF(SMALL($AA346:$CH346,7)&gt;=9999,"",INDEX(Presupuesto!$C:$C,SMALL($AA346:$CH346,7)))</f>
        <v>0</v>
      </c>
      <c r="O346" s="1" t="n">
        <f aca="false">IF(SMALL($AA346:$CH346,8)&gt;=9999,"",INDEX(Presupuesto!$C:$C,SMALL($AA346:$CH346,8)))</f>
        <v>0</v>
      </c>
      <c r="P346" s="1" t="n">
        <f aca="false">IF(SMALL($AA346:$CH346,9)&gt;=9999,"",INDEX(Presupuesto!$C:$C,SMALL($AA346:$CH346,9)))</f>
        <v>0</v>
      </c>
      <c r="Q346" s="1" t="n">
        <f aca="false">IF(SMALL($AA346:$CH346,10)&gt;=9999,"",INDEX(Presupuesto!$C:$C,SMALL($AA346:$CH346,10)))</f>
        <v>0</v>
      </c>
      <c r="AA346" s="0" t="n">
        <f aca="false">IF(Presupuesto!$B$7='Flujo de Pagos'!$E346,7,9999)</f>
        <v>9999</v>
      </c>
      <c r="AB346" s="0" t="n">
        <f aca="false">IF(Presupuesto!$B$8='Flujo de Pagos'!$E346,8,9999)</f>
        <v>9999</v>
      </c>
      <c r="AC346" s="0" t="n">
        <f aca="false">IF(Presupuesto!$B$9='Flujo de Pagos'!$E346,9,9999)</f>
        <v>9999</v>
      </c>
      <c r="AD346" s="0" t="n">
        <f aca="false">IF(Presupuesto!$B$10='Flujo de Pagos'!$E346,10,9999)</f>
        <v>9999</v>
      </c>
      <c r="AE346" s="0" t="n">
        <f aca="false">IF(Presupuesto!$B$11='Flujo de Pagos'!$E346,11,9999)</f>
        <v>9999</v>
      </c>
      <c r="AF346" s="0" t="n">
        <f aca="false">IF(Presupuesto!$B$12='Flujo de Pagos'!$E346,12,9999)</f>
        <v>12</v>
      </c>
      <c r="AG346" s="0" t="n">
        <f aca="false">IF(Presupuesto!$B$13='Flujo de Pagos'!$E346,13,9999)</f>
        <v>13</v>
      </c>
      <c r="AH346" s="0" t="n">
        <f aca="false">IF(Presupuesto!$B$14='Flujo de Pagos'!$E346,14,9999)</f>
        <v>14</v>
      </c>
      <c r="AI346" s="0" t="n">
        <f aca="false">IF(Presupuesto!$B$15='Flujo de Pagos'!$E346,15,9999)</f>
        <v>15</v>
      </c>
      <c r="AJ346" s="0" t="n">
        <f aca="false">IF(Presupuesto!$B$16='Flujo de Pagos'!$E346,16,9999)</f>
        <v>16</v>
      </c>
      <c r="AK346" s="0" t="n">
        <f aca="false">IF(Presupuesto!$B$17='Flujo de Pagos'!$E346,17,9999)</f>
        <v>17</v>
      </c>
      <c r="AL346" s="0" t="n">
        <f aca="false">IF(Presupuesto!$B$18='Flujo de Pagos'!$E346,18,9999)</f>
        <v>18</v>
      </c>
      <c r="AM346" s="0" t="n">
        <f aca="false">IF(Presupuesto!$B$19='Flujo de Pagos'!$E346,19,9999)</f>
        <v>19</v>
      </c>
      <c r="AN346" s="0" t="n">
        <f aca="false">IF(Presupuesto!$B$20='Flujo de Pagos'!$E346,20,9999)</f>
        <v>20</v>
      </c>
      <c r="AO346" s="0" t="n">
        <f aca="false">IF(Presupuesto!$B$21='Flujo de Pagos'!$E346,21,9999)</f>
        <v>21</v>
      </c>
      <c r="AP346" s="0" t="n">
        <f aca="false">IF(Presupuesto!$B$22='Flujo de Pagos'!$E346,22,9999)</f>
        <v>22</v>
      </c>
      <c r="AQ346" s="0" t="n">
        <f aca="false">IF(Presupuesto!$B$23='Flujo de Pagos'!$E346,23,9999)</f>
        <v>23</v>
      </c>
      <c r="AR346" s="0" t="n">
        <f aca="false">IF(Presupuesto!$B$24='Flujo de Pagos'!$E346,24,9999)</f>
        <v>24</v>
      </c>
      <c r="AS346" s="0" t="n">
        <f aca="false">IF(Presupuesto!$B$25='Flujo de Pagos'!$E346,25,9999)</f>
        <v>25</v>
      </c>
      <c r="AT346" s="0" t="n">
        <f aca="false">IF(Presupuesto!$B$26='Flujo de Pagos'!$E346,26,9999)</f>
        <v>26</v>
      </c>
      <c r="AU346" s="0" t="n">
        <f aca="false">IF(Presupuesto!$B$27='Flujo de Pagos'!$E346,27,9999)</f>
        <v>27</v>
      </c>
      <c r="AV346" s="0" t="n">
        <f aca="false">IF(Presupuesto!$B$28='Flujo de Pagos'!$E346,28,9999)</f>
        <v>28</v>
      </c>
      <c r="AW346" s="0" t="n">
        <f aca="false">IF(Presupuesto!$B$29='Flujo de Pagos'!$E346,29,9999)</f>
        <v>29</v>
      </c>
      <c r="AX346" s="0" t="n">
        <f aca="false">IF(Presupuesto!$B$30='Flujo de Pagos'!$E346,30,9999)</f>
        <v>30</v>
      </c>
      <c r="AY346" s="0" t="n">
        <f aca="false">IF(Presupuesto!$B$31='Flujo de Pagos'!$E346,31,9999)</f>
        <v>31</v>
      </c>
      <c r="AZ346" s="0" t="n">
        <f aca="false">IF(Presupuesto!$B$32='Flujo de Pagos'!$E346,32,9999)</f>
        <v>32</v>
      </c>
      <c r="BA346" s="0" t="n">
        <f aca="false">IF(Presupuesto!$B$33='Flujo de Pagos'!$E346,33,9999)</f>
        <v>33</v>
      </c>
      <c r="BB346" s="0" t="n">
        <f aca="false">IF(Presupuesto!$B$34='Flujo de Pagos'!$E346,34,9999)</f>
        <v>34</v>
      </c>
      <c r="BC346" s="0" t="n">
        <f aca="false">IF(Presupuesto!$B$35='Flujo de Pagos'!$E346,35,9999)</f>
        <v>35</v>
      </c>
      <c r="BD346" s="0" t="n">
        <f aca="false">IF(Presupuesto!$B$36='Flujo de Pagos'!$E346,36,9999)</f>
        <v>36</v>
      </c>
      <c r="BE346" s="0" t="n">
        <f aca="false">IF(Presupuesto!$B$37='Flujo de Pagos'!$E346,37,9999)</f>
        <v>37</v>
      </c>
      <c r="BF346" s="0" t="n">
        <f aca="false">IF(Presupuesto!$B$38='Flujo de Pagos'!$E346,38,9999)</f>
        <v>38</v>
      </c>
      <c r="BG346" s="0" t="n">
        <f aca="false">IF(Presupuesto!$B$39='Flujo de Pagos'!$E346,39,9999)</f>
        <v>39</v>
      </c>
      <c r="BH346" s="0" t="n">
        <f aca="false">IF(Presupuesto!$B$40='Flujo de Pagos'!$E346,40,9999)</f>
        <v>40</v>
      </c>
      <c r="BI346" s="0" t="n">
        <f aca="false">IF(Presupuesto!$B$41='Flujo de Pagos'!$E346,41,9999)</f>
        <v>41</v>
      </c>
      <c r="BJ346" s="0" t="n">
        <f aca="false">IF(Presupuesto!$B$42='Flujo de Pagos'!$E346,42,9999)</f>
        <v>42</v>
      </c>
      <c r="BK346" s="0" t="n">
        <f aca="false">IF(Presupuesto!$B$43='Flujo de Pagos'!$E346,43,9999)</f>
        <v>43</v>
      </c>
      <c r="BL346" s="0" t="n">
        <f aca="false">IF(Presupuesto!$B$44='Flujo de Pagos'!$E346,44,9999)</f>
        <v>44</v>
      </c>
      <c r="BM346" s="0" t="n">
        <f aca="false">IF(Presupuesto!$B$45='Flujo de Pagos'!$E346,45,9999)</f>
        <v>45</v>
      </c>
      <c r="BN346" s="0" t="n">
        <f aca="false">IF(Presupuesto!$B$46='Flujo de Pagos'!$E346,46,9999)</f>
        <v>46</v>
      </c>
      <c r="BO346" s="0" t="n">
        <f aca="false">IF(Presupuesto!$B$47='Flujo de Pagos'!$E346,47,9999)</f>
        <v>47</v>
      </c>
      <c r="BP346" s="0" t="n">
        <f aca="false">IF(Presupuesto!$B$48='Flujo de Pagos'!$E346,48,9999)</f>
        <v>48</v>
      </c>
      <c r="BQ346" s="0" t="n">
        <f aca="false">IF(Presupuesto!$B$49='Flujo de Pagos'!$E346,49,9999)</f>
        <v>49</v>
      </c>
      <c r="BR346" s="0" t="n">
        <f aca="false">IF(Presupuesto!$B$50='Flujo de Pagos'!$E346,50,9999)</f>
        <v>50</v>
      </c>
      <c r="BS346" s="0" t="n">
        <f aca="false">IF(Presupuesto!$B$51='Flujo de Pagos'!$E346,51,9999)</f>
        <v>51</v>
      </c>
      <c r="BT346" s="0" t="n">
        <f aca="false">IF(Presupuesto!$B$52='Flujo de Pagos'!$E346,52,9999)</f>
        <v>52</v>
      </c>
      <c r="BU346" s="0" t="n">
        <f aca="false">IF(Presupuesto!$B$53='Flujo de Pagos'!$E346,53,9999)</f>
        <v>53</v>
      </c>
      <c r="BV346" s="0" t="n">
        <f aca="false">IF(Presupuesto!$B$54='Flujo de Pagos'!$E346,54,9999)</f>
        <v>54</v>
      </c>
      <c r="BW346" s="0" t="n">
        <f aca="false">IF(Presupuesto!$B$55='Flujo de Pagos'!$E346,55,9999)</f>
        <v>55</v>
      </c>
      <c r="BX346" s="0" t="n">
        <f aca="false">IF(Presupuesto!$B$56='Flujo de Pagos'!$E346,56,9999)</f>
        <v>56</v>
      </c>
      <c r="BY346" s="0" t="n">
        <f aca="false">IF(Presupuesto!$B$57='Flujo de Pagos'!$E346,57,9999)</f>
        <v>57</v>
      </c>
      <c r="BZ346" s="0" t="n">
        <f aca="false">IF(Presupuesto!$B$58='Flujo de Pagos'!$E346,58,9999)</f>
        <v>58</v>
      </c>
      <c r="CA346" s="0" t="n">
        <f aca="false">IF(Presupuesto!$B$59='Flujo de Pagos'!$E346,59,9999)</f>
        <v>59</v>
      </c>
      <c r="CB346" s="0" t="n">
        <f aca="false">IF(Presupuesto!$B$60='Flujo de Pagos'!$E346,60,9999)</f>
        <v>60</v>
      </c>
      <c r="CC346" s="0" t="n">
        <f aca="false">IF(Presupuesto!$B$61='Flujo de Pagos'!$E346,61,9999)</f>
        <v>61</v>
      </c>
      <c r="CD346" s="0" t="n">
        <f aca="false">IF(Presupuesto!$B$62='Flujo de Pagos'!$E346,62,9999)</f>
        <v>62</v>
      </c>
      <c r="CE346" s="0" t="n">
        <f aca="false">IF(Presupuesto!$B$63='Flujo de Pagos'!$E346,63,9999)</f>
        <v>63</v>
      </c>
      <c r="CF346" s="0" t="n">
        <f aca="false">IF(Presupuesto!$B$64='Flujo de Pagos'!$E346,64,9999)</f>
        <v>64</v>
      </c>
      <c r="CG346" s="0" t="n">
        <f aca="false">IF(Presupuesto!$B$65='Flujo de Pagos'!$E346,65,9999)</f>
        <v>65</v>
      </c>
      <c r="CH346" s="0" t="n">
        <f aca="false">IF(Presupuesto!$B$66='Flujo de Pagos'!$E346,66,9999)</f>
        <v>66</v>
      </c>
    </row>
    <row r="347" customFormat="false" ht="15" hidden="false" customHeight="true" outlineLevel="0" collapsed="false">
      <c r="B347" s="1" t="n">
        <f aca="false">IF(AND('Flujo de Pagos'!E352=Carátula!$B$2,'Flujo de Pagos'!F352=Carátula!$B$4,'Flujo de Pagos'!H352&lt;&gt;""),352,99999)</f>
        <v>99999</v>
      </c>
      <c r="H347" s="1" t="n">
        <f aca="false">IF(SMALL($AA347:$CH347,1)&gt;=9999,"",INDEX(Presupuesto!$C:$C,SMALL($AA347:$CH347,1)))</f>
        <v>0</v>
      </c>
      <c r="I347" s="1" t="n">
        <f aca="false">IF(SMALL($AA347:$CH347,2)&gt;=9999,"",INDEX(Presupuesto!$C:$C,SMALL($AA347:$CH347,2)))</f>
        <v>0</v>
      </c>
      <c r="J347" s="1" t="n">
        <f aca="false">IF(SMALL($AA347:$CH347,3)&gt;=9999,"",INDEX(Presupuesto!$C:$C,SMALL($AA347:$CH347,3)))</f>
        <v>0</v>
      </c>
      <c r="K347" s="1" t="n">
        <f aca="false">IF(SMALL($AA347:$CH347,4)&gt;=9999,"",INDEX(Presupuesto!$C:$C,SMALL($AA347:$CH347,4)))</f>
        <v>0</v>
      </c>
      <c r="L347" s="1" t="n">
        <f aca="false">IF(SMALL($AA347:$CH347,5)&gt;=9999,"",INDEX(Presupuesto!$C:$C,SMALL($AA347:$CH347,5)))</f>
        <v>0</v>
      </c>
      <c r="M347" s="1" t="n">
        <f aca="false">IF(SMALL($AA347:$CH347,6)&gt;=9999,"",INDEX(Presupuesto!$C:$C,SMALL($AA347:$CH347,6)))</f>
        <v>0</v>
      </c>
      <c r="N347" s="1" t="n">
        <f aca="false">IF(SMALL($AA347:$CH347,7)&gt;=9999,"",INDEX(Presupuesto!$C:$C,SMALL($AA347:$CH347,7)))</f>
        <v>0</v>
      </c>
      <c r="O347" s="1" t="n">
        <f aca="false">IF(SMALL($AA347:$CH347,8)&gt;=9999,"",INDEX(Presupuesto!$C:$C,SMALL($AA347:$CH347,8)))</f>
        <v>0</v>
      </c>
      <c r="P347" s="1" t="n">
        <f aca="false">IF(SMALL($AA347:$CH347,9)&gt;=9999,"",INDEX(Presupuesto!$C:$C,SMALL($AA347:$CH347,9)))</f>
        <v>0</v>
      </c>
      <c r="Q347" s="1" t="n">
        <f aca="false">IF(SMALL($AA347:$CH347,10)&gt;=9999,"",INDEX(Presupuesto!$C:$C,SMALL($AA347:$CH347,10)))</f>
        <v>0</v>
      </c>
      <c r="AA347" s="0" t="n">
        <f aca="false">IF(Presupuesto!$B$7='Flujo de Pagos'!$E347,7,9999)</f>
        <v>9999</v>
      </c>
      <c r="AB347" s="0" t="n">
        <f aca="false">IF(Presupuesto!$B$8='Flujo de Pagos'!$E347,8,9999)</f>
        <v>9999</v>
      </c>
      <c r="AC347" s="0" t="n">
        <f aca="false">IF(Presupuesto!$B$9='Flujo de Pagos'!$E347,9,9999)</f>
        <v>9999</v>
      </c>
      <c r="AD347" s="0" t="n">
        <f aca="false">IF(Presupuesto!$B$10='Flujo de Pagos'!$E347,10,9999)</f>
        <v>9999</v>
      </c>
      <c r="AE347" s="0" t="n">
        <f aca="false">IF(Presupuesto!$B$11='Flujo de Pagos'!$E347,11,9999)</f>
        <v>9999</v>
      </c>
      <c r="AF347" s="0" t="n">
        <f aca="false">IF(Presupuesto!$B$12='Flujo de Pagos'!$E347,12,9999)</f>
        <v>12</v>
      </c>
      <c r="AG347" s="0" t="n">
        <f aca="false">IF(Presupuesto!$B$13='Flujo de Pagos'!$E347,13,9999)</f>
        <v>13</v>
      </c>
      <c r="AH347" s="0" t="n">
        <f aca="false">IF(Presupuesto!$B$14='Flujo de Pagos'!$E347,14,9999)</f>
        <v>14</v>
      </c>
      <c r="AI347" s="0" t="n">
        <f aca="false">IF(Presupuesto!$B$15='Flujo de Pagos'!$E347,15,9999)</f>
        <v>15</v>
      </c>
      <c r="AJ347" s="0" t="n">
        <f aca="false">IF(Presupuesto!$B$16='Flujo de Pagos'!$E347,16,9999)</f>
        <v>16</v>
      </c>
      <c r="AK347" s="0" t="n">
        <f aca="false">IF(Presupuesto!$B$17='Flujo de Pagos'!$E347,17,9999)</f>
        <v>17</v>
      </c>
      <c r="AL347" s="0" t="n">
        <f aca="false">IF(Presupuesto!$B$18='Flujo de Pagos'!$E347,18,9999)</f>
        <v>18</v>
      </c>
      <c r="AM347" s="0" t="n">
        <f aca="false">IF(Presupuesto!$B$19='Flujo de Pagos'!$E347,19,9999)</f>
        <v>19</v>
      </c>
      <c r="AN347" s="0" t="n">
        <f aca="false">IF(Presupuesto!$B$20='Flujo de Pagos'!$E347,20,9999)</f>
        <v>20</v>
      </c>
      <c r="AO347" s="0" t="n">
        <f aca="false">IF(Presupuesto!$B$21='Flujo de Pagos'!$E347,21,9999)</f>
        <v>21</v>
      </c>
      <c r="AP347" s="0" t="n">
        <f aca="false">IF(Presupuesto!$B$22='Flujo de Pagos'!$E347,22,9999)</f>
        <v>22</v>
      </c>
      <c r="AQ347" s="0" t="n">
        <f aca="false">IF(Presupuesto!$B$23='Flujo de Pagos'!$E347,23,9999)</f>
        <v>23</v>
      </c>
      <c r="AR347" s="0" t="n">
        <f aca="false">IF(Presupuesto!$B$24='Flujo de Pagos'!$E347,24,9999)</f>
        <v>24</v>
      </c>
      <c r="AS347" s="0" t="n">
        <f aca="false">IF(Presupuesto!$B$25='Flujo de Pagos'!$E347,25,9999)</f>
        <v>25</v>
      </c>
      <c r="AT347" s="0" t="n">
        <f aca="false">IF(Presupuesto!$B$26='Flujo de Pagos'!$E347,26,9999)</f>
        <v>26</v>
      </c>
      <c r="AU347" s="0" t="n">
        <f aca="false">IF(Presupuesto!$B$27='Flujo de Pagos'!$E347,27,9999)</f>
        <v>27</v>
      </c>
      <c r="AV347" s="0" t="n">
        <f aca="false">IF(Presupuesto!$B$28='Flujo de Pagos'!$E347,28,9999)</f>
        <v>28</v>
      </c>
      <c r="AW347" s="0" t="n">
        <f aca="false">IF(Presupuesto!$B$29='Flujo de Pagos'!$E347,29,9999)</f>
        <v>29</v>
      </c>
      <c r="AX347" s="0" t="n">
        <f aca="false">IF(Presupuesto!$B$30='Flujo de Pagos'!$E347,30,9999)</f>
        <v>30</v>
      </c>
      <c r="AY347" s="0" t="n">
        <f aca="false">IF(Presupuesto!$B$31='Flujo de Pagos'!$E347,31,9999)</f>
        <v>31</v>
      </c>
      <c r="AZ347" s="0" t="n">
        <f aca="false">IF(Presupuesto!$B$32='Flujo de Pagos'!$E347,32,9999)</f>
        <v>32</v>
      </c>
      <c r="BA347" s="0" t="n">
        <f aca="false">IF(Presupuesto!$B$33='Flujo de Pagos'!$E347,33,9999)</f>
        <v>33</v>
      </c>
      <c r="BB347" s="0" t="n">
        <f aca="false">IF(Presupuesto!$B$34='Flujo de Pagos'!$E347,34,9999)</f>
        <v>34</v>
      </c>
      <c r="BC347" s="0" t="n">
        <f aca="false">IF(Presupuesto!$B$35='Flujo de Pagos'!$E347,35,9999)</f>
        <v>35</v>
      </c>
      <c r="BD347" s="0" t="n">
        <f aca="false">IF(Presupuesto!$B$36='Flujo de Pagos'!$E347,36,9999)</f>
        <v>36</v>
      </c>
      <c r="BE347" s="0" t="n">
        <f aca="false">IF(Presupuesto!$B$37='Flujo de Pagos'!$E347,37,9999)</f>
        <v>37</v>
      </c>
      <c r="BF347" s="0" t="n">
        <f aca="false">IF(Presupuesto!$B$38='Flujo de Pagos'!$E347,38,9999)</f>
        <v>38</v>
      </c>
      <c r="BG347" s="0" t="n">
        <f aca="false">IF(Presupuesto!$B$39='Flujo de Pagos'!$E347,39,9999)</f>
        <v>39</v>
      </c>
      <c r="BH347" s="0" t="n">
        <f aca="false">IF(Presupuesto!$B$40='Flujo de Pagos'!$E347,40,9999)</f>
        <v>40</v>
      </c>
      <c r="BI347" s="0" t="n">
        <f aca="false">IF(Presupuesto!$B$41='Flujo de Pagos'!$E347,41,9999)</f>
        <v>41</v>
      </c>
      <c r="BJ347" s="0" t="n">
        <f aca="false">IF(Presupuesto!$B$42='Flujo de Pagos'!$E347,42,9999)</f>
        <v>42</v>
      </c>
      <c r="BK347" s="0" t="n">
        <f aca="false">IF(Presupuesto!$B$43='Flujo de Pagos'!$E347,43,9999)</f>
        <v>43</v>
      </c>
      <c r="BL347" s="0" t="n">
        <f aca="false">IF(Presupuesto!$B$44='Flujo de Pagos'!$E347,44,9999)</f>
        <v>44</v>
      </c>
      <c r="BM347" s="0" t="n">
        <f aca="false">IF(Presupuesto!$B$45='Flujo de Pagos'!$E347,45,9999)</f>
        <v>45</v>
      </c>
      <c r="BN347" s="0" t="n">
        <f aca="false">IF(Presupuesto!$B$46='Flujo de Pagos'!$E347,46,9999)</f>
        <v>46</v>
      </c>
      <c r="BO347" s="0" t="n">
        <f aca="false">IF(Presupuesto!$B$47='Flujo de Pagos'!$E347,47,9999)</f>
        <v>47</v>
      </c>
      <c r="BP347" s="0" t="n">
        <f aca="false">IF(Presupuesto!$B$48='Flujo de Pagos'!$E347,48,9999)</f>
        <v>48</v>
      </c>
      <c r="BQ347" s="0" t="n">
        <f aca="false">IF(Presupuesto!$B$49='Flujo de Pagos'!$E347,49,9999)</f>
        <v>49</v>
      </c>
      <c r="BR347" s="0" t="n">
        <f aca="false">IF(Presupuesto!$B$50='Flujo de Pagos'!$E347,50,9999)</f>
        <v>50</v>
      </c>
      <c r="BS347" s="0" t="n">
        <f aca="false">IF(Presupuesto!$B$51='Flujo de Pagos'!$E347,51,9999)</f>
        <v>51</v>
      </c>
      <c r="BT347" s="0" t="n">
        <f aca="false">IF(Presupuesto!$B$52='Flujo de Pagos'!$E347,52,9999)</f>
        <v>52</v>
      </c>
      <c r="BU347" s="0" t="n">
        <f aca="false">IF(Presupuesto!$B$53='Flujo de Pagos'!$E347,53,9999)</f>
        <v>53</v>
      </c>
      <c r="BV347" s="0" t="n">
        <f aca="false">IF(Presupuesto!$B$54='Flujo de Pagos'!$E347,54,9999)</f>
        <v>54</v>
      </c>
      <c r="BW347" s="0" t="n">
        <f aca="false">IF(Presupuesto!$B$55='Flujo de Pagos'!$E347,55,9999)</f>
        <v>55</v>
      </c>
      <c r="BX347" s="0" t="n">
        <f aca="false">IF(Presupuesto!$B$56='Flujo de Pagos'!$E347,56,9999)</f>
        <v>56</v>
      </c>
      <c r="BY347" s="0" t="n">
        <f aca="false">IF(Presupuesto!$B$57='Flujo de Pagos'!$E347,57,9999)</f>
        <v>57</v>
      </c>
      <c r="BZ347" s="0" t="n">
        <f aca="false">IF(Presupuesto!$B$58='Flujo de Pagos'!$E347,58,9999)</f>
        <v>58</v>
      </c>
      <c r="CA347" s="0" t="n">
        <f aca="false">IF(Presupuesto!$B$59='Flujo de Pagos'!$E347,59,9999)</f>
        <v>59</v>
      </c>
      <c r="CB347" s="0" t="n">
        <f aca="false">IF(Presupuesto!$B$60='Flujo de Pagos'!$E347,60,9999)</f>
        <v>60</v>
      </c>
      <c r="CC347" s="0" t="n">
        <f aca="false">IF(Presupuesto!$B$61='Flujo de Pagos'!$E347,61,9999)</f>
        <v>61</v>
      </c>
      <c r="CD347" s="0" t="n">
        <f aca="false">IF(Presupuesto!$B$62='Flujo de Pagos'!$E347,62,9999)</f>
        <v>62</v>
      </c>
      <c r="CE347" s="0" t="n">
        <f aca="false">IF(Presupuesto!$B$63='Flujo de Pagos'!$E347,63,9999)</f>
        <v>63</v>
      </c>
      <c r="CF347" s="0" t="n">
        <f aca="false">IF(Presupuesto!$B$64='Flujo de Pagos'!$E347,64,9999)</f>
        <v>64</v>
      </c>
      <c r="CG347" s="0" t="n">
        <f aca="false">IF(Presupuesto!$B$65='Flujo de Pagos'!$E347,65,9999)</f>
        <v>65</v>
      </c>
      <c r="CH347" s="0" t="n">
        <f aca="false">IF(Presupuesto!$B$66='Flujo de Pagos'!$E347,66,9999)</f>
        <v>66</v>
      </c>
    </row>
    <row r="348" customFormat="false" ht="15" hidden="false" customHeight="true" outlineLevel="0" collapsed="false">
      <c r="B348" s="1" t="n">
        <f aca="false">IF(AND('Flujo de Pagos'!E353=Carátula!$B$2,'Flujo de Pagos'!F353=Carátula!$B$4,'Flujo de Pagos'!H353&lt;&gt;""),353,99999)</f>
        <v>99999</v>
      </c>
      <c r="H348" s="1" t="n">
        <f aca="false">IF(SMALL($AA348:$CH348,1)&gt;=9999,"",INDEX(Presupuesto!$C:$C,SMALL($AA348:$CH348,1)))</f>
        <v>0</v>
      </c>
      <c r="I348" s="1" t="n">
        <f aca="false">IF(SMALL($AA348:$CH348,2)&gt;=9999,"",INDEX(Presupuesto!$C:$C,SMALL($AA348:$CH348,2)))</f>
        <v>0</v>
      </c>
      <c r="J348" s="1" t="n">
        <f aca="false">IF(SMALL($AA348:$CH348,3)&gt;=9999,"",INDEX(Presupuesto!$C:$C,SMALL($AA348:$CH348,3)))</f>
        <v>0</v>
      </c>
      <c r="K348" s="1" t="n">
        <f aca="false">IF(SMALL($AA348:$CH348,4)&gt;=9999,"",INDEX(Presupuesto!$C:$C,SMALL($AA348:$CH348,4)))</f>
        <v>0</v>
      </c>
      <c r="L348" s="1" t="n">
        <f aca="false">IF(SMALL($AA348:$CH348,5)&gt;=9999,"",INDEX(Presupuesto!$C:$C,SMALL($AA348:$CH348,5)))</f>
        <v>0</v>
      </c>
      <c r="M348" s="1" t="n">
        <f aca="false">IF(SMALL($AA348:$CH348,6)&gt;=9999,"",INDEX(Presupuesto!$C:$C,SMALL($AA348:$CH348,6)))</f>
        <v>0</v>
      </c>
      <c r="N348" s="1" t="n">
        <f aca="false">IF(SMALL($AA348:$CH348,7)&gt;=9999,"",INDEX(Presupuesto!$C:$C,SMALL($AA348:$CH348,7)))</f>
        <v>0</v>
      </c>
      <c r="O348" s="1" t="n">
        <f aca="false">IF(SMALL($AA348:$CH348,8)&gt;=9999,"",INDEX(Presupuesto!$C:$C,SMALL($AA348:$CH348,8)))</f>
        <v>0</v>
      </c>
      <c r="P348" s="1" t="n">
        <f aca="false">IF(SMALL($AA348:$CH348,9)&gt;=9999,"",INDEX(Presupuesto!$C:$C,SMALL($AA348:$CH348,9)))</f>
        <v>0</v>
      </c>
      <c r="Q348" s="1" t="n">
        <f aca="false">IF(SMALL($AA348:$CH348,10)&gt;=9999,"",INDEX(Presupuesto!$C:$C,SMALL($AA348:$CH348,10)))</f>
        <v>0</v>
      </c>
      <c r="AA348" s="0" t="n">
        <f aca="false">IF(Presupuesto!$B$7='Flujo de Pagos'!$E348,7,9999)</f>
        <v>9999</v>
      </c>
      <c r="AB348" s="0" t="n">
        <f aca="false">IF(Presupuesto!$B$8='Flujo de Pagos'!$E348,8,9999)</f>
        <v>9999</v>
      </c>
      <c r="AC348" s="0" t="n">
        <f aca="false">IF(Presupuesto!$B$9='Flujo de Pagos'!$E348,9,9999)</f>
        <v>9999</v>
      </c>
      <c r="AD348" s="0" t="n">
        <f aca="false">IF(Presupuesto!$B$10='Flujo de Pagos'!$E348,10,9999)</f>
        <v>9999</v>
      </c>
      <c r="AE348" s="0" t="n">
        <f aca="false">IF(Presupuesto!$B$11='Flujo de Pagos'!$E348,11,9999)</f>
        <v>9999</v>
      </c>
      <c r="AF348" s="0" t="n">
        <f aca="false">IF(Presupuesto!$B$12='Flujo de Pagos'!$E348,12,9999)</f>
        <v>12</v>
      </c>
      <c r="AG348" s="0" t="n">
        <f aca="false">IF(Presupuesto!$B$13='Flujo de Pagos'!$E348,13,9999)</f>
        <v>13</v>
      </c>
      <c r="AH348" s="0" t="n">
        <f aca="false">IF(Presupuesto!$B$14='Flujo de Pagos'!$E348,14,9999)</f>
        <v>14</v>
      </c>
      <c r="AI348" s="0" t="n">
        <f aca="false">IF(Presupuesto!$B$15='Flujo de Pagos'!$E348,15,9999)</f>
        <v>15</v>
      </c>
      <c r="AJ348" s="0" t="n">
        <f aca="false">IF(Presupuesto!$B$16='Flujo de Pagos'!$E348,16,9999)</f>
        <v>16</v>
      </c>
      <c r="AK348" s="0" t="n">
        <f aca="false">IF(Presupuesto!$B$17='Flujo de Pagos'!$E348,17,9999)</f>
        <v>17</v>
      </c>
      <c r="AL348" s="0" t="n">
        <f aca="false">IF(Presupuesto!$B$18='Flujo de Pagos'!$E348,18,9999)</f>
        <v>18</v>
      </c>
      <c r="AM348" s="0" t="n">
        <f aca="false">IF(Presupuesto!$B$19='Flujo de Pagos'!$E348,19,9999)</f>
        <v>19</v>
      </c>
      <c r="AN348" s="0" t="n">
        <f aca="false">IF(Presupuesto!$B$20='Flujo de Pagos'!$E348,20,9999)</f>
        <v>20</v>
      </c>
      <c r="AO348" s="0" t="n">
        <f aca="false">IF(Presupuesto!$B$21='Flujo de Pagos'!$E348,21,9999)</f>
        <v>21</v>
      </c>
      <c r="AP348" s="0" t="n">
        <f aca="false">IF(Presupuesto!$B$22='Flujo de Pagos'!$E348,22,9999)</f>
        <v>22</v>
      </c>
      <c r="AQ348" s="0" t="n">
        <f aca="false">IF(Presupuesto!$B$23='Flujo de Pagos'!$E348,23,9999)</f>
        <v>23</v>
      </c>
      <c r="AR348" s="0" t="n">
        <f aca="false">IF(Presupuesto!$B$24='Flujo de Pagos'!$E348,24,9999)</f>
        <v>24</v>
      </c>
      <c r="AS348" s="0" t="n">
        <f aca="false">IF(Presupuesto!$B$25='Flujo de Pagos'!$E348,25,9999)</f>
        <v>25</v>
      </c>
      <c r="AT348" s="0" t="n">
        <f aca="false">IF(Presupuesto!$B$26='Flujo de Pagos'!$E348,26,9999)</f>
        <v>26</v>
      </c>
      <c r="AU348" s="0" t="n">
        <f aca="false">IF(Presupuesto!$B$27='Flujo de Pagos'!$E348,27,9999)</f>
        <v>27</v>
      </c>
      <c r="AV348" s="0" t="n">
        <f aca="false">IF(Presupuesto!$B$28='Flujo de Pagos'!$E348,28,9999)</f>
        <v>28</v>
      </c>
      <c r="AW348" s="0" t="n">
        <f aca="false">IF(Presupuesto!$B$29='Flujo de Pagos'!$E348,29,9999)</f>
        <v>29</v>
      </c>
      <c r="AX348" s="0" t="n">
        <f aca="false">IF(Presupuesto!$B$30='Flujo de Pagos'!$E348,30,9999)</f>
        <v>30</v>
      </c>
      <c r="AY348" s="0" t="n">
        <f aca="false">IF(Presupuesto!$B$31='Flujo de Pagos'!$E348,31,9999)</f>
        <v>31</v>
      </c>
      <c r="AZ348" s="0" t="n">
        <f aca="false">IF(Presupuesto!$B$32='Flujo de Pagos'!$E348,32,9999)</f>
        <v>32</v>
      </c>
      <c r="BA348" s="0" t="n">
        <f aca="false">IF(Presupuesto!$B$33='Flujo de Pagos'!$E348,33,9999)</f>
        <v>33</v>
      </c>
      <c r="BB348" s="0" t="n">
        <f aca="false">IF(Presupuesto!$B$34='Flujo de Pagos'!$E348,34,9999)</f>
        <v>34</v>
      </c>
      <c r="BC348" s="0" t="n">
        <f aca="false">IF(Presupuesto!$B$35='Flujo de Pagos'!$E348,35,9999)</f>
        <v>35</v>
      </c>
      <c r="BD348" s="0" t="n">
        <f aca="false">IF(Presupuesto!$B$36='Flujo de Pagos'!$E348,36,9999)</f>
        <v>36</v>
      </c>
      <c r="BE348" s="0" t="n">
        <f aca="false">IF(Presupuesto!$B$37='Flujo de Pagos'!$E348,37,9999)</f>
        <v>37</v>
      </c>
      <c r="BF348" s="0" t="n">
        <f aca="false">IF(Presupuesto!$B$38='Flujo de Pagos'!$E348,38,9999)</f>
        <v>38</v>
      </c>
      <c r="BG348" s="0" t="n">
        <f aca="false">IF(Presupuesto!$B$39='Flujo de Pagos'!$E348,39,9999)</f>
        <v>39</v>
      </c>
      <c r="BH348" s="0" t="n">
        <f aca="false">IF(Presupuesto!$B$40='Flujo de Pagos'!$E348,40,9999)</f>
        <v>40</v>
      </c>
      <c r="BI348" s="0" t="n">
        <f aca="false">IF(Presupuesto!$B$41='Flujo de Pagos'!$E348,41,9999)</f>
        <v>41</v>
      </c>
      <c r="BJ348" s="0" t="n">
        <f aca="false">IF(Presupuesto!$B$42='Flujo de Pagos'!$E348,42,9999)</f>
        <v>42</v>
      </c>
      <c r="BK348" s="0" t="n">
        <f aca="false">IF(Presupuesto!$B$43='Flujo de Pagos'!$E348,43,9999)</f>
        <v>43</v>
      </c>
      <c r="BL348" s="0" t="n">
        <f aca="false">IF(Presupuesto!$B$44='Flujo de Pagos'!$E348,44,9999)</f>
        <v>44</v>
      </c>
      <c r="BM348" s="0" t="n">
        <f aca="false">IF(Presupuesto!$B$45='Flujo de Pagos'!$E348,45,9999)</f>
        <v>45</v>
      </c>
      <c r="BN348" s="0" t="n">
        <f aca="false">IF(Presupuesto!$B$46='Flujo de Pagos'!$E348,46,9999)</f>
        <v>46</v>
      </c>
      <c r="BO348" s="0" t="n">
        <f aca="false">IF(Presupuesto!$B$47='Flujo de Pagos'!$E348,47,9999)</f>
        <v>47</v>
      </c>
      <c r="BP348" s="0" t="n">
        <f aca="false">IF(Presupuesto!$B$48='Flujo de Pagos'!$E348,48,9999)</f>
        <v>48</v>
      </c>
      <c r="BQ348" s="0" t="n">
        <f aca="false">IF(Presupuesto!$B$49='Flujo de Pagos'!$E348,49,9999)</f>
        <v>49</v>
      </c>
      <c r="BR348" s="0" t="n">
        <f aca="false">IF(Presupuesto!$B$50='Flujo de Pagos'!$E348,50,9999)</f>
        <v>50</v>
      </c>
      <c r="BS348" s="0" t="n">
        <f aca="false">IF(Presupuesto!$B$51='Flujo de Pagos'!$E348,51,9999)</f>
        <v>51</v>
      </c>
      <c r="BT348" s="0" t="n">
        <f aca="false">IF(Presupuesto!$B$52='Flujo de Pagos'!$E348,52,9999)</f>
        <v>52</v>
      </c>
      <c r="BU348" s="0" t="n">
        <f aca="false">IF(Presupuesto!$B$53='Flujo de Pagos'!$E348,53,9999)</f>
        <v>53</v>
      </c>
      <c r="BV348" s="0" t="n">
        <f aca="false">IF(Presupuesto!$B$54='Flujo de Pagos'!$E348,54,9999)</f>
        <v>54</v>
      </c>
      <c r="BW348" s="0" t="n">
        <f aca="false">IF(Presupuesto!$B$55='Flujo de Pagos'!$E348,55,9999)</f>
        <v>55</v>
      </c>
      <c r="BX348" s="0" t="n">
        <f aca="false">IF(Presupuesto!$B$56='Flujo de Pagos'!$E348,56,9999)</f>
        <v>56</v>
      </c>
      <c r="BY348" s="0" t="n">
        <f aca="false">IF(Presupuesto!$B$57='Flujo de Pagos'!$E348,57,9999)</f>
        <v>57</v>
      </c>
      <c r="BZ348" s="0" t="n">
        <f aca="false">IF(Presupuesto!$B$58='Flujo de Pagos'!$E348,58,9999)</f>
        <v>58</v>
      </c>
      <c r="CA348" s="0" t="n">
        <f aca="false">IF(Presupuesto!$B$59='Flujo de Pagos'!$E348,59,9999)</f>
        <v>59</v>
      </c>
      <c r="CB348" s="0" t="n">
        <f aca="false">IF(Presupuesto!$B$60='Flujo de Pagos'!$E348,60,9999)</f>
        <v>60</v>
      </c>
      <c r="CC348" s="0" t="n">
        <f aca="false">IF(Presupuesto!$B$61='Flujo de Pagos'!$E348,61,9999)</f>
        <v>61</v>
      </c>
      <c r="CD348" s="0" t="n">
        <f aca="false">IF(Presupuesto!$B$62='Flujo de Pagos'!$E348,62,9999)</f>
        <v>62</v>
      </c>
      <c r="CE348" s="0" t="n">
        <f aca="false">IF(Presupuesto!$B$63='Flujo de Pagos'!$E348,63,9999)</f>
        <v>63</v>
      </c>
      <c r="CF348" s="0" t="n">
        <f aca="false">IF(Presupuesto!$B$64='Flujo de Pagos'!$E348,64,9999)</f>
        <v>64</v>
      </c>
      <c r="CG348" s="0" t="n">
        <f aca="false">IF(Presupuesto!$B$65='Flujo de Pagos'!$E348,65,9999)</f>
        <v>65</v>
      </c>
      <c r="CH348" s="0" t="n">
        <f aca="false">IF(Presupuesto!$B$66='Flujo de Pagos'!$E348,66,9999)</f>
        <v>66</v>
      </c>
    </row>
    <row r="349" customFormat="false" ht="15" hidden="false" customHeight="true" outlineLevel="0" collapsed="false">
      <c r="B349" s="1" t="n">
        <f aca="false">IF(AND('Flujo de Pagos'!E354=Carátula!$B$2,'Flujo de Pagos'!F354=Carátula!$B$4,'Flujo de Pagos'!H354&lt;&gt;""),354,99999)</f>
        <v>99999</v>
      </c>
      <c r="H349" s="1" t="n">
        <f aca="false">IF(SMALL($AA349:$CH349,1)&gt;=9999,"",INDEX(Presupuesto!$C:$C,SMALL($AA349:$CH349,1)))</f>
        <v>0</v>
      </c>
      <c r="I349" s="1" t="n">
        <f aca="false">IF(SMALL($AA349:$CH349,2)&gt;=9999,"",INDEX(Presupuesto!$C:$C,SMALL($AA349:$CH349,2)))</f>
        <v>0</v>
      </c>
      <c r="J349" s="1" t="n">
        <f aca="false">IF(SMALL($AA349:$CH349,3)&gt;=9999,"",INDEX(Presupuesto!$C:$C,SMALL($AA349:$CH349,3)))</f>
        <v>0</v>
      </c>
      <c r="K349" s="1" t="n">
        <f aca="false">IF(SMALL($AA349:$CH349,4)&gt;=9999,"",INDEX(Presupuesto!$C:$C,SMALL($AA349:$CH349,4)))</f>
        <v>0</v>
      </c>
      <c r="L349" s="1" t="n">
        <f aca="false">IF(SMALL($AA349:$CH349,5)&gt;=9999,"",INDEX(Presupuesto!$C:$C,SMALL($AA349:$CH349,5)))</f>
        <v>0</v>
      </c>
      <c r="M349" s="1" t="n">
        <f aca="false">IF(SMALL($AA349:$CH349,6)&gt;=9999,"",INDEX(Presupuesto!$C:$C,SMALL($AA349:$CH349,6)))</f>
        <v>0</v>
      </c>
      <c r="N349" s="1" t="n">
        <f aca="false">IF(SMALL($AA349:$CH349,7)&gt;=9999,"",INDEX(Presupuesto!$C:$C,SMALL($AA349:$CH349,7)))</f>
        <v>0</v>
      </c>
      <c r="O349" s="1" t="n">
        <f aca="false">IF(SMALL($AA349:$CH349,8)&gt;=9999,"",INDEX(Presupuesto!$C:$C,SMALL($AA349:$CH349,8)))</f>
        <v>0</v>
      </c>
      <c r="P349" s="1" t="n">
        <f aca="false">IF(SMALL($AA349:$CH349,9)&gt;=9999,"",INDEX(Presupuesto!$C:$C,SMALL($AA349:$CH349,9)))</f>
        <v>0</v>
      </c>
      <c r="Q349" s="1" t="n">
        <f aca="false">IF(SMALL($AA349:$CH349,10)&gt;=9999,"",INDEX(Presupuesto!$C:$C,SMALL($AA349:$CH349,10)))</f>
        <v>0</v>
      </c>
      <c r="AA349" s="0" t="n">
        <f aca="false">IF(Presupuesto!$B$7='Flujo de Pagos'!$E349,7,9999)</f>
        <v>9999</v>
      </c>
      <c r="AB349" s="0" t="n">
        <f aca="false">IF(Presupuesto!$B$8='Flujo de Pagos'!$E349,8,9999)</f>
        <v>9999</v>
      </c>
      <c r="AC349" s="0" t="n">
        <f aca="false">IF(Presupuesto!$B$9='Flujo de Pagos'!$E349,9,9999)</f>
        <v>9999</v>
      </c>
      <c r="AD349" s="0" t="n">
        <f aca="false">IF(Presupuesto!$B$10='Flujo de Pagos'!$E349,10,9999)</f>
        <v>9999</v>
      </c>
      <c r="AE349" s="0" t="n">
        <f aca="false">IF(Presupuesto!$B$11='Flujo de Pagos'!$E349,11,9999)</f>
        <v>9999</v>
      </c>
      <c r="AF349" s="0" t="n">
        <f aca="false">IF(Presupuesto!$B$12='Flujo de Pagos'!$E349,12,9999)</f>
        <v>12</v>
      </c>
      <c r="AG349" s="0" t="n">
        <f aca="false">IF(Presupuesto!$B$13='Flujo de Pagos'!$E349,13,9999)</f>
        <v>13</v>
      </c>
      <c r="AH349" s="0" t="n">
        <f aca="false">IF(Presupuesto!$B$14='Flujo de Pagos'!$E349,14,9999)</f>
        <v>14</v>
      </c>
      <c r="AI349" s="0" t="n">
        <f aca="false">IF(Presupuesto!$B$15='Flujo de Pagos'!$E349,15,9999)</f>
        <v>15</v>
      </c>
      <c r="AJ349" s="0" t="n">
        <f aca="false">IF(Presupuesto!$B$16='Flujo de Pagos'!$E349,16,9999)</f>
        <v>16</v>
      </c>
      <c r="AK349" s="0" t="n">
        <f aca="false">IF(Presupuesto!$B$17='Flujo de Pagos'!$E349,17,9999)</f>
        <v>17</v>
      </c>
      <c r="AL349" s="0" t="n">
        <f aca="false">IF(Presupuesto!$B$18='Flujo de Pagos'!$E349,18,9999)</f>
        <v>18</v>
      </c>
      <c r="AM349" s="0" t="n">
        <f aca="false">IF(Presupuesto!$B$19='Flujo de Pagos'!$E349,19,9999)</f>
        <v>19</v>
      </c>
      <c r="AN349" s="0" t="n">
        <f aca="false">IF(Presupuesto!$B$20='Flujo de Pagos'!$E349,20,9999)</f>
        <v>20</v>
      </c>
      <c r="AO349" s="0" t="n">
        <f aca="false">IF(Presupuesto!$B$21='Flujo de Pagos'!$E349,21,9999)</f>
        <v>21</v>
      </c>
      <c r="AP349" s="0" t="n">
        <f aca="false">IF(Presupuesto!$B$22='Flujo de Pagos'!$E349,22,9999)</f>
        <v>22</v>
      </c>
      <c r="AQ349" s="0" t="n">
        <f aca="false">IF(Presupuesto!$B$23='Flujo de Pagos'!$E349,23,9999)</f>
        <v>23</v>
      </c>
      <c r="AR349" s="0" t="n">
        <f aca="false">IF(Presupuesto!$B$24='Flujo de Pagos'!$E349,24,9999)</f>
        <v>24</v>
      </c>
      <c r="AS349" s="0" t="n">
        <f aca="false">IF(Presupuesto!$B$25='Flujo de Pagos'!$E349,25,9999)</f>
        <v>25</v>
      </c>
      <c r="AT349" s="0" t="n">
        <f aca="false">IF(Presupuesto!$B$26='Flujo de Pagos'!$E349,26,9999)</f>
        <v>26</v>
      </c>
      <c r="AU349" s="0" t="n">
        <f aca="false">IF(Presupuesto!$B$27='Flujo de Pagos'!$E349,27,9999)</f>
        <v>27</v>
      </c>
      <c r="AV349" s="0" t="n">
        <f aca="false">IF(Presupuesto!$B$28='Flujo de Pagos'!$E349,28,9999)</f>
        <v>28</v>
      </c>
      <c r="AW349" s="0" t="n">
        <f aca="false">IF(Presupuesto!$B$29='Flujo de Pagos'!$E349,29,9999)</f>
        <v>29</v>
      </c>
      <c r="AX349" s="0" t="n">
        <f aca="false">IF(Presupuesto!$B$30='Flujo de Pagos'!$E349,30,9999)</f>
        <v>30</v>
      </c>
      <c r="AY349" s="0" t="n">
        <f aca="false">IF(Presupuesto!$B$31='Flujo de Pagos'!$E349,31,9999)</f>
        <v>31</v>
      </c>
      <c r="AZ349" s="0" t="n">
        <f aca="false">IF(Presupuesto!$B$32='Flujo de Pagos'!$E349,32,9999)</f>
        <v>32</v>
      </c>
      <c r="BA349" s="0" t="n">
        <f aca="false">IF(Presupuesto!$B$33='Flujo de Pagos'!$E349,33,9999)</f>
        <v>33</v>
      </c>
      <c r="BB349" s="0" t="n">
        <f aca="false">IF(Presupuesto!$B$34='Flujo de Pagos'!$E349,34,9999)</f>
        <v>34</v>
      </c>
      <c r="BC349" s="0" t="n">
        <f aca="false">IF(Presupuesto!$B$35='Flujo de Pagos'!$E349,35,9999)</f>
        <v>35</v>
      </c>
      <c r="BD349" s="0" t="n">
        <f aca="false">IF(Presupuesto!$B$36='Flujo de Pagos'!$E349,36,9999)</f>
        <v>36</v>
      </c>
      <c r="BE349" s="0" t="n">
        <f aca="false">IF(Presupuesto!$B$37='Flujo de Pagos'!$E349,37,9999)</f>
        <v>37</v>
      </c>
      <c r="BF349" s="0" t="n">
        <f aca="false">IF(Presupuesto!$B$38='Flujo de Pagos'!$E349,38,9999)</f>
        <v>38</v>
      </c>
      <c r="BG349" s="0" t="n">
        <f aca="false">IF(Presupuesto!$B$39='Flujo de Pagos'!$E349,39,9999)</f>
        <v>39</v>
      </c>
      <c r="BH349" s="0" t="n">
        <f aca="false">IF(Presupuesto!$B$40='Flujo de Pagos'!$E349,40,9999)</f>
        <v>40</v>
      </c>
      <c r="BI349" s="0" t="n">
        <f aca="false">IF(Presupuesto!$B$41='Flujo de Pagos'!$E349,41,9999)</f>
        <v>41</v>
      </c>
      <c r="BJ349" s="0" t="n">
        <f aca="false">IF(Presupuesto!$B$42='Flujo de Pagos'!$E349,42,9999)</f>
        <v>42</v>
      </c>
      <c r="BK349" s="0" t="n">
        <f aca="false">IF(Presupuesto!$B$43='Flujo de Pagos'!$E349,43,9999)</f>
        <v>43</v>
      </c>
      <c r="BL349" s="0" t="n">
        <f aca="false">IF(Presupuesto!$B$44='Flujo de Pagos'!$E349,44,9999)</f>
        <v>44</v>
      </c>
      <c r="BM349" s="0" t="n">
        <f aca="false">IF(Presupuesto!$B$45='Flujo de Pagos'!$E349,45,9999)</f>
        <v>45</v>
      </c>
      <c r="BN349" s="0" t="n">
        <f aca="false">IF(Presupuesto!$B$46='Flujo de Pagos'!$E349,46,9999)</f>
        <v>46</v>
      </c>
      <c r="BO349" s="0" t="n">
        <f aca="false">IF(Presupuesto!$B$47='Flujo de Pagos'!$E349,47,9999)</f>
        <v>47</v>
      </c>
      <c r="BP349" s="0" t="n">
        <f aca="false">IF(Presupuesto!$B$48='Flujo de Pagos'!$E349,48,9999)</f>
        <v>48</v>
      </c>
      <c r="BQ349" s="0" t="n">
        <f aca="false">IF(Presupuesto!$B$49='Flujo de Pagos'!$E349,49,9999)</f>
        <v>49</v>
      </c>
      <c r="BR349" s="0" t="n">
        <f aca="false">IF(Presupuesto!$B$50='Flujo de Pagos'!$E349,50,9999)</f>
        <v>50</v>
      </c>
      <c r="BS349" s="0" t="n">
        <f aca="false">IF(Presupuesto!$B$51='Flujo de Pagos'!$E349,51,9999)</f>
        <v>51</v>
      </c>
      <c r="BT349" s="0" t="n">
        <f aca="false">IF(Presupuesto!$B$52='Flujo de Pagos'!$E349,52,9999)</f>
        <v>52</v>
      </c>
      <c r="BU349" s="0" t="n">
        <f aca="false">IF(Presupuesto!$B$53='Flujo de Pagos'!$E349,53,9999)</f>
        <v>53</v>
      </c>
      <c r="BV349" s="0" t="n">
        <f aca="false">IF(Presupuesto!$B$54='Flujo de Pagos'!$E349,54,9999)</f>
        <v>54</v>
      </c>
      <c r="BW349" s="0" t="n">
        <f aca="false">IF(Presupuesto!$B$55='Flujo de Pagos'!$E349,55,9999)</f>
        <v>55</v>
      </c>
      <c r="BX349" s="0" t="n">
        <f aca="false">IF(Presupuesto!$B$56='Flujo de Pagos'!$E349,56,9999)</f>
        <v>56</v>
      </c>
      <c r="BY349" s="0" t="n">
        <f aca="false">IF(Presupuesto!$B$57='Flujo de Pagos'!$E349,57,9999)</f>
        <v>57</v>
      </c>
      <c r="BZ349" s="0" t="n">
        <f aca="false">IF(Presupuesto!$B$58='Flujo de Pagos'!$E349,58,9999)</f>
        <v>58</v>
      </c>
      <c r="CA349" s="0" t="n">
        <f aca="false">IF(Presupuesto!$B$59='Flujo de Pagos'!$E349,59,9999)</f>
        <v>59</v>
      </c>
      <c r="CB349" s="0" t="n">
        <f aca="false">IF(Presupuesto!$B$60='Flujo de Pagos'!$E349,60,9999)</f>
        <v>60</v>
      </c>
      <c r="CC349" s="0" t="n">
        <f aca="false">IF(Presupuesto!$B$61='Flujo de Pagos'!$E349,61,9999)</f>
        <v>61</v>
      </c>
      <c r="CD349" s="0" t="n">
        <f aca="false">IF(Presupuesto!$B$62='Flujo de Pagos'!$E349,62,9999)</f>
        <v>62</v>
      </c>
      <c r="CE349" s="0" t="n">
        <f aca="false">IF(Presupuesto!$B$63='Flujo de Pagos'!$E349,63,9999)</f>
        <v>63</v>
      </c>
      <c r="CF349" s="0" t="n">
        <f aca="false">IF(Presupuesto!$B$64='Flujo de Pagos'!$E349,64,9999)</f>
        <v>64</v>
      </c>
      <c r="CG349" s="0" t="n">
        <f aca="false">IF(Presupuesto!$B$65='Flujo de Pagos'!$E349,65,9999)</f>
        <v>65</v>
      </c>
      <c r="CH349" s="0" t="n">
        <f aca="false">IF(Presupuesto!$B$66='Flujo de Pagos'!$E349,66,9999)</f>
        <v>66</v>
      </c>
    </row>
    <row r="350" customFormat="false" ht="15" hidden="false" customHeight="true" outlineLevel="0" collapsed="false">
      <c r="B350" s="1" t="n">
        <f aca="false">IF(AND('Flujo de Pagos'!E355=Carátula!$B$2,'Flujo de Pagos'!F355=Carátula!$B$4,'Flujo de Pagos'!H355&lt;&gt;""),355,99999)</f>
        <v>99999</v>
      </c>
      <c r="H350" s="1" t="n">
        <f aca="false">IF(SMALL($AA350:$CH350,1)&gt;=9999,"",INDEX(Presupuesto!$C:$C,SMALL($AA350:$CH350,1)))</f>
        <v>0</v>
      </c>
      <c r="I350" s="1" t="n">
        <f aca="false">IF(SMALL($AA350:$CH350,2)&gt;=9999,"",INDEX(Presupuesto!$C:$C,SMALL($AA350:$CH350,2)))</f>
        <v>0</v>
      </c>
      <c r="J350" s="1" t="n">
        <f aca="false">IF(SMALL($AA350:$CH350,3)&gt;=9999,"",INDEX(Presupuesto!$C:$C,SMALL($AA350:$CH350,3)))</f>
        <v>0</v>
      </c>
      <c r="K350" s="1" t="n">
        <f aca="false">IF(SMALL($AA350:$CH350,4)&gt;=9999,"",INDEX(Presupuesto!$C:$C,SMALL($AA350:$CH350,4)))</f>
        <v>0</v>
      </c>
      <c r="L350" s="1" t="n">
        <f aca="false">IF(SMALL($AA350:$CH350,5)&gt;=9999,"",INDEX(Presupuesto!$C:$C,SMALL($AA350:$CH350,5)))</f>
        <v>0</v>
      </c>
      <c r="M350" s="1" t="n">
        <f aca="false">IF(SMALL($AA350:$CH350,6)&gt;=9999,"",INDEX(Presupuesto!$C:$C,SMALL($AA350:$CH350,6)))</f>
        <v>0</v>
      </c>
      <c r="N350" s="1" t="n">
        <f aca="false">IF(SMALL($AA350:$CH350,7)&gt;=9999,"",INDEX(Presupuesto!$C:$C,SMALL($AA350:$CH350,7)))</f>
        <v>0</v>
      </c>
      <c r="O350" s="1" t="n">
        <f aca="false">IF(SMALL($AA350:$CH350,8)&gt;=9999,"",INDEX(Presupuesto!$C:$C,SMALL($AA350:$CH350,8)))</f>
        <v>0</v>
      </c>
      <c r="P350" s="1" t="n">
        <f aca="false">IF(SMALL($AA350:$CH350,9)&gt;=9999,"",INDEX(Presupuesto!$C:$C,SMALL($AA350:$CH350,9)))</f>
        <v>0</v>
      </c>
      <c r="Q350" s="1" t="n">
        <f aca="false">IF(SMALL($AA350:$CH350,10)&gt;=9999,"",INDEX(Presupuesto!$C:$C,SMALL($AA350:$CH350,10)))</f>
        <v>0</v>
      </c>
      <c r="AA350" s="0" t="n">
        <f aca="false">IF(Presupuesto!$B$7='Flujo de Pagos'!$E350,7,9999)</f>
        <v>9999</v>
      </c>
      <c r="AB350" s="0" t="n">
        <f aca="false">IF(Presupuesto!$B$8='Flujo de Pagos'!$E350,8,9999)</f>
        <v>9999</v>
      </c>
      <c r="AC350" s="0" t="n">
        <f aca="false">IF(Presupuesto!$B$9='Flujo de Pagos'!$E350,9,9999)</f>
        <v>9999</v>
      </c>
      <c r="AD350" s="0" t="n">
        <f aca="false">IF(Presupuesto!$B$10='Flujo de Pagos'!$E350,10,9999)</f>
        <v>9999</v>
      </c>
      <c r="AE350" s="0" t="n">
        <f aca="false">IF(Presupuesto!$B$11='Flujo de Pagos'!$E350,11,9999)</f>
        <v>9999</v>
      </c>
      <c r="AF350" s="0" t="n">
        <f aca="false">IF(Presupuesto!$B$12='Flujo de Pagos'!$E350,12,9999)</f>
        <v>12</v>
      </c>
      <c r="AG350" s="0" t="n">
        <f aca="false">IF(Presupuesto!$B$13='Flujo de Pagos'!$E350,13,9999)</f>
        <v>13</v>
      </c>
      <c r="AH350" s="0" t="n">
        <f aca="false">IF(Presupuesto!$B$14='Flujo de Pagos'!$E350,14,9999)</f>
        <v>14</v>
      </c>
      <c r="AI350" s="0" t="n">
        <f aca="false">IF(Presupuesto!$B$15='Flujo de Pagos'!$E350,15,9999)</f>
        <v>15</v>
      </c>
      <c r="AJ350" s="0" t="n">
        <f aca="false">IF(Presupuesto!$B$16='Flujo de Pagos'!$E350,16,9999)</f>
        <v>16</v>
      </c>
      <c r="AK350" s="0" t="n">
        <f aca="false">IF(Presupuesto!$B$17='Flujo de Pagos'!$E350,17,9999)</f>
        <v>17</v>
      </c>
      <c r="AL350" s="0" t="n">
        <f aca="false">IF(Presupuesto!$B$18='Flujo de Pagos'!$E350,18,9999)</f>
        <v>18</v>
      </c>
      <c r="AM350" s="0" t="n">
        <f aca="false">IF(Presupuesto!$B$19='Flujo de Pagos'!$E350,19,9999)</f>
        <v>19</v>
      </c>
      <c r="AN350" s="0" t="n">
        <f aca="false">IF(Presupuesto!$B$20='Flujo de Pagos'!$E350,20,9999)</f>
        <v>20</v>
      </c>
      <c r="AO350" s="0" t="n">
        <f aca="false">IF(Presupuesto!$B$21='Flujo de Pagos'!$E350,21,9999)</f>
        <v>21</v>
      </c>
      <c r="AP350" s="0" t="n">
        <f aca="false">IF(Presupuesto!$B$22='Flujo de Pagos'!$E350,22,9999)</f>
        <v>22</v>
      </c>
      <c r="AQ350" s="0" t="n">
        <f aca="false">IF(Presupuesto!$B$23='Flujo de Pagos'!$E350,23,9999)</f>
        <v>23</v>
      </c>
      <c r="AR350" s="0" t="n">
        <f aca="false">IF(Presupuesto!$B$24='Flujo de Pagos'!$E350,24,9999)</f>
        <v>24</v>
      </c>
      <c r="AS350" s="0" t="n">
        <f aca="false">IF(Presupuesto!$B$25='Flujo de Pagos'!$E350,25,9999)</f>
        <v>25</v>
      </c>
      <c r="AT350" s="0" t="n">
        <f aca="false">IF(Presupuesto!$B$26='Flujo de Pagos'!$E350,26,9999)</f>
        <v>26</v>
      </c>
      <c r="AU350" s="0" t="n">
        <f aca="false">IF(Presupuesto!$B$27='Flujo de Pagos'!$E350,27,9999)</f>
        <v>27</v>
      </c>
      <c r="AV350" s="0" t="n">
        <f aca="false">IF(Presupuesto!$B$28='Flujo de Pagos'!$E350,28,9999)</f>
        <v>28</v>
      </c>
      <c r="AW350" s="0" t="n">
        <f aca="false">IF(Presupuesto!$B$29='Flujo de Pagos'!$E350,29,9999)</f>
        <v>29</v>
      </c>
      <c r="AX350" s="0" t="n">
        <f aca="false">IF(Presupuesto!$B$30='Flujo de Pagos'!$E350,30,9999)</f>
        <v>30</v>
      </c>
      <c r="AY350" s="0" t="n">
        <f aca="false">IF(Presupuesto!$B$31='Flujo de Pagos'!$E350,31,9999)</f>
        <v>31</v>
      </c>
      <c r="AZ350" s="0" t="n">
        <f aca="false">IF(Presupuesto!$B$32='Flujo de Pagos'!$E350,32,9999)</f>
        <v>32</v>
      </c>
      <c r="BA350" s="0" t="n">
        <f aca="false">IF(Presupuesto!$B$33='Flujo de Pagos'!$E350,33,9999)</f>
        <v>33</v>
      </c>
      <c r="BB350" s="0" t="n">
        <f aca="false">IF(Presupuesto!$B$34='Flujo de Pagos'!$E350,34,9999)</f>
        <v>34</v>
      </c>
      <c r="BC350" s="0" t="n">
        <f aca="false">IF(Presupuesto!$B$35='Flujo de Pagos'!$E350,35,9999)</f>
        <v>35</v>
      </c>
      <c r="BD350" s="0" t="n">
        <f aca="false">IF(Presupuesto!$B$36='Flujo de Pagos'!$E350,36,9999)</f>
        <v>36</v>
      </c>
      <c r="BE350" s="0" t="n">
        <f aca="false">IF(Presupuesto!$B$37='Flujo de Pagos'!$E350,37,9999)</f>
        <v>37</v>
      </c>
      <c r="BF350" s="0" t="n">
        <f aca="false">IF(Presupuesto!$B$38='Flujo de Pagos'!$E350,38,9999)</f>
        <v>38</v>
      </c>
      <c r="BG350" s="0" t="n">
        <f aca="false">IF(Presupuesto!$B$39='Flujo de Pagos'!$E350,39,9999)</f>
        <v>39</v>
      </c>
      <c r="BH350" s="0" t="n">
        <f aca="false">IF(Presupuesto!$B$40='Flujo de Pagos'!$E350,40,9999)</f>
        <v>40</v>
      </c>
      <c r="BI350" s="0" t="n">
        <f aca="false">IF(Presupuesto!$B$41='Flujo de Pagos'!$E350,41,9999)</f>
        <v>41</v>
      </c>
      <c r="BJ350" s="0" t="n">
        <f aca="false">IF(Presupuesto!$B$42='Flujo de Pagos'!$E350,42,9999)</f>
        <v>42</v>
      </c>
      <c r="BK350" s="0" t="n">
        <f aca="false">IF(Presupuesto!$B$43='Flujo de Pagos'!$E350,43,9999)</f>
        <v>43</v>
      </c>
      <c r="BL350" s="0" t="n">
        <f aca="false">IF(Presupuesto!$B$44='Flujo de Pagos'!$E350,44,9999)</f>
        <v>44</v>
      </c>
      <c r="BM350" s="0" t="n">
        <f aca="false">IF(Presupuesto!$B$45='Flujo de Pagos'!$E350,45,9999)</f>
        <v>45</v>
      </c>
      <c r="BN350" s="0" t="n">
        <f aca="false">IF(Presupuesto!$B$46='Flujo de Pagos'!$E350,46,9999)</f>
        <v>46</v>
      </c>
      <c r="BO350" s="0" t="n">
        <f aca="false">IF(Presupuesto!$B$47='Flujo de Pagos'!$E350,47,9999)</f>
        <v>47</v>
      </c>
      <c r="BP350" s="0" t="n">
        <f aca="false">IF(Presupuesto!$B$48='Flujo de Pagos'!$E350,48,9999)</f>
        <v>48</v>
      </c>
      <c r="BQ350" s="0" t="n">
        <f aca="false">IF(Presupuesto!$B$49='Flujo de Pagos'!$E350,49,9999)</f>
        <v>49</v>
      </c>
      <c r="BR350" s="0" t="n">
        <f aca="false">IF(Presupuesto!$B$50='Flujo de Pagos'!$E350,50,9999)</f>
        <v>50</v>
      </c>
      <c r="BS350" s="0" t="n">
        <f aca="false">IF(Presupuesto!$B$51='Flujo de Pagos'!$E350,51,9999)</f>
        <v>51</v>
      </c>
      <c r="BT350" s="0" t="n">
        <f aca="false">IF(Presupuesto!$B$52='Flujo de Pagos'!$E350,52,9999)</f>
        <v>52</v>
      </c>
      <c r="BU350" s="0" t="n">
        <f aca="false">IF(Presupuesto!$B$53='Flujo de Pagos'!$E350,53,9999)</f>
        <v>53</v>
      </c>
      <c r="BV350" s="0" t="n">
        <f aca="false">IF(Presupuesto!$B$54='Flujo de Pagos'!$E350,54,9999)</f>
        <v>54</v>
      </c>
      <c r="BW350" s="0" t="n">
        <f aca="false">IF(Presupuesto!$B$55='Flujo de Pagos'!$E350,55,9999)</f>
        <v>55</v>
      </c>
      <c r="BX350" s="0" t="n">
        <f aca="false">IF(Presupuesto!$B$56='Flujo de Pagos'!$E350,56,9999)</f>
        <v>56</v>
      </c>
      <c r="BY350" s="0" t="n">
        <f aca="false">IF(Presupuesto!$B$57='Flujo de Pagos'!$E350,57,9999)</f>
        <v>57</v>
      </c>
      <c r="BZ350" s="0" t="n">
        <f aca="false">IF(Presupuesto!$B$58='Flujo de Pagos'!$E350,58,9999)</f>
        <v>58</v>
      </c>
      <c r="CA350" s="0" t="n">
        <f aca="false">IF(Presupuesto!$B$59='Flujo de Pagos'!$E350,59,9999)</f>
        <v>59</v>
      </c>
      <c r="CB350" s="0" t="n">
        <f aca="false">IF(Presupuesto!$B$60='Flujo de Pagos'!$E350,60,9999)</f>
        <v>60</v>
      </c>
      <c r="CC350" s="0" t="n">
        <f aca="false">IF(Presupuesto!$B$61='Flujo de Pagos'!$E350,61,9999)</f>
        <v>61</v>
      </c>
      <c r="CD350" s="0" t="n">
        <f aca="false">IF(Presupuesto!$B$62='Flujo de Pagos'!$E350,62,9999)</f>
        <v>62</v>
      </c>
      <c r="CE350" s="0" t="n">
        <f aca="false">IF(Presupuesto!$B$63='Flujo de Pagos'!$E350,63,9999)</f>
        <v>63</v>
      </c>
      <c r="CF350" s="0" t="n">
        <f aca="false">IF(Presupuesto!$B$64='Flujo de Pagos'!$E350,64,9999)</f>
        <v>64</v>
      </c>
      <c r="CG350" s="0" t="n">
        <f aca="false">IF(Presupuesto!$B$65='Flujo de Pagos'!$E350,65,9999)</f>
        <v>65</v>
      </c>
      <c r="CH350" s="0" t="n">
        <f aca="false">IF(Presupuesto!$B$66='Flujo de Pagos'!$E350,66,9999)</f>
        <v>66</v>
      </c>
    </row>
    <row r="351" customFormat="false" ht="15" hidden="false" customHeight="true" outlineLevel="0" collapsed="false">
      <c r="B351" s="1" t="n">
        <f aca="false">IF(AND('Flujo de Pagos'!E356=Carátula!$B$2,'Flujo de Pagos'!F356=Carátula!$B$4,'Flujo de Pagos'!H356&lt;&gt;""),356,99999)</f>
        <v>99999</v>
      </c>
      <c r="H351" s="1" t="n">
        <f aca="false">IF(SMALL($AA351:$CH351,1)&gt;=9999,"",INDEX(Presupuesto!$C:$C,SMALL($AA351:$CH351,1)))</f>
        <v>0</v>
      </c>
      <c r="I351" s="1" t="n">
        <f aca="false">IF(SMALL($AA351:$CH351,2)&gt;=9999,"",INDEX(Presupuesto!$C:$C,SMALL($AA351:$CH351,2)))</f>
        <v>0</v>
      </c>
      <c r="J351" s="1" t="n">
        <f aca="false">IF(SMALL($AA351:$CH351,3)&gt;=9999,"",INDEX(Presupuesto!$C:$C,SMALL($AA351:$CH351,3)))</f>
        <v>0</v>
      </c>
      <c r="K351" s="1" t="n">
        <f aca="false">IF(SMALL($AA351:$CH351,4)&gt;=9999,"",INDEX(Presupuesto!$C:$C,SMALL($AA351:$CH351,4)))</f>
        <v>0</v>
      </c>
      <c r="L351" s="1" t="n">
        <f aca="false">IF(SMALL($AA351:$CH351,5)&gt;=9999,"",INDEX(Presupuesto!$C:$C,SMALL($AA351:$CH351,5)))</f>
        <v>0</v>
      </c>
      <c r="M351" s="1" t="n">
        <f aca="false">IF(SMALL($AA351:$CH351,6)&gt;=9999,"",INDEX(Presupuesto!$C:$C,SMALL($AA351:$CH351,6)))</f>
        <v>0</v>
      </c>
      <c r="N351" s="1" t="n">
        <f aca="false">IF(SMALL($AA351:$CH351,7)&gt;=9999,"",INDEX(Presupuesto!$C:$C,SMALL($AA351:$CH351,7)))</f>
        <v>0</v>
      </c>
      <c r="O351" s="1" t="n">
        <f aca="false">IF(SMALL($AA351:$CH351,8)&gt;=9999,"",INDEX(Presupuesto!$C:$C,SMALL($AA351:$CH351,8)))</f>
        <v>0</v>
      </c>
      <c r="P351" s="1" t="n">
        <f aca="false">IF(SMALL($AA351:$CH351,9)&gt;=9999,"",INDEX(Presupuesto!$C:$C,SMALL($AA351:$CH351,9)))</f>
        <v>0</v>
      </c>
      <c r="Q351" s="1" t="n">
        <f aca="false">IF(SMALL($AA351:$CH351,10)&gt;=9999,"",INDEX(Presupuesto!$C:$C,SMALL($AA351:$CH351,10)))</f>
        <v>0</v>
      </c>
      <c r="AA351" s="0" t="n">
        <f aca="false">IF(Presupuesto!$B$7='Flujo de Pagos'!$E351,7,9999)</f>
        <v>9999</v>
      </c>
      <c r="AB351" s="0" t="n">
        <f aca="false">IF(Presupuesto!$B$8='Flujo de Pagos'!$E351,8,9999)</f>
        <v>9999</v>
      </c>
      <c r="AC351" s="0" t="n">
        <f aca="false">IF(Presupuesto!$B$9='Flujo de Pagos'!$E351,9,9999)</f>
        <v>9999</v>
      </c>
      <c r="AD351" s="0" t="n">
        <f aca="false">IF(Presupuesto!$B$10='Flujo de Pagos'!$E351,10,9999)</f>
        <v>9999</v>
      </c>
      <c r="AE351" s="0" t="n">
        <f aca="false">IF(Presupuesto!$B$11='Flujo de Pagos'!$E351,11,9999)</f>
        <v>9999</v>
      </c>
      <c r="AF351" s="0" t="n">
        <f aca="false">IF(Presupuesto!$B$12='Flujo de Pagos'!$E351,12,9999)</f>
        <v>12</v>
      </c>
      <c r="AG351" s="0" t="n">
        <f aca="false">IF(Presupuesto!$B$13='Flujo de Pagos'!$E351,13,9999)</f>
        <v>13</v>
      </c>
      <c r="AH351" s="0" t="n">
        <f aca="false">IF(Presupuesto!$B$14='Flujo de Pagos'!$E351,14,9999)</f>
        <v>14</v>
      </c>
      <c r="AI351" s="0" t="n">
        <f aca="false">IF(Presupuesto!$B$15='Flujo de Pagos'!$E351,15,9999)</f>
        <v>15</v>
      </c>
      <c r="AJ351" s="0" t="n">
        <f aca="false">IF(Presupuesto!$B$16='Flujo de Pagos'!$E351,16,9999)</f>
        <v>16</v>
      </c>
      <c r="AK351" s="0" t="n">
        <f aca="false">IF(Presupuesto!$B$17='Flujo de Pagos'!$E351,17,9999)</f>
        <v>17</v>
      </c>
      <c r="AL351" s="0" t="n">
        <f aca="false">IF(Presupuesto!$B$18='Flujo de Pagos'!$E351,18,9999)</f>
        <v>18</v>
      </c>
      <c r="AM351" s="0" t="n">
        <f aca="false">IF(Presupuesto!$B$19='Flujo de Pagos'!$E351,19,9999)</f>
        <v>19</v>
      </c>
      <c r="AN351" s="0" t="n">
        <f aca="false">IF(Presupuesto!$B$20='Flujo de Pagos'!$E351,20,9999)</f>
        <v>20</v>
      </c>
      <c r="AO351" s="0" t="n">
        <f aca="false">IF(Presupuesto!$B$21='Flujo de Pagos'!$E351,21,9999)</f>
        <v>21</v>
      </c>
      <c r="AP351" s="0" t="n">
        <f aca="false">IF(Presupuesto!$B$22='Flujo de Pagos'!$E351,22,9999)</f>
        <v>22</v>
      </c>
      <c r="AQ351" s="0" t="n">
        <f aca="false">IF(Presupuesto!$B$23='Flujo de Pagos'!$E351,23,9999)</f>
        <v>23</v>
      </c>
      <c r="AR351" s="0" t="n">
        <f aca="false">IF(Presupuesto!$B$24='Flujo de Pagos'!$E351,24,9999)</f>
        <v>24</v>
      </c>
      <c r="AS351" s="0" t="n">
        <f aca="false">IF(Presupuesto!$B$25='Flujo de Pagos'!$E351,25,9999)</f>
        <v>25</v>
      </c>
      <c r="AT351" s="0" t="n">
        <f aca="false">IF(Presupuesto!$B$26='Flujo de Pagos'!$E351,26,9999)</f>
        <v>26</v>
      </c>
      <c r="AU351" s="0" t="n">
        <f aca="false">IF(Presupuesto!$B$27='Flujo de Pagos'!$E351,27,9999)</f>
        <v>27</v>
      </c>
      <c r="AV351" s="0" t="n">
        <f aca="false">IF(Presupuesto!$B$28='Flujo de Pagos'!$E351,28,9999)</f>
        <v>28</v>
      </c>
      <c r="AW351" s="0" t="n">
        <f aca="false">IF(Presupuesto!$B$29='Flujo de Pagos'!$E351,29,9999)</f>
        <v>29</v>
      </c>
      <c r="AX351" s="0" t="n">
        <f aca="false">IF(Presupuesto!$B$30='Flujo de Pagos'!$E351,30,9999)</f>
        <v>30</v>
      </c>
      <c r="AY351" s="0" t="n">
        <f aca="false">IF(Presupuesto!$B$31='Flujo de Pagos'!$E351,31,9999)</f>
        <v>31</v>
      </c>
      <c r="AZ351" s="0" t="n">
        <f aca="false">IF(Presupuesto!$B$32='Flujo de Pagos'!$E351,32,9999)</f>
        <v>32</v>
      </c>
      <c r="BA351" s="0" t="n">
        <f aca="false">IF(Presupuesto!$B$33='Flujo de Pagos'!$E351,33,9999)</f>
        <v>33</v>
      </c>
      <c r="BB351" s="0" t="n">
        <f aca="false">IF(Presupuesto!$B$34='Flujo de Pagos'!$E351,34,9999)</f>
        <v>34</v>
      </c>
      <c r="BC351" s="0" t="n">
        <f aca="false">IF(Presupuesto!$B$35='Flujo de Pagos'!$E351,35,9999)</f>
        <v>35</v>
      </c>
      <c r="BD351" s="0" t="n">
        <f aca="false">IF(Presupuesto!$B$36='Flujo de Pagos'!$E351,36,9999)</f>
        <v>36</v>
      </c>
      <c r="BE351" s="0" t="n">
        <f aca="false">IF(Presupuesto!$B$37='Flujo de Pagos'!$E351,37,9999)</f>
        <v>37</v>
      </c>
      <c r="BF351" s="0" t="n">
        <f aca="false">IF(Presupuesto!$B$38='Flujo de Pagos'!$E351,38,9999)</f>
        <v>38</v>
      </c>
      <c r="BG351" s="0" t="n">
        <f aca="false">IF(Presupuesto!$B$39='Flujo de Pagos'!$E351,39,9999)</f>
        <v>39</v>
      </c>
      <c r="BH351" s="0" t="n">
        <f aca="false">IF(Presupuesto!$B$40='Flujo de Pagos'!$E351,40,9999)</f>
        <v>40</v>
      </c>
      <c r="BI351" s="0" t="n">
        <f aca="false">IF(Presupuesto!$B$41='Flujo de Pagos'!$E351,41,9999)</f>
        <v>41</v>
      </c>
      <c r="BJ351" s="0" t="n">
        <f aca="false">IF(Presupuesto!$B$42='Flujo de Pagos'!$E351,42,9999)</f>
        <v>42</v>
      </c>
      <c r="BK351" s="0" t="n">
        <f aca="false">IF(Presupuesto!$B$43='Flujo de Pagos'!$E351,43,9999)</f>
        <v>43</v>
      </c>
      <c r="BL351" s="0" t="n">
        <f aca="false">IF(Presupuesto!$B$44='Flujo de Pagos'!$E351,44,9999)</f>
        <v>44</v>
      </c>
      <c r="BM351" s="0" t="n">
        <f aca="false">IF(Presupuesto!$B$45='Flujo de Pagos'!$E351,45,9999)</f>
        <v>45</v>
      </c>
      <c r="BN351" s="0" t="n">
        <f aca="false">IF(Presupuesto!$B$46='Flujo de Pagos'!$E351,46,9999)</f>
        <v>46</v>
      </c>
      <c r="BO351" s="0" t="n">
        <f aca="false">IF(Presupuesto!$B$47='Flujo de Pagos'!$E351,47,9999)</f>
        <v>47</v>
      </c>
      <c r="BP351" s="0" t="n">
        <f aca="false">IF(Presupuesto!$B$48='Flujo de Pagos'!$E351,48,9999)</f>
        <v>48</v>
      </c>
      <c r="BQ351" s="0" t="n">
        <f aca="false">IF(Presupuesto!$B$49='Flujo de Pagos'!$E351,49,9999)</f>
        <v>49</v>
      </c>
      <c r="BR351" s="0" t="n">
        <f aca="false">IF(Presupuesto!$B$50='Flujo de Pagos'!$E351,50,9999)</f>
        <v>50</v>
      </c>
      <c r="BS351" s="0" t="n">
        <f aca="false">IF(Presupuesto!$B$51='Flujo de Pagos'!$E351,51,9999)</f>
        <v>51</v>
      </c>
      <c r="BT351" s="0" t="n">
        <f aca="false">IF(Presupuesto!$B$52='Flujo de Pagos'!$E351,52,9999)</f>
        <v>52</v>
      </c>
      <c r="BU351" s="0" t="n">
        <f aca="false">IF(Presupuesto!$B$53='Flujo de Pagos'!$E351,53,9999)</f>
        <v>53</v>
      </c>
      <c r="BV351" s="0" t="n">
        <f aca="false">IF(Presupuesto!$B$54='Flujo de Pagos'!$E351,54,9999)</f>
        <v>54</v>
      </c>
      <c r="BW351" s="0" t="n">
        <f aca="false">IF(Presupuesto!$B$55='Flujo de Pagos'!$E351,55,9999)</f>
        <v>55</v>
      </c>
      <c r="BX351" s="0" t="n">
        <f aca="false">IF(Presupuesto!$B$56='Flujo de Pagos'!$E351,56,9999)</f>
        <v>56</v>
      </c>
      <c r="BY351" s="0" t="n">
        <f aca="false">IF(Presupuesto!$B$57='Flujo de Pagos'!$E351,57,9999)</f>
        <v>57</v>
      </c>
      <c r="BZ351" s="0" t="n">
        <f aca="false">IF(Presupuesto!$B$58='Flujo de Pagos'!$E351,58,9999)</f>
        <v>58</v>
      </c>
      <c r="CA351" s="0" t="n">
        <f aca="false">IF(Presupuesto!$B$59='Flujo de Pagos'!$E351,59,9999)</f>
        <v>59</v>
      </c>
      <c r="CB351" s="0" t="n">
        <f aca="false">IF(Presupuesto!$B$60='Flujo de Pagos'!$E351,60,9999)</f>
        <v>60</v>
      </c>
      <c r="CC351" s="0" t="n">
        <f aca="false">IF(Presupuesto!$B$61='Flujo de Pagos'!$E351,61,9999)</f>
        <v>61</v>
      </c>
      <c r="CD351" s="0" t="n">
        <f aca="false">IF(Presupuesto!$B$62='Flujo de Pagos'!$E351,62,9999)</f>
        <v>62</v>
      </c>
      <c r="CE351" s="0" t="n">
        <f aca="false">IF(Presupuesto!$B$63='Flujo de Pagos'!$E351,63,9999)</f>
        <v>63</v>
      </c>
      <c r="CF351" s="0" t="n">
        <f aca="false">IF(Presupuesto!$B$64='Flujo de Pagos'!$E351,64,9999)</f>
        <v>64</v>
      </c>
      <c r="CG351" s="0" t="n">
        <f aca="false">IF(Presupuesto!$B$65='Flujo de Pagos'!$E351,65,9999)</f>
        <v>65</v>
      </c>
      <c r="CH351" s="0" t="n">
        <f aca="false">IF(Presupuesto!$B$66='Flujo de Pagos'!$E351,66,9999)</f>
        <v>66</v>
      </c>
    </row>
    <row r="352" customFormat="false" ht="15" hidden="false" customHeight="true" outlineLevel="0" collapsed="false">
      <c r="B352" s="1" t="n">
        <f aca="false">IF(AND('Flujo de Pagos'!E357=Carátula!$B$2,'Flujo de Pagos'!F357=Carátula!$B$4,'Flujo de Pagos'!H357&lt;&gt;""),357,99999)</f>
        <v>99999</v>
      </c>
      <c r="H352" s="1" t="n">
        <f aca="false">IF(SMALL($AA352:$CH352,1)&gt;=9999,"",INDEX(Presupuesto!$C:$C,SMALL($AA352:$CH352,1)))</f>
        <v>0</v>
      </c>
      <c r="I352" s="1" t="n">
        <f aca="false">IF(SMALL($AA352:$CH352,2)&gt;=9999,"",INDEX(Presupuesto!$C:$C,SMALL($AA352:$CH352,2)))</f>
        <v>0</v>
      </c>
      <c r="J352" s="1" t="n">
        <f aca="false">IF(SMALL($AA352:$CH352,3)&gt;=9999,"",INDEX(Presupuesto!$C:$C,SMALL($AA352:$CH352,3)))</f>
        <v>0</v>
      </c>
      <c r="K352" s="1" t="n">
        <f aca="false">IF(SMALL($AA352:$CH352,4)&gt;=9999,"",INDEX(Presupuesto!$C:$C,SMALL($AA352:$CH352,4)))</f>
        <v>0</v>
      </c>
      <c r="L352" s="1" t="n">
        <f aca="false">IF(SMALL($AA352:$CH352,5)&gt;=9999,"",INDEX(Presupuesto!$C:$C,SMALL($AA352:$CH352,5)))</f>
        <v>0</v>
      </c>
      <c r="M352" s="1" t="n">
        <f aca="false">IF(SMALL($AA352:$CH352,6)&gt;=9999,"",INDEX(Presupuesto!$C:$C,SMALL($AA352:$CH352,6)))</f>
        <v>0</v>
      </c>
      <c r="N352" s="1" t="n">
        <f aca="false">IF(SMALL($AA352:$CH352,7)&gt;=9999,"",INDEX(Presupuesto!$C:$C,SMALL($AA352:$CH352,7)))</f>
        <v>0</v>
      </c>
      <c r="O352" s="1" t="n">
        <f aca="false">IF(SMALL($AA352:$CH352,8)&gt;=9999,"",INDEX(Presupuesto!$C:$C,SMALL($AA352:$CH352,8)))</f>
        <v>0</v>
      </c>
      <c r="P352" s="1" t="n">
        <f aca="false">IF(SMALL($AA352:$CH352,9)&gt;=9999,"",INDEX(Presupuesto!$C:$C,SMALL($AA352:$CH352,9)))</f>
        <v>0</v>
      </c>
      <c r="Q352" s="1" t="n">
        <f aca="false">IF(SMALL($AA352:$CH352,10)&gt;=9999,"",INDEX(Presupuesto!$C:$C,SMALL($AA352:$CH352,10)))</f>
        <v>0</v>
      </c>
      <c r="AA352" s="0" t="n">
        <f aca="false">IF(Presupuesto!$B$7='Flujo de Pagos'!$E352,7,9999)</f>
        <v>9999</v>
      </c>
      <c r="AB352" s="0" t="n">
        <f aca="false">IF(Presupuesto!$B$8='Flujo de Pagos'!$E352,8,9999)</f>
        <v>9999</v>
      </c>
      <c r="AC352" s="0" t="n">
        <f aca="false">IF(Presupuesto!$B$9='Flujo de Pagos'!$E352,9,9999)</f>
        <v>9999</v>
      </c>
      <c r="AD352" s="0" t="n">
        <f aca="false">IF(Presupuesto!$B$10='Flujo de Pagos'!$E352,10,9999)</f>
        <v>9999</v>
      </c>
      <c r="AE352" s="0" t="n">
        <f aca="false">IF(Presupuesto!$B$11='Flujo de Pagos'!$E352,11,9999)</f>
        <v>9999</v>
      </c>
      <c r="AF352" s="0" t="n">
        <f aca="false">IF(Presupuesto!$B$12='Flujo de Pagos'!$E352,12,9999)</f>
        <v>12</v>
      </c>
      <c r="AG352" s="0" t="n">
        <f aca="false">IF(Presupuesto!$B$13='Flujo de Pagos'!$E352,13,9999)</f>
        <v>13</v>
      </c>
      <c r="AH352" s="0" t="n">
        <f aca="false">IF(Presupuesto!$B$14='Flujo de Pagos'!$E352,14,9999)</f>
        <v>14</v>
      </c>
      <c r="AI352" s="0" t="n">
        <f aca="false">IF(Presupuesto!$B$15='Flujo de Pagos'!$E352,15,9999)</f>
        <v>15</v>
      </c>
      <c r="AJ352" s="0" t="n">
        <f aca="false">IF(Presupuesto!$B$16='Flujo de Pagos'!$E352,16,9999)</f>
        <v>16</v>
      </c>
      <c r="AK352" s="0" t="n">
        <f aca="false">IF(Presupuesto!$B$17='Flujo de Pagos'!$E352,17,9999)</f>
        <v>17</v>
      </c>
      <c r="AL352" s="0" t="n">
        <f aca="false">IF(Presupuesto!$B$18='Flujo de Pagos'!$E352,18,9999)</f>
        <v>18</v>
      </c>
      <c r="AM352" s="0" t="n">
        <f aca="false">IF(Presupuesto!$B$19='Flujo de Pagos'!$E352,19,9999)</f>
        <v>19</v>
      </c>
      <c r="AN352" s="0" t="n">
        <f aca="false">IF(Presupuesto!$B$20='Flujo de Pagos'!$E352,20,9999)</f>
        <v>20</v>
      </c>
      <c r="AO352" s="0" t="n">
        <f aca="false">IF(Presupuesto!$B$21='Flujo de Pagos'!$E352,21,9999)</f>
        <v>21</v>
      </c>
      <c r="AP352" s="0" t="n">
        <f aca="false">IF(Presupuesto!$B$22='Flujo de Pagos'!$E352,22,9999)</f>
        <v>22</v>
      </c>
      <c r="AQ352" s="0" t="n">
        <f aca="false">IF(Presupuesto!$B$23='Flujo de Pagos'!$E352,23,9999)</f>
        <v>23</v>
      </c>
      <c r="AR352" s="0" t="n">
        <f aca="false">IF(Presupuesto!$B$24='Flujo de Pagos'!$E352,24,9999)</f>
        <v>24</v>
      </c>
      <c r="AS352" s="0" t="n">
        <f aca="false">IF(Presupuesto!$B$25='Flujo de Pagos'!$E352,25,9999)</f>
        <v>25</v>
      </c>
      <c r="AT352" s="0" t="n">
        <f aca="false">IF(Presupuesto!$B$26='Flujo de Pagos'!$E352,26,9999)</f>
        <v>26</v>
      </c>
      <c r="AU352" s="0" t="n">
        <f aca="false">IF(Presupuesto!$B$27='Flujo de Pagos'!$E352,27,9999)</f>
        <v>27</v>
      </c>
      <c r="AV352" s="0" t="n">
        <f aca="false">IF(Presupuesto!$B$28='Flujo de Pagos'!$E352,28,9999)</f>
        <v>28</v>
      </c>
      <c r="AW352" s="0" t="n">
        <f aca="false">IF(Presupuesto!$B$29='Flujo de Pagos'!$E352,29,9999)</f>
        <v>29</v>
      </c>
      <c r="AX352" s="0" t="n">
        <f aca="false">IF(Presupuesto!$B$30='Flujo de Pagos'!$E352,30,9999)</f>
        <v>30</v>
      </c>
      <c r="AY352" s="0" t="n">
        <f aca="false">IF(Presupuesto!$B$31='Flujo de Pagos'!$E352,31,9999)</f>
        <v>31</v>
      </c>
      <c r="AZ352" s="0" t="n">
        <f aca="false">IF(Presupuesto!$B$32='Flujo de Pagos'!$E352,32,9999)</f>
        <v>32</v>
      </c>
      <c r="BA352" s="0" t="n">
        <f aca="false">IF(Presupuesto!$B$33='Flujo de Pagos'!$E352,33,9999)</f>
        <v>33</v>
      </c>
      <c r="BB352" s="0" t="n">
        <f aca="false">IF(Presupuesto!$B$34='Flujo de Pagos'!$E352,34,9999)</f>
        <v>34</v>
      </c>
      <c r="BC352" s="0" t="n">
        <f aca="false">IF(Presupuesto!$B$35='Flujo de Pagos'!$E352,35,9999)</f>
        <v>35</v>
      </c>
      <c r="BD352" s="0" t="n">
        <f aca="false">IF(Presupuesto!$B$36='Flujo de Pagos'!$E352,36,9999)</f>
        <v>36</v>
      </c>
      <c r="BE352" s="0" t="n">
        <f aca="false">IF(Presupuesto!$B$37='Flujo de Pagos'!$E352,37,9999)</f>
        <v>37</v>
      </c>
      <c r="BF352" s="0" t="n">
        <f aca="false">IF(Presupuesto!$B$38='Flujo de Pagos'!$E352,38,9999)</f>
        <v>38</v>
      </c>
      <c r="BG352" s="0" t="n">
        <f aca="false">IF(Presupuesto!$B$39='Flujo de Pagos'!$E352,39,9999)</f>
        <v>39</v>
      </c>
      <c r="BH352" s="0" t="n">
        <f aca="false">IF(Presupuesto!$B$40='Flujo de Pagos'!$E352,40,9999)</f>
        <v>40</v>
      </c>
      <c r="BI352" s="0" t="n">
        <f aca="false">IF(Presupuesto!$B$41='Flujo de Pagos'!$E352,41,9999)</f>
        <v>41</v>
      </c>
      <c r="BJ352" s="0" t="n">
        <f aca="false">IF(Presupuesto!$B$42='Flujo de Pagos'!$E352,42,9999)</f>
        <v>42</v>
      </c>
      <c r="BK352" s="0" t="n">
        <f aca="false">IF(Presupuesto!$B$43='Flujo de Pagos'!$E352,43,9999)</f>
        <v>43</v>
      </c>
      <c r="BL352" s="0" t="n">
        <f aca="false">IF(Presupuesto!$B$44='Flujo de Pagos'!$E352,44,9999)</f>
        <v>44</v>
      </c>
      <c r="BM352" s="0" t="n">
        <f aca="false">IF(Presupuesto!$B$45='Flujo de Pagos'!$E352,45,9999)</f>
        <v>45</v>
      </c>
      <c r="BN352" s="0" t="n">
        <f aca="false">IF(Presupuesto!$B$46='Flujo de Pagos'!$E352,46,9999)</f>
        <v>46</v>
      </c>
      <c r="BO352" s="0" t="n">
        <f aca="false">IF(Presupuesto!$B$47='Flujo de Pagos'!$E352,47,9999)</f>
        <v>47</v>
      </c>
      <c r="BP352" s="0" t="n">
        <f aca="false">IF(Presupuesto!$B$48='Flujo de Pagos'!$E352,48,9999)</f>
        <v>48</v>
      </c>
      <c r="BQ352" s="0" t="n">
        <f aca="false">IF(Presupuesto!$B$49='Flujo de Pagos'!$E352,49,9999)</f>
        <v>49</v>
      </c>
      <c r="BR352" s="0" t="n">
        <f aca="false">IF(Presupuesto!$B$50='Flujo de Pagos'!$E352,50,9999)</f>
        <v>50</v>
      </c>
      <c r="BS352" s="0" t="n">
        <f aca="false">IF(Presupuesto!$B$51='Flujo de Pagos'!$E352,51,9999)</f>
        <v>51</v>
      </c>
      <c r="BT352" s="0" t="n">
        <f aca="false">IF(Presupuesto!$B$52='Flujo de Pagos'!$E352,52,9999)</f>
        <v>52</v>
      </c>
      <c r="BU352" s="0" t="n">
        <f aca="false">IF(Presupuesto!$B$53='Flujo de Pagos'!$E352,53,9999)</f>
        <v>53</v>
      </c>
      <c r="BV352" s="0" t="n">
        <f aca="false">IF(Presupuesto!$B$54='Flujo de Pagos'!$E352,54,9999)</f>
        <v>54</v>
      </c>
      <c r="BW352" s="0" t="n">
        <f aca="false">IF(Presupuesto!$B$55='Flujo de Pagos'!$E352,55,9999)</f>
        <v>55</v>
      </c>
      <c r="BX352" s="0" t="n">
        <f aca="false">IF(Presupuesto!$B$56='Flujo de Pagos'!$E352,56,9999)</f>
        <v>56</v>
      </c>
      <c r="BY352" s="0" t="n">
        <f aca="false">IF(Presupuesto!$B$57='Flujo de Pagos'!$E352,57,9999)</f>
        <v>57</v>
      </c>
      <c r="BZ352" s="0" t="n">
        <f aca="false">IF(Presupuesto!$B$58='Flujo de Pagos'!$E352,58,9999)</f>
        <v>58</v>
      </c>
      <c r="CA352" s="0" t="n">
        <f aca="false">IF(Presupuesto!$B$59='Flujo de Pagos'!$E352,59,9999)</f>
        <v>59</v>
      </c>
      <c r="CB352" s="0" t="n">
        <f aca="false">IF(Presupuesto!$B$60='Flujo de Pagos'!$E352,60,9999)</f>
        <v>60</v>
      </c>
      <c r="CC352" s="0" t="n">
        <f aca="false">IF(Presupuesto!$B$61='Flujo de Pagos'!$E352,61,9999)</f>
        <v>61</v>
      </c>
      <c r="CD352" s="0" t="n">
        <f aca="false">IF(Presupuesto!$B$62='Flujo de Pagos'!$E352,62,9999)</f>
        <v>62</v>
      </c>
      <c r="CE352" s="0" t="n">
        <f aca="false">IF(Presupuesto!$B$63='Flujo de Pagos'!$E352,63,9999)</f>
        <v>63</v>
      </c>
      <c r="CF352" s="0" t="n">
        <f aca="false">IF(Presupuesto!$B$64='Flujo de Pagos'!$E352,64,9999)</f>
        <v>64</v>
      </c>
      <c r="CG352" s="0" t="n">
        <f aca="false">IF(Presupuesto!$B$65='Flujo de Pagos'!$E352,65,9999)</f>
        <v>65</v>
      </c>
      <c r="CH352" s="0" t="n">
        <f aca="false">IF(Presupuesto!$B$66='Flujo de Pagos'!$E352,66,9999)</f>
        <v>66</v>
      </c>
    </row>
    <row r="353" customFormat="false" ht="15" hidden="false" customHeight="true" outlineLevel="0" collapsed="false">
      <c r="B353" s="1" t="n">
        <f aca="false">IF(AND('Flujo de Pagos'!E358=Carátula!$B$2,'Flujo de Pagos'!F358=Carátula!$B$4,'Flujo de Pagos'!H358&lt;&gt;""),358,99999)</f>
        <v>99999</v>
      </c>
      <c r="H353" s="1" t="n">
        <f aca="false">IF(SMALL($AA353:$CH353,1)&gt;=9999,"",INDEX(Presupuesto!$C:$C,SMALL($AA353:$CH353,1)))</f>
        <v>0</v>
      </c>
      <c r="I353" s="1" t="n">
        <f aca="false">IF(SMALL($AA353:$CH353,2)&gt;=9999,"",INDEX(Presupuesto!$C:$C,SMALL($AA353:$CH353,2)))</f>
        <v>0</v>
      </c>
      <c r="J353" s="1" t="n">
        <f aca="false">IF(SMALL($AA353:$CH353,3)&gt;=9999,"",INDEX(Presupuesto!$C:$C,SMALL($AA353:$CH353,3)))</f>
        <v>0</v>
      </c>
      <c r="K353" s="1" t="n">
        <f aca="false">IF(SMALL($AA353:$CH353,4)&gt;=9999,"",INDEX(Presupuesto!$C:$C,SMALL($AA353:$CH353,4)))</f>
        <v>0</v>
      </c>
      <c r="L353" s="1" t="n">
        <f aca="false">IF(SMALL($AA353:$CH353,5)&gt;=9999,"",INDEX(Presupuesto!$C:$C,SMALL($AA353:$CH353,5)))</f>
        <v>0</v>
      </c>
      <c r="M353" s="1" t="n">
        <f aca="false">IF(SMALL($AA353:$CH353,6)&gt;=9999,"",INDEX(Presupuesto!$C:$C,SMALL($AA353:$CH353,6)))</f>
        <v>0</v>
      </c>
      <c r="N353" s="1" t="n">
        <f aca="false">IF(SMALL($AA353:$CH353,7)&gt;=9999,"",INDEX(Presupuesto!$C:$C,SMALL($AA353:$CH353,7)))</f>
        <v>0</v>
      </c>
      <c r="O353" s="1" t="n">
        <f aca="false">IF(SMALL($AA353:$CH353,8)&gt;=9999,"",INDEX(Presupuesto!$C:$C,SMALL($AA353:$CH353,8)))</f>
        <v>0</v>
      </c>
      <c r="P353" s="1" t="n">
        <f aca="false">IF(SMALL($AA353:$CH353,9)&gt;=9999,"",INDEX(Presupuesto!$C:$C,SMALL($AA353:$CH353,9)))</f>
        <v>0</v>
      </c>
      <c r="Q353" s="1" t="n">
        <f aca="false">IF(SMALL($AA353:$CH353,10)&gt;=9999,"",INDEX(Presupuesto!$C:$C,SMALL($AA353:$CH353,10)))</f>
        <v>0</v>
      </c>
      <c r="AA353" s="0" t="n">
        <f aca="false">IF(Presupuesto!$B$7='Flujo de Pagos'!$E353,7,9999)</f>
        <v>9999</v>
      </c>
      <c r="AB353" s="0" t="n">
        <f aca="false">IF(Presupuesto!$B$8='Flujo de Pagos'!$E353,8,9999)</f>
        <v>9999</v>
      </c>
      <c r="AC353" s="0" t="n">
        <f aca="false">IF(Presupuesto!$B$9='Flujo de Pagos'!$E353,9,9999)</f>
        <v>9999</v>
      </c>
      <c r="AD353" s="0" t="n">
        <f aca="false">IF(Presupuesto!$B$10='Flujo de Pagos'!$E353,10,9999)</f>
        <v>9999</v>
      </c>
      <c r="AE353" s="0" t="n">
        <f aca="false">IF(Presupuesto!$B$11='Flujo de Pagos'!$E353,11,9999)</f>
        <v>9999</v>
      </c>
      <c r="AF353" s="0" t="n">
        <f aca="false">IF(Presupuesto!$B$12='Flujo de Pagos'!$E353,12,9999)</f>
        <v>12</v>
      </c>
      <c r="AG353" s="0" t="n">
        <f aca="false">IF(Presupuesto!$B$13='Flujo de Pagos'!$E353,13,9999)</f>
        <v>13</v>
      </c>
      <c r="AH353" s="0" t="n">
        <f aca="false">IF(Presupuesto!$B$14='Flujo de Pagos'!$E353,14,9999)</f>
        <v>14</v>
      </c>
      <c r="AI353" s="0" t="n">
        <f aca="false">IF(Presupuesto!$B$15='Flujo de Pagos'!$E353,15,9999)</f>
        <v>15</v>
      </c>
      <c r="AJ353" s="0" t="n">
        <f aca="false">IF(Presupuesto!$B$16='Flujo de Pagos'!$E353,16,9999)</f>
        <v>16</v>
      </c>
      <c r="AK353" s="0" t="n">
        <f aca="false">IF(Presupuesto!$B$17='Flujo de Pagos'!$E353,17,9999)</f>
        <v>17</v>
      </c>
      <c r="AL353" s="0" t="n">
        <f aca="false">IF(Presupuesto!$B$18='Flujo de Pagos'!$E353,18,9999)</f>
        <v>18</v>
      </c>
      <c r="AM353" s="0" t="n">
        <f aca="false">IF(Presupuesto!$B$19='Flujo de Pagos'!$E353,19,9999)</f>
        <v>19</v>
      </c>
      <c r="AN353" s="0" t="n">
        <f aca="false">IF(Presupuesto!$B$20='Flujo de Pagos'!$E353,20,9999)</f>
        <v>20</v>
      </c>
      <c r="AO353" s="0" t="n">
        <f aca="false">IF(Presupuesto!$B$21='Flujo de Pagos'!$E353,21,9999)</f>
        <v>21</v>
      </c>
      <c r="AP353" s="0" t="n">
        <f aca="false">IF(Presupuesto!$B$22='Flujo de Pagos'!$E353,22,9999)</f>
        <v>22</v>
      </c>
      <c r="AQ353" s="0" t="n">
        <f aca="false">IF(Presupuesto!$B$23='Flujo de Pagos'!$E353,23,9999)</f>
        <v>23</v>
      </c>
      <c r="AR353" s="0" t="n">
        <f aca="false">IF(Presupuesto!$B$24='Flujo de Pagos'!$E353,24,9999)</f>
        <v>24</v>
      </c>
      <c r="AS353" s="0" t="n">
        <f aca="false">IF(Presupuesto!$B$25='Flujo de Pagos'!$E353,25,9999)</f>
        <v>25</v>
      </c>
      <c r="AT353" s="0" t="n">
        <f aca="false">IF(Presupuesto!$B$26='Flujo de Pagos'!$E353,26,9999)</f>
        <v>26</v>
      </c>
      <c r="AU353" s="0" t="n">
        <f aca="false">IF(Presupuesto!$B$27='Flujo de Pagos'!$E353,27,9999)</f>
        <v>27</v>
      </c>
      <c r="AV353" s="0" t="n">
        <f aca="false">IF(Presupuesto!$B$28='Flujo de Pagos'!$E353,28,9999)</f>
        <v>28</v>
      </c>
      <c r="AW353" s="0" t="n">
        <f aca="false">IF(Presupuesto!$B$29='Flujo de Pagos'!$E353,29,9999)</f>
        <v>29</v>
      </c>
      <c r="AX353" s="0" t="n">
        <f aca="false">IF(Presupuesto!$B$30='Flujo de Pagos'!$E353,30,9999)</f>
        <v>30</v>
      </c>
      <c r="AY353" s="0" t="n">
        <f aca="false">IF(Presupuesto!$B$31='Flujo de Pagos'!$E353,31,9999)</f>
        <v>31</v>
      </c>
      <c r="AZ353" s="0" t="n">
        <f aca="false">IF(Presupuesto!$B$32='Flujo de Pagos'!$E353,32,9999)</f>
        <v>32</v>
      </c>
      <c r="BA353" s="0" t="n">
        <f aca="false">IF(Presupuesto!$B$33='Flujo de Pagos'!$E353,33,9999)</f>
        <v>33</v>
      </c>
      <c r="BB353" s="0" t="n">
        <f aca="false">IF(Presupuesto!$B$34='Flujo de Pagos'!$E353,34,9999)</f>
        <v>34</v>
      </c>
      <c r="BC353" s="0" t="n">
        <f aca="false">IF(Presupuesto!$B$35='Flujo de Pagos'!$E353,35,9999)</f>
        <v>35</v>
      </c>
      <c r="BD353" s="0" t="n">
        <f aca="false">IF(Presupuesto!$B$36='Flujo de Pagos'!$E353,36,9999)</f>
        <v>36</v>
      </c>
      <c r="BE353" s="0" t="n">
        <f aca="false">IF(Presupuesto!$B$37='Flujo de Pagos'!$E353,37,9999)</f>
        <v>37</v>
      </c>
      <c r="BF353" s="0" t="n">
        <f aca="false">IF(Presupuesto!$B$38='Flujo de Pagos'!$E353,38,9999)</f>
        <v>38</v>
      </c>
      <c r="BG353" s="0" t="n">
        <f aca="false">IF(Presupuesto!$B$39='Flujo de Pagos'!$E353,39,9999)</f>
        <v>39</v>
      </c>
      <c r="BH353" s="0" t="n">
        <f aca="false">IF(Presupuesto!$B$40='Flujo de Pagos'!$E353,40,9999)</f>
        <v>40</v>
      </c>
      <c r="BI353" s="0" t="n">
        <f aca="false">IF(Presupuesto!$B$41='Flujo de Pagos'!$E353,41,9999)</f>
        <v>41</v>
      </c>
      <c r="BJ353" s="0" t="n">
        <f aca="false">IF(Presupuesto!$B$42='Flujo de Pagos'!$E353,42,9999)</f>
        <v>42</v>
      </c>
      <c r="BK353" s="0" t="n">
        <f aca="false">IF(Presupuesto!$B$43='Flujo de Pagos'!$E353,43,9999)</f>
        <v>43</v>
      </c>
      <c r="BL353" s="0" t="n">
        <f aca="false">IF(Presupuesto!$B$44='Flujo de Pagos'!$E353,44,9999)</f>
        <v>44</v>
      </c>
      <c r="BM353" s="0" t="n">
        <f aca="false">IF(Presupuesto!$B$45='Flujo de Pagos'!$E353,45,9999)</f>
        <v>45</v>
      </c>
      <c r="BN353" s="0" t="n">
        <f aca="false">IF(Presupuesto!$B$46='Flujo de Pagos'!$E353,46,9999)</f>
        <v>46</v>
      </c>
      <c r="BO353" s="0" t="n">
        <f aca="false">IF(Presupuesto!$B$47='Flujo de Pagos'!$E353,47,9999)</f>
        <v>47</v>
      </c>
      <c r="BP353" s="0" t="n">
        <f aca="false">IF(Presupuesto!$B$48='Flujo de Pagos'!$E353,48,9999)</f>
        <v>48</v>
      </c>
      <c r="BQ353" s="0" t="n">
        <f aca="false">IF(Presupuesto!$B$49='Flujo de Pagos'!$E353,49,9999)</f>
        <v>49</v>
      </c>
      <c r="BR353" s="0" t="n">
        <f aca="false">IF(Presupuesto!$B$50='Flujo de Pagos'!$E353,50,9999)</f>
        <v>50</v>
      </c>
      <c r="BS353" s="0" t="n">
        <f aca="false">IF(Presupuesto!$B$51='Flujo de Pagos'!$E353,51,9999)</f>
        <v>51</v>
      </c>
      <c r="BT353" s="0" t="n">
        <f aca="false">IF(Presupuesto!$B$52='Flujo de Pagos'!$E353,52,9999)</f>
        <v>52</v>
      </c>
      <c r="BU353" s="0" t="n">
        <f aca="false">IF(Presupuesto!$B$53='Flujo de Pagos'!$E353,53,9999)</f>
        <v>53</v>
      </c>
      <c r="BV353" s="0" t="n">
        <f aca="false">IF(Presupuesto!$B$54='Flujo de Pagos'!$E353,54,9999)</f>
        <v>54</v>
      </c>
      <c r="BW353" s="0" t="n">
        <f aca="false">IF(Presupuesto!$B$55='Flujo de Pagos'!$E353,55,9999)</f>
        <v>55</v>
      </c>
      <c r="BX353" s="0" t="n">
        <f aca="false">IF(Presupuesto!$B$56='Flujo de Pagos'!$E353,56,9999)</f>
        <v>56</v>
      </c>
      <c r="BY353" s="0" t="n">
        <f aca="false">IF(Presupuesto!$B$57='Flujo de Pagos'!$E353,57,9999)</f>
        <v>57</v>
      </c>
      <c r="BZ353" s="0" t="n">
        <f aca="false">IF(Presupuesto!$B$58='Flujo de Pagos'!$E353,58,9999)</f>
        <v>58</v>
      </c>
      <c r="CA353" s="0" t="n">
        <f aca="false">IF(Presupuesto!$B$59='Flujo de Pagos'!$E353,59,9999)</f>
        <v>59</v>
      </c>
      <c r="CB353" s="0" t="n">
        <f aca="false">IF(Presupuesto!$B$60='Flujo de Pagos'!$E353,60,9999)</f>
        <v>60</v>
      </c>
      <c r="CC353" s="0" t="n">
        <f aca="false">IF(Presupuesto!$B$61='Flujo de Pagos'!$E353,61,9999)</f>
        <v>61</v>
      </c>
      <c r="CD353" s="0" t="n">
        <f aca="false">IF(Presupuesto!$B$62='Flujo de Pagos'!$E353,62,9999)</f>
        <v>62</v>
      </c>
      <c r="CE353" s="0" t="n">
        <f aca="false">IF(Presupuesto!$B$63='Flujo de Pagos'!$E353,63,9999)</f>
        <v>63</v>
      </c>
      <c r="CF353" s="0" t="n">
        <f aca="false">IF(Presupuesto!$B$64='Flujo de Pagos'!$E353,64,9999)</f>
        <v>64</v>
      </c>
      <c r="CG353" s="0" t="n">
        <f aca="false">IF(Presupuesto!$B$65='Flujo de Pagos'!$E353,65,9999)</f>
        <v>65</v>
      </c>
      <c r="CH353" s="0" t="n">
        <f aca="false">IF(Presupuesto!$B$66='Flujo de Pagos'!$E353,66,9999)</f>
        <v>66</v>
      </c>
    </row>
    <row r="354" customFormat="false" ht="15" hidden="false" customHeight="true" outlineLevel="0" collapsed="false">
      <c r="B354" s="1" t="n">
        <f aca="false">IF(AND('Flujo de Pagos'!E359=Carátula!$B$2,'Flujo de Pagos'!F359=Carátula!$B$4,'Flujo de Pagos'!H359&lt;&gt;""),359,99999)</f>
        <v>99999</v>
      </c>
      <c r="H354" s="1" t="n">
        <f aca="false">IF(SMALL($AA354:$CH354,1)&gt;=9999,"",INDEX(Presupuesto!$C:$C,SMALL($AA354:$CH354,1)))</f>
        <v>0</v>
      </c>
      <c r="I354" s="1" t="n">
        <f aca="false">IF(SMALL($AA354:$CH354,2)&gt;=9999,"",INDEX(Presupuesto!$C:$C,SMALL($AA354:$CH354,2)))</f>
        <v>0</v>
      </c>
      <c r="J354" s="1" t="n">
        <f aca="false">IF(SMALL($AA354:$CH354,3)&gt;=9999,"",INDEX(Presupuesto!$C:$C,SMALL($AA354:$CH354,3)))</f>
        <v>0</v>
      </c>
      <c r="K354" s="1" t="n">
        <f aca="false">IF(SMALL($AA354:$CH354,4)&gt;=9999,"",INDEX(Presupuesto!$C:$C,SMALL($AA354:$CH354,4)))</f>
        <v>0</v>
      </c>
      <c r="L354" s="1" t="n">
        <f aca="false">IF(SMALL($AA354:$CH354,5)&gt;=9999,"",INDEX(Presupuesto!$C:$C,SMALL($AA354:$CH354,5)))</f>
        <v>0</v>
      </c>
      <c r="M354" s="1" t="n">
        <f aca="false">IF(SMALL($AA354:$CH354,6)&gt;=9999,"",INDEX(Presupuesto!$C:$C,SMALL($AA354:$CH354,6)))</f>
        <v>0</v>
      </c>
      <c r="N354" s="1" t="n">
        <f aca="false">IF(SMALL($AA354:$CH354,7)&gt;=9999,"",INDEX(Presupuesto!$C:$C,SMALL($AA354:$CH354,7)))</f>
        <v>0</v>
      </c>
      <c r="O354" s="1" t="n">
        <f aca="false">IF(SMALL($AA354:$CH354,8)&gt;=9999,"",INDEX(Presupuesto!$C:$C,SMALL($AA354:$CH354,8)))</f>
        <v>0</v>
      </c>
      <c r="P354" s="1" t="n">
        <f aca="false">IF(SMALL($AA354:$CH354,9)&gt;=9999,"",INDEX(Presupuesto!$C:$C,SMALL($AA354:$CH354,9)))</f>
        <v>0</v>
      </c>
      <c r="Q354" s="1" t="n">
        <f aca="false">IF(SMALL($AA354:$CH354,10)&gt;=9999,"",INDEX(Presupuesto!$C:$C,SMALL($AA354:$CH354,10)))</f>
        <v>0</v>
      </c>
      <c r="AA354" s="0" t="n">
        <f aca="false">IF(Presupuesto!$B$7='Flujo de Pagos'!$E354,7,9999)</f>
        <v>9999</v>
      </c>
      <c r="AB354" s="0" t="n">
        <f aca="false">IF(Presupuesto!$B$8='Flujo de Pagos'!$E354,8,9999)</f>
        <v>9999</v>
      </c>
      <c r="AC354" s="0" t="n">
        <f aca="false">IF(Presupuesto!$B$9='Flujo de Pagos'!$E354,9,9999)</f>
        <v>9999</v>
      </c>
      <c r="AD354" s="0" t="n">
        <f aca="false">IF(Presupuesto!$B$10='Flujo de Pagos'!$E354,10,9999)</f>
        <v>9999</v>
      </c>
      <c r="AE354" s="0" t="n">
        <f aca="false">IF(Presupuesto!$B$11='Flujo de Pagos'!$E354,11,9999)</f>
        <v>9999</v>
      </c>
      <c r="AF354" s="0" t="n">
        <f aca="false">IF(Presupuesto!$B$12='Flujo de Pagos'!$E354,12,9999)</f>
        <v>12</v>
      </c>
      <c r="AG354" s="0" t="n">
        <f aca="false">IF(Presupuesto!$B$13='Flujo de Pagos'!$E354,13,9999)</f>
        <v>13</v>
      </c>
      <c r="AH354" s="0" t="n">
        <f aca="false">IF(Presupuesto!$B$14='Flujo de Pagos'!$E354,14,9999)</f>
        <v>14</v>
      </c>
      <c r="AI354" s="0" t="n">
        <f aca="false">IF(Presupuesto!$B$15='Flujo de Pagos'!$E354,15,9999)</f>
        <v>15</v>
      </c>
      <c r="AJ354" s="0" t="n">
        <f aca="false">IF(Presupuesto!$B$16='Flujo de Pagos'!$E354,16,9999)</f>
        <v>16</v>
      </c>
      <c r="AK354" s="0" t="n">
        <f aca="false">IF(Presupuesto!$B$17='Flujo de Pagos'!$E354,17,9999)</f>
        <v>17</v>
      </c>
      <c r="AL354" s="0" t="n">
        <f aca="false">IF(Presupuesto!$B$18='Flujo de Pagos'!$E354,18,9999)</f>
        <v>18</v>
      </c>
      <c r="AM354" s="0" t="n">
        <f aca="false">IF(Presupuesto!$B$19='Flujo de Pagos'!$E354,19,9999)</f>
        <v>19</v>
      </c>
      <c r="AN354" s="0" t="n">
        <f aca="false">IF(Presupuesto!$B$20='Flujo de Pagos'!$E354,20,9999)</f>
        <v>20</v>
      </c>
      <c r="AO354" s="0" t="n">
        <f aca="false">IF(Presupuesto!$B$21='Flujo de Pagos'!$E354,21,9999)</f>
        <v>21</v>
      </c>
      <c r="AP354" s="0" t="n">
        <f aca="false">IF(Presupuesto!$B$22='Flujo de Pagos'!$E354,22,9999)</f>
        <v>22</v>
      </c>
      <c r="AQ354" s="0" t="n">
        <f aca="false">IF(Presupuesto!$B$23='Flujo de Pagos'!$E354,23,9999)</f>
        <v>23</v>
      </c>
      <c r="AR354" s="0" t="n">
        <f aca="false">IF(Presupuesto!$B$24='Flujo de Pagos'!$E354,24,9999)</f>
        <v>24</v>
      </c>
      <c r="AS354" s="0" t="n">
        <f aca="false">IF(Presupuesto!$B$25='Flujo de Pagos'!$E354,25,9999)</f>
        <v>25</v>
      </c>
      <c r="AT354" s="0" t="n">
        <f aca="false">IF(Presupuesto!$B$26='Flujo de Pagos'!$E354,26,9999)</f>
        <v>26</v>
      </c>
      <c r="AU354" s="0" t="n">
        <f aca="false">IF(Presupuesto!$B$27='Flujo de Pagos'!$E354,27,9999)</f>
        <v>27</v>
      </c>
      <c r="AV354" s="0" t="n">
        <f aca="false">IF(Presupuesto!$B$28='Flujo de Pagos'!$E354,28,9999)</f>
        <v>28</v>
      </c>
      <c r="AW354" s="0" t="n">
        <f aca="false">IF(Presupuesto!$B$29='Flujo de Pagos'!$E354,29,9999)</f>
        <v>29</v>
      </c>
      <c r="AX354" s="0" t="n">
        <f aca="false">IF(Presupuesto!$B$30='Flujo de Pagos'!$E354,30,9999)</f>
        <v>30</v>
      </c>
      <c r="AY354" s="0" t="n">
        <f aca="false">IF(Presupuesto!$B$31='Flujo de Pagos'!$E354,31,9999)</f>
        <v>31</v>
      </c>
      <c r="AZ354" s="0" t="n">
        <f aca="false">IF(Presupuesto!$B$32='Flujo de Pagos'!$E354,32,9999)</f>
        <v>32</v>
      </c>
      <c r="BA354" s="0" t="n">
        <f aca="false">IF(Presupuesto!$B$33='Flujo de Pagos'!$E354,33,9999)</f>
        <v>33</v>
      </c>
      <c r="BB354" s="0" t="n">
        <f aca="false">IF(Presupuesto!$B$34='Flujo de Pagos'!$E354,34,9999)</f>
        <v>34</v>
      </c>
      <c r="BC354" s="0" t="n">
        <f aca="false">IF(Presupuesto!$B$35='Flujo de Pagos'!$E354,35,9999)</f>
        <v>35</v>
      </c>
      <c r="BD354" s="0" t="n">
        <f aca="false">IF(Presupuesto!$B$36='Flujo de Pagos'!$E354,36,9999)</f>
        <v>36</v>
      </c>
      <c r="BE354" s="0" t="n">
        <f aca="false">IF(Presupuesto!$B$37='Flujo de Pagos'!$E354,37,9999)</f>
        <v>37</v>
      </c>
      <c r="BF354" s="0" t="n">
        <f aca="false">IF(Presupuesto!$B$38='Flujo de Pagos'!$E354,38,9999)</f>
        <v>38</v>
      </c>
      <c r="BG354" s="0" t="n">
        <f aca="false">IF(Presupuesto!$B$39='Flujo de Pagos'!$E354,39,9999)</f>
        <v>39</v>
      </c>
      <c r="BH354" s="0" t="n">
        <f aca="false">IF(Presupuesto!$B$40='Flujo de Pagos'!$E354,40,9999)</f>
        <v>40</v>
      </c>
      <c r="BI354" s="0" t="n">
        <f aca="false">IF(Presupuesto!$B$41='Flujo de Pagos'!$E354,41,9999)</f>
        <v>41</v>
      </c>
      <c r="BJ354" s="0" t="n">
        <f aca="false">IF(Presupuesto!$B$42='Flujo de Pagos'!$E354,42,9999)</f>
        <v>42</v>
      </c>
      <c r="BK354" s="0" t="n">
        <f aca="false">IF(Presupuesto!$B$43='Flujo de Pagos'!$E354,43,9999)</f>
        <v>43</v>
      </c>
      <c r="BL354" s="0" t="n">
        <f aca="false">IF(Presupuesto!$B$44='Flujo de Pagos'!$E354,44,9999)</f>
        <v>44</v>
      </c>
      <c r="BM354" s="0" t="n">
        <f aca="false">IF(Presupuesto!$B$45='Flujo de Pagos'!$E354,45,9999)</f>
        <v>45</v>
      </c>
      <c r="BN354" s="0" t="n">
        <f aca="false">IF(Presupuesto!$B$46='Flujo de Pagos'!$E354,46,9999)</f>
        <v>46</v>
      </c>
      <c r="BO354" s="0" t="n">
        <f aca="false">IF(Presupuesto!$B$47='Flujo de Pagos'!$E354,47,9999)</f>
        <v>47</v>
      </c>
      <c r="BP354" s="0" t="n">
        <f aca="false">IF(Presupuesto!$B$48='Flujo de Pagos'!$E354,48,9999)</f>
        <v>48</v>
      </c>
      <c r="BQ354" s="0" t="n">
        <f aca="false">IF(Presupuesto!$B$49='Flujo de Pagos'!$E354,49,9999)</f>
        <v>49</v>
      </c>
      <c r="BR354" s="0" t="n">
        <f aca="false">IF(Presupuesto!$B$50='Flujo de Pagos'!$E354,50,9999)</f>
        <v>50</v>
      </c>
      <c r="BS354" s="0" t="n">
        <f aca="false">IF(Presupuesto!$B$51='Flujo de Pagos'!$E354,51,9999)</f>
        <v>51</v>
      </c>
      <c r="BT354" s="0" t="n">
        <f aca="false">IF(Presupuesto!$B$52='Flujo de Pagos'!$E354,52,9999)</f>
        <v>52</v>
      </c>
      <c r="BU354" s="0" t="n">
        <f aca="false">IF(Presupuesto!$B$53='Flujo de Pagos'!$E354,53,9999)</f>
        <v>53</v>
      </c>
      <c r="BV354" s="0" t="n">
        <f aca="false">IF(Presupuesto!$B$54='Flujo de Pagos'!$E354,54,9999)</f>
        <v>54</v>
      </c>
      <c r="BW354" s="0" t="n">
        <f aca="false">IF(Presupuesto!$B$55='Flujo de Pagos'!$E354,55,9999)</f>
        <v>55</v>
      </c>
      <c r="BX354" s="0" t="n">
        <f aca="false">IF(Presupuesto!$B$56='Flujo de Pagos'!$E354,56,9999)</f>
        <v>56</v>
      </c>
      <c r="BY354" s="0" t="n">
        <f aca="false">IF(Presupuesto!$B$57='Flujo de Pagos'!$E354,57,9999)</f>
        <v>57</v>
      </c>
      <c r="BZ354" s="0" t="n">
        <f aca="false">IF(Presupuesto!$B$58='Flujo de Pagos'!$E354,58,9999)</f>
        <v>58</v>
      </c>
      <c r="CA354" s="0" t="n">
        <f aca="false">IF(Presupuesto!$B$59='Flujo de Pagos'!$E354,59,9999)</f>
        <v>59</v>
      </c>
      <c r="CB354" s="0" t="n">
        <f aca="false">IF(Presupuesto!$B$60='Flujo de Pagos'!$E354,60,9999)</f>
        <v>60</v>
      </c>
      <c r="CC354" s="0" t="n">
        <f aca="false">IF(Presupuesto!$B$61='Flujo de Pagos'!$E354,61,9999)</f>
        <v>61</v>
      </c>
      <c r="CD354" s="0" t="n">
        <f aca="false">IF(Presupuesto!$B$62='Flujo de Pagos'!$E354,62,9999)</f>
        <v>62</v>
      </c>
      <c r="CE354" s="0" t="n">
        <f aca="false">IF(Presupuesto!$B$63='Flujo de Pagos'!$E354,63,9999)</f>
        <v>63</v>
      </c>
      <c r="CF354" s="0" t="n">
        <f aca="false">IF(Presupuesto!$B$64='Flujo de Pagos'!$E354,64,9999)</f>
        <v>64</v>
      </c>
      <c r="CG354" s="0" t="n">
        <f aca="false">IF(Presupuesto!$B$65='Flujo de Pagos'!$E354,65,9999)</f>
        <v>65</v>
      </c>
      <c r="CH354" s="0" t="n">
        <f aca="false">IF(Presupuesto!$B$66='Flujo de Pagos'!$E354,66,9999)</f>
        <v>66</v>
      </c>
    </row>
    <row r="355" customFormat="false" ht="15" hidden="false" customHeight="true" outlineLevel="0" collapsed="false">
      <c r="B355" s="1" t="n">
        <f aca="false">IF(AND('Flujo de Pagos'!E360=Carátula!$B$2,'Flujo de Pagos'!F360=Carátula!$B$4,'Flujo de Pagos'!H360&lt;&gt;""),360,99999)</f>
        <v>99999</v>
      </c>
      <c r="H355" s="1" t="n">
        <f aca="false">IF(SMALL($AA355:$CH355,1)&gt;=9999,"",INDEX(Presupuesto!$C:$C,SMALL($AA355:$CH355,1)))</f>
        <v>0</v>
      </c>
      <c r="I355" s="1" t="n">
        <f aca="false">IF(SMALL($AA355:$CH355,2)&gt;=9999,"",INDEX(Presupuesto!$C:$C,SMALL($AA355:$CH355,2)))</f>
        <v>0</v>
      </c>
      <c r="J355" s="1" t="n">
        <f aca="false">IF(SMALL($AA355:$CH355,3)&gt;=9999,"",INDEX(Presupuesto!$C:$C,SMALL($AA355:$CH355,3)))</f>
        <v>0</v>
      </c>
      <c r="K355" s="1" t="n">
        <f aca="false">IF(SMALL($AA355:$CH355,4)&gt;=9999,"",INDEX(Presupuesto!$C:$C,SMALL($AA355:$CH355,4)))</f>
        <v>0</v>
      </c>
      <c r="L355" s="1" t="n">
        <f aca="false">IF(SMALL($AA355:$CH355,5)&gt;=9999,"",INDEX(Presupuesto!$C:$C,SMALL($AA355:$CH355,5)))</f>
        <v>0</v>
      </c>
      <c r="M355" s="1" t="n">
        <f aca="false">IF(SMALL($AA355:$CH355,6)&gt;=9999,"",INDEX(Presupuesto!$C:$C,SMALL($AA355:$CH355,6)))</f>
        <v>0</v>
      </c>
      <c r="N355" s="1" t="n">
        <f aca="false">IF(SMALL($AA355:$CH355,7)&gt;=9999,"",INDEX(Presupuesto!$C:$C,SMALL($AA355:$CH355,7)))</f>
        <v>0</v>
      </c>
      <c r="O355" s="1" t="n">
        <f aca="false">IF(SMALL($AA355:$CH355,8)&gt;=9999,"",INDEX(Presupuesto!$C:$C,SMALL($AA355:$CH355,8)))</f>
        <v>0</v>
      </c>
      <c r="P355" s="1" t="n">
        <f aca="false">IF(SMALL($AA355:$CH355,9)&gt;=9999,"",INDEX(Presupuesto!$C:$C,SMALL($AA355:$CH355,9)))</f>
        <v>0</v>
      </c>
      <c r="Q355" s="1" t="n">
        <f aca="false">IF(SMALL($AA355:$CH355,10)&gt;=9999,"",INDEX(Presupuesto!$C:$C,SMALL($AA355:$CH355,10)))</f>
        <v>0</v>
      </c>
      <c r="AA355" s="0" t="n">
        <f aca="false">IF(Presupuesto!$B$7='Flujo de Pagos'!$E355,7,9999)</f>
        <v>9999</v>
      </c>
      <c r="AB355" s="0" t="n">
        <f aca="false">IF(Presupuesto!$B$8='Flujo de Pagos'!$E355,8,9999)</f>
        <v>9999</v>
      </c>
      <c r="AC355" s="0" t="n">
        <f aca="false">IF(Presupuesto!$B$9='Flujo de Pagos'!$E355,9,9999)</f>
        <v>9999</v>
      </c>
      <c r="AD355" s="0" t="n">
        <f aca="false">IF(Presupuesto!$B$10='Flujo de Pagos'!$E355,10,9999)</f>
        <v>9999</v>
      </c>
      <c r="AE355" s="0" t="n">
        <f aca="false">IF(Presupuesto!$B$11='Flujo de Pagos'!$E355,11,9999)</f>
        <v>9999</v>
      </c>
      <c r="AF355" s="0" t="n">
        <f aca="false">IF(Presupuesto!$B$12='Flujo de Pagos'!$E355,12,9999)</f>
        <v>12</v>
      </c>
      <c r="AG355" s="0" t="n">
        <f aca="false">IF(Presupuesto!$B$13='Flujo de Pagos'!$E355,13,9999)</f>
        <v>13</v>
      </c>
      <c r="AH355" s="0" t="n">
        <f aca="false">IF(Presupuesto!$B$14='Flujo de Pagos'!$E355,14,9999)</f>
        <v>14</v>
      </c>
      <c r="AI355" s="0" t="n">
        <f aca="false">IF(Presupuesto!$B$15='Flujo de Pagos'!$E355,15,9999)</f>
        <v>15</v>
      </c>
      <c r="AJ355" s="0" t="n">
        <f aca="false">IF(Presupuesto!$B$16='Flujo de Pagos'!$E355,16,9999)</f>
        <v>16</v>
      </c>
      <c r="AK355" s="0" t="n">
        <f aca="false">IF(Presupuesto!$B$17='Flujo de Pagos'!$E355,17,9999)</f>
        <v>17</v>
      </c>
      <c r="AL355" s="0" t="n">
        <f aca="false">IF(Presupuesto!$B$18='Flujo de Pagos'!$E355,18,9999)</f>
        <v>18</v>
      </c>
      <c r="AM355" s="0" t="n">
        <f aca="false">IF(Presupuesto!$B$19='Flujo de Pagos'!$E355,19,9999)</f>
        <v>19</v>
      </c>
      <c r="AN355" s="0" t="n">
        <f aca="false">IF(Presupuesto!$B$20='Flujo de Pagos'!$E355,20,9999)</f>
        <v>20</v>
      </c>
      <c r="AO355" s="0" t="n">
        <f aca="false">IF(Presupuesto!$B$21='Flujo de Pagos'!$E355,21,9999)</f>
        <v>21</v>
      </c>
      <c r="AP355" s="0" t="n">
        <f aca="false">IF(Presupuesto!$B$22='Flujo de Pagos'!$E355,22,9999)</f>
        <v>22</v>
      </c>
      <c r="AQ355" s="0" t="n">
        <f aca="false">IF(Presupuesto!$B$23='Flujo de Pagos'!$E355,23,9999)</f>
        <v>23</v>
      </c>
      <c r="AR355" s="0" t="n">
        <f aca="false">IF(Presupuesto!$B$24='Flujo de Pagos'!$E355,24,9999)</f>
        <v>24</v>
      </c>
      <c r="AS355" s="0" t="n">
        <f aca="false">IF(Presupuesto!$B$25='Flujo de Pagos'!$E355,25,9999)</f>
        <v>25</v>
      </c>
      <c r="AT355" s="0" t="n">
        <f aca="false">IF(Presupuesto!$B$26='Flujo de Pagos'!$E355,26,9999)</f>
        <v>26</v>
      </c>
      <c r="AU355" s="0" t="n">
        <f aca="false">IF(Presupuesto!$B$27='Flujo de Pagos'!$E355,27,9999)</f>
        <v>27</v>
      </c>
      <c r="AV355" s="0" t="n">
        <f aca="false">IF(Presupuesto!$B$28='Flujo de Pagos'!$E355,28,9999)</f>
        <v>28</v>
      </c>
      <c r="AW355" s="0" t="n">
        <f aca="false">IF(Presupuesto!$B$29='Flujo de Pagos'!$E355,29,9999)</f>
        <v>29</v>
      </c>
      <c r="AX355" s="0" t="n">
        <f aca="false">IF(Presupuesto!$B$30='Flujo de Pagos'!$E355,30,9999)</f>
        <v>30</v>
      </c>
      <c r="AY355" s="0" t="n">
        <f aca="false">IF(Presupuesto!$B$31='Flujo de Pagos'!$E355,31,9999)</f>
        <v>31</v>
      </c>
      <c r="AZ355" s="0" t="n">
        <f aca="false">IF(Presupuesto!$B$32='Flujo de Pagos'!$E355,32,9999)</f>
        <v>32</v>
      </c>
      <c r="BA355" s="0" t="n">
        <f aca="false">IF(Presupuesto!$B$33='Flujo de Pagos'!$E355,33,9999)</f>
        <v>33</v>
      </c>
      <c r="BB355" s="0" t="n">
        <f aca="false">IF(Presupuesto!$B$34='Flujo de Pagos'!$E355,34,9999)</f>
        <v>34</v>
      </c>
      <c r="BC355" s="0" t="n">
        <f aca="false">IF(Presupuesto!$B$35='Flujo de Pagos'!$E355,35,9999)</f>
        <v>35</v>
      </c>
      <c r="BD355" s="0" t="n">
        <f aca="false">IF(Presupuesto!$B$36='Flujo de Pagos'!$E355,36,9999)</f>
        <v>36</v>
      </c>
      <c r="BE355" s="0" t="n">
        <f aca="false">IF(Presupuesto!$B$37='Flujo de Pagos'!$E355,37,9999)</f>
        <v>37</v>
      </c>
      <c r="BF355" s="0" t="n">
        <f aca="false">IF(Presupuesto!$B$38='Flujo de Pagos'!$E355,38,9999)</f>
        <v>38</v>
      </c>
      <c r="BG355" s="0" t="n">
        <f aca="false">IF(Presupuesto!$B$39='Flujo de Pagos'!$E355,39,9999)</f>
        <v>39</v>
      </c>
      <c r="BH355" s="0" t="n">
        <f aca="false">IF(Presupuesto!$B$40='Flujo de Pagos'!$E355,40,9999)</f>
        <v>40</v>
      </c>
      <c r="BI355" s="0" t="n">
        <f aca="false">IF(Presupuesto!$B$41='Flujo de Pagos'!$E355,41,9999)</f>
        <v>41</v>
      </c>
      <c r="BJ355" s="0" t="n">
        <f aca="false">IF(Presupuesto!$B$42='Flujo de Pagos'!$E355,42,9999)</f>
        <v>42</v>
      </c>
      <c r="BK355" s="0" t="n">
        <f aca="false">IF(Presupuesto!$B$43='Flujo de Pagos'!$E355,43,9999)</f>
        <v>43</v>
      </c>
      <c r="BL355" s="0" t="n">
        <f aca="false">IF(Presupuesto!$B$44='Flujo de Pagos'!$E355,44,9999)</f>
        <v>44</v>
      </c>
      <c r="BM355" s="0" t="n">
        <f aca="false">IF(Presupuesto!$B$45='Flujo de Pagos'!$E355,45,9999)</f>
        <v>45</v>
      </c>
      <c r="BN355" s="0" t="n">
        <f aca="false">IF(Presupuesto!$B$46='Flujo de Pagos'!$E355,46,9999)</f>
        <v>46</v>
      </c>
      <c r="BO355" s="0" t="n">
        <f aca="false">IF(Presupuesto!$B$47='Flujo de Pagos'!$E355,47,9999)</f>
        <v>47</v>
      </c>
      <c r="BP355" s="0" t="n">
        <f aca="false">IF(Presupuesto!$B$48='Flujo de Pagos'!$E355,48,9999)</f>
        <v>48</v>
      </c>
      <c r="BQ355" s="0" t="n">
        <f aca="false">IF(Presupuesto!$B$49='Flujo de Pagos'!$E355,49,9999)</f>
        <v>49</v>
      </c>
      <c r="BR355" s="0" t="n">
        <f aca="false">IF(Presupuesto!$B$50='Flujo de Pagos'!$E355,50,9999)</f>
        <v>50</v>
      </c>
      <c r="BS355" s="0" t="n">
        <f aca="false">IF(Presupuesto!$B$51='Flujo de Pagos'!$E355,51,9999)</f>
        <v>51</v>
      </c>
      <c r="BT355" s="0" t="n">
        <f aca="false">IF(Presupuesto!$B$52='Flujo de Pagos'!$E355,52,9999)</f>
        <v>52</v>
      </c>
      <c r="BU355" s="0" t="n">
        <f aca="false">IF(Presupuesto!$B$53='Flujo de Pagos'!$E355,53,9999)</f>
        <v>53</v>
      </c>
      <c r="BV355" s="0" t="n">
        <f aca="false">IF(Presupuesto!$B$54='Flujo de Pagos'!$E355,54,9999)</f>
        <v>54</v>
      </c>
      <c r="BW355" s="0" t="n">
        <f aca="false">IF(Presupuesto!$B$55='Flujo de Pagos'!$E355,55,9999)</f>
        <v>55</v>
      </c>
      <c r="BX355" s="0" t="n">
        <f aca="false">IF(Presupuesto!$B$56='Flujo de Pagos'!$E355,56,9999)</f>
        <v>56</v>
      </c>
      <c r="BY355" s="0" t="n">
        <f aca="false">IF(Presupuesto!$B$57='Flujo de Pagos'!$E355,57,9999)</f>
        <v>57</v>
      </c>
      <c r="BZ355" s="0" t="n">
        <f aca="false">IF(Presupuesto!$B$58='Flujo de Pagos'!$E355,58,9999)</f>
        <v>58</v>
      </c>
      <c r="CA355" s="0" t="n">
        <f aca="false">IF(Presupuesto!$B$59='Flujo de Pagos'!$E355,59,9999)</f>
        <v>59</v>
      </c>
      <c r="CB355" s="0" t="n">
        <f aca="false">IF(Presupuesto!$B$60='Flujo de Pagos'!$E355,60,9999)</f>
        <v>60</v>
      </c>
      <c r="CC355" s="0" t="n">
        <f aca="false">IF(Presupuesto!$B$61='Flujo de Pagos'!$E355,61,9999)</f>
        <v>61</v>
      </c>
      <c r="CD355" s="0" t="n">
        <f aca="false">IF(Presupuesto!$B$62='Flujo de Pagos'!$E355,62,9999)</f>
        <v>62</v>
      </c>
      <c r="CE355" s="0" t="n">
        <f aca="false">IF(Presupuesto!$B$63='Flujo de Pagos'!$E355,63,9999)</f>
        <v>63</v>
      </c>
      <c r="CF355" s="0" t="n">
        <f aca="false">IF(Presupuesto!$B$64='Flujo de Pagos'!$E355,64,9999)</f>
        <v>64</v>
      </c>
      <c r="CG355" s="0" t="n">
        <f aca="false">IF(Presupuesto!$B$65='Flujo de Pagos'!$E355,65,9999)</f>
        <v>65</v>
      </c>
      <c r="CH355" s="0" t="n">
        <f aca="false">IF(Presupuesto!$B$66='Flujo de Pagos'!$E355,66,9999)</f>
        <v>66</v>
      </c>
    </row>
    <row r="356" customFormat="false" ht="15" hidden="false" customHeight="true" outlineLevel="0" collapsed="false">
      <c r="B356" s="1" t="n">
        <f aca="false">IF(AND('Flujo de Pagos'!E361=Carátula!$B$2,'Flujo de Pagos'!F361=Carátula!$B$4,'Flujo de Pagos'!H361&lt;&gt;""),361,99999)</f>
        <v>99999</v>
      </c>
      <c r="H356" s="1" t="n">
        <f aca="false">IF(SMALL($AA356:$CH356,1)&gt;=9999,"",INDEX(Presupuesto!$C:$C,SMALL($AA356:$CH356,1)))</f>
        <v>0</v>
      </c>
      <c r="I356" s="1" t="n">
        <f aca="false">IF(SMALL($AA356:$CH356,2)&gt;=9999,"",INDEX(Presupuesto!$C:$C,SMALL($AA356:$CH356,2)))</f>
        <v>0</v>
      </c>
      <c r="J356" s="1" t="n">
        <f aca="false">IF(SMALL($AA356:$CH356,3)&gt;=9999,"",INDEX(Presupuesto!$C:$C,SMALL($AA356:$CH356,3)))</f>
        <v>0</v>
      </c>
      <c r="K356" s="1" t="n">
        <f aca="false">IF(SMALL($AA356:$CH356,4)&gt;=9999,"",INDEX(Presupuesto!$C:$C,SMALL($AA356:$CH356,4)))</f>
        <v>0</v>
      </c>
      <c r="L356" s="1" t="n">
        <f aca="false">IF(SMALL($AA356:$CH356,5)&gt;=9999,"",INDEX(Presupuesto!$C:$C,SMALL($AA356:$CH356,5)))</f>
        <v>0</v>
      </c>
      <c r="M356" s="1" t="n">
        <f aca="false">IF(SMALL($AA356:$CH356,6)&gt;=9999,"",INDEX(Presupuesto!$C:$C,SMALL($AA356:$CH356,6)))</f>
        <v>0</v>
      </c>
      <c r="N356" s="1" t="n">
        <f aca="false">IF(SMALL($AA356:$CH356,7)&gt;=9999,"",INDEX(Presupuesto!$C:$C,SMALL($AA356:$CH356,7)))</f>
        <v>0</v>
      </c>
      <c r="O356" s="1" t="n">
        <f aca="false">IF(SMALL($AA356:$CH356,8)&gt;=9999,"",INDEX(Presupuesto!$C:$C,SMALL($AA356:$CH356,8)))</f>
        <v>0</v>
      </c>
      <c r="P356" s="1" t="n">
        <f aca="false">IF(SMALL($AA356:$CH356,9)&gt;=9999,"",INDEX(Presupuesto!$C:$C,SMALL($AA356:$CH356,9)))</f>
        <v>0</v>
      </c>
      <c r="Q356" s="1" t="n">
        <f aca="false">IF(SMALL($AA356:$CH356,10)&gt;=9999,"",INDEX(Presupuesto!$C:$C,SMALL($AA356:$CH356,10)))</f>
        <v>0</v>
      </c>
      <c r="AA356" s="0" t="n">
        <f aca="false">IF(Presupuesto!$B$7='Flujo de Pagos'!$E356,7,9999)</f>
        <v>9999</v>
      </c>
      <c r="AB356" s="0" t="n">
        <f aca="false">IF(Presupuesto!$B$8='Flujo de Pagos'!$E356,8,9999)</f>
        <v>9999</v>
      </c>
      <c r="AC356" s="0" t="n">
        <f aca="false">IF(Presupuesto!$B$9='Flujo de Pagos'!$E356,9,9999)</f>
        <v>9999</v>
      </c>
      <c r="AD356" s="0" t="n">
        <f aca="false">IF(Presupuesto!$B$10='Flujo de Pagos'!$E356,10,9999)</f>
        <v>9999</v>
      </c>
      <c r="AE356" s="0" t="n">
        <f aca="false">IF(Presupuesto!$B$11='Flujo de Pagos'!$E356,11,9999)</f>
        <v>9999</v>
      </c>
      <c r="AF356" s="0" t="n">
        <f aca="false">IF(Presupuesto!$B$12='Flujo de Pagos'!$E356,12,9999)</f>
        <v>12</v>
      </c>
      <c r="AG356" s="0" t="n">
        <f aca="false">IF(Presupuesto!$B$13='Flujo de Pagos'!$E356,13,9999)</f>
        <v>13</v>
      </c>
      <c r="AH356" s="0" t="n">
        <f aca="false">IF(Presupuesto!$B$14='Flujo de Pagos'!$E356,14,9999)</f>
        <v>14</v>
      </c>
      <c r="AI356" s="0" t="n">
        <f aca="false">IF(Presupuesto!$B$15='Flujo de Pagos'!$E356,15,9999)</f>
        <v>15</v>
      </c>
      <c r="AJ356" s="0" t="n">
        <f aca="false">IF(Presupuesto!$B$16='Flujo de Pagos'!$E356,16,9999)</f>
        <v>16</v>
      </c>
      <c r="AK356" s="0" t="n">
        <f aca="false">IF(Presupuesto!$B$17='Flujo de Pagos'!$E356,17,9999)</f>
        <v>17</v>
      </c>
      <c r="AL356" s="0" t="n">
        <f aca="false">IF(Presupuesto!$B$18='Flujo de Pagos'!$E356,18,9999)</f>
        <v>18</v>
      </c>
      <c r="AM356" s="0" t="n">
        <f aca="false">IF(Presupuesto!$B$19='Flujo de Pagos'!$E356,19,9999)</f>
        <v>19</v>
      </c>
      <c r="AN356" s="0" t="n">
        <f aca="false">IF(Presupuesto!$B$20='Flujo de Pagos'!$E356,20,9999)</f>
        <v>20</v>
      </c>
      <c r="AO356" s="0" t="n">
        <f aca="false">IF(Presupuesto!$B$21='Flujo de Pagos'!$E356,21,9999)</f>
        <v>21</v>
      </c>
      <c r="AP356" s="0" t="n">
        <f aca="false">IF(Presupuesto!$B$22='Flujo de Pagos'!$E356,22,9999)</f>
        <v>22</v>
      </c>
      <c r="AQ356" s="0" t="n">
        <f aca="false">IF(Presupuesto!$B$23='Flujo de Pagos'!$E356,23,9999)</f>
        <v>23</v>
      </c>
      <c r="AR356" s="0" t="n">
        <f aca="false">IF(Presupuesto!$B$24='Flujo de Pagos'!$E356,24,9999)</f>
        <v>24</v>
      </c>
      <c r="AS356" s="0" t="n">
        <f aca="false">IF(Presupuesto!$B$25='Flujo de Pagos'!$E356,25,9999)</f>
        <v>25</v>
      </c>
      <c r="AT356" s="0" t="n">
        <f aca="false">IF(Presupuesto!$B$26='Flujo de Pagos'!$E356,26,9999)</f>
        <v>26</v>
      </c>
      <c r="AU356" s="0" t="n">
        <f aca="false">IF(Presupuesto!$B$27='Flujo de Pagos'!$E356,27,9999)</f>
        <v>27</v>
      </c>
      <c r="AV356" s="0" t="n">
        <f aca="false">IF(Presupuesto!$B$28='Flujo de Pagos'!$E356,28,9999)</f>
        <v>28</v>
      </c>
      <c r="AW356" s="0" t="n">
        <f aca="false">IF(Presupuesto!$B$29='Flujo de Pagos'!$E356,29,9999)</f>
        <v>29</v>
      </c>
      <c r="AX356" s="0" t="n">
        <f aca="false">IF(Presupuesto!$B$30='Flujo de Pagos'!$E356,30,9999)</f>
        <v>30</v>
      </c>
      <c r="AY356" s="0" t="n">
        <f aca="false">IF(Presupuesto!$B$31='Flujo de Pagos'!$E356,31,9999)</f>
        <v>31</v>
      </c>
      <c r="AZ356" s="0" t="n">
        <f aca="false">IF(Presupuesto!$B$32='Flujo de Pagos'!$E356,32,9999)</f>
        <v>32</v>
      </c>
      <c r="BA356" s="0" t="n">
        <f aca="false">IF(Presupuesto!$B$33='Flujo de Pagos'!$E356,33,9999)</f>
        <v>33</v>
      </c>
      <c r="BB356" s="0" t="n">
        <f aca="false">IF(Presupuesto!$B$34='Flujo de Pagos'!$E356,34,9999)</f>
        <v>34</v>
      </c>
      <c r="BC356" s="0" t="n">
        <f aca="false">IF(Presupuesto!$B$35='Flujo de Pagos'!$E356,35,9999)</f>
        <v>35</v>
      </c>
      <c r="BD356" s="0" t="n">
        <f aca="false">IF(Presupuesto!$B$36='Flujo de Pagos'!$E356,36,9999)</f>
        <v>36</v>
      </c>
      <c r="BE356" s="0" t="n">
        <f aca="false">IF(Presupuesto!$B$37='Flujo de Pagos'!$E356,37,9999)</f>
        <v>37</v>
      </c>
      <c r="BF356" s="0" t="n">
        <f aca="false">IF(Presupuesto!$B$38='Flujo de Pagos'!$E356,38,9999)</f>
        <v>38</v>
      </c>
      <c r="BG356" s="0" t="n">
        <f aca="false">IF(Presupuesto!$B$39='Flujo de Pagos'!$E356,39,9999)</f>
        <v>39</v>
      </c>
      <c r="BH356" s="0" t="n">
        <f aca="false">IF(Presupuesto!$B$40='Flujo de Pagos'!$E356,40,9999)</f>
        <v>40</v>
      </c>
      <c r="BI356" s="0" t="n">
        <f aca="false">IF(Presupuesto!$B$41='Flujo de Pagos'!$E356,41,9999)</f>
        <v>41</v>
      </c>
      <c r="BJ356" s="0" t="n">
        <f aca="false">IF(Presupuesto!$B$42='Flujo de Pagos'!$E356,42,9999)</f>
        <v>42</v>
      </c>
      <c r="BK356" s="0" t="n">
        <f aca="false">IF(Presupuesto!$B$43='Flujo de Pagos'!$E356,43,9999)</f>
        <v>43</v>
      </c>
      <c r="BL356" s="0" t="n">
        <f aca="false">IF(Presupuesto!$B$44='Flujo de Pagos'!$E356,44,9999)</f>
        <v>44</v>
      </c>
      <c r="BM356" s="0" t="n">
        <f aca="false">IF(Presupuesto!$B$45='Flujo de Pagos'!$E356,45,9999)</f>
        <v>45</v>
      </c>
      <c r="BN356" s="0" t="n">
        <f aca="false">IF(Presupuesto!$B$46='Flujo de Pagos'!$E356,46,9999)</f>
        <v>46</v>
      </c>
      <c r="BO356" s="0" t="n">
        <f aca="false">IF(Presupuesto!$B$47='Flujo de Pagos'!$E356,47,9999)</f>
        <v>47</v>
      </c>
      <c r="BP356" s="0" t="n">
        <f aca="false">IF(Presupuesto!$B$48='Flujo de Pagos'!$E356,48,9999)</f>
        <v>48</v>
      </c>
      <c r="BQ356" s="0" t="n">
        <f aca="false">IF(Presupuesto!$B$49='Flujo de Pagos'!$E356,49,9999)</f>
        <v>49</v>
      </c>
      <c r="BR356" s="0" t="n">
        <f aca="false">IF(Presupuesto!$B$50='Flujo de Pagos'!$E356,50,9999)</f>
        <v>50</v>
      </c>
      <c r="BS356" s="0" t="n">
        <f aca="false">IF(Presupuesto!$B$51='Flujo de Pagos'!$E356,51,9999)</f>
        <v>51</v>
      </c>
      <c r="BT356" s="0" t="n">
        <f aca="false">IF(Presupuesto!$B$52='Flujo de Pagos'!$E356,52,9999)</f>
        <v>52</v>
      </c>
      <c r="BU356" s="0" t="n">
        <f aca="false">IF(Presupuesto!$B$53='Flujo de Pagos'!$E356,53,9999)</f>
        <v>53</v>
      </c>
      <c r="BV356" s="0" t="n">
        <f aca="false">IF(Presupuesto!$B$54='Flujo de Pagos'!$E356,54,9999)</f>
        <v>54</v>
      </c>
      <c r="BW356" s="0" t="n">
        <f aca="false">IF(Presupuesto!$B$55='Flujo de Pagos'!$E356,55,9999)</f>
        <v>55</v>
      </c>
      <c r="BX356" s="0" t="n">
        <f aca="false">IF(Presupuesto!$B$56='Flujo de Pagos'!$E356,56,9999)</f>
        <v>56</v>
      </c>
      <c r="BY356" s="0" t="n">
        <f aca="false">IF(Presupuesto!$B$57='Flujo de Pagos'!$E356,57,9999)</f>
        <v>57</v>
      </c>
      <c r="BZ356" s="0" t="n">
        <f aca="false">IF(Presupuesto!$B$58='Flujo de Pagos'!$E356,58,9999)</f>
        <v>58</v>
      </c>
      <c r="CA356" s="0" t="n">
        <f aca="false">IF(Presupuesto!$B$59='Flujo de Pagos'!$E356,59,9999)</f>
        <v>59</v>
      </c>
      <c r="CB356" s="0" t="n">
        <f aca="false">IF(Presupuesto!$B$60='Flujo de Pagos'!$E356,60,9999)</f>
        <v>60</v>
      </c>
      <c r="CC356" s="0" t="n">
        <f aca="false">IF(Presupuesto!$B$61='Flujo de Pagos'!$E356,61,9999)</f>
        <v>61</v>
      </c>
      <c r="CD356" s="0" t="n">
        <f aca="false">IF(Presupuesto!$B$62='Flujo de Pagos'!$E356,62,9999)</f>
        <v>62</v>
      </c>
      <c r="CE356" s="0" t="n">
        <f aca="false">IF(Presupuesto!$B$63='Flujo de Pagos'!$E356,63,9999)</f>
        <v>63</v>
      </c>
      <c r="CF356" s="0" t="n">
        <f aca="false">IF(Presupuesto!$B$64='Flujo de Pagos'!$E356,64,9999)</f>
        <v>64</v>
      </c>
      <c r="CG356" s="0" t="n">
        <f aca="false">IF(Presupuesto!$B$65='Flujo de Pagos'!$E356,65,9999)</f>
        <v>65</v>
      </c>
      <c r="CH356" s="0" t="n">
        <f aca="false">IF(Presupuesto!$B$66='Flujo de Pagos'!$E356,66,9999)</f>
        <v>66</v>
      </c>
    </row>
    <row r="357" customFormat="false" ht="15" hidden="false" customHeight="true" outlineLevel="0" collapsed="false">
      <c r="B357" s="1" t="n">
        <f aca="false">IF(AND('Flujo de Pagos'!E362=Carátula!$B$2,'Flujo de Pagos'!F362=Carátula!$B$4,'Flujo de Pagos'!H362&lt;&gt;""),362,99999)</f>
        <v>99999</v>
      </c>
      <c r="H357" s="1" t="n">
        <f aca="false">IF(SMALL($AA357:$CH357,1)&gt;=9999,"",INDEX(Presupuesto!$C:$C,SMALL($AA357:$CH357,1)))</f>
        <v>0</v>
      </c>
      <c r="I357" s="1" t="n">
        <f aca="false">IF(SMALL($AA357:$CH357,2)&gt;=9999,"",INDEX(Presupuesto!$C:$C,SMALL($AA357:$CH357,2)))</f>
        <v>0</v>
      </c>
      <c r="J357" s="1" t="n">
        <f aca="false">IF(SMALL($AA357:$CH357,3)&gt;=9999,"",INDEX(Presupuesto!$C:$C,SMALL($AA357:$CH357,3)))</f>
        <v>0</v>
      </c>
      <c r="K357" s="1" t="n">
        <f aca="false">IF(SMALL($AA357:$CH357,4)&gt;=9999,"",INDEX(Presupuesto!$C:$C,SMALL($AA357:$CH357,4)))</f>
        <v>0</v>
      </c>
      <c r="L357" s="1" t="n">
        <f aca="false">IF(SMALL($AA357:$CH357,5)&gt;=9999,"",INDEX(Presupuesto!$C:$C,SMALL($AA357:$CH357,5)))</f>
        <v>0</v>
      </c>
      <c r="M357" s="1" t="n">
        <f aca="false">IF(SMALL($AA357:$CH357,6)&gt;=9999,"",INDEX(Presupuesto!$C:$C,SMALL($AA357:$CH357,6)))</f>
        <v>0</v>
      </c>
      <c r="N357" s="1" t="n">
        <f aca="false">IF(SMALL($AA357:$CH357,7)&gt;=9999,"",INDEX(Presupuesto!$C:$C,SMALL($AA357:$CH357,7)))</f>
        <v>0</v>
      </c>
      <c r="O357" s="1" t="n">
        <f aca="false">IF(SMALL($AA357:$CH357,8)&gt;=9999,"",INDEX(Presupuesto!$C:$C,SMALL($AA357:$CH357,8)))</f>
        <v>0</v>
      </c>
      <c r="P357" s="1" t="n">
        <f aca="false">IF(SMALL($AA357:$CH357,9)&gt;=9999,"",INDEX(Presupuesto!$C:$C,SMALL($AA357:$CH357,9)))</f>
        <v>0</v>
      </c>
      <c r="Q357" s="1" t="n">
        <f aca="false">IF(SMALL($AA357:$CH357,10)&gt;=9999,"",INDEX(Presupuesto!$C:$C,SMALL($AA357:$CH357,10)))</f>
        <v>0</v>
      </c>
      <c r="AA357" s="0" t="n">
        <f aca="false">IF(Presupuesto!$B$7='Flujo de Pagos'!$E357,7,9999)</f>
        <v>9999</v>
      </c>
      <c r="AB357" s="0" t="n">
        <f aca="false">IF(Presupuesto!$B$8='Flujo de Pagos'!$E357,8,9999)</f>
        <v>9999</v>
      </c>
      <c r="AC357" s="0" t="n">
        <f aca="false">IF(Presupuesto!$B$9='Flujo de Pagos'!$E357,9,9999)</f>
        <v>9999</v>
      </c>
      <c r="AD357" s="0" t="n">
        <f aca="false">IF(Presupuesto!$B$10='Flujo de Pagos'!$E357,10,9999)</f>
        <v>9999</v>
      </c>
      <c r="AE357" s="0" t="n">
        <f aca="false">IF(Presupuesto!$B$11='Flujo de Pagos'!$E357,11,9999)</f>
        <v>9999</v>
      </c>
      <c r="AF357" s="0" t="n">
        <f aca="false">IF(Presupuesto!$B$12='Flujo de Pagos'!$E357,12,9999)</f>
        <v>12</v>
      </c>
      <c r="AG357" s="0" t="n">
        <f aca="false">IF(Presupuesto!$B$13='Flujo de Pagos'!$E357,13,9999)</f>
        <v>13</v>
      </c>
      <c r="AH357" s="0" t="n">
        <f aca="false">IF(Presupuesto!$B$14='Flujo de Pagos'!$E357,14,9999)</f>
        <v>14</v>
      </c>
      <c r="AI357" s="0" t="n">
        <f aca="false">IF(Presupuesto!$B$15='Flujo de Pagos'!$E357,15,9999)</f>
        <v>15</v>
      </c>
      <c r="AJ357" s="0" t="n">
        <f aca="false">IF(Presupuesto!$B$16='Flujo de Pagos'!$E357,16,9999)</f>
        <v>16</v>
      </c>
      <c r="AK357" s="0" t="n">
        <f aca="false">IF(Presupuesto!$B$17='Flujo de Pagos'!$E357,17,9999)</f>
        <v>17</v>
      </c>
      <c r="AL357" s="0" t="n">
        <f aca="false">IF(Presupuesto!$B$18='Flujo de Pagos'!$E357,18,9999)</f>
        <v>18</v>
      </c>
      <c r="AM357" s="0" t="n">
        <f aca="false">IF(Presupuesto!$B$19='Flujo de Pagos'!$E357,19,9999)</f>
        <v>19</v>
      </c>
      <c r="AN357" s="0" t="n">
        <f aca="false">IF(Presupuesto!$B$20='Flujo de Pagos'!$E357,20,9999)</f>
        <v>20</v>
      </c>
      <c r="AO357" s="0" t="n">
        <f aca="false">IF(Presupuesto!$B$21='Flujo de Pagos'!$E357,21,9999)</f>
        <v>21</v>
      </c>
      <c r="AP357" s="0" t="n">
        <f aca="false">IF(Presupuesto!$B$22='Flujo de Pagos'!$E357,22,9999)</f>
        <v>22</v>
      </c>
      <c r="AQ357" s="0" t="n">
        <f aca="false">IF(Presupuesto!$B$23='Flujo de Pagos'!$E357,23,9999)</f>
        <v>23</v>
      </c>
      <c r="AR357" s="0" t="n">
        <f aca="false">IF(Presupuesto!$B$24='Flujo de Pagos'!$E357,24,9999)</f>
        <v>24</v>
      </c>
      <c r="AS357" s="0" t="n">
        <f aca="false">IF(Presupuesto!$B$25='Flujo de Pagos'!$E357,25,9999)</f>
        <v>25</v>
      </c>
      <c r="AT357" s="0" t="n">
        <f aca="false">IF(Presupuesto!$B$26='Flujo de Pagos'!$E357,26,9999)</f>
        <v>26</v>
      </c>
      <c r="AU357" s="0" t="n">
        <f aca="false">IF(Presupuesto!$B$27='Flujo de Pagos'!$E357,27,9999)</f>
        <v>27</v>
      </c>
      <c r="AV357" s="0" t="n">
        <f aca="false">IF(Presupuesto!$B$28='Flujo de Pagos'!$E357,28,9999)</f>
        <v>28</v>
      </c>
      <c r="AW357" s="0" t="n">
        <f aca="false">IF(Presupuesto!$B$29='Flujo de Pagos'!$E357,29,9999)</f>
        <v>29</v>
      </c>
      <c r="AX357" s="0" t="n">
        <f aca="false">IF(Presupuesto!$B$30='Flujo de Pagos'!$E357,30,9999)</f>
        <v>30</v>
      </c>
      <c r="AY357" s="0" t="n">
        <f aca="false">IF(Presupuesto!$B$31='Flujo de Pagos'!$E357,31,9999)</f>
        <v>31</v>
      </c>
      <c r="AZ357" s="0" t="n">
        <f aca="false">IF(Presupuesto!$B$32='Flujo de Pagos'!$E357,32,9999)</f>
        <v>32</v>
      </c>
      <c r="BA357" s="0" t="n">
        <f aca="false">IF(Presupuesto!$B$33='Flujo de Pagos'!$E357,33,9999)</f>
        <v>33</v>
      </c>
      <c r="BB357" s="0" t="n">
        <f aca="false">IF(Presupuesto!$B$34='Flujo de Pagos'!$E357,34,9999)</f>
        <v>34</v>
      </c>
      <c r="BC357" s="0" t="n">
        <f aca="false">IF(Presupuesto!$B$35='Flujo de Pagos'!$E357,35,9999)</f>
        <v>35</v>
      </c>
      <c r="BD357" s="0" t="n">
        <f aca="false">IF(Presupuesto!$B$36='Flujo de Pagos'!$E357,36,9999)</f>
        <v>36</v>
      </c>
      <c r="BE357" s="0" t="n">
        <f aca="false">IF(Presupuesto!$B$37='Flujo de Pagos'!$E357,37,9999)</f>
        <v>37</v>
      </c>
      <c r="BF357" s="0" t="n">
        <f aca="false">IF(Presupuesto!$B$38='Flujo de Pagos'!$E357,38,9999)</f>
        <v>38</v>
      </c>
      <c r="BG357" s="0" t="n">
        <f aca="false">IF(Presupuesto!$B$39='Flujo de Pagos'!$E357,39,9999)</f>
        <v>39</v>
      </c>
      <c r="BH357" s="0" t="n">
        <f aca="false">IF(Presupuesto!$B$40='Flujo de Pagos'!$E357,40,9999)</f>
        <v>40</v>
      </c>
      <c r="BI357" s="0" t="n">
        <f aca="false">IF(Presupuesto!$B$41='Flujo de Pagos'!$E357,41,9999)</f>
        <v>41</v>
      </c>
      <c r="BJ357" s="0" t="n">
        <f aca="false">IF(Presupuesto!$B$42='Flujo de Pagos'!$E357,42,9999)</f>
        <v>42</v>
      </c>
      <c r="BK357" s="0" t="n">
        <f aca="false">IF(Presupuesto!$B$43='Flujo de Pagos'!$E357,43,9999)</f>
        <v>43</v>
      </c>
      <c r="BL357" s="0" t="n">
        <f aca="false">IF(Presupuesto!$B$44='Flujo de Pagos'!$E357,44,9999)</f>
        <v>44</v>
      </c>
      <c r="BM357" s="0" t="n">
        <f aca="false">IF(Presupuesto!$B$45='Flujo de Pagos'!$E357,45,9999)</f>
        <v>45</v>
      </c>
      <c r="BN357" s="0" t="n">
        <f aca="false">IF(Presupuesto!$B$46='Flujo de Pagos'!$E357,46,9999)</f>
        <v>46</v>
      </c>
      <c r="BO357" s="0" t="n">
        <f aca="false">IF(Presupuesto!$B$47='Flujo de Pagos'!$E357,47,9999)</f>
        <v>47</v>
      </c>
      <c r="BP357" s="0" t="n">
        <f aca="false">IF(Presupuesto!$B$48='Flujo de Pagos'!$E357,48,9999)</f>
        <v>48</v>
      </c>
      <c r="BQ357" s="0" t="n">
        <f aca="false">IF(Presupuesto!$B$49='Flujo de Pagos'!$E357,49,9999)</f>
        <v>49</v>
      </c>
      <c r="BR357" s="0" t="n">
        <f aca="false">IF(Presupuesto!$B$50='Flujo de Pagos'!$E357,50,9999)</f>
        <v>50</v>
      </c>
      <c r="BS357" s="0" t="n">
        <f aca="false">IF(Presupuesto!$B$51='Flujo de Pagos'!$E357,51,9999)</f>
        <v>51</v>
      </c>
      <c r="BT357" s="0" t="n">
        <f aca="false">IF(Presupuesto!$B$52='Flujo de Pagos'!$E357,52,9999)</f>
        <v>52</v>
      </c>
      <c r="BU357" s="0" t="n">
        <f aca="false">IF(Presupuesto!$B$53='Flujo de Pagos'!$E357,53,9999)</f>
        <v>53</v>
      </c>
      <c r="BV357" s="0" t="n">
        <f aca="false">IF(Presupuesto!$B$54='Flujo de Pagos'!$E357,54,9999)</f>
        <v>54</v>
      </c>
      <c r="BW357" s="0" t="n">
        <f aca="false">IF(Presupuesto!$B$55='Flujo de Pagos'!$E357,55,9999)</f>
        <v>55</v>
      </c>
      <c r="BX357" s="0" t="n">
        <f aca="false">IF(Presupuesto!$B$56='Flujo de Pagos'!$E357,56,9999)</f>
        <v>56</v>
      </c>
      <c r="BY357" s="0" t="n">
        <f aca="false">IF(Presupuesto!$B$57='Flujo de Pagos'!$E357,57,9999)</f>
        <v>57</v>
      </c>
      <c r="BZ357" s="0" t="n">
        <f aca="false">IF(Presupuesto!$B$58='Flujo de Pagos'!$E357,58,9999)</f>
        <v>58</v>
      </c>
      <c r="CA357" s="0" t="n">
        <f aca="false">IF(Presupuesto!$B$59='Flujo de Pagos'!$E357,59,9999)</f>
        <v>59</v>
      </c>
      <c r="CB357" s="0" t="n">
        <f aca="false">IF(Presupuesto!$B$60='Flujo de Pagos'!$E357,60,9999)</f>
        <v>60</v>
      </c>
      <c r="CC357" s="0" t="n">
        <f aca="false">IF(Presupuesto!$B$61='Flujo de Pagos'!$E357,61,9999)</f>
        <v>61</v>
      </c>
      <c r="CD357" s="0" t="n">
        <f aca="false">IF(Presupuesto!$B$62='Flujo de Pagos'!$E357,62,9999)</f>
        <v>62</v>
      </c>
      <c r="CE357" s="0" t="n">
        <f aca="false">IF(Presupuesto!$B$63='Flujo de Pagos'!$E357,63,9999)</f>
        <v>63</v>
      </c>
      <c r="CF357" s="0" t="n">
        <f aca="false">IF(Presupuesto!$B$64='Flujo de Pagos'!$E357,64,9999)</f>
        <v>64</v>
      </c>
      <c r="CG357" s="0" t="n">
        <f aca="false">IF(Presupuesto!$B$65='Flujo de Pagos'!$E357,65,9999)</f>
        <v>65</v>
      </c>
      <c r="CH357" s="0" t="n">
        <f aca="false">IF(Presupuesto!$B$66='Flujo de Pagos'!$E357,66,9999)</f>
        <v>66</v>
      </c>
    </row>
    <row r="358" customFormat="false" ht="15" hidden="false" customHeight="true" outlineLevel="0" collapsed="false">
      <c r="B358" s="1" t="n">
        <f aca="false">IF(AND('Flujo de Pagos'!E363=Carátula!$B$2,'Flujo de Pagos'!F363=Carátula!$B$4,'Flujo de Pagos'!H363&lt;&gt;""),363,99999)</f>
        <v>99999</v>
      </c>
      <c r="H358" s="1" t="n">
        <f aca="false">IF(SMALL($AA358:$CH358,1)&gt;=9999,"",INDEX(Presupuesto!$C:$C,SMALL($AA358:$CH358,1)))</f>
        <v>0</v>
      </c>
      <c r="I358" s="1" t="n">
        <f aca="false">IF(SMALL($AA358:$CH358,2)&gt;=9999,"",INDEX(Presupuesto!$C:$C,SMALL($AA358:$CH358,2)))</f>
        <v>0</v>
      </c>
      <c r="J358" s="1" t="n">
        <f aca="false">IF(SMALL($AA358:$CH358,3)&gt;=9999,"",INDEX(Presupuesto!$C:$C,SMALL($AA358:$CH358,3)))</f>
        <v>0</v>
      </c>
      <c r="K358" s="1" t="n">
        <f aca="false">IF(SMALL($AA358:$CH358,4)&gt;=9999,"",INDEX(Presupuesto!$C:$C,SMALL($AA358:$CH358,4)))</f>
        <v>0</v>
      </c>
      <c r="L358" s="1" t="n">
        <f aca="false">IF(SMALL($AA358:$CH358,5)&gt;=9999,"",INDEX(Presupuesto!$C:$C,SMALL($AA358:$CH358,5)))</f>
        <v>0</v>
      </c>
      <c r="M358" s="1" t="n">
        <f aca="false">IF(SMALL($AA358:$CH358,6)&gt;=9999,"",INDEX(Presupuesto!$C:$C,SMALL($AA358:$CH358,6)))</f>
        <v>0</v>
      </c>
      <c r="N358" s="1" t="n">
        <f aca="false">IF(SMALL($AA358:$CH358,7)&gt;=9999,"",INDEX(Presupuesto!$C:$C,SMALL($AA358:$CH358,7)))</f>
        <v>0</v>
      </c>
      <c r="O358" s="1" t="n">
        <f aca="false">IF(SMALL($AA358:$CH358,8)&gt;=9999,"",INDEX(Presupuesto!$C:$C,SMALL($AA358:$CH358,8)))</f>
        <v>0</v>
      </c>
      <c r="P358" s="1" t="n">
        <f aca="false">IF(SMALL($AA358:$CH358,9)&gt;=9999,"",INDEX(Presupuesto!$C:$C,SMALL($AA358:$CH358,9)))</f>
        <v>0</v>
      </c>
      <c r="Q358" s="1" t="n">
        <f aca="false">IF(SMALL($AA358:$CH358,10)&gt;=9999,"",INDEX(Presupuesto!$C:$C,SMALL($AA358:$CH358,10)))</f>
        <v>0</v>
      </c>
      <c r="AA358" s="0" t="n">
        <f aca="false">IF(Presupuesto!$B$7='Flujo de Pagos'!$E358,7,9999)</f>
        <v>9999</v>
      </c>
      <c r="AB358" s="0" t="n">
        <f aca="false">IF(Presupuesto!$B$8='Flujo de Pagos'!$E358,8,9999)</f>
        <v>9999</v>
      </c>
      <c r="AC358" s="0" t="n">
        <f aca="false">IF(Presupuesto!$B$9='Flujo de Pagos'!$E358,9,9999)</f>
        <v>9999</v>
      </c>
      <c r="AD358" s="0" t="n">
        <f aca="false">IF(Presupuesto!$B$10='Flujo de Pagos'!$E358,10,9999)</f>
        <v>9999</v>
      </c>
      <c r="AE358" s="0" t="n">
        <f aca="false">IF(Presupuesto!$B$11='Flujo de Pagos'!$E358,11,9999)</f>
        <v>9999</v>
      </c>
      <c r="AF358" s="0" t="n">
        <f aca="false">IF(Presupuesto!$B$12='Flujo de Pagos'!$E358,12,9999)</f>
        <v>12</v>
      </c>
      <c r="AG358" s="0" t="n">
        <f aca="false">IF(Presupuesto!$B$13='Flujo de Pagos'!$E358,13,9999)</f>
        <v>13</v>
      </c>
      <c r="AH358" s="0" t="n">
        <f aca="false">IF(Presupuesto!$B$14='Flujo de Pagos'!$E358,14,9999)</f>
        <v>14</v>
      </c>
      <c r="AI358" s="0" t="n">
        <f aca="false">IF(Presupuesto!$B$15='Flujo de Pagos'!$E358,15,9999)</f>
        <v>15</v>
      </c>
      <c r="AJ358" s="0" t="n">
        <f aca="false">IF(Presupuesto!$B$16='Flujo de Pagos'!$E358,16,9999)</f>
        <v>16</v>
      </c>
      <c r="AK358" s="0" t="n">
        <f aca="false">IF(Presupuesto!$B$17='Flujo de Pagos'!$E358,17,9999)</f>
        <v>17</v>
      </c>
      <c r="AL358" s="0" t="n">
        <f aca="false">IF(Presupuesto!$B$18='Flujo de Pagos'!$E358,18,9999)</f>
        <v>18</v>
      </c>
      <c r="AM358" s="0" t="n">
        <f aca="false">IF(Presupuesto!$B$19='Flujo de Pagos'!$E358,19,9999)</f>
        <v>19</v>
      </c>
      <c r="AN358" s="0" t="n">
        <f aca="false">IF(Presupuesto!$B$20='Flujo de Pagos'!$E358,20,9999)</f>
        <v>20</v>
      </c>
      <c r="AO358" s="0" t="n">
        <f aca="false">IF(Presupuesto!$B$21='Flujo de Pagos'!$E358,21,9999)</f>
        <v>21</v>
      </c>
      <c r="AP358" s="0" t="n">
        <f aca="false">IF(Presupuesto!$B$22='Flujo de Pagos'!$E358,22,9999)</f>
        <v>22</v>
      </c>
      <c r="AQ358" s="0" t="n">
        <f aca="false">IF(Presupuesto!$B$23='Flujo de Pagos'!$E358,23,9999)</f>
        <v>23</v>
      </c>
      <c r="AR358" s="0" t="n">
        <f aca="false">IF(Presupuesto!$B$24='Flujo de Pagos'!$E358,24,9999)</f>
        <v>24</v>
      </c>
      <c r="AS358" s="0" t="n">
        <f aca="false">IF(Presupuesto!$B$25='Flujo de Pagos'!$E358,25,9999)</f>
        <v>25</v>
      </c>
      <c r="AT358" s="0" t="n">
        <f aca="false">IF(Presupuesto!$B$26='Flujo de Pagos'!$E358,26,9999)</f>
        <v>26</v>
      </c>
      <c r="AU358" s="0" t="n">
        <f aca="false">IF(Presupuesto!$B$27='Flujo de Pagos'!$E358,27,9999)</f>
        <v>27</v>
      </c>
      <c r="AV358" s="0" t="n">
        <f aca="false">IF(Presupuesto!$B$28='Flujo de Pagos'!$E358,28,9999)</f>
        <v>28</v>
      </c>
      <c r="AW358" s="0" t="n">
        <f aca="false">IF(Presupuesto!$B$29='Flujo de Pagos'!$E358,29,9999)</f>
        <v>29</v>
      </c>
      <c r="AX358" s="0" t="n">
        <f aca="false">IF(Presupuesto!$B$30='Flujo de Pagos'!$E358,30,9999)</f>
        <v>30</v>
      </c>
      <c r="AY358" s="0" t="n">
        <f aca="false">IF(Presupuesto!$B$31='Flujo de Pagos'!$E358,31,9999)</f>
        <v>31</v>
      </c>
      <c r="AZ358" s="0" t="n">
        <f aca="false">IF(Presupuesto!$B$32='Flujo de Pagos'!$E358,32,9999)</f>
        <v>32</v>
      </c>
      <c r="BA358" s="0" t="n">
        <f aca="false">IF(Presupuesto!$B$33='Flujo de Pagos'!$E358,33,9999)</f>
        <v>33</v>
      </c>
      <c r="BB358" s="0" t="n">
        <f aca="false">IF(Presupuesto!$B$34='Flujo de Pagos'!$E358,34,9999)</f>
        <v>34</v>
      </c>
      <c r="BC358" s="0" t="n">
        <f aca="false">IF(Presupuesto!$B$35='Flujo de Pagos'!$E358,35,9999)</f>
        <v>35</v>
      </c>
      <c r="BD358" s="0" t="n">
        <f aca="false">IF(Presupuesto!$B$36='Flujo de Pagos'!$E358,36,9999)</f>
        <v>36</v>
      </c>
      <c r="BE358" s="0" t="n">
        <f aca="false">IF(Presupuesto!$B$37='Flujo de Pagos'!$E358,37,9999)</f>
        <v>37</v>
      </c>
      <c r="BF358" s="0" t="n">
        <f aca="false">IF(Presupuesto!$B$38='Flujo de Pagos'!$E358,38,9999)</f>
        <v>38</v>
      </c>
      <c r="BG358" s="0" t="n">
        <f aca="false">IF(Presupuesto!$B$39='Flujo de Pagos'!$E358,39,9999)</f>
        <v>39</v>
      </c>
      <c r="BH358" s="0" t="n">
        <f aca="false">IF(Presupuesto!$B$40='Flujo de Pagos'!$E358,40,9999)</f>
        <v>40</v>
      </c>
      <c r="BI358" s="0" t="n">
        <f aca="false">IF(Presupuesto!$B$41='Flujo de Pagos'!$E358,41,9999)</f>
        <v>41</v>
      </c>
      <c r="BJ358" s="0" t="n">
        <f aca="false">IF(Presupuesto!$B$42='Flujo de Pagos'!$E358,42,9999)</f>
        <v>42</v>
      </c>
      <c r="BK358" s="0" t="n">
        <f aca="false">IF(Presupuesto!$B$43='Flujo de Pagos'!$E358,43,9999)</f>
        <v>43</v>
      </c>
      <c r="BL358" s="0" t="n">
        <f aca="false">IF(Presupuesto!$B$44='Flujo de Pagos'!$E358,44,9999)</f>
        <v>44</v>
      </c>
      <c r="BM358" s="0" t="n">
        <f aca="false">IF(Presupuesto!$B$45='Flujo de Pagos'!$E358,45,9999)</f>
        <v>45</v>
      </c>
      <c r="BN358" s="0" t="n">
        <f aca="false">IF(Presupuesto!$B$46='Flujo de Pagos'!$E358,46,9999)</f>
        <v>46</v>
      </c>
      <c r="BO358" s="0" t="n">
        <f aca="false">IF(Presupuesto!$B$47='Flujo de Pagos'!$E358,47,9999)</f>
        <v>47</v>
      </c>
      <c r="BP358" s="0" t="n">
        <f aca="false">IF(Presupuesto!$B$48='Flujo de Pagos'!$E358,48,9999)</f>
        <v>48</v>
      </c>
      <c r="BQ358" s="0" t="n">
        <f aca="false">IF(Presupuesto!$B$49='Flujo de Pagos'!$E358,49,9999)</f>
        <v>49</v>
      </c>
      <c r="BR358" s="0" t="n">
        <f aca="false">IF(Presupuesto!$B$50='Flujo de Pagos'!$E358,50,9999)</f>
        <v>50</v>
      </c>
      <c r="BS358" s="0" t="n">
        <f aca="false">IF(Presupuesto!$B$51='Flujo de Pagos'!$E358,51,9999)</f>
        <v>51</v>
      </c>
      <c r="BT358" s="0" t="n">
        <f aca="false">IF(Presupuesto!$B$52='Flujo de Pagos'!$E358,52,9999)</f>
        <v>52</v>
      </c>
      <c r="BU358" s="0" t="n">
        <f aca="false">IF(Presupuesto!$B$53='Flujo de Pagos'!$E358,53,9999)</f>
        <v>53</v>
      </c>
      <c r="BV358" s="0" t="n">
        <f aca="false">IF(Presupuesto!$B$54='Flujo de Pagos'!$E358,54,9999)</f>
        <v>54</v>
      </c>
      <c r="BW358" s="0" t="n">
        <f aca="false">IF(Presupuesto!$B$55='Flujo de Pagos'!$E358,55,9999)</f>
        <v>55</v>
      </c>
      <c r="BX358" s="0" t="n">
        <f aca="false">IF(Presupuesto!$B$56='Flujo de Pagos'!$E358,56,9999)</f>
        <v>56</v>
      </c>
      <c r="BY358" s="0" t="n">
        <f aca="false">IF(Presupuesto!$B$57='Flujo de Pagos'!$E358,57,9999)</f>
        <v>57</v>
      </c>
      <c r="BZ358" s="0" t="n">
        <f aca="false">IF(Presupuesto!$B$58='Flujo de Pagos'!$E358,58,9999)</f>
        <v>58</v>
      </c>
      <c r="CA358" s="0" t="n">
        <f aca="false">IF(Presupuesto!$B$59='Flujo de Pagos'!$E358,59,9999)</f>
        <v>59</v>
      </c>
      <c r="CB358" s="0" t="n">
        <f aca="false">IF(Presupuesto!$B$60='Flujo de Pagos'!$E358,60,9999)</f>
        <v>60</v>
      </c>
      <c r="CC358" s="0" t="n">
        <f aca="false">IF(Presupuesto!$B$61='Flujo de Pagos'!$E358,61,9999)</f>
        <v>61</v>
      </c>
      <c r="CD358" s="0" t="n">
        <f aca="false">IF(Presupuesto!$B$62='Flujo de Pagos'!$E358,62,9999)</f>
        <v>62</v>
      </c>
      <c r="CE358" s="0" t="n">
        <f aca="false">IF(Presupuesto!$B$63='Flujo de Pagos'!$E358,63,9999)</f>
        <v>63</v>
      </c>
      <c r="CF358" s="0" t="n">
        <f aca="false">IF(Presupuesto!$B$64='Flujo de Pagos'!$E358,64,9999)</f>
        <v>64</v>
      </c>
      <c r="CG358" s="0" t="n">
        <f aca="false">IF(Presupuesto!$B$65='Flujo de Pagos'!$E358,65,9999)</f>
        <v>65</v>
      </c>
      <c r="CH358" s="0" t="n">
        <f aca="false">IF(Presupuesto!$B$66='Flujo de Pagos'!$E358,66,9999)</f>
        <v>66</v>
      </c>
    </row>
    <row r="359" customFormat="false" ht="15" hidden="false" customHeight="true" outlineLevel="0" collapsed="false">
      <c r="B359" s="1" t="n">
        <f aca="false">IF(AND('Flujo de Pagos'!E364=Carátula!$B$2,'Flujo de Pagos'!F364=Carátula!$B$4,'Flujo de Pagos'!H364&lt;&gt;""),364,99999)</f>
        <v>99999</v>
      </c>
      <c r="H359" s="1" t="n">
        <f aca="false">IF(SMALL($AA359:$CH359,1)&gt;=9999,"",INDEX(Presupuesto!$C:$C,SMALL($AA359:$CH359,1)))</f>
        <v>0</v>
      </c>
      <c r="I359" s="1" t="n">
        <f aca="false">IF(SMALL($AA359:$CH359,2)&gt;=9999,"",INDEX(Presupuesto!$C:$C,SMALL($AA359:$CH359,2)))</f>
        <v>0</v>
      </c>
      <c r="J359" s="1" t="n">
        <f aca="false">IF(SMALL($AA359:$CH359,3)&gt;=9999,"",INDEX(Presupuesto!$C:$C,SMALL($AA359:$CH359,3)))</f>
        <v>0</v>
      </c>
      <c r="K359" s="1" t="n">
        <f aca="false">IF(SMALL($AA359:$CH359,4)&gt;=9999,"",INDEX(Presupuesto!$C:$C,SMALL($AA359:$CH359,4)))</f>
        <v>0</v>
      </c>
      <c r="L359" s="1" t="n">
        <f aca="false">IF(SMALL($AA359:$CH359,5)&gt;=9999,"",INDEX(Presupuesto!$C:$C,SMALL($AA359:$CH359,5)))</f>
        <v>0</v>
      </c>
      <c r="M359" s="1" t="n">
        <f aca="false">IF(SMALL($AA359:$CH359,6)&gt;=9999,"",INDEX(Presupuesto!$C:$C,SMALL($AA359:$CH359,6)))</f>
        <v>0</v>
      </c>
      <c r="N359" s="1" t="n">
        <f aca="false">IF(SMALL($AA359:$CH359,7)&gt;=9999,"",INDEX(Presupuesto!$C:$C,SMALL($AA359:$CH359,7)))</f>
        <v>0</v>
      </c>
      <c r="O359" s="1" t="n">
        <f aca="false">IF(SMALL($AA359:$CH359,8)&gt;=9999,"",INDEX(Presupuesto!$C:$C,SMALL($AA359:$CH359,8)))</f>
        <v>0</v>
      </c>
      <c r="P359" s="1" t="n">
        <f aca="false">IF(SMALL($AA359:$CH359,9)&gt;=9999,"",INDEX(Presupuesto!$C:$C,SMALL($AA359:$CH359,9)))</f>
        <v>0</v>
      </c>
      <c r="Q359" s="1" t="n">
        <f aca="false">IF(SMALL($AA359:$CH359,10)&gt;=9999,"",INDEX(Presupuesto!$C:$C,SMALL($AA359:$CH359,10)))</f>
        <v>0</v>
      </c>
      <c r="AA359" s="0" t="n">
        <f aca="false">IF(Presupuesto!$B$7='Flujo de Pagos'!$E359,7,9999)</f>
        <v>9999</v>
      </c>
      <c r="AB359" s="0" t="n">
        <f aca="false">IF(Presupuesto!$B$8='Flujo de Pagos'!$E359,8,9999)</f>
        <v>9999</v>
      </c>
      <c r="AC359" s="0" t="n">
        <f aca="false">IF(Presupuesto!$B$9='Flujo de Pagos'!$E359,9,9999)</f>
        <v>9999</v>
      </c>
      <c r="AD359" s="0" t="n">
        <f aca="false">IF(Presupuesto!$B$10='Flujo de Pagos'!$E359,10,9999)</f>
        <v>9999</v>
      </c>
      <c r="AE359" s="0" t="n">
        <f aca="false">IF(Presupuesto!$B$11='Flujo de Pagos'!$E359,11,9999)</f>
        <v>9999</v>
      </c>
      <c r="AF359" s="0" t="n">
        <f aca="false">IF(Presupuesto!$B$12='Flujo de Pagos'!$E359,12,9999)</f>
        <v>12</v>
      </c>
      <c r="AG359" s="0" t="n">
        <f aca="false">IF(Presupuesto!$B$13='Flujo de Pagos'!$E359,13,9999)</f>
        <v>13</v>
      </c>
      <c r="AH359" s="0" t="n">
        <f aca="false">IF(Presupuesto!$B$14='Flujo de Pagos'!$E359,14,9999)</f>
        <v>14</v>
      </c>
      <c r="AI359" s="0" t="n">
        <f aca="false">IF(Presupuesto!$B$15='Flujo de Pagos'!$E359,15,9999)</f>
        <v>15</v>
      </c>
      <c r="AJ359" s="0" t="n">
        <f aca="false">IF(Presupuesto!$B$16='Flujo de Pagos'!$E359,16,9999)</f>
        <v>16</v>
      </c>
      <c r="AK359" s="0" t="n">
        <f aca="false">IF(Presupuesto!$B$17='Flujo de Pagos'!$E359,17,9999)</f>
        <v>17</v>
      </c>
      <c r="AL359" s="0" t="n">
        <f aca="false">IF(Presupuesto!$B$18='Flujo de Pagos'!$E359,18,9999)</f>
        <v>18</v>
      </c>
      <c r="AM359" s="0" t="n">
        <f aca="false">IF(Presupuesto!$B$19='Flujo de Pagos'!$E359,19,9999)</f>
        <v>19</v>
      </c>
      <c r="AN359" s="0" t="n">
        <f aca="false">IF(Presupuesto!$B$20='Flujo de Pagos'!$E359,20,9999)</f>
        <v>20</v>
      </c>
      <c r="AO359" s="0" t="n">
        <f aca="false">IF(Presupuesto!$B$21='Flujo de Pagos'!$E359,21,9999)</f>
        <v>21</v>
      </c>
      <c r="AP359" s="0" t="n">
        <f aca="false">IF(Presupuesto!$B$22='Flujo de Pagos'!$E359,22,9999)</f>
        <v>22</v>
      </c>
      <c r="AQ359" s="0" t="n">
        <f aca="false">IF(Presupuesto!$B$23='Flujo de Pagos'!$E359,23,9999)</f>
        <v>23</v>
      </c>
      <c r="AR359" s="0" t="n">
        <f aca="false">IF(Presupuesto!$B$24='Flujo de Pagos'!$E359,24,9999)</f>
        <v>24</v>
      </c>
      <c r="AS359" s="0" t="n">
        <f aca="false">IF(Presupuesto!$B$25='Flujo de Pagos'!$E359,25,9999)</f>
        <v>25</v>
      </c>
      <c r="AT359" s="0" t="n">
        <f aca="false">IF(Presupuesto!$B$26='Flujo de Pagos'!$E359,26,9999)</f>
        <v>26</v>
      </c>
      <c r="AU359" s="0" t="n">
        <f aca="false">IF(Presupuesto!$B$27='Flujo de Pagos'!$E359,27,9999)</f>
        <v>27</v>
      </c>
      <c r="AV359" s="0" t="n">
        <f aca="false">IF(Presupuesto!$B$28='Flujo de Pagos'!$E359,28,9999)</f>
        <v>28</v>
      </c>
      <c r="AW359" s="0" t="n">
        <f aca="false">IF(Presupuesto!$B$29='Flujo de Pagos'!$E359,29,9999)</f>
        <v>29</v>
      </c>
      <c r="AX359" s="0" t="n">
        <f aca="false">IF(Presupuesto!$B$30='Flujo de Pagos'!$E359,30,9999)</f>
        <v>30</v>
      </c>
      <c r="AY359" s="0" t="n">
        <f aca="false">IF(Presupuesto!$B$31='Flujo de Pagos'!$E359,31,9999)</f>
        <v>31</v>
      </c>
      <c r="AZ359" s="0" t="n">
        <f aca="false">IF(Presupuesto!$B$32='Flujo de Pagos'!$E359,32,9999)</f>
        <v>32</v>
      </c>
      <c r="BA359" s="0" t="n">
        <f aca="false">IF(Presupuesto!$B$33='Flujo de Pagos'!$E359,33,9999)</f>
        <v>33</v>
      </c>
      <c r="BB359" s="0" t="n">
        <f aca="false">IF(Presupuesto!$B$34='Flujo de Pagos'!$E359,34,9999)</f>
        <v>34</v>
      </c>
      <c r="BC359" s="0" t="n">
        <f aca="false">IF(Presupuesto!$B$35='Flujo de Pagos'!$E359,35,9999)</f>
        <v>35</v>
      </c>
      <c r="BD359" s="0" t="n">
        <f aca="false">IF(Presupuesto!$B$36='Flujo de Pagos'!$E359,36,9999)</f>
        <v>36</v>
      </c>
      <c r="BE359" s="0" t="n">
        <f aca="false">IF(Presupuesto!$B$37='Flujo de Pagos'!$E359,37,9999)</f>
        <v>37</v>
      </c>
      <c r="BF359" s="0" t="n">
        <f aca="false">IF(Presupuesto!$B$38='Flujo de Pagos'!$E359,38,9999)</f>
        <v>38</v>
      </c>
      <c r="BG359" s="0" t="n">
        <f aca="false">IF(Presupuesto!$B$39='Flujo de Pagos'!$E359,39,9999)</f>
        <v>39</v>
      </c>
      <c r="BH359" s="0" t="n">
        <f aca="false">IF(Presupuesto!$B$40='Flujo de Pagos'!$E359,40,9999)</f>
        <v>40</v>
      </c>
      <c r="BI359" s="0" t="n">
        <f aca="false">IF(Presupuesto!$B$41='Flujo de Pagos'!$E359,41,9999)</f>
        <v>41</v>
      </c>
      <c r="BJ359" s="0" t="n">
        <f aca="false">IF(Presupuesto!$B$42='Flujo de Pagos'!$E359,42,9999)</f>
        <v>42</v>
      </c>
      <c r="BK359" s="0" t="n">
        <f aca="false">IF(Presupuesto!$B$43='Flujo de Pagos'!$E359,43,9999)</f>
        <v>43</v>
      </c>
      <c r="BL359" s="0" t="n">
        <f aca="false">IF(Presupuesto!$B$44='Flujo de Pagos'!$E359,44,9999)</f>
        <v>44</v>
      </c>
      <c r="BM359" s="0" t="n">
        <f aca="false">IF(Presupuesto!$B$45='Flujo de Pagos'!$E359,45,9999)</f>
        <v>45</v>
      </c>
      <c r="BN359" s="0" t="n">
        <f aca="false">IF(Presupuesto!$B$46='Flujo de Pagos'!$E359,46,9999)</f>
        <v>46</v>
      </c>
      <c r="BO359" s="0" t="n">
        <f aca="false">IF(Presupuesto!$B$47='Flujo de Pagos'!$E359,47,9999)</f>
        <v>47</v>
      </c>
      <c r="BP359" s="0" t="n">
        <f aca="false">IF(Presupuesto!$B$48='Flujo de Pagos'!$E359,48,9999)</f>
        <v>48</v>
      </c>
      <c r="BQ359" s="0" t="n">
        <f aca="false">IF(Presupuesto!$B$49='Flujo de Pagos'!$E359,49,9999)</f>
        <v>49</v>
      </c>
      <c r="BR359" s="0" t="n">
        <f aca="false">IF(Presupuesto!$B$50='Flujo de Pagos'!$E359,50,9999)</f>
        <v>50</v>
      </c>
      <c r="BS359" s="0" t="n">
        <f aca="false">IF(Presupuesto!$B$51='Flujo de Pagos'!$E359,51,9999)</f>
        <v>51</v>
      </c>
      <c r="BT359" s="0" t="n">
        <f aca="false">IF(Presupuesto!$B$52='Flujo de Pagos'!$E359,52,9999)</f>
        <v>52</v>
      </c>
      <c r="BU359" s="0" t="n">
        <f aca="false">IF(Presupuesto!$B$53='Flujo de Pagos'!$E359,53,9999)</f>
        <v>53</v>
      </c>
      <c r="BV359" s="0" t="n">
        <f aca="false">IF(Presupuesto!$B$54='Flujo de Pagos'!$E359,54,9999)</f>
        <v>54</v>
      </c>
      <c r="BW359" s="0" t="n">
        <f aca="false">IF(Presupuesto!$B$55='Flujo de Pagos'!$E359,55,9999)</f>
        <v>55</v>
      </c>
      <c r="BX359" s="0" t="n">
        <f aca="false">IF(Presupuesto!$B$56='Flujo de Pagos'!$E359,56,9999)</f>
        <v>56</v>
      </c>
      <c r="BY359" s="0" t="n">
        <f aca="false">IF(Presupuesto!$B$57='Flujo de Pagos'!$E359,57,9999)</f>
        <v>57</v>
      </c>
      <c r="BZ359" s="0" t="n">
        <f aca="false">IF(Presupuesto!$B$58='Flujo de Pagos'!$E359,58,9999)</f>
        <v>58</v>
      </c>
      <c r="CA359" s="0" t="n">
        <f aca="false">IF(Presupuesto!$B$59='Flujo de Pagos'!$E359,59,9999)</f>
        <v>59</v>
      </c>
      <c r="CB359" s="0" t="n">
        <f aca="false">IF(Presupuesto!$B$60='Flujo de Pagos'!$E359,60,9999)</f>
        <v>60</v>
      </c>
      <c r="CC359" s="0" t="n">
        <f aca="false">IF(Presupuesto!$B$61='Flujo de Pagos'!$E359,61,9999)</f>
        <v>61</v>
      </c>
      <c r="CD359" s="0" t="n">
        <f aca="false">IF(Presupuesto!$B$62='Flujo de Pagos'!$E359,62,9999)</f>
        <v>62</v>
      </c>
      <c r="CE359" s="0" t="n">
        <f aca="false">IF(Presupuesto!$B$63='Flujo de Pagos'!$E359,63,9999)</f>
        <v>63</v>
      </c>
      <c r="CF359" s="0" t="n">
        <f aca="false">IF(Presupuesto!$B$64='Flujo de Pagos'!$E359,64,9999)</f>
        <v>64</v>
      </c>
      <c r="CG359" s="0" t="n">
        <f aca="false">IF(Presupuesto!$B$65='Flujo de Pagos'!$E359,65,9999)</f>
        <v>65</v>
      </c>
      <c r="CH359" s="0" t="n">
        <f aca="false">IF(Presupuesto!$B$66='Flujo de Pagos'!$E359,66,9999)</f>
        <v>66</v>
      </c>
    </row>
    <row r="360" customFormat="false" ht="15" hidden="false" customHeight="true" outlineLevel="0" collapsed="false">
      <c r="B360" s="1" t="n">
        <f aca="false">IF(AND('Flujo de Pagos'!E365=Carátula!$B$2,'Flujo de Pagos'!F365=Carátula!$B$4,'Flujo de Pagos'!H365&lt;&gt;""),365,99999)</f>
        <v>99999</v>
      </c>
      <c r="H360" s="1" t="n">
        <f aca="false">IF(SMALL($AA360:$CH360,1)&gt;=9999,"",INDEX(Presupuesto!$C:$C,SMALL($AA360:$CH360,1)))</f>
        <v>0</v>
      </c>
      <c r="I360" s="1" t="n">
        <f aca="false">IF(SMALL($AA360:$CH360,2)&gt;=9999,"",INDEX(Presupuesto!$C:$C,SMALL($AA360:$CH360,2)))</f>
        <v>0</v>
      </c>
      <c r="J360" s="1" t="n">
        <f aca="false">IF(SMALL($AA360:$CH360,3)&gt;=9999,"",INDEX(Presupuesto!$C:$C,SMALL($AA360:$CH360,3)))</f>
        <v>0</v>
      </c>
      <c r="K360" s="1" t="n">
        <f aca="false">IF(SMALL($AA360:$CH360,4)&gt;=9999,"",INDEX(Presupuesto!$C:$C,SMALL($AA360:$CH360,4)))</f>
        <v>0</v>
      </c>
      <c r="L360" s="1" t="n">
        <f aca="false">IF(SMALL($AA360:$CH360,5)&gt;=9999,"",INDEX(Presupuesto!$C:$C,SMALL($AA360:$CH360,5)))</f>
        <v>0</v>
      </c>
      <c r="M360" s="1" t="n">
        <f aca="false">IF(SMALL($AA360:$CH360,6)&gt;=9999,"",INDEX(Presupuesto!$C:$C,SMALL($AA360:$CH360,6)))</f>
        <v>0</v>
      </c>
      <c r="N360" s="1" t="n">
        <f aca="false">IF(SMALL($AA360:$CH360,7)&gt;=9999,"",INDEX(Presupuesto!$C:$C,SMALL($AA360:$CH360,7)))</f>
        <v>0</v>
      </c>
      <c r="O360" s="1" t="n">
        <f aca="false">IF(SMALL($AA360:$CH360,8)&gt;=9999,"",INDEX(Presupuesto!$C:$C,SMALL($AA360:$CH360,8)))</f>
        <v>0</v>
      </c>
      <c r="P360" s="1" t="n">
        <f aca="false">IF(SMALL($AA360:$CH360,9)&gt;=9999,"",INDEX(Presupuesto!$C:$C,SMALL($AA360:$CH360,9)))</f>
        <v>0</v>
      </c>
      <c r="Q360" s="1" t="n">
        <f aca="false">IF(SMALL($AA360:$CH360,10)&gt;=9999,"",INDEX(Presupuesto!$C:$C,SMALL($AA360:$CH360,10)))</f>
        <v>0</v>
      </c>
      <c r="AA360" s="0" t="n">
        <f aca="false">IF(Presupuesto!$B$7='Flujo de Pagos'!$E360,7,9999)</f>
        <v>9999</v>
      </c>
      <c r="AB360" s="0" t="n">
        <f aca="false">IF(Presupuesto!$B$8='Flujo de Pagos'!$E360,8,9999)</f>
        <v>9999</v>
      </c>
      <c r="AC360" s="0" t="n">
        <f aca="false">IF(Presupuesto!$B$9='Flujo de Pagos'!$E360,9,9999)</f>
        <v>9999</v>
      </c>
      <c r="AD360" s="0" t="n">
        <f aca="false">IF(Presupuesto!$B$10='Flujo de Pagos'!$E360,10,9999)</f>
        <v>9999</v>
      </c>
      <c r="AE360" s="0" t="n">
        <f aca="false">IF(Presupuesto!$B$11='Flujo de Pagos'!$E360,11,9999)</f>
        <v>9999</v>
      </c>
      <c r="AF360" s="0" t="n">
        <f aca="false">IF(Presupuesto!$B$12='Flujo de Pagos'!$E360,12,9999)</f>
        <v>12</v>
      </c>
      <c r="AG360" s="0" t="n">
        <f aca="false">IF(Presupuesto!$B$13='Flujo de Pagos'!$E360,13,9999)</f>
        <v>13</v>
      </c>
      <c r="AH360" s="0" t="n">
        <f aca="false">IF(Presupuesto!$B$14='Flujo de Pagos'!$E360,14,9999)</f>
        <v>14</v>
      </c>
      <c r="AI360" s="0" t="n">
        <f aca="false">IF(Presupuesto!$B$15='Flujo de Pagos'!$E360,15,9999)</f>
        <v>15</v>
      </c>
      <c r="AJ360" s="0" t="n">
        <f aca="false">IF(Presupuesto!$B$16='Flujo de Pagos'!$E360,16,9999)</f>
        <v>16</v>
      </c>
      <c r="AK360" s="0" t="n">
        <f aca="false">IF(Presupuesto!$B$17='Flujo de Pagos'!$E360,17,9999)</f>
        <v>17</v>
      </c>
      <c r="AL360" s="0" t="n">
        <f aca="false">IF(Presupuesto!$B$18='Flujo de Pagos'!$E360,18,9999)</f>
        <v>18</v>
      </c>
      <c r="AM360" s="0" t="n">
        <f aca="false">IF(Presupuesto!$B$19='Flujo de Pagos'!$E360,19,9999)</f>
        <v>19</v>
      </c>
      <c r="AN360" s="0" t="n">
        <f aca="false">IF(Presupuesto!$B$20='Flujo de Pagos'!$E360,20,9999)</f>
        <v>20</v>
      </c>
      <c r="AO360" s="0" t="n">
        <f aca="false">IF(Presupuesto!$B$21='Flujo de Pagos'!$E360,21,9999)</f>
        <v>21</v>
      </c>
      <c r="AP360" s="0" t="n">
        <f aca="false">IF(Presupuesto!$B$22='Flujo de Pagos'!$E360,22,9999)</f>
        <v>22</v>
      </c>
      <c r="AQ360" s="0" t="n">
        <f aca="false">IF(Presupuesto!$B$23='Flujo de Pagos'!$E360,23,9999)</f>
        <v>23</v>
      </c>
      <c r="AR360" s="0" t="n">
        <f aca="false">IF(Presupuesto!$B$24='Flujo de Pagos'!$E360,24,9999)</f>
        <v>24</v>
      </c>
      <c r="AS360" s="0" t="n">
        <f aca="false">IF(Presupuesto!$B$25='Flujo de Pagos'!$E360,25,9999)</f>
        <v>25</v>
      </c>
      <c r="AT360" s="0" t="n">
        <f aca="false">IF(Presupuesto!$B$26='Flujo de Pagos'!$E360,26,9999)</f>
        <v>26</v>
      </c>
      <c r="AU360" s="0" t="n">
        <f aca="false">IF(Presupuesto!$B$27='Flujo de Pagos'!$E360,27,9999)</f>
        <v>27</v>
      </c>
      <c r="AV360" s="0" t="n">
        <f aca="false">IF(Presupuesto!$B$28='Flujo de Pagos'!$E360,28,9999)</f>
        <v>28</v>
      </c>
      <c r="AW360" s="0" t="n">
        <f aca="false">IF(Presupuesto!$B$29='Flujo de Pagos'!$E360,29,9999)</f>
        <v>29</v>
      </c>
      <c r="AX360" s="0" t="n">
        <f aca="false">IF(Presupuesto!$B$30='Flujo de Pagos'!$E360,30,9999)</f>
        <v>30</v>
      </c>
      <c r="AY360" s="0" t="n">
        <f aca="false">IF(Presupuesto!$B$31='Flujo de Pagos'!$E360,31,9999)</f>
        <v>31</v>
      </c>
      <c r="AZ360" s="0" t="n">
        <f aca="false">IF(Presupuesto!$B$32='Flujo de Pagos'!$E360,32,9999)</f>
        <v>32</v>
      </c>
      <c r="BA360" s="0" t="n">
        <f aca="false">IF(Presupuesto!$B$33='Flujo de Pagos'!$E360,33,9999)</f>
        <v>33</v>
      </c>
      <c r="BB360" s="0" t="n">
        <f aca="false">IF(Presupuesto!$B$34='Flujo de Pagos'!$E360,34,9999)</f>
        <v>34</v>
      </c>
      <c r="BC360" s="0" t="n">
        <f aca="false">IF(Presupuesto!$B$35='Flujo de Pagos'!$E360,35,9999)</f>
        <v>35</v>
      </c>
      <c r="BD360" s="0" t="n">
        <f aca="false">IF(Presupuesto!$B$36='Flujo de Pagos'!$E360,36,9999)</f>
        <v>36</v>
      </c>
      <c r="BE360" s="0" t="n">
        <f aca="false">IF(Presupuesto!$B$37='Flujo de Pagos'!$E360,37,9999)</f>
        <v>37</v>
      </c>
      <c r="BF360" s="0" t="n">
        <f aca="false">IF(Presupuesto!$B$38='Flujo de Pagos'!$E360,38,9999)</f>
        <v>38</v>
      </c>
      <c r="BG360" s="0" t="n">
        <f aca="false">IF(Presupuesto!$B$39='Flujo de Pagos'!$E360,39,9999)</f>
        <v>39</v>
      </c>
      <c r="BH360" s="0" t="n">
        <f aca="false">IF(Presupuesto!$B$40='Flujo de Pagos'!$E360,40,9999)</f>
        <v>40</v>
      </c>
      <c r="BI360" s="0" t="n">
        <f aca="false">IF(Presupuesto!$B$41='Flujo de Pagos'!$E360,41,9999)</f>
        <v>41</v>
      </c>
      <c r="BJ360" s="0" t="n">
        <f aca="false">IF(Presupuesto!$B$42='Flujo de Pagos'!$E360,42,9999)</f>
        <v>42</v>
      </c>
      <c r="BK360" s="0" t="n">
        <f aca="false">IF(Presupuesto!$B$43='Flujo de Pagos'!$E360,43,9999)</f>
        <v>43</v>
      </c>
      <c r="BL360" s="0" t="n">
        <f aca="false">IF(Presupuesto!$B$44='Flujo de Pagos'!$E360,44,9999)</f>
        <v>44</v>
      </c>
      <c r="BM360" s="0" t="n">
        <f aca="false">IF(Presupuesto!$B$45='Flujo de Pagos'!$E360,45,9999)</f>
        <v>45</v>
      </c>
      <c r="BN360" s="0" t="n">
        <f aca="false">IF(Presupuesto!$B$46='Flujo de Pagos'!$E360,46,9999)</f>
        <v>46</v>
      </c>
      <c r="BO360" s="0" t="n">
        <f aca="false">IF(Presupuesto!$B$47='Flujo de Pagos'!$E360,47,9999)</f>
        <v>47</v>
      </c>
      <c r="BP360" s="0" t="n">
        <f aca="false">IF(Presupuesto!$B$48='Flujo de Pagos'!$E360,48,9999)</f>
        <v>48</v>
      </c>
      <c r="BQ360" s="0" t="n">
        <f aca="false">IF(Presupuesto!$B$49='Flujo de Pagos'!$E360,49,9999)</f>
        <v>49</v>
      </c>
      <c r="BR360" s="0" t="n">
        <f aca="false">IF(Presupuesto!$B$50='Flujo de Pagos'!$E360,50,9999)</f>
        <v>50</v>
      </c>
      <c r="BS360" s="0" t="n">
        <f aca="false">IF(Presupuesto!$B$51='Flujo de Pagos'!$E360,51,9999)</f>
        <v>51</v>
      </c>
      <c r="BT360" s="0" t="n">
        <f aca="false">IF(Presupuesto!$B$52='Flujo de Pagos'!$E360,52,9999)</f>
        <v>52</v>
      </c>
      <c r="BU360" s="0" t="n">
        <f aca="false">IF(Presupuesto!$B$53='Flujo de Pagos'!$E360,53,9999)</f>
        <v>53</v>
      </c>
      <c r="BV360" s="0" t="n">
        <f aca="false">IF(Presupuesto!$B$54='Flujo de Pagos'!$E360,54,9999)</f>
        <v>54</v>
      </c>
      <c r="BW360" s="0" t="n">
        <f aca="false">IF(Presupuesto!$B$55='Flujo de Pagos'!$E360,55,9999)</f>
        <v>55</v>
      </c>
      <c r="BX360" s="0" t="n">
        <f aca="false">IF(Presupuesto!$B$56='Flujo de Pagos'!$E360,56,9999)</f>
        <v>56</v>
      </c>
      <c r="BY360" s="0" t="n">
        <f aca="false">IF(Presupuesto!$B$57='Flujo de Pagos'!$E360,57,9999)</f>
        <v>57</v>
      </c>
      <c r="BZ360" s="0" t="n">
        <f aca="false">IF(Presupuesto!$B$58='Flujo de Pagos'!$E360,58,9999)</f>
        <v>58</v>
      </c>
      <c r="CA360" s="0" t="n">
        <f aca="false">IF(Presupuesto!$B$59='Flujo de Pagos'!$E360,59,9999)</f>
        <v>59</v>
      </c>
      <c r="CB360" s="0" t="n">
        <f aca="false">IF(Presupuesto!$B$60='Flujo de Pagos'!$E360,60,9999)</f>
        <v>60</v>
      </c>
      <c r="CC360" s="0" t="n">
        <f aca="false">IF(Presupuesto!$B$61='Flujo de Pagos'!$E360,61,9999)</f>
        <v>61</v>
      </c>
      <c r="CD360" s="0" t="n">
        <f aca="false">IF(Presupuesto!$B$62='Flujo de Pagos'!$E360,62,9999)</f>
        <v>62</v>
      </c>
      <c r="CE360" s="0" t="n">
        <f aca="false">IF(Presupuesto!$B$63='Flujo de Pagos'!$E360,63,9999)</f>
        <v>63</v>
      </c>
      <c r="CF360" s="0" t="n">
        <f aca="false">IF(Presupuesto!$B$64='Flujo de Pagos'!$E360,64,9999)</f>
        <v>64</v>
      </c>
      <c r="CG360" s="0" t="n">
        <f aca="false">IF(Presupuesto!$B$65='Flujo de Pagos'!$E360,65,9999)</f>
        <v>65</v>
      </c>
      <c r="CH360" s="0" t="n">
        <f aca="false">IF(Presupuesto!$B$66='Flujo de Pagos'!$E360,66,9999)</f>
        <v>66</v>
      </c>
    </row>
    <row r="361" customFormat="false" ht="15" hidden="false" customHeight="true" outlineLevel="0" collapsed="false">
      <c r="B361" s="1" t="n">
        <f aca="false">IF(AND('Flujo de Pagos'!E366=Carátula!$B$2,'Flujo de Pagos'!F366=Carátula!$B$4,'Flujo de Pagos'!H366&lt;&gt;""),366,99999)</f>
        <v>99999</v>
      </c>
      <c r="H361" s="1" t="n">
        <f aca="false">IF(SMALL($AA361:$CH361,1)&gt;=9999,"",INDEX(Presupuesto!$C:$C,SMALL($AA361:$CH361,1)))</f>
        <v>0</v>
      </c>
      <c r="I361" s="1" t="n">
        <f aca="false">IF(SMALL($AA361:$CH361,2)&gt;=9999,"",INDEX(Presupuesto!$C:$C,SMALL($AA361:$CH361,2)))</f>
        <v>0</v>
      </c>
      <c r="J361" s="1" t="n">
        <f aca="false">IF(SMALL($AA361:$CH361,3)&gt;=9999,"",INDEX(Presupuesto!$C:$C,SMALL($AA361:$CH361,3)))</f>
        <v>0</v>
      </c>
      <c r="K361" s="1" t="n">
        <f aca="false">IF(SMALL($AA361:$CH361,4)&gt;=9999,"",INDEX(Presupuesto!$C:$C,SMALL($AA361:$CH361,4)))</f>
        <v>0</v>
      </c>
      <c r="L361" s="1" t="n">
        <f aca="false">IF(SMALL($AA361:$CH361,5)&gt;=9999,"",INDEX(Presupuesto!$C:$C,SMALL($AA361:$CH361,5)))</f>
        <v>0</v>
      </c>
      <c r="M361" s="1" t="n">
        <f aca="false">IF(SMALL($AA361:$CH361,6)&gt;=9999,"",INDEX(Presupuesto!$C:$C,SMALL($AA361:$CH361,6)))</f>
        <v>0</v>
      </c>
      <c r="N361" s="1" t="n">
        <f aca="false">IF(SMALL($AA361:$CH361,7)&gt;=9999,"",INDEX(Presupuesto!$C:$C,SMALL($AA361:$CH361,7)))</f>
        <v>0</v>
      </c>
      <c r="O361" s="1" t="n">
        <f aca="false">IF(SMALL($AA361:$CH361,8)&gt;=9999,"",INDEX(Presupuesto!$C:$C,SMALL($AA361:$CH361,8)))</f>
        <v>0</v>
      </c>
      <c r="P361" s="1" t="n">
        <f aca="false">IF(SMALL($AA361:$CH361,9)&gt;=9999,"",INDEX(Presupuesto!$C:$C,SMALL($AA361:$CH361,9)))</f>
        <v>0</v>
      </c>
      <c r="Q361" s="1" t="n">
        <f aca="false">IF(SMALL($AA361:$CH361,10)&gt;=9999,"",INDEX(Presupuesto!$C:$C,SMALL($AA361:$CH361,10)))</f>
        <v>0</v>
      </c>
      <c r="AA361" s="0" t="n">
        <f aca="false">IF(Presupuesto!$B$7='Flujo de Pagos'!$E361,7,9999)</f>
        <v>9999</v>
      </c>
      <c r="AB361" s="0" t="n">
        <f aca="false">IF(Presupuesto!$B$8='Flujo de Pagos'!$E361,8,9999)</f>
        <v>9999</v>
      </c>
      <c r="AC361" s="0" t="n">
        <f aca="false">IF(Presupuesto!$B$9='Flujo de Pagos'!$E361,9,9999)</f>
        <v>9999</v>
      </c>
      <c r="AD361" s="0" t="n">
        <f aca="false">IF(Presupuesto!$B$10='Flujo de Pagos'!$E361,10,9999)</f>
        <v>9999</v>
      </c>
      <c r="AE361" s="0" t="n">
        <f aca="false">IF(Presupuesto!$B$11='Flujo de Pagos'!$E361,11,9999)</f>
        <v>9999</v>
      </c>
      <c r="AF361" s="0" t="n">
        <f aca="false">IF(Presupuesto!$B$12='Flujo de Pagos'!$E361,12,9999)</f>
        <v>12</v>
      </c>
      <c r="AG361" s="0" t="n">
        <f aca="false">IF(Presupuesto!$B$13='Flujo de Pagos'!$E361,13,9999)</f>
        <v>13</v>
      </c>
      <c r="AH361" s="0" t="n">
        <f aca="false">IF(Presupuesto!$B$14='Flujo de Pagos'!$E361,14,9999)</f>
        <v>14</v>
      </c>
      <c r="AI361" s="0" t="n">
        <f aca="false">IF(Presupuesto!$B$15='Flujo de Pagos'!$E361,15,9999)</f>
        <v>15</v>
      </c>
      <c r="AJ361" s="0" t="n">
        <f aca="false">IF(Presupuesto!$B$16='Flujo de Pagos'!$E361,16,9999)</f>
        <v>16</v>
      </c>
      <c r="AK361" s="0" t="n">
        <f aca="false">IF(Presupuesto!$B$17='Flujo de Pagos'!$E361,17,9999)</f>
        <v>17</v>
      </c>
      <c r="AL361" s="0" t="n">
        <f aca="false">IF(Presupuesto!$B$18='Flujo de Pagos'!$E361,18,9999)</f>
        <v>18</v>
      </c>
      <c r="AM361" s="0" t="n">
        <f aca="false">IF(Presupuesto!$B$19='Flujo de Pagos'!$E361,19,9999)</f>
        <v>19</v>
      </c>
      <c r="AN361" s="0" t="n">
        <f aca="false">IF(Presupuesto!$B$20='Flujo de Pagos'!$E361,20,9999)</f>
        <v>20</v>
      </c>
      <c r="AO361" s="0" t="n">
        <f aca="false">IF(Presupuesto!$B$21='Flujo de Pagos'!$E361,21,9999)</f>
        <v>21</v>
      </c>
      <c r="AP361" s="0" t="n">
        <f aca="false">IF(Presupuesto!$B$22='Flujo de Pagos'!$E361,22,9999)</f>
        <v>22</v>
      </c>
      <c r="AQ361" s="0" t="n">
        <f aca="false">IF(Presupuesto!$B$23='Flujo de Pagos'!$E361,23,9999)</f>
        <v>23</v>
      </c>
      <c r="AR361" s="0" t="n">
        <f aca="false">IF(Presupuesto!$B$24='Flujo de Pagos'!$E361,24,9999)</f>
        <v>24</v>
      </c>
      <c r="AS361" s="0" t="n">
        <f aca="false">IF(Presupuesto!$B$25='Flujo de Pagos'!$E361,25,9999)</f>
        <v>25</v>
      </c>
      <c r="AT361" s="0" t="n">
        <f aca="false">IF(Presupuesto!$B$26='Flujo de Pagos'!$E361,26,9999)</f>
        <v>26</v>
      </c>
      <c r="AU361" s="0" t="n">
        <f aca="false">IF(Presupuesto!$B$27='Flujo de Pagos'!$E361,27,9999)</f>
        <v>27</v>
      </c>
      <c r="AV361" s="0" t="n">
        <f aca="false">IF(Presupuesto!$B$28='Flujo de Pagos'!$E361,28,9999)</f>
        <v>28</v>
      </c>
      <c r="AW361" s="0" t="n">
        <f aca="false">IF(Presupuesto!$B$29='Flujo de Pagos'!$E361,29,9999)</f>
        <v>29</v>
      </c>
      <c r="AX361" s="0" t="n">
        <f aca="false">IF(Presupuesto!$B$30='Flujo de Pagos'!$E361,30,9999)</f>
        <v>30</v>
      </c>
      <c r="AY361" s="0" t="n">
        <f aca="false">IF(Presupuesto!$B$31='Flujo de Pagos'!$E361,31,9999)</f>
        <v>31</v>
      </c>
      <c r="AZ361" s="0" t="n">
        <f aca="false">IF(Presupuesto!$B$32='Flujo de Pagos'!$E361,32,9999)</f>
        <v>32</v>
      </c>
      <c r="BA361" s="0" t="n">
        <f aca="false">IF(Presupuesto!$B$33='Flujo de Pagos'!$E361,33,9999)</f>
        <v>33</v>
      </c>
      <c r="BB361" s="0" t="n">
        <f aca="false">IF(Presupuesto!$B$34='Flujo de Pagos'!$E361,34,9999)</f>
        <v>34</v>
      </c>
      <c r="BC361" s="0" t="n">
        <f aca="false">IF(Presupuesto!$B$35='Flujo de Pagos'!$E361,35,9999)</f>
        <v>35</v>
      </c>
      <c r="BD361" s="0" t="n">
        <f aca="false">IF(Presupuesto!$B$36='Flujo de Pagos'!$E361,36,9999)</f>
        <v>36</v>
      </c>
      <c r="BE361" s="0" t="n">
        <f aca="false">IF(Presupuesto!$B$37='Flujo de Pagos'!$E361,37,9999)</f>
        <v>37</v>
      </c>
      <c r="BF361" s="0" t="n">
        <f aca="false">IF(Presupuesto!$B$38='Flujo de Pagos'!$E361,38,9999)</f>
        <v>38</v>
      </c>
      <c r="BG361" s="0" t="n">
        <f aca="false">IF(Presupuesto!$B$39='Flujo de Pagos'!$E361,39,9999)</f>
        <v>39</v>
      </c>
      <c r="BH361" s="0" t="n">
        <f aca="false">IF(Presupuesto!$B$40='Flujo de Pagos'!$E361,40,9999)</f>
        <v>40</v>
      </c>
      <c r="BI361" s="0" t="n">
        <f aca="false">IF(Presupuesto!$B$41='Flujo de Pagos'!$E361,41,9999)</f>
        <v>41</v>
      </c>
      <c r="BJ361" s="0" t="n">
        <f aca="false">IF(Presupuesto!$B$42='Flujo de Pagos'!$E361,42,9999)</f>
        <v>42</v>
      </c>
      <c r="BK361" s="0" t="n">
        <f aca="false">IF(Presupuesto!$B$43='Flujo de Pagos'!$E361,43,9999)</f>
        <v>43</v>
      </c>
      <c r="BL361" s="0" t="n">
        <f aca="false">IF(Presupuesto!$B$44='Flujo de Pagos'!$E361,44,9999)</f>
        <v>44</v>
      </c>
      <c r="BM361" s="0" t="n">
        <f aca="false">IF(Presupuesto!$B$45='Flujo de Pagos'!$E361,45,9999)</f>
        <v>45</v>
      </c>
      <c r="BN361" s="0" t="n">
        <f aca="false">IF(Presupuesto!$B$46='Flujo de Pagos'!$E361,46,9999)</f>
        <v>46</v>
      </c>
      <c r="BO361" s="0" t="n">
        <f aca="false">IF(Presupuesto!$B$47='Flujo de Pagos'!$E361,47,9999)</f>
        <v>47</v>
      </c>
      <c r="BP361" s="0" t="n">
        <f aca="false">IF(Presupuesto!$B$48='Flujo de Pagos'!$E361,48,9999)</f>
        <v>48</v>
      </c>
      <c r="BQ361" s="0" t="n">
        <f aca="false">IF(Presupuesto!$B$49='Flujo de Pagos'!$E361,49,9999)</f>
        <v>49</v>
      </c>
      <c r="BR361" s="0" t="n">
        <f aca="false">IF(Presupuesto!$B$50='Flujo de Pagos'!$E361,50,9999)</f>
        <v>50</v>
      </c>
      <c r="BS361" s="0" t="n">
        <f aca="false">IF(Presupuesto!$B$51='Flujo de Pagos'!$E361,51,9999)</f>
        <v>51</v>
      </c>
      <c r="BT361" s="0" t="n">
        <f aca="false">IF(Presupuesto!$B$52='Flujo de Pagos'!$E361,52,9999)</f>
        <v>52</v>
      </c>
      <c r="BU361" s="0" t="n">
        <f aca="false">IF(Presupuesto!$B$53='Flujo de Pagos'!$E361,53,9999)</f>
        <v>53</v>
      </c>
      <c r="BV361" s="0" t="n">
        <f aca="false">IF(Presupuesto!$B$54='Flujo de Pagos'!$E361,54,9999)</f>
        <v>54</v>
      </c>
      <c r="BW361" s="0" t="n">
        <f aca="false">IF(Presupuesto!$B$55='Flujo de Pagos'!$E361,55,9999)</f>
        <v>55</v>
      </c>
      <c r="BX361" s="0" t="n">
        <f aca="false">IF(Presupuesto!$B$56='Flujo de Pagos'!$E361,56,9999)</f>
        <v>56</v>
      </c>
      <c r="BY361" s="0" t="n">
        <f aca="false">IF(Presupuesto!$B$57='Flujo de Pagos'!$E361,57,9999)</f>
        <v>57</v>
      </c>
      <c r="BZ361" s="0" t="n">
        <f aca="false">IF(Presupuesto!$B$58='Flujo de Pagos'!$E361,58,9999)</f>
        <v>58</v>
      </c>
      <c r="CA361" s="0" t="n">
        <f aca="false">IF(Presupuesto!$B$59='Flujo de Pagos'!$E361,59,9999)</f>
        <v>59</v>
      </c>
      <c r="CB361" s="0" t="n">
        <f aca="false">IF(Presupuesto!$B$60='Flujo de Pagos'!$E361,60,9999)</f>
        <v>60</v>
      </c>
      <c r="CC361" s="0" t="n">
        <f aca="false">IF(Presupuesto!$B$61='Flujo de Pagos'!$E361,61,9999)</f>
        <v>61</v>
      </c>
      <c r="CD361" s="0" t="n">
        <f aca="false">IF(Presupuesto!$B$62='Flujo de Pagos'!$E361,62,9999)</f>
        <v>62</v>
      </c>
      <c r="CE361" s="0" t="n">
        <f aca="false">IF(Presupuesto!$B$63='Flujo de Pagos'!$E361,63,9999)</f>
        <v>63</v>
      </c>
      <c r="CF361" s="0" t="n">
        <f aca="false">IF(Presupuesto!$B$64='Flujo de Pagos'!$E361,64,9999)</f>
        <v>64</v>
      </c>
      <c r="CG361" s="0" t="n">
        <f aca="false">IF(Presupuesto!$B$65='Flujo de Pagos'!$E361,65,9999)</f>
        <v>65</v>
      </c>
      <c r="CH361" s="0" t="n">
        <f aca="false">IF(Presupuesto!$B$66='Flujo de Pagos'!$E361,66,9999)</f>
        <v>66</v>
      </c>
    </row>
    <row r="362" customFormat="false" ht="15" hidden="false" customHeight="true" outlineLevel="0" collapsed="false">
      <c r="B362" s="1" t="n">
        <f aca="false">IF(AND('Flujo de Pagos'!E367=Carátula!$B$2,'Flujo de Pagos'!F367=Carátula!$B$4,'Flujo de Pagos'!H367&lt;&gt;""),367,99999)</f>
        <v>99999</v>
      </c>
      <c r="H362" s="1" t="n">
        <f aca="false">IF(SMALL($AA362:$CH362,1)&gt;=9999,"",INDEX(Presupuesto!$C:$C,SMALL($AA362:$CH362,1)))</f>
        <v>0</v>
      </c>
      <c r="I362" s="1" t="n">
        <f aca="false">IF(SMALL($AA362:$CH362,2)&gt;=9999,"",INDEX(Presupuesto!$C:$C,SMALL($AA362:$CH362,2)))</f>
        <v>0</v>
      </c>
      <c r="J362" s="1" t="n">
        <f aca="false">IF(SMALL($AA362:$CH362,3)&gt;=9999,"",INDEX(Presupuesto!$C:$C,SMALL($AA362:$CH362,3)))</f>
        <v>0</v>
      </c>
      <c r="K362" s="1" t="n">
        <f aca="false">IF(SMALL($AA362:$CH362,4)&gt;=9999,"",INDEX(Presupuesto!$C:$C,SMALL($AA362:$CH362,4)))</f>
        <v>0</v>
      </c>
      <c r="L362" s="1" t="n">
        <f aca="false">IF(SMALL($AA362:$CH362,5)&gt;=9999,"",INDEX(Presupuesto!$C:$C,SMALL($AA362:$CH362,5)))</f>
        <v>0</v>
      </c>
      <c r="M362" s="1" t="n">
        <f aca="false">IF(SMALL($AA362:$CH362,6)&gt;=9999,"",INDEX(Presupuesto!$C:$C,SMALL($AA362:$CH362,6)))</f>
        <v>0</v>
      </c>
      <c r="N362" s="1" t="n">
        <f aca="false">IF(SMALL($AA362:$CH362,7)&gt;=9999,"",INDEX(Presupuesto!$C:$C,SMALL($AA362:$CH362,7)))</f>
        <v>0</v>
      </c>
      <c r="O362" s="1" t="n">
        <f aca="false">IF(SMALL($AA362:$CH362,8)&gt;=9999,"",INDEX(Presupuesto!$C:$C,SMALL($AA362:$CH362,8)))</f>
        <v>0</v>
      </c>
      <c r="P362" s="1" t="n">
        <f aca="false">IF(SMALL($AA362:$CH362,9)&gt;=9999,"",INDEX(Presupuesto!$C:$C,SMALL($AA362:$CH362,9)))</f>
        <v>0</v>
      </c>
      <c r="Q362" s="1" t="n">
        <f aca="false">IF(SMALL($AA362:$CH362,10)&gt;=9999,"",INDEX(Presupuesto!$C:$C,SMALL($AA362:$CH362,10)))</f>
        <v>0</v>
      </c>
      <c r="AA362" s="0" t="n">
        <f aca="false">IF(Presupuesto!$B$7='Flujo de Pagos'!$E362,7,9999)</f>
        <v>9999</v>
      </c>
      <c r="AB362" s="0" t="n">
        <f aca="false">IF(Presupuesto!$B$8='Flujo de Pagos'!$E362,8,9999)</f>
        <v>9999</v>
      </c>
      <c r="AC362" s="0" t="n">
        <f aca="false">IF(Presupuesto!$B$9='Flujo de Pagos'!$E362,9,9999)</f>
        <v>9999</v>
      </c>
      <c r="AD362" s="0" t="n">
        <f aca="false">IF(Presupuesto!$B$10='Flujo de Pagos'!$E362,10,9999)</f>
        <v>9999</v>
      </c>
      <c r="AE362" s="0" t="n">
        <f aca="false">IF(Presupuesto!$B$11='Flujo de Pagos'!$E362,11,9999)</f>
        <v>9999</v>
      </c>
      <c r="AF362" s="0" t="n">
        <f aca="false">IF(Presupuesto!$B$12='Flujo de Pagos'!$E362,12,9999)</f>
        <v>12</v>
      </c>
      <c r="AG362" s="0" t="n">
        <f aca="false">IF(Presupuesto!$B$13='Flujo de Pagos'!$E362,13,9999)</f>
        <v>13</v>
      </c>
      <c r="AH362" s="0" t="n">
        <f aca="false">IF(Presupuesto!$B$14='Flujo de Pagos'!$E362,14,9999)</f>
        <v>14</v>
      </c>
      <c r="AI362" s="0" t="n">
        <f aca="false">IF(Presupuesto!$B$15='Flujo de Pagos'!$E362,15,9999)</f>
        <v>15</v>
      </c>
      <c r="AJ362" s="0" t="n">
        <f aca="false">IF(Presupuesto!$B$16='Flujo de Pagos'!$E362,16,9999)</f>
        <v>16</v>
      </c>
      <c r="AK362" s="0" t="n">
        <f aca="false">IF(Presupuesto!$B$17='Flujo de Pagos'!$E362,17,9999)</f>
        <v>17</v>
      </c>
      <c r="AL362" s="0" t="n">
        <f aca="false">IF(Presupuesto!$B$18='Flujo de Pagos'!$E362,18,9999)</f>
        <v>18</v>
      </c>
      <c r="AM362" s="0" t="n">
        <f aca="false">IF(Presupuesto!$B$19='Flujo de Pagos'!$E362,19,9999)</f>
        <v>19</v>
      </c>
      <c r="AN362" s="0" t="n">
        <f aca="false">IF(Presupuesto!$B$20='Flujo de Pagos'!$E362,20,9999)</f>
        <v>20</v>
      </c>
      <c r="AO362" s="0" t="n">
        <f aca="false">IF(Presupuesto!$B$21='Flujo de Pagos'!$E362,21,9999)</f>
        <v>21</v>
      </c>
      <c r="AP362" s="0" t="n">
        <f aca="false">IF(Presupuesto!$B$22='Flujo de Pagos'!$E362,22,9999)</f>
        <v>22</v>
      </c>
      <c r="AQ362" s="0" t="n">
        <f aca="false">IF(Presupuesto!$B$23='Flujo de Pagos'!$E362,23,9999)</f>
        <v>23</v>
      </c>
      <c r="AR362" s="0" t="n">
        <f aca="false">IF(Presupuesto!$B$24='Flujo de Pagos'!$E362,24,9999)</f>
        <v>24</v>
      </c>
      <c r="AS362" s="0" t="n">
        <f aca="false">IF(Presupuesto!$B$25='Flujo de Pagos'!$E362,25,9999)</f>
        <v>25</v>
      </c>
      <c r="AT362" s="0" t="n">
        <f aca="false">IF(Presupuesto!$B$26='Flujo de Pagos'!$E362,26,9999)</f>
        <v>26</v>
      </c>
      <c r="AU362" s="0" t="n">
        <f aca="false">IF(Presupuesto!$B$27='Flujo de Pagos'!$E362,27,9999)</f>
        <v>27</v>
      </c>
      <c r="AV362" s="0" t="n">
        <f aca="false">IF(Presupuesto!$B$28='Flujo de Pagos'!$E362,28,9999)</f>
        <v>28</v>
      </c>
      <c r="AW362" s="0" t="n">
        <f aca="false">IF(Presupuesto!$B$29='Flujo de Pagos'!$E362,29,9999)</f>
        <v>29</v>
      </c>
      <c r="AX362" s="0" t="n">
        <f aca="false">IF(Presupuesto!$B$30='Flujo de Pagos'!$E362,30,9999)</f>
        <v>30</v>
      </c>
      <c r="AY362" s="0" t="n">
        <f aca="false">IF(Presupuesto!$B$31='Flujo de Pagos'!$E362,31,9999)</f>
        <v>31</v>
      </c>
      <c r="AZ362" s="0" t="n">
        <f aca="false">IF(Presupuesto!$B$32='Flujo de Pagos'!$E362,32,9999)</f>
        <v>32</v>
      </c>
      <c r="BA362" s="0" t="n">
        <f aca="false">IF(Presupuesto!$B$33='Flujo de Pagos'!$E362,33,9999)</f>
        <v>33</v>
      </c>
      <c r="BB362" s="0" t="n">
        <f aca="false">IF(Presupuesto!$B$34='Flujo de Pagos'!$E362,34,9999)</f>
        <v>34</v>
      </c>
      <c r="BC362" s="0" t="n">
        <f aca="false">IF(Presupuesto!$B$35='Flujo de Pagos'!$E362,35,9999)</f>
        <v>35</v>
      </c>
      <c r="BD362" s="0" t="n">
        <f aca="false">IF(Presupuesto!$B$36='Flujo de Pagos'!$E362,36,9999)</f>
        <v>36</v>
      </c>
      <c r="BE362" s="0" t="n">
        <f aca="false">IF(Presupuesto!$B$37='Flujo de Pagos'!$E362,37,9999)</f>
        <v>37</v>
      </c>
      <c r="BF362" s="0" t="n">
        <f aca="false">IF(Presupuesto!$B$38='Flujo de Pagos'!$E362,38,9999)</f>
        <v>38</v>
      </c>
      <c r="BG362" s="0" t="n">
        <f aca="false">IF(Presupuesto!$B$39='Flujo de Pagos'!$E362,39,9999)</f>
        <v>39</v>
      </c>
      <c r="BH362" s="0" t="n">
        <f aca="false">IF(Presupuesto!$B$40='Flujo de Pagos'!$E362,40,9999)</f>
        <v>40</v>
      </c>
      <c r="BI362" s="0" t="n">
        <f aca="false">IF(Presupuesto!$B$41='Flujo de Pagos'!$E362,41,9999)</f>
        <v>41</v>
      </c>
      <c r="BJ362" s="0" t="n">
        <f aca="false">IF(Presupuesto!$B$42='Flujo de Pagos'!$E362,42,9999)</f>
        <v>42</v>
      </c>
      <c r="BK362" s="0" t="n">
        <f aca="false">IF(Presupuesto!$B$43='Flujo de Pagos'!$E362,43,9999)</f>
        <v>43</v>
      </c>
      <c r="BL362" s="0" t="n">
        <f aca="false">IF(Presupuesto!$B$44='Flujo de Pagos'!$E362,44,9999)</f>
        <v>44</v>
      </c>
      <c r="BM362" s="0" t="n">
        <f aca="false">IF(Presupuesto!$B$45='Flujo de Pagos'!$E362,45,9999)</f>
        <v>45</v>
      </c>
      <c r="BN362" s="0" t="n">
        <f aca="false">IF(Presupuesto!$B$46='Flujo de Pagos'!$E362,46,9999)</f>
        <v>46</v>
      </c>
      <c r="BO362" s="0" t="n">
        <f aca="false">IF(Presupuesto!$B$47='Flujo de Pagos'!$E362,47,9999)</f>
        <v>47</v>
      </c>
      <c r="BP362" s="0" t="n">
        <f aca="false">IF(Presupuesto!$B$48='Flujo de Pagos'!$E362,48,9999)</f>
        <v>48</v>
      </c>
      <c r="BQ362" s="0" t="n">
        <f aca="false">IF(Presupuesto!$B$49='Flujo de Pagos'!$E362,49,9999)</f>
        <v>49</v>
      </c>
      <c r="BR362" s="0" t="n">
        <f aca="false">IF(Presupuesto!$B$50='Flujo de Pagos'!$E362,50,9999)</f>
        <v>50</v>
      </c>
      <c r="BS362" s="0" t="n">
        <f aca="false">IF(Presupuesto!$B$51='Flujo de Pagos'!$E362,51,9999)</f>
        <v>51</v>
      </c>
      <c r="BT362" s="0" t="n">
        <f aca="false">IF(Presupuesto!$B$52='Flujo de Pagos'!$E362,52,9999)</f>
        <v>52</v>
      </c>
      <c r="BU362" s="0" t="n">
        <f aca="false">IF(Presupuesto!$B$53='Flujo de Pagos'!$E362,53,9999)</f>
        <v>53</v>
      </c>
      <c r="BV362" s="0" t="n">
        <f aca="false">IF(Presupuesto!$B$54='Flujo de Pagos'!$E362,54,9999)</f>
        <v>54</v>
      </c>
      <c r="BW362" s="0" t="n">
        <f aca="false">IF(Presupuesto!$B$55='Flujo de Pagos'!$E362,55,9999)</f>
        <v>55</v>
      </c>
      <c r="BX362" s="0" t="n">
        <f aca="false">IF(Presupuesto!$B$56='Flujo de Pagos'!$E362,56,9999)</f>
        <v>56</v>
      </c>
      <c r="BY362" s="0" t="n">
        <f aca="false">IF(Presupuesto!$B$57='Flujo de Pagos'!$E362,57,9999)</f>
        <v>57</v>
      </c>
      <c r="BZ362" s="0" t="n">
        <f aca="false">IF(Presupuesto!$B$58='Flujo de Pagos'!$E362,58,9999)</f>
        <v>58</v>
      </c>
      <c r="CA362" s="0" t="n">
        <f aca="false">IF(Presupuesto!$B$59='Flujo de Pagos'!$E362,59,9999)</f>
        <v>59</v>
      </c>
      <c r="CB362" s="0" t="n">
        <f aca="false">IF(Presupuesto!$B$60='Flujo de Pagos'!$E362,60,9999)</f>
        <v>60</v>
      </c>
      <c r="CC362" s="0" t="n">
        <f aca="false">IF(Presupuesto!$B$61='Flujo de Pagos'!$E362,61,9999)</f>
        <v>61</v>
      </c>
      <c r="CD362" s="0" t="n">
        <f aca="false">IF(Presupuesto!$B$62='Flujo de Pagos'!$E362,62,9999)</f>
        <v>62</v>
      </c>
      <c r="CE362" s="0" t="n">
        <f aca="false">IF(Presupuesto!$B$63='Flujo de Pagos'!$E362,63,9999)</f>
        <v>63</v>
      </c>
      <c r="CF362" s="0" t="n">
        <f aca="false">IF(Presupuesto!$B$64='Flujo de Pagos'!$E362,64,9999)</f>
        <v>64</v>
      </c>
      <c r="CG362" s="0" t="n">
        <f aca="false">IF(Presupuesto!$B$65='Flujo de Pagos'!$E362,65,9999)</f>
        <v>65</v>
      </c>
      <c r="CH362" s="0" t="n">
        <f aca="false">IF(Presupuesto!$B$66='Flujo de Pagos'!$E362,66,9999)</f>
        <v>66</v>
      </c>
    </row>
    <row r="363" customFormat="false" ht="15" hidden="false" customHeight="true" outlineLevel="0" collapsed="false">
      <c r="B363" s="1" t="n">
        <f aca="false">IF(AND('Flujo de Pagos'!E368=Carátula!$B$2,'Flujo de Pagos'!F368=Carátula!$B$4,'Flujo de Pagos'!H368&lt;&gt;""),368,99999)</f>
        <v>99999</v>
      </c>
      <c r="H363" s="1" t="n">
        <f aca="false">IF(SMALL($AA363:$CH363,1)&gt;=9999,"",INDEX(Presupuesto!$C:$C,SMALL($AA363:$CH363,1)))</f>
        <v>0</v>
      </c>
      <c r="I363" s="1" t="n">
        <f aca="false">IF(SMALL($AA363:$CH363,2)&gt;=9999,"",INDEX(Presupuesto!$C:$C,SMALL($AA363:$CH363,2)))</f>
        <v>0</v>
      </c>
      <c r="J363" s="1" t="n">
        <f aca="false">IF(SMALL($AA363:$CH363,3)&gt;=9999,"",INDEX(Presupuesto!$C:$C,SMALL($AA363:$CH363,3)))</f>
        <v>0</v>
      </c>
      <c r="K363" s="1" t="n">
        <f aca="false">IF(SMALL($AA363:$CH363,4)&gt;=9999,"",INDEX(Presupuesto!$C:$C,SMALL($AA363:$CH363,4)))</f>
        <v>0</v>
      </c>
      <c r="L363" s="1" t="n">
        <f aca="false">IF(SMALL($AA363:$CH363,5)&gt;=9999,"",INDEX(Presupuesto!$C:$C,SMALL($AA363:$CH363,5)))</f>
        <v>0</v>
      </c>
      <c r="M363" s="1" t="n">
        <f aca="false">IF(SMALL($AA363:$CH363,6)&gt;=9999,"",INDEX(Presupuesto!$C:$C,SMALL($AA363:$CH363,6)))</f>
        <v>0</v>
      </c>
      <c r="N363" s="1" t="n">
        <f aca="false">IF(SMALL($AA363:$CH363,7)&gt;=9999,"",INDEX(Presupuesto!$C:$C,SMALL($AA363:$CH363,7)))</f>
        <v>0</v>
      </c>
      <c r="O363" s="1" t="n">
        <f aca="false">IF(SMALL($AA363:$CH363,8)&gt;=9999,"",INDEX(Presupuesto!$C:$C,SMALL($AA363:$CH363,8)))</f>
        <v>0</v>
      </c>
      <c r="P363" s="1" t="n">
        <f aca="false">IF(SMALL($AA363:$CH363,9)&gt;=9999,"",INDEX(Presupuesto!$C:$C,SMALL($AA363:$CH363,9)))</f>
        <v>0</v>
      </c>
      <c r="Q363" s="1" t="n">
        <f aca="false">IF(SMALL($AA363:$CH363,10)&gt;=9999,"",INDEX(Presupuesto!$C:$C,SMALL($AA363:$CH363,10)))</f>
        <v>0</v>
      </c>
      <c r="AA363" s="0" t="n">
        <f aca="false">IF(Presupuesto!$B$7='Flujo de Pagos'!$E363,7,9999)</f>
        <v>9999</v>
      </c>
      <c r="AB363" s="0" t="n">
        <f aca="false">IF(Presupuesto!$B$8='Flujo de Pagos'!$E363,8,9999)</f>
        <v>9999</v>
      </c>
      <c r="AC363" s="0" t="n">
        <f aca="false">IF(Presupuesto!$B$9='Flujo de Pagos'!$E363,9,9999)</f>
        <v>9999</v>
      </c>
      <c r="AD363" s="0" t="n">
        <f aca="false">IF(Presupuesto!$B$10='Flujo de Pagos'!$E363,10,9999)</f>
        <v>9999</v>
      </c>
      <c r="AE363" s="0" t="n">
        <f aca="false">IF(Presupuesto!$B$11='Flujo de Pagos'!$E363,11,9999)</f>
        <v>9999</v>
      </c>
      <c r="AF363" s="0" t="n">
        <f aca="false">IF(Presupuesto!$B$12='Flujo de Pagos'!$E363,12,9999)</f>
        <v>12</v>
      </c>
      <c r="AG363" s="0" t="n">
        <f aca="false">IF(Presupuesto!$B$13='Flujo de Pagos'!$E363,13,9999)</f>
        <v>13</v>
      </c>
      <c r="AH363" s="0" t="n">
        <f aca="false">IF(Presupuesto!$B$14='Flujo de Pagos'!$E363,14,9999)</f>
        <v>14</v>
      </c>
      <c r="AI363" s="0" t="n">
        <f aca="false">IF(Presupuesto!$B$15='Flujo de Pagos'!$E363,15,9999)</f>
        <v>15</v>
      </c>
      <c r="AJ363" s="0" t="n">
        <f aca="false">IF(Presupuesto!$B$16='Flujo de Pagos'!$E363,16,9999)</f>
        <v>16</v>
      </c>
      <c r="AK363" s="0" t="n">
        <f aca="false">IF(Presupuesto!$B$17='Flujo de Pagos'!$E363,17,9999)</f>
        <v>17</v>
      </c>
      <c r="AL363" s="0" t="n">
        <f aca="false">IF(Presupuesto!$B$18='Flujo de Pagos'!$E363,18,9999)</f>
        <v>18</v>
      </c>
      <c r="AM363" s="0" t="n">
        <f aca="false">IF(Presupuesto!$B$19='Flujo de Pagos'!$E363,19,9999)</f>
        <v>19</v>
      </c>
      <c r="AN363" s="0" t="n">
        <f aca="false">IF(Presupuesto!$B$20='Flujo de Pagos'!$E363,20,9999)</f>
        <v>20</v>
      </c>
      <c r="AO363" s="0" t="n">
        <f aca="false">IF(Presupuesto!$B$21='Flujo de Pagos'!$E363,21,9999)</f>
        <v>21</v>
      </c>
      <c r="AP363" s="0" t="n">
        <f aca="false">IF(Presupuesto!$B$22='Flujo de Pagos'!$E363,22,9999)</f>
        <v>22</v>
      </c>
      <c r="AQ363" s="0" t="n">
        <f aca="false">IF(Presupuesto!$B$23='Flujo de Pagos'!$E363,23,9999)</f>
        <v>23</v>
      </c>
      <c r="AR363" s="0" t="n">
        <f aca="false">IF(Presupuesto!$B$24='Flujo de Pagos'!$E363,24,9999)</f>
        <v>24</v>
      </c>
      <c r="AS363" s="0" t="n">
        <f aca="false">IF(Presupuesto!$B$25='Flujo de Pagos'!$E363,25,9999)</f>
        <v>25</v>
      </c>
      <c r="AT363" s="0" t="n">
        <f aca="false">IF(Presupuesto!$B$26='Flujo de Pagos'!$E363,26,9999)</f>
        <v>26</v>
      </c>
      <c r="AU363" s="0" t="n">
        <f aca="false">IF(Presupuesto!$B$27='Flujo de Pagos'!$E363,27,9999)</f>
        <v>27</v>
      </c>
      <c r="AV363" s="0" t="n">
        <f aca="false">IF(Presupuesto!$B$28='Flujo de Pagos'!$E363,28,9999)</f>
        <v>28</v>
      </c>
      <c r="AW363" s="0" t="n">
        <f aca="false">IF(Presupuesto!$B$29='Flujo de Pagos'!$E363,29,9999)</f>
        <v>29</v>
      </c>
      <c r="AX363" s="0" t="n">
        <f aca="false">IF(Presupuesto!$B$30='Flujo de Pagos'!$E363,30,9999)</f>
        <v>30</v>
      </c>
      <c r="AY363" s="0" t="n">
        <f aca="false">IF(Presupuesto!$B$31='Flujo de Pagos'!$E363,31,9999)</f>
        <v>31</v>
      </c>
      <c r="AZ363" s="0" t="n">
        <f aca="false">IF(Presupuesto!$B$32='Flujo de Pagos'!$E363,32,9999)</f>
        <v>32</v>
      </c>
      <c r="BA363" s="0" t="n">
        <f aca="false">IF(Presupuesto!$B$33='Flujo de Pagos'!$E363,33,9999)</f>
        <v>33</v>
      </c>
      <c r="BB363" s="0" t="n">
        <f aca="false">IF(Presupuesto!$B$34='Flujo de Pagos'!$E363,34,9999)</f>
        <v>34</v>
      </c>
      <c r="BC363" s="0" t="n">
        <f aca="false">IF(Presupuesto!$B$35='Flujo de Pagos'!$E363,35,9999)</f>
        <v>35</v>
      </c>
      <c r="BD363" s="0" t="n">
        <f aca="false">IF(Presupuesto!$B$36='Flujo de Pagos'!$E363,36,9999)</f>
        <v>36</v>
      </c>
      <c r="BE363" s="0" t="n">
        <f aca="false">IF(Presupuesto!$B$37='Flujo de Pagos'!$E363,37,9999)</f>
        <v>37</v>
      </c>
      <c r="BF363" s="0" t="n">
        <f aca="false">IF(Presupuesto!$B$38='Flujo de Pagos'!$E363,38,9999)</f>
        <v>38</v>
      </c>
      <c r="BG363" s="0" t="n">
        <f aca="false">IF(Presupuesto!$B$39='Flujo de Pagos'!$E363,39,9999)</f>
        <v>39</v>
      </c>
      <c r="BH363" s="0" t="n">
        <f aca="false">IF(Presupuesto!$B$40='Flujo de Pagos'!$E363,40,9999)</f>
        <v>40</v>
      </c>
      <c r="BI363" s="0" t="n">
        <f aca="false">IF(Presupuesto!$B$41='Flujo de Pagos'!$E363,41,9999)</f>
        <v>41</v>
      </c>
      <c r="BJ363" s="0" t="n">
        <f aca="false">IF(Presupuesto!$B$42='Flujo de Pagos'!$E363,42,9999)</f>
        <v>42</v>
      </c>
      <c r="BK363" s="0" t="n">
        <f aca="false">IF(Presupuesto!$B$43='Flujo de Pagos'!$E363,43,9999)</f>
        <v>43</v>
      </c>
      <c r="BL363" s="0" t="n">
        <f aca="false">IF(Presupuesto!$B$44='Flujo de Pagos'!$E363,44,9999)</f>
        <v>44</v>
      </c>
      <c r="BM363" s="0" t="n">
        <f aca="false">IF(Presupuesto!$B$45='Flujo de Pagos'!$E363,45,9999)</f>
        <v>45</v>
      </c>
      <c r="BN363" s="0" t="n">
        <f aca="false">IF(Presupuesto!$B$46='Flujo de Pagos'!$E363,46,9999)</f>
        <v>46</v>
      </c>
      <c r="BO363" s="0" t="n">
        <f aca="false">IF(Presupuesto!$B$47='Flujo de Pagos'!$E363,47,9999)</f>
        <v>47</v>
      </c>
      <c r="BP363" s="0" t="n">
        <f aca="false">IF(Presupuesto!$B$48='Flujo de Pagos'!$E363,48,9999)</f>
        <v>48</v>
      </c>
      <c r="BQ363" s="0" t="n">
        <f aca="false">IF(Presupuesto!$B$49='Flujo de Pagos'!$E363,49,9999)</f>
        <v>49</v>
      </c>
      <c r="BR363" s="0" t="n">
        <f aca="false">IF(Presupuesto!$B$50='Flujo de Pagos'!$E363,50,9999)</f>
        <v>50</v>
      </c>
      <c r="BS363" s="0" t="n">
        <f aca="false">IF(Presupuesto!$B$51='Flujo de Pagos'!$E363,51,9999)</f>
        <v>51</v>
      </c>
      <c r="BT363" s="0" t="n">
        <f aca="false">IF(Presupuesto!$B$52='Flujo de Pagos'!$E363,52,9999)</f>
        <v>52</v>
      </c>
      <c r="BU363" s="0" t="n">
        <f aca="false">IF(Presupuesto!$B$53='Flujo de Pagos'!$E363,53,9999)</f>
        <v>53</v>
      </c>
      <c r="BV363" s="0" t="n">
        <f aca="false">IF(Presupuesto!$B$54='Flujo de Pagos'!$E363,54,9999)</f>
        <v>54</v>
      </c>
      <c r="BW363" s="0" t="n">
        <f aca="false">IF(Presupuesto!$B$55='Flujo de Pagos'!$E363,55,9999)</f>
        <v>55</v>
      </c>
      <c r="BX363" s="0" t="n">
        <f aca="false">IF(Presupuesto!$B$56='Flujo de Pagos'!$E363,56,9999)</f>
        <v>56</v>
      </c>
      <c r="BY363" s="0" t="n">
        <f aca="false">IF(Presupuesto!$B$57='Flujo de Pagos'!$E363,57,9999)</f>
        <v>57</v>
      </c>
      <c r="BZ363" s="0" t="n">
        <f aca="false">IF(Presupuesto!$B$58='Flujo de Pagos'!$E363,58,9999)</f>
        <v>58</v>
      </c>
      <c r="CA363" s="0" t="n">
        <f aca="false">IF(Presupuesto!$B$59='Flujo de Pagos'!$E363,59,9999)</f>
        <v>59</v>
      </c>
      <c r="CB363" s="0" t="n">
        <f aca="false">IF(Presupuesto!$B$60='Flujo de Pagos'!$E363,60,9999)</f>
        <v>60</v>
      </c>
      <c r="CC363" s="0" t="n">
        <f aca="false">IF(Presupuesto!$B$61='Flujo de Pagos'!$E363,61,9999)</f>
        <v>61</v>
      </c>
      <c r="CD363" s="0" t="n">
        <f aca="false">IF(Presupuesto!$B$62='Flujo de Pagos'!$E363,62,9999)</f>
        <v>62</v>
      </c>
      <c r="CE363" s="0" t="n">
        <f aca="false">IF(Presupuesto!$B$63='Flujo de Pagos'!$E363,63,9999)</f>
        <v>63</v>
      </c>
      <c r="CF363" s="0" t="n">
        <f aca="false">IF(Presupuesto!$B$64='Flujo de Pagos'!$E363,64,9999)</f>
        <v>64</v>
      </c>
      <c r="CG363" s="0" t="n">
        <f aca="false">IF(Presupuesto!$B$65='Flujo de Pagos'!$E363,65,9999)</f>
        <v>65</v>
      </c>
      <c r="CH363" s="0" t="n">
        <f aca="false">IF(Presupuesto!$B$66='Flujo de Pagos'!$E363,66,9999)</f>
        <v>66</v>
      </c>
    </row>
    <row r="364" customFormat="false" ht="15" hidden="false" customHeight="true" outlineLevel="0" collapsed="false">
      <c r="B364" s="1" t="n">
        <f aca="false">IF(AND('Flujo de Pagos'!E369=Carátula!$B$2,'Flujo de Pagos'!F369=Carátula!$B$4,'Flujo de Pagos'!H369&lt;&gt;""),369,99999)</f>
        <v>99999</v>
      </c>
      <c r="H364" s="1" t="n">
        <f aca="false">IF(SMALL($AA364:$CH364,1)&gt;=9999,"",INDEX(Presupuesto!$C:$C,SMALL($AA364:$CH364,1)))</f>
        <v>0</v>
      </c>
      <c r="I364" s="1" t="n">
        <f aca="false">IF(SMALL($AA364:$CH364,2)&gt;=9999,"",INDEX(Presupuesto!$C:$C,SMALL($AA364:$CH364,2)))</f>
        <v>0</v>
      </c>
      <c r="J364" s="1" t="n">
        <f aca="false">IF(SMALL($AA364:$CH364,3)&gt;=9999,"",INDEX(Presupuesto!$C:$C,SMALL($AA364:$CH364,3)))</f>
        <v>0</v>
      </c>
      <c r="K364" s="1" t="n">
        <f aca="false">IF(SMALL($AA364:$CH364,4)&gt;=9999,"",INDEX(Presupuesto!$C:$C,SMALL($AA364:$CH364,4)))</f>
        <v>0</v>
      </c>
      <c r="L364" s="1" t="n">
        <f aca="false">IF(SMALL($AA364:$CH364,5)&gt;=9999,"",INDEX(Presupuesto!$C:$C,SMALL($AA364:$CH364,5)))</f>
        <v>0</v>
      </c>
      <c r="M364" s="1" t="n">
        <f aca="false">IF(SMALL($AA364:$CH364,6)&gt;=9999,"",INDEX(Presupuesto!$C:$C,SMALL($AA364:$CH364,6)))</f>
        <v>0</v>
      </c>
      <c r="N364" s="1" t="n">
        <f aca="false">IF(SMALL($AA364:$CH364,7)&gt;=9999,"",INDEX(Presupuesto!$C:$C,SMALL($AA364:$CH364,7)))</f>
        <v>0</v>
      </c>
      <c r="O364" s="1" t="n">
        <f aca="false">IF(SMALL($AA364:$CH364,8)&gt;=9999,"",INDEX(Presupuesto!$C:$C,SMALL($AA364:$CH364,8)))</f>
        <v>0</v>
      </c>
      <c r="P364" s="1" t="n">
        <f aca="false">IF(SMALL($AA364:$CH364,9)&gt;=9999,"",INDEX(Presupuesto!$C:$C,SMALL($AA364:$CH364,9)))</f>
        <v>0</v>
      </c>
      <c r="Q364" s="1" t="n">
        <f aca="false">IF(SMALL($AA364:$CH364,10)&gt;=9999,"",INDEX(Presupuesto!$C:$C,SMALL($AA364:$CH364,10)))</f>
        <v>0</v>
      </c>
      <c r="AA364" s="0" t="n">
        <f aca="false">IF(Presupuesto!$B$7='Flujo de Pagos'!$E364,7,9999)</f>
        <v>9999</v>
      </c>
      <c r="AB364" s="0" t="n">
        <f aca="false">IF(Presupuesto!$B$8='Flujo de Pagos'!$E364,8,9999)</f>
        <v>9999</v>
      </c>
      <c r="AC364" s="0" t="n">
        <f aca="false">IF(Presupuesto!$B$9='Flujo de Pagos'!$E364,9,9999)</f>
        <v>9999</v>
      </c>
      <c r="AD364" s="0" t="n">
        <f aca="false">IF(Presupuesto!$B$10='Flujo de Pagos'!$E364,10,9999)</f>
        <v>9999</v>
      </c>
      <c r="AE364" s="0" t="n">
        <f aca="false">IF(Presupuesto!$B$11='Flujo de Pagos'!$E364,11,9999)</f>
        <v>9999</v>
      </c>
      <c r="AF364" s="0" t="n">
        <f aca="false">IF(Presupuesto!$B$12='Flujo de Pagos'!$E364,12,9999)</f>
        <v>12</v>
      </c>
      <c r="AG364" s="0" t="n">
        <f aca="false">IF(Presupuesto!$B$13='Flujo de Pagos'!$E364,13,9999)</f>
        <v>13</v>
      </c>
      <c r="AH364" s="0" t="n">
        <f aca="false">IF(Presupuesto!$B$14='Flujo de Pagos'!$E364,14,9999)</f>
        <v>14</v>
      </c>
      <c r="AI364" s="0" t="n">
        <f aca="false">IF(Presupuesto!$B$15='Flujo de Pagos'!$E364,15,9999)</f>
        <v>15</v>
      </c>
      <c r="AJ364" s="0" t="n">
        <f aca="false">IF(Presupuesto!$B$16='Flujo de Pagos'!$E364,16,9999)</f>
        <v>16</v>
      </c>
      <c r="AK364" s="0" t="n">
        <f aca="false">IF(Presupuesto!$B$17='Flujo de Pagos'!$E364,17,9999)</f>
        <v>17</v>
      </c>
      <c r="AL364" s="0" t="n">
        <f aca="false">IF(Presupuesto!$B$18='Flujo de Pagos'!$E364,18,9999)</f>
        <v>18</v>
      </c>
      <c r="AM364" s="0" t="n">
        <f aca="false">IF(Presupuesto!$B$19='Flujo de Pagos'!$E364,19,9999)</f>
        <v>19</v>
      </c>
      <c r="AN364" s="0" t="n">
        <f aca="false">IF(Presupuesto!$B$20='Flujo de Pagos'!$E364,20,9999)</f>
        <v>20</v>
      </c>
      <c r="AO364" s="0" t="n">
        <f aca="false">IF(Presupuesto!$B$21='Flujo de Pagos'!$E364,21,9999)</f>
        <v>21</v>
      </c>
      <c r="AP364" s="0" t="n">
        <f aca="false">IF(Presupuesto!$B$22='Flujo de Pagos'!$E364,22,9999)</f>
        <v>22</v>
      </c>
      <c r="AQ364" s="0" t="n">
        <f aca="false">IF(Presupuesto!$B$23='Flujo de Pagos'!$E364,23,9999)</f>
        <v>23</v>
      </c>
      <c r="AR364" s="0" t="n">
        <f aca="false">IF(Presupuesto!$B$24='Flujo de Pagos'!$E364,24,9999)</f>
        <v>24</v>
      </c>
      <c r="AS364" s="0" t="n">
        <f aca="false">IF(Presupuesto!$B$25='Flujo de Pagos'!$E364,25,9999)</f>
        <v>25</v>
      </c>
      <c r="AT364" s="0" t="n">
        <f aca="false">IF(Presupuesto!$B$26='Flujo de Pagos'!$E364,26,9999)</f>
        <v>26</v>
      </c>
      <c r="AU364" s="0" t="n">
        <f aca="false">IF(Presupuesto!$B$27='Flujo de Pagos'!$E364,27,9999)</f>
        <v>27</v>
      </c>
      <c r="AV364" s="0" t="n">
        <f aca="false">IF(Presupuesto!$B$28='Flujo de Pagos'!$E364,28,9999)</f>
        <v>28</v>
      </c>
      <c r="AW364" s="0" t="n">
        <f aca="false">IF(Presupuesto!$B$29='Flujo de Pagos'!$E364,29,9999)</f>
        <v>29</v>
      </c>
      <c r="AX364" s="0" t="n">
        <f aca="false">IF(Presupuesto!$B$30='Flujo de Pagos'!$E364,30,9999)</f>
        <v>30</v>
      </c>
      <c r="AY364" s="0" t="n">
        <f aca="false">IF(Presupuesto!$B$31='Flujo de Pagos'!$E364,31,9999)</f>
        <v>31</v>
      </c>
      <c r="AZ364" s="0" t="n">
        <f aca="false">IF(Presupuesto!$B$32='Flujo de Pagos'!$E364,32,9999)</f>
        <v>32</v>
      </c>
      <c r="BA364" s="0" t="n">
        <f aca="false">IF(Presupuesto!$B$33='Flujo de Pagos'!$E364,33,9999)</f>
        <v>33</v>
      </c>
      <c r="BB364" s="0" t="n">
        <f aca="false">IF(Presupuesto!$B$34='Flujo de Pagos'!$E364,34,9999)</f>
        <v>34</v>
      </c>
      <c r="BC364" s="0" t="n">
        <f aca="false">IF(Presupuesto!$B$35='Flujo de Pagos'!$E364,35,9999)</f>
        <v>35</v>
      </c>
      <c r="BD364" s="0" t="n">
        <f aca="false">IF(Presupuesto!$B$36='Flujo de Pagos'!$E364,36,9999)</f>
        <v>36</v>
      </c>
      <c r="BE364" s="0" t="n">
        <f aca="false">IF(Presupuesto!$B$37='Flujo de Pagos'!$E364,37,9999)</f>
        <v>37</v>
      </c>
      <c r="BF364" s="0" t="n">
        <f aca="false">IF(Presupuesto!$B$38='Flujo de Pagos'!$E364,38,9999)</f>
        <v>38</v>
      </c>
      <c r="BG364" s="0" t="n">
        <f aca="false">IF(Presupuesto!$B$39='Flujo de Pagos'!$E364,39,9999)</f>
        <v>39</v>
      </c>
      <c r="BH364" s="0" t="n">
        <f aca="false">IF(Presupuesto!$B$40='Flujo de Pagos'!$E364,40,9999)</f>
        <v>40</v>
      </c>
      <c r="BI364" s="0" t="n">
        <f aca="false">IF(Presupuesto!$B$41='Flujo de Pagos'!$E364,41,9999)</f>
        <v>41</v>
      </c>
      <c r="BJ364" s="0" t="n">
        <f aca="false">IF(Presupuesto!$B$42='Flujo de Pagos'!$E364,42,9999)</f>
        <v>42</v>
      </c>
      <c r="BK364" s="0" t="n">
        <f aca="false">IF(Presupuesto!$B$43='Flujo de Pagos'!$E364,43,9999)</f>
        <v>43</v>
      </c>
      <c r="BL364" s="0" t="n">
        <f aca="false">IF(Presupuesto!$B$44='Flujo de Pagos'!$E364,44,9999)</f>
        <v>44</v>
      </c>
      <c r="BM364" s="0" t="n">
        <f aca="false">IF(Presupuesto!$B$45='Flujo de Pagos'!$E364,45,9999)</f>
        <v>45</v>
      </c>
      <c r="BN364" s="0" t="n">
        <f aca="false">IF(Presupuesto!$B$46='Flujo de Pagos'!$E364,46,9999)</f>
        <v>46</v>
      </c>
      <c r="BO364" s="0" t="n">
        <f aca="false">IF(Presupuesto!$B$47='Flujo de Pagos'!$E364,47,9999)</f>
        <v>47</v>
      </c>
      <c r="BP364" s="0" t="n">
        <f aca="false">IF(Presupuesto!$B$48='Flujo de Pagos'!$E364,48,9999)</f>
        <v>48</v>
      </c>
      <c r="BQ364" s="0" t="n">
        <f aca="false">IF(Presupuesto!$B$49='Flujo de Pagos'!$E364,49,9999)</f>
        <v>49</v>
      </c>
      <c r="BR364" s="0" t="n">
        <f aca="false">IF(Presupuesto!$B$50='Flujo de Pagos'!$E364,50,9999)</f>
        <v>50</v>
      </c>
      <c r="BS364" s="0" t="n">
        <f aca="false">IF(Presupuesto!$B$51='Flujo de Pagos'!$E364,51,9999)</f>
        <v>51</v>
      </c>
      <c r="BT364" s="0" t="n">
        <f aca="false">IF(Presupuesto!$B$52='Flujo de Pagos'!$E364,52,9999)</f>
        <v>52</v>
      </c>
      <c r="BU364" s="0" t="n">
        <f aca="false">IF(Presupuesto!$B$53='Flujo de Pagos'!$E364,53,9999)</f>
        <v>53</v>
      </c>
      <c r="BV364" s="0" t="n">
        <f aca="false">IF(Presupuesto!$B$54='Flujo de Pagos'!$E364,54,9999)</f>
        <v>54</v>
      </c>
      <c r="BW364" s="0" t="n">
        <f aca="false">IF(Presupuesto!$B$55='Flujo de Pagos'!$E364,55,9999)</f>
        <v>55</v>
      </c>
      <c r="BX364" s="0" t="n">
        <f aca="false">IF(Presupuesto!$B$56='Flujo de Pagos'!$E364,56,9999)</f>
        <v>56</v>
      </c>
      <c r="BY364" s="0" t="n">
        <f aca="false">IF(Presupuesto!$B$57='Flujo de Pagos'!$E364,57,9999)</f>
        <v>57</v>
      </c>
      <c r="BZ364" s="0" t="n">
        <f aca="false">IF(Presupuesto!$B$58='Flujo de Pagos'!$E364,58,9999)</f>
        <v>58</v>
      </c>
      <c r="CA364" s="0" t="n">
        <f aca="false">IF(Presupuesto!$B$59='Flujo de Pagos'!$E364,59,9999)</f>
        <v>59</v>
      </c>
      <c r="CB364" s="0" t="n">
        <f aca="false">IF(Presupuesto!$B$60='Flujo de Pagos'!$E364,60,9999)</f>
        <v>60</v>
      </c>
      <c r="CC364" s="0" t="n">
        <f aca="false">IF(Presupuesto!$B$61='Flujo de Pagos'!$E364,61,9999)</f>
        <v>61</v>
      </c>
      <c r="CD364" s="0" t="n">
        <f aca="false">IF(Presupuesto!$B$62='Flujo de Pagos'!$E364,62,9999)</f>
        <v>62</v>
      </c>
      <c r="CE364" s="0" t="n">
        <f aca="false">IF(Presupuesto!$B$63='Flujo de Pagos'!$E364,63,9999)</f>
        <v>63</v>
      </c>
      <c r="CF364" s="0" t="n">
        <f aca="false">IF(Presupuesto!$B$64='Flujo de Pagos'!$E364,64,9999)</f>
        <v>64</v>
      </c>
      <c r="CG364" s="0" t="n">
        <f aca="false">IF(Presupuesto!$B$65='Flujo de Pagos'!$E364,65,9999)</f>
        <v>65</v>
      </c>
      <c r="CH364" s="0" t="n">
        <f aca="false">IF(Presupuesto!$B$66='Flujo de Pagos'!$E364,66,9999)</f>
        <v>66</v>
      </c>
    </row>
    <row r="365" customFormat="false" ht="15" hidden="false" customHeight="true" outlineLevel="0" collapsed="false">
      <c r="B365" s="1" t="n">
        <f aca="false">IF(AND('Flujo de Pagos'!E370=Carátula!$B$2,'Flujo de Pagos'!F370=Carátula!$B$4,'Flujo de Pagos'!H370&lt;&gt;""),370,99999)</f>
        <v>99999</v>
      </c>
      <c r="H365" s="1" t="n">
        <f aca="false">IF(SMALL($AA365:$CH365,1)&gt;=9999,"",INDEX(Presupuesto!$C:$C,SMALL($AA365:$CH365,1)))</f>
        <v>0</v>
      </c>
      <c r="I365" s="1" t="n">
        <f aca="false">IF(SMALL($AA365:$CH365,2)&gt;=9999,"",INDEX(Presupuesto!$C:$C,SMALL($AA365:$CH365,2)))</f>
        <v>0</v>
      </c>
      <c r="J365" s="1" t="n">
        <f aca="false">IF(SMALL($AA365:$CH365,3)&gt;=9999,"",INDEX(Presupuesto!$C:$C,SMALL($AA365:$CH365,3)))</f>
        <v>0</v>
      </c>
      <c r="K365" s="1" t="n">
        <f aca="false">IF(SMALL($AA365:$CH365,4)&gt;=9999,"",INDEX(Presupuesto!$C:$C,SMALL($AA365:$CH365,4)))</f>
        <v>0</v>
      </c>
      <c r="L365" s="1" t="n">
        <f aca="false">IF(SMALL($AA365:$CH365,5)&gt;=9999,"",INDEX(Presupuesto!$C:$C,SMALL($AA365:$CH365,5)))</f>
        <v>0</v>
      </c>
      <c r="M365" s="1" t="n">
        <f aca="false">IF(SMALL($AA365:$CH365,6)&gt;=9999,"",INDEX(Presupuesto!$C:$C,SMALL($AA365:$CH365,6)))</f>
        <v>0</v>
      </c>
      <c r="N365" s="1" t="n">
        <f aca="false">IF(SMALL($AA365:$CH365,7)&gt;=9999,"",INDEX(Presupuesto!$C:$C,SMALL($AA365:$CH365,7)))</f>
        <v>0</v>
      </c>
      <c r="O365" s="1" t="n">
        <f aca="false">IF(SMALL($AA365:$CH365,8)&gt;=9999,"",INDEX(Presupuesto!$C:$C,SMALL($AA365:$CH365,8)))</f>
        <v>0</v>
      </c>
      <c r="P365" s="1" t="n">
        <f aca="false">IF(SMALL($AA365:$CH365,9)&gt;=9999,"",INDEX(Presupuesto!$C:$C,SMALL($AA365:$CH365,9)))</f>
        <v>0</v>
      </c>
      <c r="Q365" s="1" t="n">
        <f aca="false">IF(SMALL($AA365:$CH365,10)&gt;=9999,"",INDEX(Presupuesto!$C:$C,SMALL($AA365:$CH365,10)))</f>
        <v>0</v>
      </c>
      <c r="AA365" s="0" t="n">
        <f aca="false">IF(Presupuesto!$B$7='Flujo de Pagos'!$E365,7,9999)</f>
        <v>9999</v>
      </c>
      <c r="AB365" s="0" t="n">
        <f aca="false">IF(Presupuesto!$B$8='Flujo de Pagos'!$E365,8,9999)</f>
        <v>9999</v>
      </c>
      <c r="AC365" s="0" t="n">
        <f aca="false">IF(Presupuesto!$B$9='Flujo de Pagos'!$E365,9,9999)</f>
        <v>9999</v>
      </c>
      <c r="AD365" s="0" t="n">
        <f aca="false">IF(Presupuesto!$B$10='Flujo de Pagos'!$E365,10,9999)</f>
        <v>9999</v>
      </c>
      <c r="AE365" s="0" t="n">
        <f aca="false">IF(Presupuesto!$B$11='Flujo de Pagos'!$E365,11,9999)</f>
        <v>9999</v>
      </c>
      <c r="AF365" s="0" t="n">
        <f aca="false">IF(Presupuesto!$B$12='Flujo de Pagos'!$E365,12,9999)</f>
        <v>12</v>
      </c>
      <c r="AG365" s="0" t="n">
        <f aca="false">IF(Presupuesto!$B$13='Flujo de Pagos'!$E365,13,9999)</f>
        <v>13</v>
      </c>
      <c r="AH365" s="0" t="n">
        <f aca="false">IF(Presupuesto!$B$14='Flujo de Pagos'!$E365,14,9999)</f>
        <v>14</v>
      </c>
      <c r="AI365" s="0" t="n">
        <f aca="false">IF(Presupuesto!$B$15='Flujo de Pagos'!$E365,15,9999)</f>
        <v>15</v>
      </c>
      <c r="AJ365" s="0" t="n">
        <f aca="false">IF(Presupuesto!$B$16='Flujo de Pagos'!$E365,16,9999)</f>
        <v>16</v>
      </c>
      <c r="AK365" s="0" t="n">
        <f aca="false">IF(Presupuesto!$B$17='Flujo de Pagos'!$E365,17,9999)</f>
        <v>17</v>
      </c>
      <c r="AL365" s="0" t="n">
        <f aca="false">IF(Presupuesto!$B$18='Flujo de Pagos'!$E365,18,9999)</f>
        <v>18</v>
      </c>
      <c r="AM365" s="0" t="n">
        <f aca="false">IF(Presupuesto!$B$19='Flujo de Pagos'!$E365,19,9999)</f>
        <v>19</v>
      </c>
      <c r="AN365" s="0" t="n">
        <f aca="false">IF(Presupuesto!$B$20='Flujo de Pagos'!$E365,20,9999)</f>
        <v>20</v>
      </c>
      <c r="AO365" s="0" t="n">
        <f aca="false">IF(Presupuesto!$B$21='Flujo de Pagos'!$E365,21,9999)</f>
        <v>21</v>
      </c>
      <c r="AP365" s="0" t="n">
        <f aca="false">IF(Presupuesto!$B$22='Flujo de Pagos'!$E365,22,9999)</f>
        <v>22</v>
      </c>
      <c r="AQ365" s="0" t="n">
        <f aca="false">IF(Presupuesto!$B$23='Flujo de Pagos'!$E365,23,9999)</f>
        <v>23</v>
      </c>
      <c r="AR365" s="0" t="n">
        <f aca="false">IF(Presupuesto!$B$24='Flujo de Pagos'!$E365,24,9999)</f>
        <v>24</v>
      </c>
      <c r="AS365" s="0" t="n">
        <f aca="false">IF(Presupuesto!$B$25='Flujo de Pagos'!$E365,25,9999)</f>
        <v>25</v>
      </c>
      <c r="AT365" s="0" t="n">
        <f aca="false">IF(Presupuesto!$B$26='Flujo de Pagos'!$E365,26,9999)</f>
        <v>26</v>
      </c>
      <c r="AU365" s="0" t="n">
        <f aca="false">IF(Presupuesto!$B$27='Flujo de Pagos'!$E365,27,9999)</f>
        <v>27</v>
      </c>
      <c r="AV365" s="0" t="n">
        <f aca="false">IF(Presupuesto!$B$28='Flujo de Pagos'!$E365,28,9999)</f>
        <v>28</v>
      </c>
      <c r="AW365" s="0" t="n">
        <f aca="false">IF(Presupuesto!$B$29='Flujo de Pagos'!$E365,29,9999)</f>
        <v>29</v>
      </c>
      <c r="AX365" s="0" t="n">
        <f aca="false">IF(Presupuesto!$B$30='Flujo de Pagos'!$E365,30,9999)</f>
        <v>30</v>
      </c>
      <c r="AY365" s="0" t="n">
        <f aca="false">IF(Presupuesto!$B$31='Flujo de Pagos'!$E365,31,9999)</f>
        <v>31</v>
      </c>
      <c r="AZ365" s="0" t="n">
        <f aca="false">IF(Presupuesto!$B$32='Flujo de Pagos'!$E365,32,9999)</f>
        <v>32</v>
      </c>
      <c r="BA365" s="0" t="n">
        <f aca="false">IF(Presupuesto!$B$33='Flujo de Pagos'!$E365,33,9999)</f>
        <v>33</v>
      </c>
      <c r="BB365" s="0" t="n">
        <f aca="false">IF(Presupuesto!$B$34='Flujo de Pagos'!$E365,34,9999)</f>
        <v>34</v>
      </c>
      <c r="BC365" s="0" t="n">
        <f aca="false">IF(Presupuesto!$B$35='Flujo de Pagos'!$E365,35,9999)</f>
        <v>35</v>
      </c>
      <c r="BD365" s="0" t="n">
        <f aca="false">IF(Presupuesto!$B$36='Flujo de Pagos'!$E365,36,9999)</f>
        <v>36</v>
      </c>
      <c r="BE365" s="0" t="n">
        <f aca="false">IF(Presupuesto!$B$37='Flujo de Pagos'!$E365,37,9999)</f>
        <v>37</v>
      </c>
      <c r="BF365" s="0" t="n">
        <f aca="false">IF(Presupuesto!$B$38='Flujo de Pagos'!$E365,38,9999)</f>
        <v>38</v>
      </c>
      <c r="BG365" s="0" t="n">
        <f aca="false">IF(Presupuesto!$B$39='Flujo de Pagos'!$E365,39,9999)</f>
        <v>39</v>
      </c>
      <c r="BH365" s="0" t="n">
        <f aca="false">IF(Presupuesto!$B$40='Flujo de Pagos'!$E365,40,9999)</f>
        <v>40</v>
      </c>
      <c r="BI365" s="0" t="n">
        <f aca="false">IF(Presupuesto!$B$41='Flujo de Pagos'!$E365,41,9999)</f>
        <v>41</v>
      </c>
      <c r="BJ365" s="0" t="n">
        <f aca="false">IF(Presupuesto!$B$42='Flujo de Pagos'!$E365,42,9999)</f>
        <v>42</v>
      </c>
      <c r="BK365" s="0" t="n">
        <f aca="false">IF(Presupuesto!$B$43='Flujo de Pagos'!$E365,43,9999)</f>
        <v>43</v>
      </c>
      <c r="BL365" s="0" t="n">
        <f aca="false">IF(Presupuesto!$B$44='Flujo de Pagos'!$E365,44,9999)</f>
        <v>44</v>
      </c>
      <c r="BM365" s="0" t="n">
        <f aca="false">IF(Presupuesto!$B$45='Flujo de Pagos'!$E365,45,9999)</f>
        <v>45</v>
      </c>
      <c r="BN365" s="0" t="n">
        <f aca="false">IF(Presupuesto!$B$46='Flujo de Pagos'!$E365,46,9999)</f>
        <v>46</v>
      </c>
      <c r="BO365" s="0" t="n">
        <f aca="false">IF(Presupuesto!$B$47='Flujo de Pagos'!$E365,47,9999)</f>
        <v>47</v>
      </c>
      <c r="BP365" s="0" t="n">
        <f aca="false">IF(Presupuesto!$B$48='Flujo de Pagos'!$E365,48,9999)</f>
        <v>48</v>
      </c>
      <c r="BQ365" s="0" t="n">
        <f aca="false">IF(Presupuesto!$B$49='Flujo de Pagos'!$E365,49,9999)</f>
        <v>49</v>
      </c>
      <c r="BR365" s="0" t="n">
        <f aca="false">IF(Presupuesto!$B$50='Flujo de Pagos'!$E365,50,9999)</f>
        <v>50</v>
      </c>
      <c r="BS365" s="0" t="n">
        <f aca="false">IF(Presupuesto!$B$51='Flujo de Pagos'!$E365,51,9999)</f>
        <v>51</v>
      </c>
      <c r="BT365" s="0" t="n">
        <f aca="false">IF(Presupuesto!$B$52='Flujo de Pagos'!$E365,52,9999)</f>
        <v>52</v>
      </c>
      <c r="BU365" s="0" t="n">
        <f aca="false">IF(Presupuesto!$B$53='Flujo de Pagos'!$E365,53,9999)</f>
        <v>53</v>
      </c>
      <c r="BV365" s="0" t="n">
        <f aca="false">IF(Presupuesto!$B$54='Flujo de Pagos'!$E365,54,9999)</f>
        <v>54</v>
      </c>
      <c r="BW365" s="0" t="n">
        <f aca="false">IF(Presupuesto!$B$55='Flujo de Pagos'!$E365,55,9999)</f>
        <v>55</v>
      </c>
      <c r="BX365" s="0" t="n">
        <f aca="false">IF(Presupuesto!$B$56='Flujo de Pagos'!$E365,56,9999)</f>
        <v>56</v>
      </c>
      <c r="BY365" s="0" t="n">
        <f aca="false">IF(Presupuesto!$B$57='Flujo de Pagos'!$E365,57,9999)</f>
        <v>57</v>
      </c>
      <c r="BZ365" s="0" t="n">
        <f aca="false">IF(Presupuesto!$B$58='Flujo de Pagos'!$E365,58,9999)</f>
        <v>58</v>
      </c>
      <c r="CA365" s="0" t="n">
        <f aca="false">IF(Presupuesto!$B$59='Flujo de Pagos'!$E365,59,9999)</f>
        <v>59</v>
      </c>
      <c r="CB365" s="0" t="n">
        <f aca="false">IF(Presupuesto!$B$60='Flujo de Pagos'!$E365,60,9999)</f>
        <v>60</v>
      </c>
      <c r="CC365" s="0" t="n">
        <f aca="false">IF(Presupuesto!$B$61='Flujo de Pagos'!$E365,61,9999)</f>
        <v>61</v>
      </c>
      <c r="CD365" s="0" t="n">
        <f aca="false">IF(Presupuesto!$B$62='Flujo de Pagos'!$E365,62,9999)</f>
        <v>62</v>
      </c>
      <c r="CE365" s="0" t="n">
        <f aca="false">IF(Presupuesto!$B$63='Flujo de Pagos'!$E365,63,9999)</f>
        <v>63</v>
      </c>
      <c r="CF365" s="0" t="n">
        <f aca="false">IF(Presupuesto!$B$64='Flujo de Pagos'!$E365,64,9999)</f>
        <v>64</v>
      </c>
      <c r="CG365" s="0" t="n">
        <f aca="false">IF(Presupuesto!$B$65='Flujo de Pagos'!$E365,65,9999)</f>
        <v>65</v>
      </c>
      <c r="CH365" s="0" t="n">
        <f aca="false">IF(Presupuesto!$B$66='Flujo de Pagos'!$E365,66,9999)</f>
        <v>66</v>
      </c>
    </row>
    <row r="366" customFormat="false" ht="15" hidden="false" customHeight="true" outlineLevel="0" collapsed="false">
      <c r="B366" s="1" t="n">
        <f aca="false">IF(AND('Flujo de Pagos'!E371=Carátula!$B$2,'Flujo de Pagos'!F371=Carátula!$B$4,'Flujo de Pagos'!H371&lt;&gt;""),371,99999)</f>
        <v>99999</v>
      </c>
      <c r="H366" s="1" t="n">
        <f aca="false">IF(SMALL($AA366:$CH366,1)&gt;=9999,"",INDEX(Presupuesto!$C:$C,SMALL($AA366:$CH366,1)))</f>
        <v>0</v>
      </c>
      <c r="I366" s="1" t="n">
        <f aca="false">IF(SMALL($AA366:$CH366,2)&gt;=9999,"",INDEX(Presupuesto!$C:$C,SMALL($AA366:$CH366,2)))</f>
        <v>0</v>
      </c>
      <c r="J366" s="1" t="n">
        <f aca="false">IF(SMALL($AA366:$CH366,3)&gt;=9999,"",INDEX(Presupuesto!$C:$C,SMALL($AA366:$CH366,3)))</f>
        <v>0</v>
      </c>
      <c r="K366" s="1" t="n">
        <f aca="false">IF(SMALL($AA366:$CH366,4)&gt;=9999,"",INDEX(Presupuesto!$C:$C,SMALL($AA366:$CH366,4)))</f>
        <v>0</v>
      </c>
      <c r="L366" s="1" t="n">
        <f aca="false">IF(SMALL($AA366:$CH366,5)&gt;=9999,"",INDEX(Presupuesto!$C:$C,SMALL($AA366:$CH366,5)))</f>
        <v>0</v>
      </c>
      <c r="M366" s="1" t="n">
        <f aca="false">IF(SMALL($AA366:$CH366,6)&gt;=9999,"",INDEX(Presupuesto!$C:$C,SMALL($AA366:$CH366,6)))</f>
        <v>0</v>
      </c>
      <c r="N366" s="1" t="n">
        <f aca="false">IF(SMALL($AA366:$CH366,7)&gt;=9999,"",INDEX(Presupuesto!$C:$C,SMALL($AA366:$CH366,7)))</f>
        <v>0</v>
      </c>
      <c r="O366" s="1" t="n">
        <f aca="false">IF(SMALL($AA366:$CH366,8)&gt;=9999,"",INDEX(Presupuesto!$C:$C,SMALL($AA366:$CH366,8)))</f>
        <v>0</v>
      </c>
      <c r="P366" s="1" t="n">
        <f aca="false">IF(SMALL($AA366:$CH366,9)&gt;=9999,"",INDEX(Presupuesto!$C:$C,SMALL($AA366:$CH366,9)))</f>
        <v>0</v>
      </c>
      <c r="Q366" s="1" t="n">
        <f aca="false">IF(SMALL($AA366:$CH366,10)&gt;=9999,"",INDEX(Presupuesto!$C:$C,SMALL($AA366:$CH366,10)))</f>
        <v>0</v>
      </c>
      <c r="AA366" s="0" t="n">
        <f aca="false">IF(Presupuesto!$B$7='Flujo de Pagos'!$E366,7,9999)</f>
        <v>9999</v>
      </c>
      <c r="AB366" s="0" t="n">
        <f aca="false">IF(Presupuesto!$B$8='Flujo de Pagos'!$E366,8,9999)</f>
        <v>9999</v>
      </c>
      <c r="AC366" s="0" t="n">
        <f aca="false">IF(Presupuesto!$B$9='Flujo de Pagos'!$E366,9,9999)</f>
        <v>9999</v>
      </c>
      <c r="AD366" s="0" t="n">
        <f aca="false">IF(Presupuesto!$B$10='Flujo de Pagos'!$E366,10,9999)</f>
        <v>9999</v>
      </c>
      <c r="AE366" s="0" t="n">
        <f aca="false">IF(Presupuesto!$B$11='Flujo de Pagos'!$E366,11,9999)</f>
        <v>9999</v>
      </c>
      <c r="AF366" s="0" t="n">
        <f aca="false">IF(Presupuesto!$B$12='Flujo de Pagos'!$E366,12,9999)</f>
        <v>12</v>
      </c>
      <c r="AG366" s="0" t="n">
        <f aca="false">IF(Presupuesto!$B$13='Flujo de Pagos'!$E366,13,9999)</f>
        <v>13</v>
      </c>
      <c r="AH366" s="0" t="n">
        <f aca="false">IF(Presupuesto!$B$14='Flujo de Pagos'!$E366,14,9999)</f>
        <v>14</v>
      </c>
      <c r="AI366" s="0" t="n">
        <f aca="false">IF(Presupuesto!$B$15='Flujo de Pagos'!$E366,15,9999)</f>
        <v>15</v>
      </c>
      <c r="AJ366" s="0" t="n">
        <f aca="false">IF(Presupuesto!$B$16='Flujo de Pagos'!$E366,16,9999)</f>
        <v>16</v>
      </c>
      <c r="AK366" s="0" t="n">
        <f aca="false">IF(Presupuesto!$B$17='Flujo de Pagos'!$E366,17,9999)</f>
        <v>17</v>
      </c>
      <c r="AL366" s="0" t="n">
        <f aca="false">IF(Presupuesto!$B$18='Flujo de Pagos'!$E366,18,9999)</f>
        <v>18</v>
      </c>
      <c r="AM366" s="0" t="n">
        <f aca="false">IF(Presupuesto!$B$19='Flujo de Pagos'!$E366,19,9999)</f>
        <v>19</v>
      </c>
      <c r="AN366" s="0" t="n">
        <f aca="false">IF(Presupuesto!$B$20='Flujo de Pagos'!$E366,20,9999)</f>
        <v>20</v>
      </c>
      <c r="AO366" s="0" t="n">
        <f aca="false">IF(Presupuesto!$B$21='Flujo de Pagos'!$E366,21,9999)</f>
        <v>21</v>
      </c>
      <c r="AP366" s="0" t="n">
        <f aca="false">IF(Presupuesto!$B$22='Flujo de Pagos'!$E366,22,9999)</f>
        <v>22</v>
      </c>
      <c r="AQ366" s="0" t="n">
        <f aca="false">IF(Presupuesto!$B$23='Flujo de Pagos'!$E366,23,9999)</f>
        <v>23</v>
      </c>
      <c r="AR366" s="0" t="n">
        <f aca="false">IF(Presupuesto!$B$24='Flujo de Pagos'!$E366,24,9999)</f>
        <v>24</v>
      </c>
      <c r="AS366" s="0" t="n">
        <f aca="false">IF(Presupuesto!$B$25='Flujo de Pagos'!$E366,25,9999)</f>
        <v>25</v>
      </c>
      <c r="AT366" s="0" t="n">
        <f aca="false">IF(Presupuesto!$B$26='Flujo de Pagos'!$E366,26,9999)</f>
        <v>26</v>
      </c>
      <c r="AU366" s="0" t="n">
        <f aca="false">IF(Presupuesto!$B$27='Flujo de Pagos'!$E366,27,9999)</f>
        <v>27</v>
      </c>
      <c r="AV366" s="0" t="n">
        <f aca="false">IF(Presupuesto!$B$28='Flujo de Pagos'!$E366,28,9999)</f>
        <v>28</v>
      </c>
      <c r="AW366" s="0" t="n">
        <f aca="false">IF(Presupuesto!$B$29='Flujo de Pagos'!$E366,29,9999)</f>
        <v>29</v>
      </c>
      <c r="AX366" s="0" t="n">
        <f aca="false">IF(Presupuesto!$B$30='Flujo de Pagos'!$E366,30,9999)</f>
        <v>30</v>
      </c>
      <c r="AY366" s="0" t="n">
        <f aca="false">IF(Presupuesto!$B$31='Flujo de Pagos'!$E366,31,9999)</f>
        <v>31</v>
      </c>
      <c r="AZ366" s="0" t="n">
        <f aca="false">IF(Presupuesto!$B$32='Flujo de Pagos'!$E366,32,9999)</f>
        <v>32</v>
      </c>
      <c r="BA366" s="0" t="n">
        <f aca="false">IF(Presupuesto!$B$33='Flujo de Pagos'!$E366,33,9999)</f>
        <v>33</v>
      </c>
      <c r="BB366" s="0" t="n">
        <f aca="false">IF(Presupuesto!$B$34='Flujo de Pagos'!$E366,34,9999)</f>
        <v>34</v>
      </c>
      <c r="BC366" s="0" t="n">
        <f aca="false">IF(Presupuesto!$B$35='Flujo de Pagos'!$E366,35,9999)</f>
        <v>35</v>
      </c>
      <c r="BD366" s="0" t="n">
        <f aca="false">IF(Presupuesto!$B$36='Flujo de Pagos'!$E366,36,9999)</f>
        <v>36</v>
      </c>
      <c r="BE366" s="0" t="n">
        <f aca="false">IF(Presupuesto!$B$37='Flujo de Pagos'!$E366,37,9999)</f>
        <v>37</v>
      </c>
      <c r="BF366" s="0" t="n">
        <f aca="false">IF(Presupuesto!$B$38='Flujo de Pagos'!$E366,38,9999)</f>
        <v>38</v>
      </c>
      <c r="BG366" s="0" t="n">
        <f aca="false">IF(Presupuesto!$B$39='Flujo de Pagos'!$E366,39,9999)</f>
        <v>39</v>
      </c>
      <c r="BH366" s="0" t="n">
        <f aca="false">IF(Presupuesto!$B$40='Flujo de Pagos'!$E366,40,9999)</f>
        <v>40</v>
      </c>
      <c r="BI366" s="0" t="n">
        <f aca="false">IF(Presupuesto!$B$41='Flujo de Pagos'!$E366,41,9999)</f>
        <v>41</v>
      </c>
      <c r="BJ366" s="0" t="n">
        <f aca="false">IF(Presupuesto!$B$42='Flujo de Pagos'!$E366,42,9999)</f>
        <v>42</v>
      </c>
      <c r="BK366" s="0" t="n">
        <f aca="false">IF(Presupuesto!$B$43='Flujo de Pagos'!$E366,43,9999)</f>
        <v>43</v>
      </c>
      <c r="BL366" s="0" t="n">
        <f aca="false">IF(Presupuesto!$B$44='Flujo de Pagos'!$E366,44,9999)</f>
        <v>44</v>
      </c>
      <c r="BM366" s="0" t="n">
        <f aca="false">IF(Presupuesto!$B$45='Flujo de Pagos'!$E366,45,9999)</f>
        <v>45</v>
      </c>
      <c r="BN366" s="0" t="n">
        <f aca="false">IF(Presupuesto!$B$46='Flujo de Pagos'!$E366,46,9999)</f>
        <v>46</v>
      </c>
      <c r="BO366" s="0" t="n">
        <f aca="false">IF(Presupuesto!$B$47='Flujo de Pagos'!$E366,47,9999)</f>
        <v>47</v>
      </c>
      <c r="BP366" s="0" t="n">
        <f aca="false">IF(Presupuesto!$B$48='Flujo de Pagos'!$E366,48,9999)</f>
        <v>48</v>
      </c>
      <c r="BQ366" s="0" t="n">
        <f aca="false">IF(Presupuesto!$B$49='Flujo de Pagos'!$E366,49,9999)</f>
        <v>49</v>
      </c>
      <c r="BR366" s="0" t="n">
        <f aca="false">IF(Presupuesto!$B$50='Flujo de Pagos'!$E366,50,9999)</f>
        <v>50</v>
      </c>
      <c r="BS366" s="0" t="n">
        <f aca="false">IF(Presupuesto!$B$51='Flujo de Pagos'!$E366,51,9999)</f>
        <v>51</v>
      </c>
      <c r="BT366" s="0" t="n">
        <f aca="false">IF(Presupuesto!$B$52='Flujo de Pagos'!$E366,52,9999)</f>
        <v>52</v>
      </c>
      <c r="BU366" s="0" t="n">
        <f aca="false">IF(Presupuesto!$B$53='Flujo de Pagos'!$E366,53,9999)</f>
        <v>53</v>
      </c>
      <c r="BV366" s="0" t="n">
        <f aca="false">IF(Presupuesto!$B$54='Flujo de Pagos'!$E366,54,9999)</f>
        <v>54</v>
      </c>
      <c r="BW366" s="0" t="n">
        <f aca="false">IF(Presupuesto!$B$55='Flujo de Pagos'!$E366,55,9999)</f>
        <v>55</v>
      </c>
      <c r="BX366" s="0" t="n">
        <f aca="false">IF(Presupuesto!$B$56='Flujo de Pagos'!$E366,56,9999)</f>
        <v>56</v>
      </c>
      <c r="BY366" s="0" t="n">
        <f aca="false">IF(Presupuesto!$B$57='Flujo de Pagos'!$E366,57,9999)</f>
        <v>57</v>
      </c>
      <c r="BZ366" s="0" t="n">
        <f aca="false">IF(Presupuesto!$B$58='Flujo de Pagos'!$E366,58,9999)</f>
        <v>58</v>
      </c>
      <c r="CA366" s="0" t="n">
        <f aca="false">IF(Presupuesto!$B$59='Flujo de Pagos'!$E366,59,9999)</f>
        <v>59</v>
      </c>
      <c r="CB366" s="0" t="n">
        <f aca="false">IF(Presupuesto!$B$60='Flujo de Pagos'!$E366,60,9999)</f>
        <v>60</v>
      </c>
      <c r="CC366" s="0" t="n">
        <f aca="false">IF(Presupuesto!$B$61='Flujo de Pagos'!$E366,61,9999)</f>
        <v>61</v>
      </c>
      <c r="CD366" s="0" t="n">
        <f aca="false">IF(Presupuesto!$B$62='Flujo de Pagos'!$E366,62,9999)</f>
        <v>62</v>
      </c>
      <c r="CE366" s="0" t="n">
        <f aca="false">IF(Presupuesto!$B$63='Flujo de Pagos'!$E366,63,9999)</f>
        <v>63</v>
      </c>
      <c r="CF366" s="0" t="n">
        <f aca="false">IF(Presupuesto!$B$64='Flujo de Pagos'!$E366,64,9999)</f>
        <v>64</v>
      </c>
      <c r="CG366" s="0" t="n">
        <f aca="false">IF(Presupuesto!$B$65='Flujo de Pagos'!$E366,65,9999)</f>
        <v>65</v>
      </c>
      <c r="CH366" s="0" t="n">
        <f aca="false">IF(Presupuesto!$B$66='Flujo de Pagos'!$E366,66,9999)</f>
        <v>66</v>
      </c>
    </row>
    <row r="367" customFormat="false" ht="15" hidden="false" customHeight="true" outlineLevel="0" collapsed="false">
      <c r="B367" s="1" t="n">
        <f aca="false">IF(AND('Flujo de Pagos'!E372=Carátula!$B$2,'Flujo de Pagos'!F372=Carátula!$B$4,'Flujo de Pagos'!H372&lt;&gt;""),372,99999)</f>
        <v>99999</v>
      </c>
      <c r="H367" s="1" t="n">
        <f aca="false">IF(SMALL($AA367:$CH367,1)&gt;=9999,"",INDEX(Presupuesto!$C:$C,SMALL($AA367:$CH367,1)))</f>
        <v>0</v>
      </c>
      <c r="I367" s="1" t="n">
        <f aca="false">IF(SMALL($AA367:$CH367,2)&gt;=9999,"",INDEX(Presupuesto!$C:$C,SMALL($AA367:$CH367,2)))</f>
        <v>0</v>
      </c>
      <c r="J367" s="1" t="n">
        <f aca="false">IF(SMALL($AA367:$CH367,3)&gt;=9999,"",INDEX(Presupuesto!$C:$C,SMALL($AA367:$CH367,3)))</f>
        <v>0</v>
      </c>
      <c r="K367" s="1" t="n">
        <f aca="false">IF(SMALL($AA367:$CH367,4)&gt;=9999,"",INDEX(Presupuesto!$C:$C,SMALL($AA367:$CH367,4)))</f>
        <v>0</v>
      </c>
      <c r="L367" s="1" t="n">
        <f aca="false">IF(SMALL($AA367:$CH367,5)&gt;=9999,"",INDEX(Presupuesto!$C:$C,SMALL($AA367:$CH367,5)))</f>
        <v>0</v>
      </c>
      <c r="M367" s="1" t="n">
        <f aca="false">IF(SMALL($AA367:$CH367,6)&gt;=9999,"",INDEX(Presupuesto!$C:$C,SMALL($AA367:$CH367,6)))</f>
        <v>0</v>
      </c>
      <c r="N367" s="1" t="n">
        <f aca="false">IF(SMALL($AA367:$CH367,7)&gt;=9999,"",INDEX(Presupuesto!$C:$C,SMALL($AA367:$CH367,7)))</f>
        <v>0</v>
      </c>
      <c r="O367" s="1" t="n">
        <f aca="false">IF(SMALL($AA367:$CH367,8)&gt;=9999,"",INDEX(Presupuesto!$C:$C,SMALL($AA367:$CH367,8)))</f>
        <v>0</v>
      </c>
      <c r="P367" s="1" t="n">
        <f aca="false">IF(SMALL($AA367:$CH367,9)&gt;=9999,"",INDEX(Presupuesto!$C:$C,SMALL($AA367:$CH367,9)))</f>
        <v>0</v>
      </c>
      <c r="Q367" s="1" t="n">
        <f aca="false">IF(SMALL($AA367:$CH367,10)&gt;=9999,"",INDEX(Presupuesto!$C:$C,SMALL($AA367:$CH367,10)))</f>
        <v>0</v>
      </c>
      <c r="AA367" s="0" t="n">
        <f aca="false">IF(Presupuesto!$B$7='Flujo de Pagos'!$E367,7,9999)</f>
        <v>9999</v>
      </c>
      <c r="AB367" s="0" t="n">
        <f aca="false">IF(Presupuesto!$B$8='Flujo de Pagos'!$E367,8,9999)</f>
        <v>9999</v>
      </c>
      <c r="AC367" s="0" t="n">
        <f aca="false">IF(Presupuesto!$B$9='Flujo de Pagos'!$E367,9,9999)</f>
        <v>9999</v>
      </c>
      <c r="AD367" s="0" t="n">
        <f aca="false">IF(Presupuesto!$B$10='Flujo de Pagos'!$E367,10,9999)</f>
        <v>9999</v>
      </c>
      <c r="AE367" s="0" t="n">
        <f aca="false">IF(Presupuesto!$B$11='Flujo de Pagos'!$E367,11,9999)</f>
        <v>9999</v>
      </c>
      <c r="AF367" s="0" t="n">
        <f aca="false">IF(Presupuesto!$B$12='Flujo de Pagos'!$E367,12,9999)</f>
        <v>12</v>
      </c>
      <c r="AG367" s="0" t="n">
        <f aca="false">IF(Presupuesto!$B$13='Flujo de Pagos'!$E367,13,9999)</f>
        <v>13</v>
      </c>
      <c r="AH367" s="0" t="n">
        <f aca="false">IF(Presupuesto!$B$14='Flujo de Pagos'!$E367,14,9999)</f>
        <v>14</v>
      </c>
      <c r="AI367" s="0" t="n">
        <f aca="false">IF(Presupuesto!$B$15='Flujo de Pagos'!$E367,15,9999)</f>
        <v>15</v>
      </c>
      <c r="AJ367" s="0" t="n">
        <f aca="false">IF(Presupuesto!$B$16='Flujo de Pagos'!$E367,16,9999)</f>
        <v>16</v>
      </c>
      <c r="AK367" s="0" t="n">
        <f aca="false">IF(Presupuesto!$B$17='Flujo de Pagos'!$E367,17,9999)</f>
        <v>17</v>
      </c>
      <c r="AL367" s="0" t="n">
        <f aca="false">IF(Presupuesto!$B$18='Flujo de Pagos'!$E367,18,9999)</f>
        <v>18</v>
      </c>
      <c r="AM367" s="0" t="n">
        <f aca="false">IF(Presupuesto!$B$19='Flujo de Pagos'!$E367,19,9999)</f>
        <v>19</v>
      </c>
      <c r="AN367" s="0" t="n">
        <f aca="false">IF(Presupuesto!$B$20='Flujo de Pagos'!$E367,20,9999)</f>
        <v>20</v>
      </c>
      <c r="AO367" s="0" t="n">
        <f aca="false">IF(Presupuesto!$B$21='Flujo de Pagos'!$E367,21,9999)</f>
        <v>21</v>
      </c>
      <c r="AP367" s="0" t="n">
        <f aca="false">IF(Presupuesto!$B$22='Flujo de Pagos'!$E367,22,9999)</f>
        <v>22</v>
      </c>
      <c r="AQ367" s="0" t="n">
        <f aca="false">IF(Presupuesto!$B$23='Flujo de Pagos'!$E367,23,9999)</f>
        <v>23</v>
      </c>
      <c r="AR367" s="0" t="n">
        <f aca="false">IF(Presupuesto!$B$24='Flujo de Pagos'!$E367,24,9999)</f>
        <v>24</v>
      </c>
      <c r="AS367" s="0" t="n">
        <f aca="false">IF(Presupuesto!$B$25='Flujo de Pagos'!$E367,25,9999)</f>
        <v>25</v>
      </c>
      <c r="AT367" s="0" t="n">
        <f aca="false">IF(Presupuesto!$B$26='Flujo de Pagos'!$E367,26,9999)</f>
        <v>26</v>
      </c>
      <c r="AU367" s="0" t="n">
        <f aca="false">IF(Presupuesto!$B$27='Flujo de Pagos'!$E367,27,9999)</f>
        <v>27</v>
      </c>
      <c r="AV367" s="0" t="n">
        <f aca="false">IF(Presupuesto!$B$28='Flujo de Pagos'!$E367,28,9999)</f>
        <v>28</v>
      </c>
      <c r="AW367" s="0" t="n">
        <f aca="false">IF(Presupuesto!$B$29='Flujo de Pagos'!$E367,29,9999)</f>
        <v>29</v>
      </c>
      <c r="AX367" s="0" t="n">
        <f aca="false">IF(Presupuesto!$B$30='Flujo de Pagos'!$E367,30,9999)</f>
        <v>30</v>
      </c>
      <c r="AY367" s="0" t="n">
        <f aca="false">IF(Presupuesto!$B$31='Flujo de Pagos'!$E367,31,9999)</f>
        <v>31</v>
      </c>
      <c r="AZ367" s="0" t="n">
        <f aca="false">IF(Presupuesto!$B$32='Flujo de Pagos'!$E367,32,9999)</f>
        <v>32</v>
      </c>
      <c r="BA367" s="0" t="n">
        <f aca="false">IF(Presupuesto!$B$33='Flujo de Pagos'!$E367,33,9999)</f>
        <v>33</v>
      </c>
      <c r="BB367" s="0" t="n">
        <f aca="false">IF(Presupuesto!$B$34='Flujo de Pagos'!$E367,34,9999)</f>
        <v>34</v>
      </c>
      <c r="BC367" s="0" t="n">
        <f aca="false">IF(Presupuesto!$B$35='Flujo de Pagos'!$E367,35,9999)</f>
        <v>35</v>
      </c>
      <c r="BD367" s="0" t="n">
        <f aca="false">IF(Presupuesto!$B$36='Flujo de Pagos'!$E367,36,9999)</f>
        <v>36</v>
      </c>
      <c r="BE367" s="0" t="n">
        <f aca="false">IF(Presupuesto!$B$37='Flujo de Pagos'!$E367,37,9999)</f>
        <v>37</v>
      </c>
      <c r="BF367" s="0" t="n">
        <f aca="false">IF(Presupuesto!$B$38='Flujo de Pagos'!$E367,38,9999)</f>
        <v>38</v>
      </c>
      <c r="BG367" s="0" t="n">
        <f aca="false">IF(Presupuesto!$B$39='Flujo de Pagos'!$E367,39,9999)</f>
        <v>39</v>
      </c>
      <c r="BH367" s="0" t="n">
        <f aca="false">IF(Presupuesto!$B$40='Flujo de Pagos'!$E367,40,9999)</f>
        <v>40</v>
      </c>
      <c r="BI367" s="0" t="n">
        <f aca="false">IF(Presupuesto!$B$41='Flujo de Pagos'!$E367,41,9999)</f>
        <v>41</v>
      </c>
      <c r="BJ367" s="0" t="n">
        <f aca="false">IF(Presupuesto!$B$42='Flujo de Pagos'!$E367,42,9999)</f>
        <v>42</v>
      </c>
      <c r="BK367" s="0" t="n">
        <f aca="false">IF(Presupuesto!$B$43='Flujo de Pagos'!$E367,43,9999)</f>
        <v>43</v>
      </c>
      <c r="BL367" s="0" t="n">
        <f aca="false">IF(Presupuesto!$B$44='Flujo de Pagos'!$E367,44,9999)</f>
        <v>44</v>
      </c>
      <c r="BM367" s="0" t="n">
        <f aca="false">IF(Presupuesto!$B$45='Flujo de Pagos'!$E367,45,9999)</f>
        <v>45</v>
      </c>
      <c r="BN367" s="0" t="n">
        <f aca="false">IF(Presupuesto!$B$46='Flujo de Pagos'!$E367,46,9999)</f>
        <v>46</v>
      </c>
      <c r="BO367" s="0" t="n">
        <f aca="false">IF(Presupuesto!$B$47='Flujo de Pagos'!$E367,47,9999)</f>
        <v>47</v>
      </c>
      <c r="BP367" s="0" t="n">
        <f aca="false">IF(Presupuesto!$B$48='Flujo de Pagos'!$E367,48,9999)</f>
        <v>48</v>
      </c>
      <c r="BQ367" s="0" t="n">
        <f aca="false">IF(Presupuesto!$B$49='Flujo de Pagos'!$E367,49,9999)</f>
        <v>49</v>
      </c>
      <c r="BR367" s="0" t="n">
        <f aca="false">IF(Presupuesto!$B$50='Flujo de Pagos'!$E367,50,9999)</f>
        <v>50</v>
      </c>
      <c r="BS367" s="0" t="n">
        <f aca="false">IF(Presupuesto!$B$51='Flujo de Pagos'!$E367,51,9999)</f>
        <v>51</v>
      </c>
      <c r="BT367" s="0" t="n">
        <f aca="false">IF(Presupuesto!$B$52='Flujo de Pagos'!$E367,52,9999)</f>
        <v>52</v>
      </c>
      <c r="BU367" s="0" t="n">
        <f aca="false">IF(Presupuesto!$B$53='Flujo de Pagos'!$E367,53,9999)</f>
        <v>53</v>
      </c>
      <c r="BV367" s="0" t="n">
        <f aca="false">IF(Presupuesto!$B$54='Flujo de Pagos'!$E367,54,9999)</f>
        <v>54</v>
      </c>
      <c r="BW367" s="0" t="n">
        <f aca="false">IF(Presupuesto!$B$55='Flujo de Pagos'!$E367,55,9999)</f>
        <v>55</v>
      </c>
      <c r="BX367" s="0" t="n">
        <f aca="false">IF(Presupuesto!$B$56='Flujo de Pagos'!$E367,56,9999)</f>
        <v>56</v>
      </c>
      <c r="BY367" s="0" t="n">
        <f aca="false">IF(Presupuesto!$B$57='Flujo de Pagos'!$E367,57,9999)</f>
        <v>57</v>
      </c>
      <c r="BZ367" s="0" t="n">
        <f aca="false">IF(Presupuesto!$B$58='Flujo de Pagos'!$E367,58,9999)</f>
        <v>58</v>
      </c>
      <c r="CA367" s="0" t="n">
        <f aca="false">IF(Presupuesto!$B$59='Flujo de Pagos'!$E367,59,9999)</f>
        <v>59</v>
      </c>
      <c r="CB367" s="0" t="n">
        <f aca="false">IF(Presupuesto!$B$60='Flujo de Pagos'!$E367,60,9999)</f>
        <v>60</v>
      </c>
      <c r="CC367" s="0" t="n">
        <f aca="false">IF(Presupuesto!$B$61='Flujo de Pagos'!$E367,61,9999)</f>
        <v>61</v>
      </c>
      <c r="CD367" s="0" t="n">
        <f aca="false">IF(Presupuesto!$B$62='Flujo de Pagos'!$E367,62,9999)</f>
        <v>62</v>
      </c>
      <c r="CE367" s="0" t="n">
        <f aca="false">IF(Presupuesto!$B$63='Flujo de Pagos'!$E367,63,9999)</f>
        <v>63</v>
      </c>
      <c r="CF367" s="0" t="n">
        <f aca="false">IF(Presupuesto!$B$64='Flujo de Pagos'!$E367,64,9999)</f>
        <v>64</v>
      </c>
      <c r="CG367" s="0" t="n">
        <f aca="false">IF(Presupuesto!$B$65='Flujo de Pagos'!$E367,65,9999)</f>
        <v>65</v>
      </c>
      <c r="CH367" s="0" t="n">
        <f aca="false">IF(Presupuesto!$B$66='Flujo de Pagos'!$E367,66,9999)</f>
        <v>66</v>
      </c>
    </row>
    <row r="368" customFormat="false" ht="15" hidden="false" customHeight="true" outlineLevel="0" collapsed="false">
      <c r="B368" s="1" t="n">
        <f aca="false">IF(AND('Flujo de Pagos'!E373=Carátula!$B$2,'Flujo de Pagos'!F373=Carátula!$B$4,'Flujo de Pagos'!H373&lt;&gt;""),373,99999)</f>
        <v>99999</v>
      </c>
      <c r="H368" s="1" t="n">
        <f aca="false">IF(SMALL($AA368:$CH368,1)&gt;=9999,"",INDEX(Presupuesto!$C:$C,SMALL($AA368:$CH368,1)))</f>
        <v>0</v>
      </c>
      <c r="I368" s="1" t="n">
        <f aca="false">IF(SMALL($AA368:$CH368,2)&gt;=9999,"",INDEX(Presupuesto!$C:$C,SMALL($AA368:$CH368,2)))</f>
        <v>0</v>
      </c>
      <c r="J368" s="1" t="n">
        <f aca="false">IF(SMALL($AA368:$CH368,3)&gt;=9999,"",INDEX(Presupuesto!$C:$C,SMALL($AA368:$CH368,3)))</f>
        <v>0</v>
      </c>
      <c r="K368" s="1" t="n">
        <f aca="false">IF(SMALL($AA368:$CH368,4)&gt;=9999,"",INDEX(Presupuesto!$C:$C,SMALL($AA368:$CH368,4)))</f>
        <v>0</v>
      </c>
      <c r="L368" s="1" t="n">
        <f aca="false">IF(SMALL($AA368:$CH368,5)&gt;=9999,"",INDEX(Presupuesto!$C:$C,SMALL($AA368:$CH368,5)))</f>
        <v>0</v>
      </c>
      <c r="M368" s="1" t="n">
        <f aca="false">IF(SMALL($AA368:$CH368,6)&gt;=9999,"",INDEX(Presupuesto!$C:$C,SMALL($AA368:$CH368,6)))</f>
        <v>0</v>
      </c>
      <c r="N368" s="1" t="n">
        <f aca="false">IF(SMALL($AA368:$CH368,7)&gt;=9999,"",INDEX(Presupuesto!$C:$C,SMALL($AA368:$CH368,7)))</f>
        <v>0</v>
      </c>
      <c r="O368" s="1" t="n">
        <f aca="false">IF(SMALL($AA368:$CH368,8)&gt;=9999,"",INDEX(Presupuesto!$C:$C,SMALL($AA368:$CH368,8)))</f>
        <v>0</v>
      </c>
      <c r="P368" s="1" t="n">
        <f aca="false">IF(SMALL($AA368:$CH368,9)&gt;=9999,"",INDEX(Presupuesto!$C:$C,SMALL($AA368:$CH368,9)))</f>
        <v>0</v>
      </c>
      <c r="Q368" s="1" t="n">
        <f aca="false">IF(SMALL($AA368:$CH368,10)&gt;=9999,"",INDEX(Presupuesto!$C:$C,SMALL($AA368:$CH368,10)))</f>
        <v>0</v>
      </c>
      <c r="AA368" s="0" t="n">
        <f aca="false">IF(Presupuesto!$B$7='Flujo de Pagos'!$E368,7,9999)</f>
        <v>9999</v>
      </c>
      <c r="AB368" s="0" t="n">
        <f aca="false">IF(Presupuesto!$B$8='Flujo de Pagos'!$E368,8,9999)</f>
        <v>9999</v>
      </c>
      <c r="AC368" s="0" t="n">
        <f aca="false">IF(Presupuesto!$B$9='Flujo de Pagos'!$E368,9,9999)</f>
        <v>9999</v>
      </c>
      <c r="AD368" s="0" t="n">
        <f aca="false">IF(Presupuesto!$B$10='Flujo de Pagos'!$E368,10,9999)</f>
        <v>9999</v>
      </c>
      <c r="AE368" s="0" t="n">
        <f aca="false">IF(Presupuesto!$B$11='Flujo de Pagos'!$E368,11,9999)</f>
        <v>9999</v>
      </c>
      <c r="AF368" s="0" t="n">
        <f aca="false">IF(Presupuesto!$B$12='Flujo de Pagos'!$E368,12,9999)</f>
        <v>12</v>
      </c>
      <c r="AG368" s="0" t="n">
        <f aca="false">IF(Presupuesto!$B$13='Flujo de Pagos'!$E368,13,9999)</f>
        <v>13</v>
      </c>
      <c r="AH368" s="0" t="n">
        <f aca="false">IF(Presupuesto!$B$14='Flujo de Pagos'!$E368,14,9999)</f>
        <v>14</v>
      </c>
      <c r="AI368" s="0" t="n">
        <f aca="false">IF(Presupuesto!$B$15='Flujo de Pagos'!$E368,15,9999)</f>
        <v>15</v>
      </c>
      <c r="AJ368" s="0" t="n">
        <f aca="false">IF(Presupuesto!$B$16='Flujo de Pagos'!$E368,16,9999)</f>
        <v>16</v>
      </c>
      <c r="AK368" s="0" t="n">
        <f aca="false">IF(Presupuesto!$B$17='Flujo de Pagos'!$E368,17,9999)</f>
        <v>17</v>
      </c>
      <c r="AL368" s="0" t="n">
        <f aca="false">IF(Presupuesto!$B$18='Flujo de Pagos'!$E368,18,9999)</f>
        <v>18</v>
      </c>
      <c r="AM368" s="0" t="n">
        <f aca="false">IF(Presupuesto!$B$19='Flujo de Pagos'!$E368,19,9999)</f>
        <v>19</v>
      </c>
      <c r="AN368" s="0" t="n">
        <f aca="false">IF(Presupuesto!$B$20='Flujo de Pagos'!$E368,20,9999)</f>
        <v>20</v>
      </c>
      <c r="AO368" s="0" t="n">
        <f aca="false">IF(Presupuesto!$B$21='Flujo de Pagos'!$E368,21,9999)</f>
        <v>21</v>
      </c>
      <c r="AP368" s="0" t="n">
        <f aca="false">IF(Presupuesto!$B$22='Flujo de Pagos'!$E368,22,9999)</f>
        <v>22</v>
      </c>
      <c r="AQ368" s="0" t="n">
        <f aca="false">IF(Presupuesto!$B$23='Flujo de Pagos'!$E368,23,9999)</f>
        <v>23</v>
      </c>
      <c r="AR368" s="0" t="n">
        <f aca="false">IF(Presupuesto!$B$24='Flujo de Pagos'!$E368,24,9999)</f>
        <v>24</v>
      </c>
      <c r="AS368" s="0" t="n">
        <f aca="false">IF(Presupuesto!$B$25='Flujo de Pagos'!$E368,25,9999)</f>
        <v>25</v>
      </c>
      <c r="AT368" s="0" t="n">
        <f aca="false">IF(Presupuesto!$B$26='Flujo de Pagos'!$E368,26,9999)</f>
        <v>26</v>
      </c>
      <c r="AU368" s="0" t="n">
        <f aca="false">IF(Presupuesto!$B$27='Flujo de Pagos'!$E368,27,9999)</f>
        <v>27</v>
      </c>
      <c r="AV368" s="0" t="n">
        <f aca="false">IF(Presupuesto!$B$28='Flujo de Pagos'!$E368,28,9999)</f>
        <v>28</v>
      </c>
      <c r="AW368" s="0" t="n">
        <f aca="false">IF(Presupuesto!$B$29='Flujo de Pagos'!$E368,29,9999)</f>
        <v>29</v>
      </c>
      <c r="AX368" s="0" t="n">
        <f aca="false">IF(Presupuesto!$B$30='Flujo de Pagos'!$E368,30,9999)</f>
        <v>30</v>
      </c>
      <c r="AY368" s="0" t="n">
        <f aca="false">IF(Presupuesto!$B$31='Flujo de Pagos'!$E368,31,9999)</f>
        <v>31</v>
      </c>
      <c r="AZ368" s="0" t="n">
        <f aca="false">IF(Presupuesto!$B$32='Flujo de Pagos'!$E368,32,9999)</f>
        <v>32</v>
      </c>
      <c r="BA368" s="0" t="n">
        <f aca="false">IF(Presupuesto!$B$33='Flujo de Pagos'!$E368,33,9999)</f>
        <v>33</v>
      </c>
      <c r="BB368" s="0" t="n">
        <f aca="false">IF(Presupuesto!$B$34='Flujo de Pagos'!$E368,34,9999)</f>
        <v>34</v>
      </c>
      <c r="BC368" s="0" t="n">
        <f aca="false">IF(Presupuesto!$B$35='Flujo de Pagos'!$E368,35,9999)</f>
        <v>35</v>
      </c>
      <c r="BD368" s="0" t="n">
        <f aca="false">IF(Presupuesto!$B$36='Flujo de Pagos'!$E368,36,9999)</f>
        <v>36</v>
      </c>
      <c r="BE368" s="0" t="n">
        <f aca="false">IF(Presupuesto!$B$37='Flujo de Pagos'!$E368,37,9999)</f>
        <v>37</v>
      </c>
      <c r="BF368" s="0" t="n">
        <f aca="false">IF(Presupuesto!$B$38='Flujo de Pagos'!$E368,38,9999)</f>
        <v>38</v>
      </c>
      <c r="BG368" s="0" t="n">
        <f aca="false">IF(Presupuesto!$B$39='Flujo de Pagos'!$E368,39,9999)</f>
        <v>39</v>
      </c>
      <c r="BH368" s="0" t="n">
        <f aca="false">IF(Presupuesto!$B$40='Flujo de Pagos'!$E368,40,9999)</f>
        <v>40</v>
      </c>
      <c r="BI368" s="0" t="n">
        <f aca="false">IF(Presupuesto!$B$41='Flujo de Pagos'!$E368,41,9999)</f>
        <v>41</v>
      </c>
      <c r="BJ368" s="0" t="n">
        <f aca="false">IF(Presupuesto!$B$42='Flujo de Pagos'!$E368,42,9999)</f>
        <v>42</v>
      </c>
      <c r="BK368" s="0" t="n">
        <f aca="false">IF(Presupuesto!$B$43='Flujo de Pagos'!$E368,43,9999)</f>
        <v>43</v>
      </c>
      <c r="BL368" s="0" t="n">
        <f aca="false">IF(Presupuesto!$B$44='Flujo de Pagos'!$E368,44,9999)</f>
        <v>44</v>
      </c>
      <c r="BM368" s="0" t="n">
        <f aca="false">IF(Presupuesto!$B$45='Flujo de Pagos'!$E368,45,9999)</f>
        <v>45</v>
      </c>
      <c r="BN368" s="0" t="n">
        <f aca="false">IF(Presupuesto!$B$46='Flujo de Pagos'!$E368,46,9999)</f>
        <v>46</v>
      </c>
      <c r="BO368" s="0" t="n">
        <f aca="false">IF(Presupuesto!$B$47='Flujo de Pagos'!$E368,47,9999)</f>
        <v>47</v>
      </c>
      <c r="BP368" s="0" t="n">
        <f aca="false">IF(Presupuesto!$B$48='Flujo de Pagos'!$E368,48,9999)</f>
        <v>48</v>
      </c>
      <c r="BQ368" s="0" t="n">
        <f aca="false">IF(Presupuesto!$B$49='Flujo de Pagos'!$E368,49,9999)</f>
        <v>49</v>
      </c>
      <c r="BR368" s="0" t="n">
        <f aca="false">IF(Presupuesto!$B$50='Flujo de Pagos'!$E368,50,9999)</f>
        <v>50</v>
      </c>
      <c r="BS368" s="0" t="n">
        <f aca="false">IF(Presupuesto!$B$51='Flujo de Pagos'!$E368,51,9999)</f>
        <v>51</v>
      </c>
      <c r="BT368" s="0" t="n">
        <f aca="false">IF(Presupuesto!$B$52='Flujo de Pagos'!$E368,52,9999)</f>
        <v>52</v>
      </c>
      <c r="BU368" s="0" t="n">
        <f aca="false">IF(Presupuesto!$B$53='Flujo de Pagos'!$E368,53,9999)</f>
        <v>53</v>
      </c>
      <c r="BV368" s="0" t="n">
        <f aca="false">IF(Presupuesto!$B$54='Flujo de Pagos'!$E368,54,9999)</f>
        <v>54</v>
      </c>
      <c r="BW368" s="0" t="n">
        <f aca="false">IF(Presupuesto!$B$55='Flujo de Pagos'!$E368,55,9999)</f>
        <v>55</v>
      </c>
      <c r="BX368" s="0" t="n">
        <f aca="false">IF(Presupuesto!$B$56='Flujo de Pagos'!$E368,56,9999)</f>
        <v>56</v>
      </c>
      <c r="BY368" s="0" t="n">
        <f aca="false">IF(Presupuesto!$B$57='Flujo de Pagos'!$E368,57,9999)</f>
        <v>57</v>
      </c>
      <c r="BZ368" s="0" t="n">
        <f aca="false">IF(Presupuesto!$B$58='Flujo de Pagos'!$E368,58,9999)</f>
        <v>58</v>
      </c>
      <c r="CA368" s="0" t="n">
        <f aca="false">IF(Presupuesto!$B$59='Flujo de Pagos'!$E368,59,9999)</f>
        <v>59</v>
      </c>
      <c r="CB368" s="0" t="n">
        <f aca="false">IF(Presupuesto!$B$60='Flujo de Pagos'!$E368,60,9999)</f>
        <v>60</v>
      </c>
      <c r="CC368" s="0" t="n">
        <f aca="false">IF(Presupuesto!$B$61='Flujo de Pagos'!$E368,61,9999)</f>
        <v>61</v>
      </c>
      <c r="CD368" s="0" t="n">
        <f aca="false">IF(Presupuesto!$B$62='Flujo de Pagos'!$E368,62,9999)</f>
        <v>62</v>
      </c>
      <c r="CE368" s="0" t="n">
        <f aca="false">IF(Presupuesto!$B$63='Flujo de Pagos'!$E368,63,9999)</f>
        <v>63</v>
      </c>
      <c r="CF368" s="0" t="n">
        <f aca="false">IF(Presupuesto!$B$64='Flujo de Pagos'!$E368,64,9999)</f>
        <v>64</v>
      </c>
      <c r="CG368" s="0" t="n">
        <f aca="false">IF(Presupuesto!$B$65='Flujo de Pagos'!$E368,65,9999)</f>
        <v>65</v>
      </c>
      <c r="CH368" s="0" t="n">
        <f aca="false">IF(Presupuesto!$B$66='Flujo de Pagos'!$E368,66,9999)</f>
        <v>66</v>
      </c>
    </row>
    <row r="369" customFormat="false" ht="15" hidden="false" customHeight="true" outlineLevel="0" collapsed="false">
      <c r="B369" s="1" t="n">
        <f aca="false">IF(AND('Flujo de Pagos'!E374=Carátula!$B$2,'Flujo de Pagos'!F374=Carátula!$B$4,'Flujo de Pagos'!H374&lt;&gt;""),374,99999)</f>
        <v>99999</v>
      </c>
      <c r="H369" s="1" t="n">
        <f aca="false">IF(SMALL($AA369:$CH369,1)&gt;=9999,"",INDEX(Presupuesto!$C:$C,SMALL($AA369:$CH369,1)))</f>
        <v>0</v>
      </c>
      <c r="I369" s="1" t="n">
        <f aca="false">IF(SMALL($AA369:$CH369,2)&gt;=9999,"",INDEX(Presupuesto!$C:$C,SMALL($AA369:$CH369,2)))</f>
        <v>0</v>
      </c>
      <c r="J369" s="1" t="n">
        <f aca="false">IF(SMALL($AA369:$CH369,3)&gt;=9999,"",INDEX(Presupuesto!$C:$C,SMALL($AA369:$CH369,3)))</f>
        <v>0</v>
      </c>
      <c r="K369" s="1" t="n">
        <f aca="false">IF(SMALL($AA369:$CH369,4)&gt;=9999,"",INDEX(Presupuesto!$C:$C,SMALL($AA369:$CH369,4)))</f>
        <v>0</v>
      </c>
      <c r="L369" s="1" t="n">
        <f aca="false">IF(SMALL($AA369:$CH369,5)&gt;=9999,"",INDEX(Presupuesto!$C:$C,SMALL($AA369:$CH369,5)))</f>
        <v>0</v>
      </c>
      <c r="M369" s="1" t="n">
        <f aca="false">IF(SMALL($AA369:$CH369,6)&gt;=9999,"",INDEX(Presupuesto!$C:$C,SMALL($AA369:$CH369,6)))</f>
        <v>0</v>
      </c>
      <c r="N369" s="1" t="n">
        <f aca="false">IF(SMALL($AA369:$CH369,7)&gt;=9999,"",INDEX(Presupuesto!$C:$C,SMALL($AA369:$CH369,7)))</f>
        <v>0</v>
      </c>
      <c r="O369" s="1" t="n">
        <f aca="false">IF(SMALL($AA369:$CH369,8)&gt;=9999,"",INDEX(Presupuesto!$C:$C,SMALL($AA369:$CH369,8)))</f>
        <v>0</v>
      </c>
      <c r="P369" s="1" t="n">
        <f aca="false">IF(SMALL($AA369:$CH369,9)&gt;=9999,"",INDEX(Presupuesto!$C:$C,SMALL($AA369:$CH369,9)))</f>
        <v>0</v>
      </c>
      <c r="Q369" s="1" t="n">
        <f aca="false">IF(SMALL($AA369:$CH369,10)&gt;=9999,"",INDEX(Presupuesto!$C:$C,SMALL($AA369:$CH369,10)))</f>
        <v>0</v>
      </c>
      <c r="AA369" s="0" t="n">
        <f aca="false">IF(Presupuesto!$B$7='Flujo de Pagos'!$E369,7,9999)</f>
        <v>9999</v>
      </c>
      <c r="AB369" s="0" t="n">
        <f aca="false">IF(Presupuesto!$B$8='Flujo de Pagos'!$E369,8,9999)</f>
        <v>9999</v>
      </c>
      <c r="AC369" s="0" t="n">
        <f aca="false">IF(Presupuesto!$B$9='Flujo de Pagos'!$E369,9,9999)</f>
        <v>9999</v>
      </c>
      <c r="AD369" s="0" t="n">
        <f aca="false">IF(Presupuesto!$B$10='Flujo de Pagos'!$E369,10,9999)</f>
        <v>9999</v>
      </c>
      <c r="AE369" s="0" t="n">
        <f aca="false">IF(Presupuesto!$B$11='Flujo de Pagos'!$E369,11,9999)</f>
        <v>9999</v>
      </c>
      <c r="AF369" s="0" t="n">
        <f aca="false">IF(Presupuesto!$B$12='Flujo de Pagos'!$E369,12,9999)</f>
        <v>12</v>
      </c>
      <c r="AG369" s="0" t="n">
        <f aca="false">IF(Presupuesto!$B$13='Flujo de Pagos'!$E369,13,9999)</f>
        <v>13</v>
      </c>
      <c r="AH369" s="0" t="n">
        <f aca="false">IF(Presupuesto!$B$14='Flujo de Pagos'!$E369,14,9999)</f>
        <v>14</v>
      </c>
      <c r="AI369" s="0" t="n">
        <f aca="false">IF(Presupuesto!$B$15='Flujo de Pagos'!$E369,15,9999)</f>
        <v>15</v>
      </c>
      <c r="AJ369" s="0" t="n">
        <f aca="false">IF(Presupuesto!$B$16='Flujo de Pagos'!$E369,16,9999)</f>
        <v>16</v>
      </c>
      <c r="AK369" s="0" t="n">
        <f aca="false">IF(Presupuesto!$B$17='Flujo de Pagos'!$E369,17,9999)</f>
        <v>17</v>
      </c>
      <c r="AL369" s="0" t="n">
        <f aca="false">IF(Presupuesto!$B$18='Flujo de Pagos'!$E369,18,9999)</f>
        <v>18</v>
      </c>
      <c r="AM369" s="0" t="n">
        <f aca="false">IF(Presupuesto!$B$19='Flujo de Pagos'!$E369,19,9999)</f>
        <v>19</v>
      </c>
      <c r="AN369" s="0" t="n">
        <f aca="false">IF(Presupuesto!$B$20='Flujo de Pagos'!$E369,20,9999)</f>
        <v>20</v>
      </c>
      <c r="AO369" s="0" t="n">
        <f aca="false">IF(Presupuesto!$B$21='Flujo de Pagos'!$E369,21,9999)</f>
        <v>21</v>
      </c>
      <c r="AP369" s="0" t="n">
        <f aca="false">IF(Presupuesto!$B$22='Flujo de Pagos'!$E369,22,9999)</f>
        <v>22</v>
      </c>
      <c r="AQ369" s="0" t="n">
        <f aca="false">IF(Presupuesto!$B$23='Flujo de Pagos'!$E369,23,9999)</f>
        <v>23</v>
      </c>
      <c r="AR369" s="0" t="n">
        <f aca="false">IF(Presupuesto!$B$24='Flujo de Pagos'!$E369,24,9999)</f>
        <v>24</v>
      </c>
      <c r="AS369" s="0" t="n">
        <f aca="false">IF(Presupuesto!$B$25='Flujo de Pagos'!$E369,25,9999)</f>
        <v>25</v>
      </c>
      <c r="AT369" s="0" t="n">
        <f aca="false">IF(Presupuesto!$B$26='Flujo de Pagos'!$E369,26,9999)</f>
        <v>26</v>
      </c>
      <c r="AU369" s="0" t="n">
        <f aca="false">IF(Presupuesto!$B$27='Flujo de Pagos'!$E369,27,9999)</f>
        <v>27</v>
      </c>
      <c r="AV369" s="0" t="n">
        <f aca="false">IF(Presupuesto!$B$28='Flujo de Pagos'!$E369,28,9999)</f>
        <v>28</v>
      </c>
      <c r="AW369" s="0" t="n">
        <f aca="false">IF(Presupuesto!$B$29='Flujo de Pagos'!$E369,29,9999)</f>
        <v>29</v>
      </c>
      <c r="AX369" s="0" t="n">
        <f aca="false">IF(Presupuesto!$B$30='Flujo de Pagos'!$E369,30,9999)</f>
        <v>30</v>
      </c>
      <c r="AY369" s="0" t="n">
        <f aca="false">IF(Presupuesto!$B$31='Flujo de Pagos'!$E369,31,9999)</f>
        <v>31</v>
      </c>
      <c r="AZ369" s="0" t="n">
        <f aca="false">IF(Presupuesto!$B$32='Flujo de Pagos'!$E369,32,9999)</f>
        <v>32</v>
      </c>
      <c r="BA369" s="0" t="n">
        <f aca="false">IF(Presupuesto!$B$33='Flujo de Pagos'!$E369,33,9999)</f>
        <v>33</v>
      </c>
      <c r="BB369" s="0" t="n">
        <f aca="false">IF(Presupuesto!$B$34='Flujo de Pagos'!$E369,34,9999)</f>
        <v>34</v>
      </c>
      <c r="BC369" s="0" t="n">
        <f aca="false">IF(Presupuesto!$B$35='Flujo de Pagos'!$E369,35,9999)</f>
        <v>35</v>
      </c>
      <c r="BD369" s="0" t="n">
        <f aca="false">IF(Presupuesto!$B$36='Flujo de Pagos'!$E369,36,9999)</f>
        <v>36</v>
      </c>
      <c r="BE369" s="0" t="n">
        <f aca="false">IF(Presupuesto!$B$37='Flujo de Pagos'!$E369,37,9999)</f>
        <v>37</v>
      </c>
      <c r="BF369" s="0" t="n">
        <f aca="false">IF(Presupuesto!$B$38='Flujo de Pagos'!$E369,38,9999)</f>
        <v>38</v>
      </c>
      <c r="BG369" s="0" t="n">
        <f aca="false">IF(Presupuesto!$B$39='Flujo de Pagos'!$E369,39,9999)</f>
        <v>39</v>
      </c>
      <c r="BH369" s="0" t="n">
        <f aca="false">IF(Presupuesto!$B$40='Flujo de Pagos'!$E369,40,9999)</f>
        <v>40</v>
      </c>
      <c r="BI369" s="0" t="n">
        <f aca="false">IF(Presupuesto!$B$41='Flujo de Pagos'!$E369,41,9999)</f>
        <v>41</v>
      </c>
      <c r="BJ369" s="0" t="n">
        <f aca="false">IF(Presupuesto!$B$42='Flujo de Pagos'!$E369,42,9999)</f>
        <v>42</v>
      </c>
      <c r="BK369" s="0" t="n">
        <f aca="false">IF(Presupuesto!$B$43='Flujo de Pagos'!$E369,43,9999)</f>
        <v>43</v>
      </c>
      <c r="BL369" s="0" t="n">
        <f aca="false">IF(Presupuesto!$B$44='Flujo de Pagos'!$E369,44,9999)</f>
        <v>44</v>
      </c>
      <c r="BM369" s="0" t="n">
        <f aca="false">IF(Presupuesto!$B$45='Flujo de Pagos'!$E369,45,9999)</f>
        <v>45</v>
      </c>
      <c r="BN369" s="0" t="n">
        <f aca="false">IF(Presupuesto!$B$46='Flujo de Pagos'!$E369,46,9999)</f>
        <v>46</v>
      </c>
      <c r="BO369" s="0" t="n">
        <f aca="false">IF(Presupuesto!$B$47='Flujo de Pagos'!$E369,47,9999)</f>
        <v>47</v>
      </c>
      <c r="BP369" s="0" t="n">
        <f aca="false">IF(Presupuesto!$B$48='Flujo de Pagos'!$E369,48,9999)</f>
        <v>48</v>
      </c>
      <c r="BQ369" s="0" t="n">
        <f aca="false">IF(Presupuesto!$B$49='Flujo de Pagos'!$E369,49,9999)</f>
        <v>49</v>
      </c>
      <c r="BR369" s="0" t="n">
        <f aca="false">IF(Presupuesto!$B$50='Flujo de Pagos'!$E369,50,9999)</f>
        <v>50</v>
      </c>
      <c r="BS369" s="0" t="n">
        <f aca="false">IF(Presupuesto!$B$51='Flujo de Pagos'!$E369,51,9999)</f>
        <v>51</v>
      </c>
      <c r="BT369" s="0" t="n">
        <f aca="false">IF(Presupuesto!$B$52='Flujo de Pagos'!$E369,52,9999)</f>
        <v>52</v>
      </c>
      <c r="BU369" s="0" t="n">
        <f aca="false">IF(Presupuesto!$B$53='Flujo de Pagos'!$E369,53,9999)</f>
        <v>53</v>
      </c>
      <c r="BV369" s="0" t="n">
        <f aca="false">IF(Presupuesto!$B$54='Flujo de Pagos'!$E369,54,9999)</f>
        <v>54</v>
      </c>
      <c r="BW369" s="0" t="n">
        <f aca="false">IF(Presupuesto!$B$55='Flujo de Pagos'!$E369,55,9999)</f>
        <v>55</v>
      </c>
      <c r="BX369" s="0" t="n">
        <f aca="false">IF(Presupuesto!$B$56='Flujo de Pagos'!$E369,56,9999)</f>
        <v>56</v>
      </c>
      <c r="BY369" s="0" t="n">
        <f aca="false">IF(Presupuesto!$B$57='Flujo de Pagos'!$E369,57,9999)</f>
        <v>57</v>
      </c>
      <c r="BZ369" s="0" t="n">
        <f aca="false">IF(Presupuesto!$B$58='Flujo de Pagos'!$E369,58,9999)</f>
        <v>58</v>
      </c>
      <c r="CA369" s="0" t="n">
        <f aca="false">IF(Presupuesto!$B$59='Flujo de Pagos'!$E369,59,9999)</f>
        <v>59</v>
      </c>
      <c r="CB369" s="0" t="n">
        <f aca="false">IF(Presupuesto!$B$60='Flujo de Pagos'!$E369,60,9999)</f>
        <v>60</v>
      </c>
      <c r="CC369" s="0" t="n">
        <f aca="false">IF(Presupuesto!$B$61='Flujo de Pagos'!$E369,61,9999)</f>
        <v>61</v>
      </c>
      <c r="CD369" s="0" t="n">
        <f aca="false">IF(Presupuesto!$B$62='Flujo de Pagos'!$E369,62,9999)</f>
        <v>62</v>
      </c>
      <c r="CE369" s="0" t="n">
        <f aca="false">IF(Presupuesto!$B$63='Flujo de Pagos'!$E369,63,9999)</f>
        <v>63</v>
      </c>
      <c r="CF369" s="0" t="n">
        <f aca="false">IF(Presupuesto!$B$64='Flujo de Pagos'!$E369,64,9999)</f>
        <v>64</v>
      </c>
      <c r="CG369" s="0" t="n">
        <f aca="false">IF(Presupuesto!$B$65='Flujo de Pagos'!$E369,65,9999)</f>
        <v>65</v>
      </c>
      <c r="CH369" s="0" t="n">
        <f aca="false">IF(Presupuesto!$B$66='Flujo de Pagos'!$E369,66,9999)</f>
        <v>66</v>
      </c>
    </row>
    <row r="370" customFormat="false" ht="15" hidden="false" customHeight="true" outlineLevel="0" collapsed="false">
      <c r="B370" s="1" t="n">
        <f aca="false">IF(AND('Flujo de Pagos'!E375=Carátula!$B$2,'Flujo de Pagos'!F375=Carátula!$B$4,'Flujo de Pagos'!H375&lt;&gt;""),375,99999)</f>
        <v>99999</v>
      </c>
      <c r="H370" s="1" t="n">
        <f aca="false">IF(SMALL($AA370:$CH370,1)&gt;=9999,"",INDEX(Presupuesto!$C:$C,SMALL($AA370:$CH370,1)))</f>
        <v>0</v>
      </c>
      <c r="I370" s="1" t="n">
        <f aca="false">IF(SMALL($AA370:$CH370,2)&gt;=9999,"",INDEX(Presupuesto!$C:$C,SMALL($AA370:$CH370,2)))</f>
        <v>0</v>
      </c>
      <c r="J370" s="1" t="n">
        <f aca="false">IF(SMALL($AA370:$CH370,3)&gt;=9999,"",INDEX(Presupuesto!$C:$C,SMALL($AA370:$CH370,3)))</f>
        <v>0</v>
      </c>
      <c r="K370" s="1" t="n">
        <f aca="false">IF(SMALL($AA370:$CH370,4)&gt;=9999,"",INDEX(Presupuesto!$C:$C,SMALL($AA370:$CH370,4)))</f>
        <v>0</v>
      </c>
      <c r="L370" s="1" t="n">
        <f aca="false">IF(SMALL($AA370:$CH370,5)&gt;=9999,"",INDEX(Presupuesto!$C:$C,SMALL($AA370:$CH370,5)))</f>
        <v>0</v>
      </c>
      <c r="M370" s="1" t="n">
        <f aca="false">IF(SMALL($AA370:$CH370,6)&gt;=9999,"",INDEX(Presupuesto!$C:$C,SMALL($AA370:$CH370,6)))</f>
        <v>0</v>
      </c>
      <c r="N370" s="1" t="n">
        <f aca="false">IF(SMALL($AA370:$CH370,7)&gt;=9999,"",INDEX(Presupuesto!$C:$C,SMALL($AA370:$CH370,7)))</f>
        <v>0</v>
      </c>
      <c r="O370" s="1" t="n">
        <f aca="false">IF(SMALL($AA370:$CH370,8)&gt;=9999,"",INDEX(Presupuesto!$C:$C,SMALL($AA370:$CH370,8)))</f>
        <v>0</v>
      </c>
      <c r="P370" s="1" t="n">
        <f aca="false">IF(SMALL($AA370:$CH370,9)&gt;=9999,"",INDEX(Presupuesto!$C:$C,SMALL($AA370:$CH370,9)))</f>
        <v>0</v>
      </c>
      <c r="Q370" s="1" t="n">
        <f aca="false">IF(SMALL($AA370:$CH370,10)&gt;=9999,"",INDEX(Presupuesto!$C:$C,SMALL($AA370:$CH370,10)))</f>
        <v>0</v>
      </c>
      <c r="AA370" s="0" t="n">
        <f aca="false">IF(Presupuesto!$B$7='Flujo de Pagos'!$E370,7,9999)</f>
        <v>9999</v>
      </c>
      <c r="AB370" s="0" t="n">
        <f aca="false">IF(Presupuesto!$B$8='Flujo de Pagos'!$E370,8,9999)</f>
        <v>9999</v>
      </c>
      <c r="AC370" s="0" t="n">
        <f aca="false">IF(Presupuesto!$B$9='Flujo de Pagos'!$E370,9,9999)</f>
        <v>9999</v>
      </c>
      <c r="AD370" s="0" t="n">
        <f aca="false">IF(Presupuesto!$B$10='Flujo de Pagos'!$E370,10,9999)</f>
        <v>9999</v>
      </c>
      <c r="AE370" s="0" t="n">
        <f aca="false">IF(Presupuesto!$B$11='Flujo de Pagos'!$E370,11,9999)</f>
        <v>9999</v>
      </c>
      <c r="AF370" s="0" t="n">
        <f aca="false">IF(Presupuesto!$B$12='Flujo de Pagos'!$E370,12,9999)</f>
        <v>12</v>
      </c>
      <c r="AG370" s="0" t="n">
        <f aca="false">IF(Presupuesto!$B$13='Flujo de Pagos'!$E370,13,9999)</f>
        <v>13</v>
      </c>
      <c r="AH370" s="0" t="n">
        <f aca="false">IF(Presupuesto!$B$14='Flujo de Pagos'!$E370,14,9999)</f>
        <v>14</v>
      </c>
      <c r="AI370" s="0" t="n">
        <f aca="false">IF(Presupuesto!$B$15='Flujo de Pagos'!$E370,15,9999)</f>
        <v>15</v>
      </c>
      <c r="AJ370" s="0" t="n">
        <f aca="false">IF(Presupuesto!$B$16='Flujo de Pagos'!$E370,16,9999)</f>
        <v>16</v>
      </c>
      <c r="AK370" s="0" t="n">
        <f aca="false">IF(Presupuesto!$B$17='Flujo de Pagos'!$E370,17,9999)</f>
        <v>17</v>
      </c>
      <c r="AL370" s="0" t="n">
        <f aca="false">IF(Presupuesto!$B$18='Flujo de Pagos'!$E370,18,9999)</f>
        <v>18</v>
      </c>
      <c r="AM370" s="0" t="n">
        <f aca="false">IF(Presupuesto!$B$19='Flujo de Pagos'!$E370,19,9999)</f>
        <v>19</v>
      </c>
      <c r="AN370" s="0" t="n">
        <f aca="false">IF(Presupuesto!$B$20='Flujo de Pagos'!$E370,20,9999)</f>
        <v>20</v>
      </c>
      <c r="AO370" s="0" t="n">
        <f aca="false">IF(Presupuesto!$B$21='Flujo de Pagos'!$E370,21,9999)</f>
        <v>21</v>
      </c>
      <c r="AP370" s="0" t="n">
        <f aca="false">IF(Presupuesto!$B$22='Flujo de Pagos'!$E370,22,9999)</f>
        <v>22</v>
      </c>
      <c r="AQ370" s="0" t="n">
        <f aca="false">IF(Presupuesto!$B$23='Flujo de Pagos'!$E370,23,9999)</f>
        <v>23</v>
      </c>
      <c r="AR370" s="0" t="n">
        <f aca="false">IF(Presupuesto!$B$24='Flujo de Pagos'!$E370,24,9999)</f>
        <v>24</v>
      </c>
      <c r="AS370" s="0" t="n">
        <f aca="false">IF(Presupuesto!$B$25='Flujo de Pagos'!$E370,25,9999)</f>
        <v>25</v>
      </c>
      <c r="AT370" s="0" t="n">
        <f aca="false">IF(Presupuesto!$B$26='Flujo de Pagos'!$E370,26,9999)</f>
        <v>26</v>
      </c>
      <c r="AU370" s="0" t="n">
        <f aca="false">IF(Presupuesto!$B$27='Flujo de Pagos'!$E370,27,9999)</f>
        <v>27</v>
      </c>
      <c r="AV370" s="0" t="n">
        <f aca="false">IF(Presupuesto!$B$28='Flujo de Pagos'!$E370,28,9999)</f>
        <v>28</v>
      </c>
      <c r="AW370" s="0" t="n">
        <f aca="false">IF(Presupuesto!$B$29='Flujo de Pagos'!$E370,29,9999)</f>
        <v>29</v>
      </c>
      <c r="AX370" s="0" t="n">
        <f aca="false">IF(Presupuesto!$B$30='Flujo de Pagos'!$E370,30,9999)</f>
        <v>30</v>
      </c>
      <c r="AY370" s="0" t="n">
        <f aca="false">IF(Presupuesto!$B$31='Flujo de Pagos'!$E370,31,9999)</f>
        <v>31</v>
      </c>
      <c r="AZ370" s="0" t="n">
        <f aca="false">IF(Presupuesto!$B$32='Flujo de Pagos'!$E370,32,9999)</f>
        <v>32</v>
      </c>
      <c r="BA370" s="0" t="n">
        <f aca="false">IF(Presupuesto!$B$33='Flujo de Pagos'!$E370,33,9999)</f>
        <v>33</v>
      </c>
      <c r="BB370" s="0" t="n">
        <f aca="false">IF(Presupuesto!$B$34='Flujo de Pagos'!$E370,34,9999)</f>
        <v>34</v>
      </c>
      <c r="BC370" s="0" t="n">
        <f aca="false">IF(Presupuesto!$B$35='Flujo de Pagos'!$E370,35,9999)</f>
        <v>35</v>
      </c>
      <c r="BD370" s="0" t="n">
        <f aca="false">IF(Presupuesto!$B$36='Flujo de Pagos'!$E370,36,9999)</f>
        <v>36</v>
      </c>
      <c r="BE370" s="0" t="n">
        <f aca="false">IF(Presupuesto!$B$37='Flujo de Pagos'!$E370,37,9999)</f>
        <v>37</v>
      </c>
      <c r="BF370" s="0" t="n">
        <f aca="false">IF(Presupuesto!$B$38='Flujo de Pagos'!$E370,38,9999)</f>
        <v>38</v>
      </c>
      <c r="BG370" s="0" t="n">
        <f aca="false">IF(Presupuesto!$B$39='Flujo de Pagos'!$E370,39,9999)</f>
        <v>39</v>
      </c>
      <c r="BH370" s="0" t="n">
        <f aca="false">IF(Presupuesto!$B$40='Flujo de Pagos'!$E370,40,9999)</f>
        <v>40</v>
      </c>
      <c r="BI370" s="0" t="n">
        <f aca="false">IF(Presupuesto!$B$41='Flujo de Pagos'!$E370,41,9999)</f>
        <v>41</v>
      </c>
      <c r="BJ370" s="0" t="n">
        <f aca="false">IF(Presupuesto!$B$42='Flujo de Pagos'!$E370,42,9999)</f>
        <v>42</v>
      </c>
      <c r="BK370" s="0" t="n">
        <f aca="false">IF(Presupuesto!$B$43='Flujo de Pagos'!$E370,43,9999)</f>
        <v>43</v>
      </c>
      <c r="BL370" s="0" t="n">
        <f aca="false">IF(Presupuesto!$B$44='Flujo de Pagos'!$E370,44,9999)</f>
        <v>44</v>
      </c>
      <c r="BM370" s="0" t="n">
        <f aca="false">IF(Presupuesto!$B$45='Flujo de Pagos'!$E370,45,9999)</f>
        <v>45</v>
      </c>
      <c r="BN370" s="0" t="n">
        <f aca="false">IF(Presupuesto!$B$46='Flujo de Pagos'!$E370,46,9999)</f>
        <v>46</v>
      </c>
      <c r="BO370" s="0" t="n">
        <f aca="false">IF(Presupuesto!$B$47='Flujo de Pagos'!$E370,47,9999)</f>
        <v>47</v>
      </c>
      <c r="BP370" s="0" t="n">
        <f aca="false">IF(Presupuesto!$B$48='Flujo de Pagos'!$E370,48,9999)</f>
        <v>48</v>
      </c>
      <c r="BQ370" s="0" t="n">
        <f aca="false">IF(Presupuesto!$B$49='Flujo de Pagos'!$E370,49,9999)</f>
        <v>49</v>
      </c>
      <c r="BR370" s="0" t="n">
        <f aca="false">IF(Presupuesto!$B$50='Flujo de Pagos'!$E370,50,9999)</f>
        <v>50</v>
      </c>
      <c r="BS370" s="0" t="n">
        <f aca="false">IF(Presupuesto!$B$51='Flujo de Pagos'!$E370,51,9999)</f>
        <v>51</v>
      </c>
      <c r="BT370" s="0" t="n">
        <f aca="false">IF(Presupuesto!$B$52='Flujo de Pagos'!$E370,52,9999)</f>
        <v>52</v>
      </c>
      <c r="BU370" s="0" t="n">
        <f aca="false">IF(Presupuesto!$B$53='Flujo de Pagos'!$E370,53,9999)</f>
        <v>53</v>
      </c>
      <c r="BV370" s="0" t="n">
        <f aca="false">IF(Presupuesto!$B$54='Flujo de Pagos'!$E370,54,9999)</f>
        <v>54</v>
      </c>
      <c r="BW370" s="0" t="n">
        <f aca="false">IF(Presupuesto!$B$55='Flujo de Pagos'!$E370,55,9999)</f>
        <v>55</v>
      </c>
      <c r="BX370" s="0" t="n">
        <f aca="false">IF(Presupuesto!$B$56='Flujo de Pagos'!$E370,56,9999)</f>
        <v>56</v>
      </c>
      <c r="BY370" s="0" t="n">
        <f aca="false">IF(Presupuesto!$B$57='Flujo de Pagos'!$E370,57,9999)</f>
        <v>57</v>
      </c>
      <c r="BZ370" s="0" t="n">
        <f aca="false">IF(Presupuesto!$B$58='Flujo de Pagos'!$E370,58,9999)</f>
        <v>58</v>
      </c>
      <c r="CA370" s="0" t="n">
        <f aca="false">IF(Presupuesto!$B$59='Flujo de Pagos'!$E370,59,9999)</f>
        <v>59</v>
      </c>
      <c r="CB370" s="0" t="n">
        <f aca="false">IF(Presupuesto!$B$60='Flujo de Pagos'!$E370,60,9999)</f>
        <v>60</v>
      </c>
      <c r="CC370" s="0" t="n">
        <f aca="false">IF(Presupuesto!$B$61='Flujo de Pagos'!$E370,61,9999)</f>
        <v>61</v>
      </c>
      <c r="CD370" s="0" t="n">
        <f aca="false">IF(Presupuesto!$B$62='Flujo de Pagos'!$E370,62,9999)</f>
        <v>62</v>
      </c>
      <c r="CE370" s="0" t="n">
        <f aca="false">IF(Presupuesto!$B$63='Flujo de Pagos'!$E370,63,9999)</f>
        <v>63</v>
      </c>
      <c r="CF370" s="0" t="n">
        <f aca="false">IF(Presupuesto!$B$64='Flujo de Pagos'!$E370,64,9999)</f>
        <v>64</v>
      </c>
      <c r="CG370" s="0" t="n">
        <f aca="false">IF(Presupuesto!$B$65='Flujo de Pagos'!$E370,65,9999)</f>
        <v>65</v>
      </c>
      <c r="CH370" s="0" t="n">
        <f aca="false">IF(Presupuesto!$B$66='Flujo de Pagos'!$E370,66,9999)</f>
        <v>66</v>
      </c>
    </row>
    <row r="371" customFormat="false" ht="15" hidden="false" customHeight="true" outlineLevel="0" collapsed="false">
      <c r="B371" s="1" t="n">
        <f aca="false">IF(AND('Flujo de Pagos'!E376=Carátula!$B$2,'Flujo de Pagos'!F376=Carátula!$B$4,'Flujo de Pagos'!H376&lt;&gt;""),376,99999)</f>
        <v>99999</v>
      </c>
      <c r="H371" s="1" t="n">
        <f aca="false">IF(SMALL($AA371:$CH371,1)&gt;=9999,"",INDEX(Presupuesto!$C:$C,SMALL($AA371:$CH371,1)))</f>
        <v>0</v>
      </c>
      <c r="I371" s="1" t="n">
        <f aca="false">IF(SMALL($AA371:$CH371,2)&gt;=9999,"",INDEX(Presupuesto!$C:$C,SMALL($AA371:$CH371,2)))</f>
        <v>0</v>
      </c>
      <c r="J371" s="1" t="n">
        <f aca="false">IF(SMALL($AA371:$CH371,3)&gt;=9999,"",INDEX(Presupuesto!$C:$C,SMALL($AA371:$CH371,3)))</f>
        <v>0</v>
      </c>
      <c r="K371" s="1" t="n">
        <f aca="false">IF(SMALL($AA371:$CH371,4)&gt;=9999,"",INDEX(Presupuesto!$C:$C,SMALL($AA371:$CH371,4)))</f>
        <v>0</v>
      </c>
      <c r="L371" s="1" t="n">
        <f aca="false">IF(SMALL($AA371:$CH371,5)&gt;=9999,"",INDEX(Presupuesto!$C:$C,SMALL($AA371:$CH371,5)))</f>
        <v>0</v>
      </c>
      <c r="M371" s="1" t="n">
        <f aca="false">IF(SMALL($AA371:$CH371,6)&gt;=9999,"",INDEX(Presupuesto!$C:$C,SMALL($AA371:$CH371,6)))</f>
        <v>0</v>
      </c>
      <c r="N371" s="1" t="n">
        <f aca="false">IF(SMALL($AA371:$CH371,7)&gt;=9999,"",INDEX(Presupuesto!$C:$C,SMALL($AA371:$CH371,7)))</f>
        <v>0</v>
      </c>
      <c r="O371" s="1" t="n">
        <f aca="false">IF(SMALL($AA371:$CH371,8)&gt;=9999,"",INDEX(Presupuesto!$C:$C,SMALL($AA371:$CH371,8)))</f>
        <v>0</v>
      </c>
      <c r="P371" s="1" t="n">
        <f aca="false">IF(SMALL($AA371:$CH371,9)&gt;=9999,"",INDEX(Presupuesto!$C:$C,SMALL($AA371:$CH371,9)))</f>
        <v>0</v>
      </c>
      <c r="Q371" s="1" t="n">
        <f aca="false">IF(SMALL($AA371:$CH371,10)&gt;=9999,"",INDEX(Presupuesto!$C:$C,SMALL($AA371:$CH371,10)))</f>
        <v>0</v>
      </c>
      <c r="AA371" s="0" t="n">
        <f aca="false">IF(Presupuesto!$B$7='Flujo de Pagos'!$E371,7,9999)</f>
        <v>9999</v>
      </c>
      <c r="AB371" s="0" t="n">
        <f aca="false">IF(Presupuesto!$B$8='Flujo de Pagos'!$E371,8,9999)</f>
        <v>9999</v>
      </c>
      <c r="AC371" s="0" t="n">
        <f aca="false">IF(Presupuesto!$B$9='Flujo de Pagos'!$E371,9,9999)</f>
        <v>9999</v>
      </c>
      <c r="AD371" s="0" t="n">
        <f aca="false">IF(Presupuesto!$B$10='Flujo de Pagos'!$E371,10,9999)</f>
        <v>9999</v>
      </c>
      <c r="AE371" s="0" t="n">
        <f aca="false">IF(Presupuesto!$B$11='Flujo de Pagos'!$E371,11,9999)</f>
        <v>9999</v>
      </c>
      <c r="AF371" s="0" t="n">
        <f aca="false">IF(Presupuesto!$B$12='Flujo de Pagos'!$E371,12,9999)</f>
        <v>12</v>
      </c>
      <c r="AG371" s="0" t="n">
        <f aca="false">IF(Presupuesto!$B$13='Flujo de Pagos'!$E371,13,9999)</f>
        <v>13</v>
      </c>
      <c r="AH371" s="0" t="n">
        <f aca="false">IF(Presupuesto!$B$14='Flujo de Pagos'!$E371,14,9999)</f>
        <v>14</v>
      </c>
      <c r="AI371" s="0" t="n">
        <f aca="false">IF(Presupuesto!$B$15='Flujo de Pagos'!$E371,15,9999)</f>
        <v>15</v>
      </c>
      <c r="AJ371" s="0" t="n">
        <f aca="false">IF(Presupuesto!$B$16='Flujo de Pagos'!$E371,16,9999)</f>
        <v>16</v>
      </c>
      <c r="AK371" s="0" t="n">
        <f aca="false">IF(Presupuesto!$B$17='Flujo de Pagos'!$E371,17,9999)</f>
        <v>17</v>
      </c>
      <c r="AL371" s="0" t="n">
        <f aca="false">IF(Presupuesto!$B$18='Flujo de Pagos'!$E371,18,9999)</f>
        <v>18</v>
      </c>
      <c r="AM371" s="0" t="n">
        <f aca="false">IF(Presupuesto!$B$19='Flujo de Pagos'!$E371,19,9999)</f>
        <v>19</v>
      </c>
      <c r="AN371" s="0" t="n">
        <f aca="false">IF(Presupuesto!$B$20='Flujo de Pagos'!$E371,20,9999)</f>
        <v>20</v>
      </c>
      <c r="AO371" s="0" t="n">
        <f aca="false">IF(Presupuesto!$B$21='Flujo de Pagos'!$E371,21,9999)</f>
        <v>21</v>
      </c>
      <c r="AP371" s="0" t="n">
        <f aca="false">IF(Presupuesto!$B$22='Flujo de Pagos'!$E371,22,9999)</f>
        <v>22</v>
      </c>
      <c r="AQ371" s="0" t="n">
        <f aca="false">IF(Presupuesto!$B$23='Flujo de Pagos'!$E371,23,9999)</f>
        <v>23</v>
      </c>
      <c r="AR371" s="0" t="n">
        <f aca="false">IF(Presupuesto!$B$24='Flujo de Pagos'!$E371,24,9999)</f>
        <v>24</v>
      </c>
      <c r="AS371" s="0" t="n">
        <f aca="false">IF(Presupuesto!$B$25='Flujo de Pagos'!$E371,25,9999)</f>
        <v>25</v>
      </c>
      <c r="AT371" s="0" t="n">
        <f aca="false">IF(Presupuesto!$B$26='Flujo de Pagos'!$E371,26,9999)</f>
        <v>26</v>
      </c>
      <c r="AU371" s="0" t="n">
        <f aca="false">IF(Presupuesto!$B$27='Flujo de Pagos'!$E371,27,9999)</f>
        <v>27</v>
      </c>
      <c r="AV371" s="0" t="n">
        <f aca="false">IF(Presupuesto!$B$28='Flujo de Pagos'!$E371,28,9999)</f>
        <v>28</v>
      </c>
      <c r="AW371" s="0" t="n">
        <f aca="false">IF(Presupuesto!$B$29='Flujo de Pagos'!$E371,29,9999)</f>
        <v>29</v>
      </c>
      <c r="AX371" s="0" t="n">
        <f aca="false">IF(Presupuesto!$B$30='Flujo de Pagos'!$E371,30,9999)</f>
        <v>30</v>
      </c>
      <c r="AY371" s="0" t="n">
        <f aca="false">IF(Presupuesto!$B$31='Flujo de Pagos'!$E371,31,9999)</f>
        <v>31</v>
      </c>
      <c r="AZ371" s="0" t="n">
        <f aca="false">IF(Presupuesto!$B$32='Flujo de Pagos'!$E371,32,9999)</f>
        <v>32</v>
      </c>
      <c r="BA371" s="0" t="n">
        <f aca="false">IF(Presupuesto!$B$33='Flujo de Pagos'!$E371,33,9999)</f>
        <v>33</v>
      </c>
      <c r="BB371" s="0" t="n">
        <f aca="false">IF(Presupuesto!$B$34='Flujo de Pagos'!$E371,34,9999)</f>
        <v>34</v>
      </c>
      <c r="BC371" s="0" t="n">
        <f aca="false">IF(Presupuesto!$B$35='Flujo de Pagos'!$E371,35,9999)</f>
        <v>35</v>
      </c>
      <c r="BD371" s="0" t="n">
        <f aca="false">IF(Presupuesto!$B$36='Flujo de Pagos'!$E371,36,9999)</f>
        <v>36</v>
      </c>
      <c r="BE371" s="0" t="n">
        <f aca="false">IF(Presupuesto!$B$37='Flujo de Pagos'!$E371,37,9999)</f>
        <v>37</v>
      </c>
      <c r="BF371" s="0" t="n">
        <f aca="false">IF(Presupuesto!$B$38='Flujo de Pagos'!$E371,38,9999)</f>
        <v>38</v>
      </c>
      <c r="BG371" s="0" t="n">
        <f aca="false">IF(Presupuesto!$B$39='Flujo de Pagos'!$E371,39,9999)</f>
        <v>39</v>
      </c>
      <c r="BH371" s="0" t="n">
        <f aca="false">IF(Presupuesto!$B$40='Flujo de Pagos'!$E371,40,9999)</f>
        <v>40</v>
      </c>
      <c r="BI371" s="0" t="n">
        <f aca="false">IF(Presupuesto!$B$41='Flujo de Pagos'!$E371,41,9999)</f>
        <v>41</v>
      </c>
      <c r="BJ371" s="0" t="n">
        <f aca="false">IF(Presupuesto!$B$42='Flujo de Pagos'!$E371,42,9999)</f>
        <v>42</v>
      </c>
      <c r="BK371" s="0" t="n">
        <f aca="false">IF(Presupuesto!$B$43='Flujo de Pagos'!$E371,43,9999)</f>
        <v>43</v>
      </c>
      <c r="BL371" s="0" t="n">
        <f aca="false">IF(Presupuesto!$B$44='Flujo de Pagos'!$E371,44,9999)</f>
        <v>44</v>
      </c>
      <c r="BM371" s="0" t="n">
        <f aca="false">IF(Presupuesto!$B$45='Flujo de Pagos'!$E371,45,9999)</f>
        <v>45</v>
      </c>
      <c r="BN371" s="0" t="n">
        <f aca="false">IF(Presupuesto!$B$46='Flujo de Pagos'!$E371,46,9999)</f>
        <v>46</v>
      </c>
      <c r="BO371" s="0" t="n">
        <f aca="false">IF(Presupuesto!$B$47='Flujo de Pagos'!$E371,47,9999)</f>
        <v>47</v>
      </c>
      <c r="BP371" s="0" t="n">
        <f aca="false">IF(Presupuesto!$B$48='Flujo de Pagos'!$E371,48,9999)</f>
        <v>48</v>
      </c>
      <c r="BQ371" s="0" t="n">
        <f aca="false">IF(Presupuesto!$B$49='Flujo de Pagos'!$E371,49,9999)</f>
        <v>49</v>
      </c>
      <c r="BR371" s="0" t="n">
        <f aca="false">IF(Presupuesto!$B$50='Flujo de Pagos'!$E371,50,9999)</f>
        <v>50</v>
      </c>
      <c r="BS371" s="0" t="n">
        <f aca="false">IF(Presupuesto!$B$51='Flujo de Pagos'!$E371,51,9999)</f>
        <v>51</v>
      </c>
      <c r="BT371" s="0" t="n">
        <f aca="false">IF(Presupuesto!$B$52='Flujo de Pagos'!$E371,52,9999)</f>
        <v>52</v>
      </c>
      <c r="BU371" s="0" t="n">
        <f aca="false">IF(Presupuesto!$B$53='Flujo de Pagos'!$E371,53,9999)</f>
        <v>53</v>
      </c>
      <c r="BV371" s="0" t="n">
        <f aca="false">IF(Presupuesto!$B$54='Flujo de Pagos'!$E371,54,9999)</f>
        <v>54</v>
      </c>
      <c r="BW371" s="0" t="n">
        <f aca="false">IF(Presupuesto!$B$55='Flujo de Pagos'!$E371,55,9999)</f>
        <v>55</v>
      </c>
      <c r="BX371" s="0" t="n">
        <f aca="false">IF(Presupuesto!$B$56='Flujo de Pagos'!$E371,56,9999)</f>
        <v>56</v>
      </c>
      <c r="BY371" s="0" t="n">
        <f aca="false">IF(Presupuesto!$B$57='Flujo de Pagos'!$E371,57,9999)</f>
        <v>57</v>
      </c>
      <c r="BZ371" s="0" t="n">
        <f aca="false">IF(Presupuesto!$B$58='Flujo de Pagos'!$E371,58,9999)</f>
        <v>58</v>
      </c>
      <c r="CA371" s="0" t="n">
        <f aca="false">IF(Presupuesto!$B$59='Flujo de Pagos'!$E371,59,9999)</f>
        <v>59</v>
      </c>
      <c r="CB371" s="0" t="n">
        <f aca="false">IF(Presupuesto!$B$60='Flujo de Pagos'!$E371,60,9999)</f>
        <v>60</v>
      </c>
      <c r="CC371" s="0" t="n">
        <f aca="false">IF(Presupuesto!$B$61='Flujo de Pagos'!$E371,61,9999)</f>
        <v>61</v>
      </c>
      <c r="CD371" s="0" t="n">
        <f aca="false">IF(Presupuesto!$B$62='Flujo de Pagos'!$E371,62,9999)</f>
        <v>62</v>
      </c>
      <c r="CE371" s="0" t="n">
        <f aca="false">IF(Presupuesto!$B$63='Flujo de Pagos'!$E371,63,9999)</f>
        <v>63</v>
      </c>
      <c r="CF371" s="0" t="n">
        <f aca="false">IF(Presupuesto!$B$64='Flujo de Pagos'!$E371,64,9999)</f>
        <v>64</v>
      </c>
      <c r="CG371" s="0" t="n">
        <f aca="false">IF(Presupuesto!$B$65='Flujo de Pagos'!$E371,65,9999)</f>
        <v>65</v>
      </c>
      <c r="CH371" s="0" t="n">
        <f aca="false">IF(Presupuesto!$B$66='Flujo de Pagos'!$E371,66,9999)</f>
        <v>66</v>
      </c>
    </row>
    <row r="372" customFormat="false" ht="15" hidden="false" customHeight="true" outlineLevel="0" collapsed="false">
      <c r="B372" s="1" t="n">
        <f aca="false">IF(AND('Flujo de Pagos'!E377=Carátula!$B$2,'Flujo de Pagos'!F377=Carátula!$B$4,'Flujo de Pagos'!H377&lt;&gt;""),377,99999)</f>
        <v>99999</v>
      </c>
      <c r="H372" s="1" t="n">
        <f aca="false">IF(SMALL($AA372:$CH372,1)&gt;=9999,"",INDEX(Presupuesto!$C:$C,SMALL($AA372:$CH372,1)))</f>
        <v>0</v>
      </c>
      <c r="I372" s="1" t="n">
        <f aca="false">IF(SMALL($AA372:$CH372,2)&gt;=9999,"",INDEX(Presupuesto!$C:$C,SMALL($AA372:$CH372,2)))</f>
        <v>0</v>
      </c>
      <c r="J372" s="1" t="n">
        <f aca="false">IF(SMALL($AA372:$CH372,3)&gt;=9999,"",INDEX(Presupuesto!$C:$C,SMALL($AA372:$CH372,3)))</f>
        <v>0</v>
      </c>
      <c r="K372" s="1" t="n">
        <f aca="false">IF(SMALL($AA372:$CH372,4)&gt;=9999,"",INDEX(Presupuesto!$C:$C,SMALL($AA372:$CH372,4)))</f>
        <v>0</v>
      </c>
      <c r="L372" s="1" t="n">
        <f aca="false">IF(SMALL($AA372:$CH372,5)&gt;=9999,"",INDEX(Presupuesto!$C:$C,SMALL($AA372:$CH372,5)))</f>
        <v>0</v>
      </c>
      <c r="M372" s="1" t="n">
        <f aca="false">IF(SMALL($AA372:$CH372,6)&gt;=9999,"",INDEX(Presupuesto!$C:$C,SMALL($AA372:$CH372,6)))</f>
        <v>0</v>
      </c>
      <c r="N372" s="1" t="n">
        <f aca="false">IF(SMALL($AA372:$CH372,7)&gt;=9999,"",INDEX(Presupuesto!$C:$C,SMALL($AA372:$CH372,7)))</f>
        <v>0</v>
      </c>
      <c r="O372" s="1" t="n">
        <f aca="false">IF(SMALL($AA372:$CH372,8)&gt;=9999,"",INDEX(Presupuesto!$C:$C,SMALL($AA372:$CH372,8)))</f>
        <v>0</v>
      </c>
      <c r="P372" s="1" t="n">
        <f aca="false">IF(SMALL($AA372:$CH372,9)&gt;=9999,"",INDEX(Presupuesto!$C:$C,SMALL($AA372:$CH372,9)))</f>
        <v>0</v>
      </c>
      <c r="Q372" s="1" t="n">
        <f aca="false">IF(SMALL($AA372:$CH372,10)&gt;=9999,"",INDEX(Presupuesto!$C:$C,SMALL($AA372:$CH372,10)))</f>
        <v>0</v>
      </c>
      <c r="AA372" s="0" t="n">
        <f aca="false">IF(Presupuesto!$B$7='Flujo de Pagos'!$E372,7,9999)</f>
        <v>9999</v>
      </c>
      <c r="AB372" s="0" t="n">
        <f aca="false">IF(Presupuesto!$B$8='Flujo de Pagos'!$E372,8,9999)</f>
        <v>9999</v>
      </c>
      <c r="AC372" s="0" t="n">
        <f aca="false">IF(Presupuesto!$B$9='Flujo de Pagos'!$E372,9,9999)</f>
        <v>9999</v>
      </c>
      <c r="AD372" s="0" t="n">
        <f aca="false">IF(Presupuesto!$B$10='Flujo de Pagos'!$E372,10,9999)</f>
        <v>9999</v>
      </c>
      <c r="AE372" s="0" t="n">
        <f aca="false">IF(Presupuesto!$B$11='Flujo de Pagos'!$E372,11,9999)</f>
        <v>9999</v>
      </c>
      <c r="AF372" s="0" t="n">
        <f aca="false">IF(Presupuesto!$B$12='Flujo de Pagos'!$E372,12,9999)</f>
        <v>12</v>
      </c>
      <c r="AG372" s="0" t="n">
        <f aca="false">IF(Presupuesto!$B$13='Flujo de Pagos'!$E372,13,9999)</f>
        <v>13</v>
      </c>
      <c r="AH372" s="0" t="n">
        <f aca="false">IF(Presupuesto!$B$14='Flujo de Pagos'!$E372,14,9999)</f>
        <v>14</v>
      </c>
      <c r="AI372" s="0" t="n">
        <f aca="false">IF(Presupuesto!$B$15='Flujo de Pagos'!$E372,15,9999)</f>
        <v>15</v>
      </c>
      <c r="AJ372" s="0" t="n">
        <f aca="false">IF(Presupuesto!$B$16='Flujo de Pagos'!$E372,16,9999)</f>
        <v>16</v>
      </c>
      <c r="AK372" s="0" t="n">
        <f aca="false">IF(Presupuesto!$B$17='Flujo de Pagos'!$E372,17,9999)</f>
        <v>17</v>
      </c>
      <c r="AL372" s="0" t="n">
        <f aca="false">IF(Presupuesto!$B$18='Flujo de Pagos'!$E372,18,9999)</f>
        <v>18</v>
      </c>
      <c r="AM372" s="0" t="n">
        <f aca="false">IF(Presupuesto!$B$19='Flujo de Pagos'!$E372,19,9999)</f>
        <v>19</v>
      </c>
      <c r="AN372" s="0" t="n">
        <f aca="false">IF(Presupuesto!$B$20='Flujo de Pagos'!$E372,20,9999)</f>
        <v>20</v>
      </c>
      <c r="AO372" s="0" t="n">
        <f aca="false">IF(Presupuesto!$B$21='Flujo de Pagos'!$E372,21,9999)</f>
        <v>21</v>
      </c>
      <c r="AP372" s="0" t="n">
        <f aca="false">IF(Presupuesto!$B$22='Flujo de Pagos'!$E372,22,9999)</f>
        <v>22</v>
      </c>
      <c r="AQ372" s="0" t="n">
        <f aca="false">IF(Presupuesto!$B$23='Flujo de Pagos'!$E372,23,9999)</f>
        <v>23</v>
      </c>
      <c r="AR372" s="0" t="n">
        <f aca="false">IF(Presupuesto!$B$24='Flujo de Pagos'!$E372,24,9999)</f>
        <v>24</v>
      </c>
      <c r="AS372" s="0" t="n">
        <f aca="false">IF(Presupuesto!$B$25='Flujo de Pagos'!$E372,25,9999)</f>
        <v>25</v>
      </c>
      <c r="AT372" s="0" t="n">
        <f aca="false">IF(Presupuesto!$B$26='Flujo de Pagos'!$E372,26,9999)</f>
        <v>26</v>
      </c>
      <c r="AU372" s="0" t="n">
        <f aca="false">IF(Presupuesto!$B$27='Flujo de Pagos'!$E372,27,9999)</f>
        <v>27</v>
      </c>
      <c r="AV372" s="0" t="n">
        <f aca="false">IF(Presupuesto!$B$28='Flujo de Pagos'!$E372,28,9999)</f>
        <v>28</v>
      </c>
      <c r="AW372" s="0" t="n">
        <f aca="false">IF(Presupuesto!$B$29='Flujo de Pagos'!$E372,29,9999)</f>
        <v>29</v>
      </c>
      <c r="AX372" s="0" t="n">
        <f aca="false">IF(Presupuesto!$B$30='Flujo de Pagos'!$E372,30,9999)</f>
        <v>30</v>
      </c>
      <c r="AY372" s="0" t="n">
        <f aca="false">IF(Presupuesto!$B$31='Flujo de Pagos'!$E372,31,9999)</f>
        <v>31</v>
      </c>
      <c r="AZ372" s="0" t="n">
        <f aca="false">IF(Presupuesto!$B$32='Flujo de Pagos'!$E372,32,9999)</f>
        <v>32</v>
      </c>
      <c r="BA372" s="0" t="n">
        <f aca="false">IF(Presupuesto!$B$33='Flujo de Pagos'!$E372,33,9999)</f>
        <v>33</v>
      </c>
      <c r="BB372" s="0" t="n">
        <f aca="false">IF(Presupuesto!$B$34='Flujo de Pagos'!$E372,34,9999)</f>
        <v>34</v>
      </c>
      <c r="BC372" s="0" t="n">
        <f aca="false">IF(Presupuesto!$B$35='Flujo de Pagos'!$E372,35,9999)</f>
        <v>35</v>
      </c>
      <c r="BD372" s="0" t="n">
        <f aca="false">IF(Presupuesto!$B$36='Flujo de Pagos'!$E372,36,9999)</f>
        <v>36</v>
      </c>
      <c r="BE372" s="0" t="n">
        <f aca="false">IF(Presupuesto!$B$37='Flujo de Pagos'!$E372,37,9999)</f>
        <v>37</v>
      </c>
      <c r="BF372" s="0" t="n">
        <f aca="false">IF(Presupuesto!$B$38='Flujo de Pagos'!$E372,38,9999)</f>
        <v>38</v>
      </c>
      <c r="BG372" s="0" t="n">
        <f aca="false">IF(Presupuesto!$B$39='Flujo de Pagos'!$E372,39,9999)</f>
        <v>39</v>
      </c>
      <c r="BH372" s="0" t="n">
        <f aca="false">IF(Presupuesto!$B$40='Flujo de Pagos'!$E372,40,9999)</f>
        <v>40</v>
      </c>
      <c r="BI372" s="0" t="n">
        <f aca="false">IF(Presupuesto!$B$41='Flujo de Pagos'!$E372,41,9999)</f>
        <v>41</v>
      </c>
      <c r="BJ372" s="0" t="n">
        <f aca="false">IF(Presupuesto!$B$42='Flujo de Pagos'!$E372,42,9999)</f>
        <v>42</v>
      </c>
      <c r="BK372" s="0" t="n">
        <f aca="false">IF(Presupuesto!$B$43='Flujo de Pagos'!$E372,43,9999)</f>
        <v>43</v>
      </c>
      <c r="BL372" s="0" t="n">
        <f aca="false">IF(Presupuesto!$B$44='Flujo de Pagos'!$E372,44,9999)</f>
        <v>44</v>
      </c>
      <c r="BM372" s="0" t="n">
        <f aca="false">IF(Presupuesto!$B$45='Flujo de Pagos'!$E372,45,9999)</f>
        <v>45</v>
      </c>
      <c r="BN372" s="0" t="n">
        <f aca="false">IF(Presupuesto!$B$46='Flujo de Pagos'!$E372,46,9999)</f>
        <v>46</v>
      </c>
      <c r="BO372" s="0" t="n">
        <f aca="false">IF(Presupuesto!$B$47='Flujo de Pagos'!$E372,47,9999)</f>
        <v>47</v>
      </c>
      <c r="BP372" s="0" t="n">
        <f aca="false">IF(Presupuesto!$B$48='Flujo de Pagos'!$E372,48,9999)</f>
        <v>48</v>
      </c>
      <c r="BQ372" s="0" t="n">
        <f aca="false">IF(Presupuesto!$B$49='Flujo de Pagos'!$E372,49,9999)</f>
        <v>49</v>
      </c>
      <c r="BR372" s="0" t="n">
        <f aca="false">IF(Presupuesto!$B$50='Flujo de Pagos'!$E372,50,9999)</f>
        <v>50</v>
      </c>
      <c r="BS372" s="0" t="n">
        <f aca="false">IF(Presupuesto!$B$51='Flujo de Pagos'!$E372,51,9999)</f>
        <v>51</v>
      </c>
      <c r="BT372" s="0" t="n">
        <f aca="false">IF(Presupuesto!$B$52='Flujo de Pagos'!$E372,52,9999)</f>
        <v>52</v>
      </c>
      <c r="BU372" s="0" t="n">
        <f aca="false">IF(Presupuesto!$B$53='Flujo de Pagos'!$E372,53,9999)</f>
        <v>53</v>
      </c>
      <c r="BV372" s="0" t="n">
        <f aca="false">IF(Presupuesto!$B$54='Flujo de Pagos'!$E372,54,9999)</f>
        <v>54</v>
      </c>
      <c r="BW372" s="0" t="n">
        <f aca="false">IF(Presupuesto!$B$55='Flujo de Pagos'!$E372,55,9999)</f>
        <v>55</v>
      </c>
      <c r="BX372" s="0" t="n">
        <f aca="false">IF(Presupuesto!$B$56='Flujo de Pagos'!$E372,56,9999)</f>
        <v>56</v>
      </c>
      <c r="BY372" s="0" t="n">
        <f aca="false">IF(Presupuesto!$B$57='Flujo de Pagos'!$E372,57,9999)</f>
        <v>57</v>
      </c>
      <c r="BZ372" s="0" t="n">
        <f aca="false">IF(Presupuesto!$B$58='Flujo de Pagos'!$E372,58,9999)</f>
        <v>58</v>
      </c>
      <c r="CA372" s="0" t="n">
        <f aca="false">IF(Presupuesto!$B$59='Flujo de Pagos'!$E372,59,9999)</f>
        <v>59</v>
      </c>
      <c r="CB372" s="0" t="n">
        <f aca="false">IF(Presupuesto!$B$60='Flujo de Pagos'!$E372,60,9999)</f>
        <v>60</v>
      </c>
      <c r="CC372" s="0" t="n">
        <f aca="false">IF(Presupuesto!$B$61='Flujo de Pagos'!$E372,61,9999)</f>
        <v>61</v>
      </c>
      <c r="CD372" s="0" t="n">
        <f aca="false">IF(Presupuesto!$B$62='Flujo de Pagos'!$E372,62,9999)</f>
        <v>62</v>
      </c>
      <c r="CE372" s="0" t="n">
        <f aca="false">IF(Presupuesto!$B$63='Flujo de Pagos'!$E372,63,9999)</f>
        <v>63</v>
      </c>
      <c r="CF372" s="0" t="n">
        <f aca="false">IF(Presupuesto!$B$64='Flujo de Pagos'!$E372,64,9999)</f>
        <v>64</v>
      </c>
      <c r="CG372" s="0" t="n">
        <f aca="false">IF(Presupuesto!$B$65='Flujo de Pagos'!$E372,65,9999)</f>
        <v>65</v>
      </c>
      <c r="CH372" s="0" t="n">
        <f aca="false">IF(Presupuesto!$B$66='Flujo de Pagos'!$E372,66,9999)</f>
        <v>66</v>
      </c>
    </row>
    <row r="373" customFormat="false" ht="15" hidden="false" customHeight="true" outlineLevel="0" collapsed="false">
      <c r="B373" s="1" t="n">
        <f aca="false">IF(AND('Flujo de Pagos'!E378=Carátula!$B$2,'Flujo de Pagos'!F378=Carátula!$B$4,'Flujo de Pagos'!H378&lt;&gt;""),378,99999)</f>
        <v>99999</v>
      </c>
      <c r="H373" s="1" t="n">
        <f aca="false">IF(SMALL($AA373:$CH373,1)&gt;=9999,"",INDEX(Presupuesto!$C:$C,SMALL($AA373:$CH373,1)))</f>
        <v>0</v>
      </c>
      <c r="I373" s="1" t="n">
        <f aca="false">IF(SMALL($AA373:$CH373,2)&gt;=9999,"",INDEX(Presupuesto!$C:$C,SMALL($AA373:$CH373,2)))</f>
        <v>0</v>
      </c>
      <c r="J373" s="1" t="n">
        <f aca="false">IF(SMALL($AA373:$CH373,3)&gt;=9999,"",INDEX(Presupuesto!$C:$C,SMALL($AA373:$CH373,3)))</f>
        <v>0</v>
      </c>
      <c r="K373" s="1" t="n">
        <f aca="false">IF(SMALL($AA373:$CH373,4)&gt;=9999,"",INDEX(Presupuesto!$C:$C,SMALL($AA373:$CH373,4)))</f>
        <v>0</v>
      </c>
      <c r="L373" s="1" t="n">
        <f aca="false">IF(SMALL($AA373:$CH373,5)&gt;=9999,"",INDEX(Presupuesto!$C:$C,SMALL($AA373:$CH373,5)))</f>
        <v>0</v>
      </c>
      <c r="M373" s="1" t="n">
        <f aca="false">IF(SMALL($AA373:$CH373,6)&gt;=9999,"",INDEX(Presupuesto!$C:$C,SMALL($AA373:$CH373,6)))</f>
        <v>0</v>
      </c>
      <c r="N373" s="1" t="n">
        <f aca="false">IF(SMALL($AA373:$CH373,7)&gt;=9999,"",INDEX(Presupuesto!$C:$C,SMALL($AA373:$CH373,7)))</f>
        <v>0</v>
      </c>
      <c r="O373" s="1" t="n">
        <f aca="false">IF(SMALL($AA373:$CH373,8)&gt;=9999,"",INDEX(Presupuesto!$C:$C,SMALL($AA373:$CH373,8)))</f>
        <v>0</v>
      </c>
      <c r="P373" s="1" t="n">
        <f aca="false">IF(SMALL($AA373:$CH373,9)&gt;=9999,"",INDEX(Presupuesto!$C:$C,SMALL($AA373:$CH373,9)))</f>
        <v>0</v>
      </c>
      <c r="Q373" s="1" t="n">
        <f aca="false">IF(SMALL($AA373:$CH373,10)&gt;=9999,"",INDEX(Presupuesto!$C:$C,SMALL($AA373:$CH373,10)))</f>
        <v>0</v>
      </c>
      <c r="AA373" s="0" t="n">
        <f aca="false">IF(Presupuesto!$B$7='Flujo de Pagos'!$E373,7,9999)</f>
        <v>9999</v>
      </c>
      <c r="AB373" s="0" t="n">
        <f aca="false">IF(Presupuesto!$B$8='Flujo de Pagos'!$E373,8,9999)</f>
        <v>9999</v>
      </c>
      <c r="AC373" s="0" t="n">
        <f aca="false">IF(Presupuesto!$B$9='Flujo de Pagos'!$E373,9,9999)</f>
        <v>9999</v>
      </c>
      <c r="AD373" s="0" t="n">
        <f aca="false">IF(Presupuesto!$B$10='Flujo de Pagos'!$E373,10,9999)</f>
        <v>9999</v>
      </c>
      <c r="AE373" s="0" t="n">
        <f aca="false">IF(Presupuesto!$B$11='Flujo de Pagos'!$E373,11,9999)</f>
        <v>9999</v>
      </c>
      <c r="AF373" s="0" t="n">
        <f aca="false">IF(Presupuesto!$B$12='Flujo de Pagos'!$E373,12,9999)</f>
        <v>12</v>
      </c>
      <c r="AG373" s="0" t="n">
        <f aca="false">IF(Presupuesto!$B$13='Flujo de Pagos'!$E373,13,9999)</f>
        <v>13</v>
      </c>
      <c r="AH373" s="0" t="n">
        <f aca="false">IF(Presupuesto!$B$14='Flujo de Pagos'!$E373,14,9999)</f>
        <v>14</v>
      </c>
      <c r="AI373" s="0" t="n">
        <f aca="false">IF(Presupuesto!$B$15='Flujo de Pagos'!$E373,15,9999)</f>
        <v>15</v>
      </c>
      <c r="AJ373" s="0" t="n">
        <f aca="false">IF(Presupuesto!$B$16='Flujo de Pagos'!$E373,16,9999)</f>
        <v>16</v>
      </c>
      <c r="AK373" s="0" t="n">
        <f aca="false">IF(Presupuesto!$B$17='Flujo de Pagos'!$E373,17,9999)</f>
        <v>17</v>
      </c>
      <c r="AL373" s="0" t="n">
        <f aca="false">IF(Presupuesto!$B$18='Flujo de Pagos'!$E373,18,9999)</f>
        <v>18</v>
      </c>
      <c r="AM373" s="0" t="n">
        <f aca="false">IF(Presupuesto!$B$19='Flujo de Pagos'!$E373,19,9999)</f>
        <v>19</v>
      </c>
      <c r="AN373" s="0" t="n">
        <f aca="false">IF(Presupuesto!$B$20='Flujo de Pagos'!$E373,20,9999)</f>
        <v>20</v>
      </c>
      <c r="AO373" s="0" t="n">
        <f aca="false">IF(Presupuesto!$B$21='Flujo de Pagos'!$E373,21,9999)</f>
        <v>21</v>
      </c>
      <c r="AP373" s="0" t="n">
        <f aca="false">IF(Presupuesto!$B$22='Flujo de Pagos'!$E373,22,9999)</f>
        <v>22</v>
      </c>
      <c r="AQ373" s="0" t="n">
        <f aca="false">IF(Presupuesto!$B$23='Flujo de Pagos'!$E373,23,9999)</f>
        <v>23</v>
      </c>
      <c r="AR373" s="0" t="n">
        <f aca="false">IF(Presupuesto!$B$24='Flujo de Pagos'!$E373,24,9999)</f>
        <v>24</v>
      </c>
      <c r="AS373" s="0" t="n">
        <f aca="false">IF(Presupuesto!$B$25='Flujo de Pagos'!$E373,25,9999)</f>
        <v>25</v>
      </c>
      <c r="AT373" s="0" t="n">
        <f aca="false">IF(Presupuesto!$B$26='Flujo de Pagos'!$E373,26,9999)</f>
        <v>26</v>
      </c>
      <c r="AU373" s="0" t="n">
        <f aca="false">IF(Presupuesto!$B$27='Flujo de Pagos'!$E373,27,9999)</f>
        <v>27</v>
      </c>
      <c r="AV373" s="0" t="n">
        <f aca="false">IF(Presupuesto!$B$28='Flujo de Pagos'!$E373,28,9999)</f>
        <v>28</v>
      </c>
      <c r="AW373" s="0" t="n">
        <f aca="false">IF(Presupuesto!$B$29='Flujo de Pagos'!$E373,29,9999)</f>
        <v>29</v>
      </c>
      <c r="AX373" s="0" t="n">
        <f aca="false">IF(Presupuesto!$B$30='Flujo de Pagos'!$E373,30,9999)</f>
        <v>30</v>
      </c>
      <c r="AY373" s="0" t="n">
        <f aca="false">IF(Presupuesto!$B$31='Flujo de Pagos'!$E373,31,9999)</f>
        <v>31</v>
      </c>
      <c r="AZ373" s="0" t="n">
        <f aca="false">IF(Presupuesto!$B$32='Flujo de Pagos'!$E373,32,9999)</f>
        <v>32</v>
      </c>
      <c r="BA373" s="0" t="n">
        <f aca="false">IF(Presupuesto!$B$33='Flujo de Pagos'!$E373,33,9999)</f>
        <v>33</v>
      </c>
      <c r="BB373" s="0" t="n">
        <f aca="false">IF(Presupuesto!$B$34='Flujo de Pagos'!$E373,34,9999)</f>
        <v>34</v>
      </c>
      <c r="BC373" s="0" t="n">
        <f aca="false">IF(Presupuesto!$B$35='Flujo de Pagos'!$E373,35,9999)</f>
        <v>35</v>
      </c>
      <c r="BD373" s="0" t="n">
        <f aca="false">IF(Presupuesto!$B$36='Flujo de Pagos'!$E373,36,9999)</f>
        <v>36</v>
      </c>
      <c r="BE373" s="0" t="n">
        <f aca="false">IF(Presupuesto!$B$37='Flujo de Pagos'!$E373,37,9999)</f>
        <v>37</v>
      </c>
      <c r="BF373" s="0" t="n">
        <f aca="false">IF(Presupuesto!$B$38='Flujo de Pagos'!$E373,38,9999)</f>
        <v>38</v>
      </c>
      <c r="BG373" s="0" t="n">
        <f aca="false">IF(Presupuesto!$B$39='Flujo de Pagos'!$E373,39,9999)</f>
        <v>39</v>
      </c>
      <c r="BH373" s="0" t="n">
        <f aca="false">IF(Presupuesto!$B$40='Flujo de Pagos'!$E373,40,9999)</f>
        <v>40</v>
      </c>
      <c r="BI373" s="0" t="n">
        <f aca="false">IF(Presupuesto!$B$41='Flujo de Pagos'!$E373,41,9999)</f>
        <v>41</v>
      </c>
      <c r="BJ373" s="0" t="n">
        <f aca="false">IF(Presupuesto!$B$42='Flujo de Pagos'!$E373,42,9999)</f>
        <v>42</v>
      </c>
      <c r="BK373" s="0" t="n">
        <f aca="false">IF(Presupuesto!$B$43='Flujo de Pagos'!$E373,43,9999)</f>
        <v>43</v>
      </c>
      <c r="BL373" s="0" t="n">
        <f aca="false">IF(Presupuesto!$B$44='Flujo de Pagos'!$E373,44,9999)</f>
        <v>44</v>
      </c>
      <c r="BM373" s="0" t="n">
        <f aca="false">IF(Presupuesto!$B$45='Flujo de Pagos'!$E373,45,9999)</f>
        <v>45</v>
      </c>
      <c r="BN373" s="0" t="n">
        <f aca="false">IF(Presupuesto!$B$46='Flujo de Pagos'!$E373,46,9999)</f>
        <v>46</v>
      </c>
      <c r="BO373" s="0" t="n">
        <f aca="false">IF(Presupuesto!$B$47='Flujo de Pagos'!$E373,47,9999)</f>
        <v>47</v>
      </c>
      <c r="BP373" s="0" t="n">
        <f aca="false">IF(Presupuesto!$B$48='Flujo de Pagos'!$E373,48,9999)</f>
        <v>48</v>
      </c>
      <c r="BQ373" s="0" t="n">
        <f aca="false">IF(Presupuesto!$B$49='Flujo de Pagos'!$E373,49,9999)</f>
        <v>49</v>
      </c>
      <c r="BR373" s="0" t="n">
        <f aca="false">IF(Presupuesto!$B$50='Flujo de Pagos'!$E373,50,9999)</f>
        <v>50</v>
      </c>
      <c r="BS373" s="0" t="n">
        <f aca="false">IF(Presupuesto!$B$51='Flujo de Pagos'!$E373,51,9999)</f>
        <v>51</v>
      </c>
      <c r="BT373" s="0" t="n">
        <f aca="false">IF(Presupuesto!$B$52='Flujo de Pagos'!$E373,52,9999)</f>
        <v>52</v>
      </c>
      <c r="BU373" s="0" t="n">
        <f aca="false">IF(Presupuesto!$B$53='Flujo de Pagos'!$E373,53,9999)</f>
        <v>53</v>
      </c>
      <c r="BV373" s="0" t="n">
        <f aca="false">IF(Presupuesto!$B$54='Flujo de Pagos'!$E373,54,9999)</f>
        <v>54</v>
      </c>
      <c r="BW373" s="0" t="n">
        <f aca="false">IF(Presupuesto!$B$55='Flujo de Pagos'!$E373,55,9999)</f>
        <v>55</v>
      </c>
      <c r="BX373" s="0" t="n">
        <f aca="false">IF(Presupuesto!$B$56='Flujo de Pagos'!$E373,56,9999)</f>
        <v>56</v>
      </c>
      <c r="BY373" s="0" t="n">
        <f aca="false">IF(Presupuesto!$B$57='Flujo de Pagos'!$E373,57,9999)</f>
        <v>57</v>
      </c>
      <c r="BZ373" s="0" t="n">
        <f aca="false">IF(Presupuesto!$B$58='Flujo de Pagos'!$E373,58,9999)</f>
        <v>58</v>
      </c>
      <c r="CA373" s="0" t="n">
        <f aca="false">IF(Presupuesto!$B$59='Flujo de Pagos'!$E373,59,9999)</f>
        <v>59</v>
      </c>
      <c r="CB373" s="0" t="n">
        <f aca="false">IF(Presupuesto!$B$60='Flujo de Pagos'!$E373,60,9999)</f>
        <v>60</v>
      </c>
      <c r="CC373" s="0" t="n">
        <f aca="false">IF(Presupuesto!$B$61='Flujo de Pagos'!$E373,61,9999)</f>
        <v>61</v>
      </c>
      <c r="CD373" s="0" t="n">
        <f aca="false">IF(Presupuesto!$B$62='Flujo de Pagos'!$E373,62,9999)</f>
        <v>62</v>
      </c>
      <c r="CE373" s="0" t="n">
        <f aca="false">IF(Presupuesto!$B$63='Flujo de Pagos'!$E373,63,9999)</f>
        <v>63</v>
      </c>
      <c r="CF373" s="0" t="n">
        <f aca="false">IF(Presupuesto!$B$64='Flujo de Pagos'!$E373,64,9999)</f>
        <v>64</v>
      </c>
      <c r="CG373" s="0" t="n">
        <f aca="false">IF(Presupuesto!$B$65='Flujo de Pagos'!$E373,65,9999)</f>
        <v>65</v>
      </c>
      <c r="CH373" s="0" t="n">
        <f aca="false">IF(Presupuesto!$B$66='Flujo de Pagos'!$E373,66,9999)</f>
        <v>66</v>
      </c>
    </row>
    <row r="374" customFormat="false" ht="15" hidden="false" customHeight="true" outlineLevel="0" collapsed="false">
      <c r="B374" s="1" t="n">
        <f aca="false">IF(AND('Flujo de Pagos'!E379=Carátula!$B$2,'Flujo de Pagos'!F379=Carátula!$B$4,'Flujo de Pagos'!H379&lt;&gt;""),379,99999)</f>
        <v>99999</v>
      </c>
      <c r="H374" s="1" t="n">
        <f aca="false">IF(SMALL($AA374:$CH374,1)&gt;=9999,"",INDEX(Presupuesto!$C:$C,SMALL($AA374:$CH374,1)))</f>
        <v>0</v>
      </c>
      <c r="I374" s="1" t="n">
        <f aca="false">IF(SMALL($AA374:$CH374,2)&gt;=9999,"",INDEX(Presupuesto!$C:$C,SMALL($AA374:$CH374,2)))</f>
        <v>0</v>
      </c>
      <c r="J374" s="1" t="n">
        <f aca="false">IF(SMALL($AA374:$CH374,3)&gt;=9999,"",INDEX(Presupuesto!$C:$C,SMALL($AA374:$CH374,3)))</f>
        <v>0</v>
      </c>
      <c r="K374" s="1" t="n">
        <f aca="false">IF(SMALL($AA374:$CH374,4)&gt;=9999,"",INDEX(Presupuesto!$C:$C,SMALL($AA374:$CH374,4)))</f>
        <v>0</v>
      </c>
      <c r="L374" s="1" t="n">
        <f aca="false">IF(SMALL($AA374:$CH374,5)&gt;=9999,"",INDEX(Presupuesto!$C:$C,SMALL($AA374:$CH374,5)))</f>
        <v>0</v>
      </c>
      <c r="M374" s="1" t="n">
        <f aca="false">IF(SMALL($AA374:$CH374,6)&gt;=9999,"",INDEX(Presupuesto!$C:$C,SMALL($AA374:$CH374,6)))</f>
        <v>0</v>
      </c>
      <c r="N374" s="1" t="n">
        <f aca="false">IF(SMALL($AA374:$CH374,7)&gt;=9999,"",INDEX(Presupuesto!$C:$C,SMALL($AA374:$CH374,7)))</f>
        <v>0</v>
      </c>
      <c r="O374" s="1" t="n">
        <f aca="false">IF(SMALL($AA374:$CH374,8)&gt;=9999,"",INDEX(Presupuesto!$C:$C,SMALL($AA374:$CH374,8)))</f>
        <v>0</v>
      </c>
      <c r="P374" s="1" t="n">
        <f aca="false">IF(SMALL($AA374:$CH374,9)&gt;=9999,"",INDEX(Presupuesto!$C:$C,SMALL($AA374:$CH374,9)))</f>
        <v>0</v>
      </c>
      <c r="Q374" s="1" t="n">
        <f aca="false">IF(SMALL($AA374:$CH374,10)&gt;=9999,"",INDEX(Presupuesto!$C:$C,SMALL($AA374:$CH374,10)))</f>
        <v>0</v>
      </c>
      <c r="AA374" s="0" t="n">
        <f aca="false">IF(Presupuesto!$B$7='Flujo de Pagos'!$E374,7,9999)</f>
        <v>9999</v>
      </c>
      <c r="AB374" s="0" t="n">
        <f aca="false">IF(Presupuesto!$B$8='Flujo de Pagos'!$E374,8,9999)</f>
        <v>9999</v>
      </c>
      <c r="AC374" s="0" t="n">
        <f aca="false">IF(Presupuesto!$B$9='Flujo de Pagos'!$E374,9,9999)</f>
        <v>9999</v>
      </c>
      <c r="AD374" s="0" t="n">
        <f aca="false">IF(Presupuesto!$B$10='Flujo de Pagos'!$E374,10,9999)</f>
        <v>9999</v>
      </c>
      <c r="AE374" s="0" t="n">
        <f aca="false">IF(Presupuesto!$B$11='Flujo de Pagos'!$E374,11,9999)</f>
        <v>9999</v>
      </c>
      <c r="AF374" s="0" t="n">
        <f aca="false">IF(Presupuesto!$B$12='Flujo de Pagos'!$E374,12,9999)</f>
        <v>12</v>
      </c>
      <c r="AG374" s="0" t="n">
        <f aca="false">IF(Presupuesto!$B$13='Flujo de Pagos'!$E374,13,9999)</f>
        <v>13</v>
      </c>
      <c r="AH374" s="0" t="n">
        <f aca="false">IF(Presupuesto!$B$14='Flujo de Pagos'!$E374,14,9999)</f>
        <v>14</v>
      </c>
      <c r="AI374" s="0" t="n">
        <f aca="false">IF(Presupuesto!$B$15='Flujo de Pagos'!$E374,15,9999)</f>
        <v>15</v>
      </c>
      <c r="AJ374" s="0" t="n">
        <f aca="false">IF(Presupuesto!$B$16='Flujo de Pagos'!$E374,16,9999)</f>
        <v>16</v>
      </c>
      <c r="AK374" s="0" t="n">
        <f aca="false">IF(Presupuesto!$B$17='Flujo de Pagos'!$E374,17,9999)</f>
        <v>17</v>
      </c>
      <c r="AL374" s="0" t="n">
        <f aca="false">IF(Presupuesto!$B$18='Flujo de Pagos'!$E374,18,9999)</f>
        <v>18</v>
      </c>
      <c r="AM374" s="0" t="n">
        <f aca="false">IF(Presupuesto!$B$19='Flujo de Pagos'!$E374,19,9999)</f>
        <v>19</v>
      </c>
      <c r="AN374" s="0" t="n">
        <f aca="false">IF(Presupuesto!$B$20='Flujo de Pagos'!$E374,20,9999)</f>
        <v>20</v>
      </c>
      <c r="AO374" s="0" t="n">
        <f aca="false">IF(Presupuesto!$B$21='Flujo de Pagos'!$E374,21,9999)</f>
        <v>21</v>
      </c>
      <c r="AP374" s="0" t="n">
        <f aca="false">IF(Presupuesto!$B$22='Flujo de Pagos'!$E374,22,9999)</f>
        <v>22</v>
      </c>
      <c r="AQ374" s="0" t="n">
        <f aca="false">IF(Presupuesto!$B$23='Flujo de Pagos'!$E374,23,9999)</f>
        <v>23</v>
      </c>
      <c r="AR374" s="0" t="n">
        <f aca="false">IF(Presupuesto!$B$24='Flujo de Pagos'!$E374,24,9999)</f>
        <v>24</v>
      </c>
      <c r="AS374" s="0" t="n">
        <f aca="false">IF(Presupuesto!$B$25='Flujo de Pagos'!$E374,25,9999)</f>
        <v>25</v>
      </c>
      <c r="AT374" s="0" t="n">
        <f aca="false">IF(Presupuesto!$B$26='Flujo de Pagos'!$E374,26,9999)</f>
        <v>26</v>
      </c>
      <c r="AU374" s="0" t="n">
        <f aca="false">IF(Presupuesto!$B$27='Flujo de Pagos'!$E374,27,9999)</f>
        <v>27</v>
      </c>
      <c r="AV374" s="0" t="n">
        <f aca="false">IF(Presupuesto!$B$28='Flujo de Pagos'!$E374,28,9999)</f>
        <v>28</v>
      </c>
      <c r="AW374" s="0" t="n">
        <f aca="false">IF(Presupuesto!$B$29='Flujo de Pagos'!$E374,29,9999)</f>
        <v>29</v>
      </c>
      <c r="AX374" s="0" t="n">
        <f aca="false">IF(Presupuesto!$B$30='Flujo de Pagos'!$E374,30,9999)</f>
        <v>30</v>
      </c>
      <c r="AY374" s="0" t="n">
        <f aca="false">IF(Presupuesto!$B$31='Flujo de Pagos'!$E374,31,9999)</f>
        <v>31</v>
      </c>
      <c r="AZ374" s="0" t="n">
        <f aca="false">IF(Presupuesto!$B$32='Flujo de Pagos'!$E374,32,9999)</f>
        <v>32</v>
      </c>
      <c r="BA374" s="0" t="n">
        <f aca="false">IF(Presupuesto!$B$33='Flujo de Pagos'!$E374,33,9999)</f>
        <v>33</v>
      </c>
      <c r="BB374" s="0" t="n">
        <f aca="false">IF(Presupuesto!$B$34='Flujo de Pagos'!$E374,34,9999)</f>
        <v>34</v>
      </c>
      <c r="BC374" s="0" t="n">
        <f aca="false">IF(Presupuesto!$B$35='Flujo de Pagos'!$E374,35,9999)</f>
        <v>35</v>
      </c>
      <c r="BD374" s="0" t="n">
        <f aca="false">IF(Presupuesto!$B$36='Flujo de Pagos'!$E374,36,9999)</f>
        <v>36</v>
      </c>
      <c r="BE374" s="0" t="n">
        <f aca="false">IF(Presupuesto!$B$37='Flujo de Pagos'!$E374,37,9999)</f>
        <v>37</v>
      </c>
      <c r="BF374" s="0" t="n">
        <f aca="false">IF(Presupuesto!$B$38='Flujo de Pagos'!$E374,38,9999)</f>
        <v>38</v>
      </c>
      <c r="BG374" s="0" t="n">
        <f aca="false">IF(Presupuesto!$B$39='Flujo de Pagos'!$E374,39,9999)</f>
        <v>39</v>
      </c>
      <c r="BH374" s="0" t="n">
        <f aca="false">IF(Presupuesto!$B$40='Flujo de Pagos'!$E374,40,9999)</f>
        <v>40</v>
      </c>
      <c r="BI374" s="0" t="n">
        <f aca="false">IF(Presupuesto!$B$41='Flujo de Pagos'!$E374,41,9999)</f>
        <v>41</v>
      </c>
      <c r="BJ374" s="0" t="n">
        <f aca="false">IF(Presupuesto!$B$42='Flujo de Pagos'!$E374,42,9999)</f>
        <v>42</v>
      </c>
      <c r="BK374" s="0" t="n">
        <f aca="false">IF(Presupuesto!$B$43='Flujo de Pagos'!$E374,43,9999)</f>
        <v>43</v>
      </c>
      <c r="BL374" s="0" t="n">
        <f aca="false">IF(Presupuesto!$B$44='Flujo de Pagos'!$E374,44,9999)</f>
        <v>44</v>
      </c>
      <c r="BM374" s="0" t="n">
        <f aca="false">IF(Presupuesto!$B$45='Flujo de Pagos'!$E374,45,9999)</f>
        <v>45</v>
      </c>
      <c r="BN374" s="0" t="n">
        <f aca="false">IF(Presupuesto!$B$46='Flujo de Pagos'!$E374,46,9999)</f>
        <v>46</v>
      </c>
      <c r="BO374" s="0" t="n">
        <f aca="false">IF(Presupuesto!$B$47='Flujo de Pagos'!$E374,47,9999)</f>
        <v>47</v>
      </c>
      <c r="BP374" s="0" t="n">
        <f aca="false">IF(Presupuesto!$B$48='Flujo de Pagos'!$E374,48,9999)</f>
        <v>48</v>
      </c>
      <c r="BQ374" s="0" t="n">
        <f aca="false">IF(Presupuesto!$B$49='Flujo de Pagos'!$E374,49,9999)</f>
        <v>49</v>
      </c>
      <c r="BR374" s="0" t="n">
        <f aca="false">IF(Presupuesto!$B$50='Flujo de Pagos'!$E374,50,9999)</f>
        <v>50</v>
      </c>
      <c r="BS374" s="0" t="n">
        <f aca="false">IF(Presupuesto!$B$51='Flujo de Pagos'!$E374,51,9999)</f>
        <v>51</v>
      </c>
      <c r="BT374" s="0" t="n">
        <f aca="false">IF(Presupuesto!$B$52='Flujo de Pagos'!$E374,52,9999)</f>
        <v>52</v>
      </c>
      <c r="BU374" s="0" t="n">
        <f aca="false">IF(Presupuesto!$B$53='Flujo de Pagos'!$E374,53,9999)</f>
        <v>53</v>
      </c>
      <c r="BV374" s="0" t="n">
        <f aca="false">IF(Presupuesto!$B$54='Flujo de Pagos'!$E374,54,9999)</f>
        <v>54</v>
      </c>
      <c r="BW374" s="0" t="n">
        <f aca="false">IF(Presupuesto!$B$55='Flujo de Pagos'!$E374,55,9999)</f>
        <v>55</v>
      </c>
      <c r="BX374" s="0" t="n">
        <f aca="false">IF(Presupuesto!$B$56='Flujo de Pagos'!$E374,56,9999)</f>
        <v>56</v>
      </c>
      <c r="BY374" s="0" t="n">
        <f aca="false">IF(Presupuesto!$B$57='Flujo de Pagos'!$E374,57,9999)</f>
        <v>57</v>
      </c>
      <c r="BZ374" s="0" t="n">
        <f aca="false">IF(Presupuesto!$B$58='Flujo de Pagos'!$E374,58,9999)</f>
        <v>58</v>
      </c>
      <c r="CA374" s="0" t="n">
        <f aca="false">IF(Presupuesto!$B$59='Flujo de Pagos'!$E374,59,9999)</f>
        <v>59</v>
      </c>
      <c r="CB374" s="0" t="n">
        <f aca="false">IF(Presupuesto!$B$60='Flujo de Pagos'!$E374,60,9999)</f>
        <v>60</v>
      </c>
      <c r="CC374" s="0" t="n">
        <f aca="false">IF(Presupuesto!$B$61='Flujo de Pagos'!$E374,61,9999)</f>
        <v>61</v>
      </c>
      <c r="CD374" s="0" t="n">
        <f aca="false">IF(Presupuesto!$B$62='Flujo de Pagos'!$E374,62,9999)</f>
        <v>62</v>
      </c>
      <c r="CE374" s="0" t="n">
        <f aca="false">IF(Presupuesto!$B$63='Flujo de Pagos'!$E374,63,9999)</f>
        <v>63</v>
      </c>
      <c r="CF374" s="0" t="n">
        <f aca="false">IF(Presupuesto!$B$64='Flujo de Pagos'!$E374,64,9999)</f>
        <v>64</v>
      </c>
      <c r="CG374" s="0" t="n">
        <f aca="false">IF(Presupuesto!$B$65='Flujo de Pagos'!$E374,65,9999)</f>
        <v>65</v>
      </c>
      <c r="CH374" s="0" t="n">
        <f aca="false">IF(Presupuesto!$B$66='Flujo de Pagos'!$E374,66,9999)</f>
        <v>66</v>
      </c>
    </row>
    <row r="375" customFormat="false" ht="15" hidden="false" customHeight="true" outlineLevel="0" collapsed="false">
      <c r="B375" s="1" t="n">
        <f aca="false">IF(AND('Flujo de Pagos'!E380=Carátula!$B$2,'Flujo de Pagos'!F380=Carátula!$B$4,'Flujo de Pagos'!H380&lt;&gt;""),380,99999)</f>
        <v>99999</v>
      </c>
      <c r="H375" s="1" t="n">
        <f aca="false">IF(SMALL($AA375:$CH375,1)&gt;=9999,"",INDEX(Presupuesto!$C:$C,SMALL($AA375:$CH375,1)))</f>
        <v>0</v>
      </c>
      <c r="I375" s="1" t="n">
        <f aca="false">IF(SMALL($AA375:$CH375,2)&gt;=9999,"",INDEX(Presupuesto!$C:$C,SMALL($AA375:$CH375,2)))</f>
        <v>0</v>
      </c>
      <c r="J375" s="1" t="n">
        <f aca="false">IF(SMALL($AA375:$CH375,3)&gt;=9999,"",INDEX(Presupuesto!$C:$C,SMALL($AA375:$CH375,3)))</f>
        <v>0</v>
      </c>
      <c r="K375" s="1" t="n">
        <f aca="false">IF(SMALL($AA375:$CH375,4)&gt;=9999,"",INDEX(Presupuesto!$C:$C,SMALL($AA375:$CH375,4)))</f>
        <v>0</v>
      </c>
      <c r="L375" s="1" t="n">
        <f aca="false">IF(SMALL($AA375:$CH375,5)&gt;=9999,"",INDEX(Presupuesto!$C:$C,SMALL($AA375:$CH375,5)))</f>
        <v>0</v>
      </c>
      <c r="M375" s="1" t="n">
        <f aca="false">IF(SMALL($AA375:$CH375,6)&gt;=9999,"",INDEX(Presupuesto!$C:$C,SMALL($AA375:$CH375,6)))</f>
        <v>0</v>
      </c>
      <c r="N375" s="1" t="n">
        <f aca="false">IF(SMALL($AA375:$CH375,7)&gt;=9999,"",INDEX(Presupuesto!$C:$C,SMALL($AA375:$CH375,7)))</f>
        <v>0</v>
      </c>
      <c r="O375" s="1" t="n">
        <f aca="false">IF(SMALL($AA375:$CH375,8)&gt;=9999,"",INDEX(Presupuesto!$C:$C,SMALL($AA375:$CH375,8)))</f>
        <v>0</v>
      </c>
      <c r="P375" s="1" t="n">
        <f aca="false">IF(SMALL($AA375:$CH375,9)&gt;=9999,"",INDEX(Presupuesto!$C:$C,SMALL($AA375:$CH375,9)))</f>
        <v>0</v>
      </c>
      <c r="Q375" s="1" t="n">
        <f aca="false">IF(SMALL($AA375:$CH375,10)&gt;=9999,"",INDEX(Presupuesto!$C:$C,SMALL($AA375:$CH375,10)))</f>
        <v>0</v>
      </c>
      <c r="AA375" s="0" t="n">
        <f aca="false">IF(Presupuesto!$B$7='Flujo de Pagos'!$E375,7,9999)</f>
        <v>9999</v>
      </c>
      <c r="AB375" s="0" t="n">
        <f aca="false">IF(Presupuesto!$B$8='Flujo de Pagos'!$E375,8,9999)</f>
        <v>9999</v>
      </c>
      <c r="AC375" s="0" t="n">
        <f aca="false">IF(Presupuesto!$B$9='Flujo de Pagos'!$E375,9,9999)</f>
        <v>9999</v>
      </c>
      <c r="AD375" s="0" t="n">
        <f aca="false">IF(Presupuesto!$B$10='Flujo de Pagos'!$E375,10,9999)</f>
        <v>9999</v>
      </c>
      <c r="AE375" s="0" t="n">
        <f aca="false">IF(Presupuesto!$B$11='Flujo de Pagos'!$E375,11,9999)</f>
        <v>9999</v>
      </c>
      <c r="AF375" s="0" t="n">
        <f aca="false">IF(Presupuesto!$B$12='Flujo de Pagos'!$E375,12,9999)</f>
        <v>12</v>
      </c>
      <c r="AG375" s="0" t="n">
        <f aca="false">IF(Presupuesto!$B$13='Flujo de Pagos'!$E375,13,9999)</f>
        <v>13</v>
      </c>
      <c r="AH375" s="0" t="n">
        <f aca="false">IF(Presupuesto!$B$14='Flujo de Pagos'!$E375,14,9999)</f>
        <v>14</v>
      </c>
      <c r="AI375" s="0" t="n">
        <f aca="false">IF(Presupuesto!$B$15='Flujo de Pagos'!$E375,15,9999)</f>
        <v>15</v>
      </c>
      <c r="AJ375" s="0" t="n">
        <f aca="false">IF(Presupuesto!$B$16='Flujo de Pagos'!$E375,16,9999)</f>
        <v>16</v>
      </c>
      <c r="AK375" s="0" t="n">
        <f aca="false">IF(Presupuesto!$B$17='Flujo de Pagos'!$E375,17,9999)</f>
        <v>17</v>
      </c>
      <c r="AL375" s="0" t="n">
        <f aca="false">IF(Presupuesto!$B$18='Flujo de Pagos'!$E375,18,9999)</f>
        <v>18</v>
      </c>
      <c r="AM375" s="0" t="n">
        <f aca="false">IF(Presupuesto!$B$19='Flujo de Pagos'!$E375,19,9999)</f>
        <v>19</v>
      </c>
      <c r="AN375" s="0" t="n">
        <f aca="false">IF(Presupuesto!$B$20='Flujo de Pagos'!$E375,20,9999)</f>
        <v>20</v>
      </c>
      <c r="AO375" s="0" t="n">
        <f aca="false">IF(Presupuesto!$B$21='Flujo de Pagos'!$E375,21,9999)</f>
        <v>21</v>
      </c>
      <c r="AP375" s="0" t="n">
        <f aca="false">IF(Presupuesto!$B$22='Flujo de Pagos'!$E375,22,9999)</f>
        <v>22</v>
      </c>
      <c r="AQ375" s="0" t="n">
        <f aca="false">IF(Presupuesto!$B$23='Flujo de Pagos'!$E375,23,9999)</f>
        <v>23</v>
      </c>
      <c r="AR375" s="0" t="n">
        <f aca="false">IF(Presupuesto!$B$24='Flujo de Pagos'!$E375,24,9999)</f>
        <v>24</v>
      </c>
      <c r="AS375" s="0" t="n">
        <f aca="false">IF(Presupuesto!$B$25='Flujo de Pagos'!$E375,25,9999)</f>
        <v>25</v>
      </c>
      <c r="AT375" s="0" t="n">
        <f aca="false">IF(Presupuesto!$B$26='Flujo de Pagos'!$E375,26,9999)</f>
        <v>26</v>
      </c>
      <c r="AU375" s="0" t="n">
        <f aca="false">IF(Presupuesto!$B$27='Flujo de Pagos'!$E375,27,9999)</f>
        <v>27</v>
      </c>
      <c r="AV375" s="0" t="n">
        <f aca="false">IF(Presupuesto!$B$28='Flujo de Pagos'!$E375,28,9999)</f>
        <v>28</v>
      </c>
      <c r="AW375" s="0" t="n">
        <f aca="false">IF(Presupuesto!$B$29='Flujo de Pagos'!$E375,29,9999)</f>
        <v>29</v>
      </c>
      <c r="AX375" s="0" t="n">
        <f aca="false">IF(Presupuesto!$B$30='Flujo de Pagos'!$E375,30,9999)</f>
        <v>30</v>
      </c>
      <c r="AY375" s="0" t="n">
        <f aca="false">IF(Presupuesto!$B$31='Flujo de Pagos'!$E375,31,9999)</f>
        <v>31</v>
      </c>
      <c r="AZ375" s="0" t="n">
        <f aca="false">IF(Presupuesto!$B$32='Flujo de Pagos'!$E375,32,9999)</f>
        <v>32</v>
      </c>
      <c r="BA375" s="0" t="n">
        <f aca="false">IF(Presupuesto!$B$33='Flujo de Pagos'!$E375,33,9999)</f>
        <v>33</v>
      </c>
      <c r="BB375" s="0" t="n">
        <f aca="false">IF(Presupuesto!$B$34='Flujo de Pagos'!$E375,34,9999)</f>
        <v>34</v>
      </c>
      <c r="BC375" s="0" t="n">
        <f aca="false">IF(Presupuesto!$B$35='Flujo de Pagos'!$E375,35,9999)</f>
        <v>35</v>
      </c>
      <c r="BD375" s="0" t="n">
        <f aca="false">IF(Presupuesto!$B$36='Flujo de Pagos'!$E375,36,9999)</f>
        <v>36</v>
      </c>
      <c r="BE375" s="0" t="n">
        <f aca="false">IF(Presupuesto!$B$37='Flujo de Pagos'!$E375,37,9999)</f>
        <v>37</v>
      </c>
      <c r="BF375" s="0" t="n">
        <f aca="false">IF(Presupuesto!$B$38='Flujo de Pagos'!$E375,38,9999)</f>
        <v>38</v>
      </c>
      <c r="BG375" s="0" t="n">
        <f aca="false">IF(Presupuesto!$B$39='Flujo de Pagos'!$E375,39,9999)</f>
        <v>39</v>
      </c>
      <c r="BH375" s="0" t="n">
        <f aca="false">IF(Presupuesto!$B$40='Flujo de Pagos'!$E375,40,9999)</f>
        <v>40</v>
      </c>
      <c r="BI375" s="0" t="n">
        <f aca="false">IF(Presupuesto!$B$41='Flujo de Pagos'!$E375,41,9999)</f>
        <v>41</v>
      </c>
      <c r="BJ375" s="0" t="n">
        <f aca="false">IF(Presupuesto!$B$42='Flujo de Pagos'!$E375,42,9999)</f>
        <v>42</v>
      </c>
      <c r="BK375" s="0" t="n">
        <f aca="false">IF(Presupuesto!$B$43='Flujo de Pagos'!$E375,43,9999)</f>
        <v>43</v>
      </c>
      <c r="BL375" s="0" t="n">
        <f aca="false">IF(Presupuesto!$B$44='Flujo de Pagos'!$E375,44,9999)</f>
        <v>44</v>
      </c>
      <c r="BM375" s="0" t="n">
        <f aca="false">IF(Presupuesto!$B$45='Flujo de Pagos'!$E375,45,9999)</f>
        <v>45</v>
      </c>
      <c r="BN375" s="0" t="n">
        <f aca="false">IF(Presupuesto!$B$46='Flujo de Pagos'!$E375,46,9999)</f>
        <v>46</v>
      </c>
      <c r="BO375" s="0" t="n">
        <f aca="false">IF(Presupuesto!$B$47='Flujo de Pagos'!$E375,47,9999)</f>
        <v>47</v>
      </c>
      <c r="BP375" s="0" t="n">
        <f aca="false">IF(Presupuesto!$B$48='Flujo de Pagos'!$E375,48,9999)</f>
        <v>48</v>
      </c>
      <c r="BQ375" s="0" t="n">
        <f aca="false">IF(Presupuesto!$B$49='Flujo de Pagos'!$E375,49,9999)</f>
        <v>49</v>
      </c>
      <c r="BR375" s="0" t="n">
        <f aca="false">IF(Presupuesto!$B$50='Flujo de Pagos'!$E375,50,9999)</f>
        <v>50</v>
      </c>
      <c r="BS375" s="0" t="n">
        <f aca="false">IF(Presupuesto!$B$51='Flujo de Pagos'!$E375,51,9999)</f>
        <v>51</v>
      </c>
      <c r="BT375" s="0" t="n">
        <f aca="false">IF(Presupuesto!$B$52='Flujo de Pagos'!$E375,52,9999)</f>
        <v>52</v>
      </c>
      <c r="BU375" s="0" t="n">
        <f aca="false">IF(Presupuesto!$B$53='Flujo de Pagos'!$E375,53,9999)</f>
        <v>53</v>
      </c>
      <c r="BV375" s="0" t="n">
        <f aca="false">IF(Presupuesto!$B$54='Flujo de Pagos'!$E375,54,9999)</f>
        <v>54</v>
      </c>
      <c r="BW375" s="0" t="n">
        <f aca="false">IF(Presupuesto!$B$55='Flujo de Pagos'!$E375,55,9999)</f>
        <v>55</v>
      </c>
      <c r="BX375" s="0" t="n">
        <f aca="false">IF(Presupuesto!$B$56='Flujo de Pagos'!$E375,56,9999)</f>
        <v>56</v>
      </c>
      <c r="BY375" s="0" t="n">
        <f aca="false">IF(Presupuesto!$B$57='Flujo de Pagos'!$E375,57,9999)</f>
        <v>57</v>
      </c>
      <c r="BZ375" s="0" t="n">
        <f aca="false">IF(Presupuesto!$B$58='Flujo de Pagos'!$E375,58,9999)</f>
        <v>58</v>
      </c>
      <c r="CA375" s="0" t="n">
        <f aca="false">IF(Presupuesto!$B$59='Flujo de Pagos'!$E375,59,9999)</f>
        <v>59</v>
      </c>
      <c r="CB375" s="0" t="n">
        <f aca="false">IF(Presupuesto!$B$60='Flujo de Pagos'!$E375,60,9999)</f>
        <v>60</v>
      </c>
      <c r="CC375" s="0" t="n">
        <f aca="false">IF(Presupuesto!$B$61='Flujo de Pagos'!$E375,61,9999)</f>
        <v>61</v>
      </c>
      <c r="CD375" s="0" t="n">
        <f aca="false">IF(Presupuesto!$B$62='Flujo de Pagos'!$E375,62,9999)</f>
        <v>62</v>
      </c>
      <c r="CE375" s="0" t="n">
        <f aca="false">IF(Presupuesto!$B$63='Flujo de Pagos'!$E375,63,9999)</f>
        <v>63</v>
      </c>
      <c r="CF375" s="0" t="n">
        <f aca="false">IF(Presupuesto!$B$64='Flujo de Pagos'!$E375,64,9999)</f>
        <v>64</v>
      </c>
      <c r="CG375" s="0" t="n">
        <f aca="false">IF(Presupuesto!$B$65='Flujo de Pagos'!$E375,65,9999)</f>
        <v>65</v>
      </c>
      <c r="CH375" s="0" t="n">
        <f aca="false">IF(Presupuesto!$B$66='Flujo de Pagos'!$E375,66,9999)</f>
        <v>66</v>
      </c>
    </row>
    <row r="376" customFormat="false" ht="15" hidden="false" customHeight="true" outlineLevel="0" collapsed="false">
      <c r="B376" s="1" t="n">
        <f aca="false">IF(AND('Flujo de Pagos'!E381=Carátula!$B$2,'Flujo de Pagos'!F381=Carátula!$B$4,'Flujo de Pagos'!H381&lt;&gt;""),381,99999)</f>
        <v>99999</v>
      </c>
      <c r="H376" s="1" t="n">
        <f aca="false">IF(SMALL($AA376:$CH376,1)&gt;=9999,"",INDEX(Presupuesto!$C:$C,SMALL($AA376:$CH376,1)))</f>
        <v>0</v>
      </c>
      <c r="I376" s="1" t="n">
        <f aca="false">IF(SMALL($AA376:$CH376,2)&gt;=9999,"",INDEX(Presupuesto!$C:$C,SMALL($AA376:$CH376,2)))</f>
        <v>0</v>
      </c>
      <c r="J376" s="1" t="n">
        <f aca="false">IF(SMALL($AA376:$CH376,3)&gt;=9999,"",INDEX(Presupuesto!$C:$C,SMALL($AA376:$CH376,3)))</f>
        <v>0</v>
      </c>
      <c r="K376" s="1" t="n">
        <f aca="false">IF(SMALL($AA376:$CH376,4)&gt;=9999,"",INDEX(Presupuesto!$C:$C,SMALL($AA376:$CH376,4)))</f>
        <v>0</v>
      </c>
      <c r="L376" s="1" t="n">
        <f aca="false">IF(SMALL($AA376:$CH376,5)&gt;=9999,"",INDEX(Presupuesto!$C:$C,SMALL($AA376:$CH376,5)))</f>
        <v>0</v>
      </c>
      <c r="M376" s="1" t="n">
        <f aca="false">IF(SMALL($AA376:$CH376,6)&gt;=9999,"",INDEX(Presupuesto!$C:$C,SMALL($AA376:$CH376,6)))</f>
        <v>0</v>
      </c>
      <c r="N376" s="1" t="n">
        <f aca="false">IF(SMALL($AA376:$CH376,7)&gt;=9999,"",INDEX(Presupuesto!$C:$C,SMALL($AA376:$CH376,7)))</f>
        <v>0</v>
      </c>
      <c r="O376" s="1" t="n">
        <f aca="false">IF(SMALL($AA376:$CH376,8)&gt;=9999,"",INDEX(Presupuesto!$C:$C,SMALL($AA376:$CH376,8)))</f>
        <v>0</v>
      </c>
      <c r="P376" s="1" t="n">
        <f aca="false">IF(SMALL($AA376:$CH376,9)&gt;=9999,"",INDEX(Presupuesto!$C:$C,SMALL($AA376:$CH376,9)))</f>
        <v>0</v>
      </c>
      <c r="Q376" s="1" t="n">
        <f aca="false">IF(SMALL($AA376:$CH376,10)&gt;=9999,"",INDEX(Presupuesto!$C:$C,SMALL($AA376:$CH376,10)))</f>
        <v>0</v>
      </c>
      <c r="AA376" s="0" t="n">
        <f aca="false">IF(Presupuesto!$B$7='Flujo de Pagos'!$E376,7,9999)</f>
        <v>9999</v>
      </c>
      <c r="AB376" s="0" t="n">
        <f aca="false">IF(Presupuesto!$B$8='Flujo de Pagos'!$E376,8,9999)</f>
        <v>9999</v>
      </c>
      <c r="AC376" s="0" t="n">
        <f aca="false">IF(Presupuesto!$B$9='Flujo de Pagos'!$E376,9,9999)</f>
        <v>9999</v>
      </c>
      <c r="AD376" s="0" t="n">
        <f aca="false">IF(Presupuesto!$B$10='Flujo de Pagos'!$E376,10,9999)</f>
        <v>9999</v>
      </c>
      <c r="AE376" s="0" t="n">
        <f aca="false">IF(Presupuesto!$B$11='Flujo de Pagos'!$E376,11,9999)</f>
        <v>9999</v>
      </c>
      <c r="AF376" s="0" t="n">
        <f aca="false">IF(Presupuesto!$B$12='Flujo de Pagos'!$E376,12,9999)</f>
        <v>12</v>
      </c>
      <c r="AG376" s="0" t="n">
        <f aca="false">IF(Presupuesto!$B$13='Flujo de Pagos'!$E376,13,9999)</f>
        <v>13</v>
      </c>
      <c r="AH376" s="0" t="n">
        <f aca="false">IF(Presupuesto!$B$14='Flujo de Pagos'!$E376,14,9999)</f>
        <v>14</v>
      </c>
      <c r="AI376" s="0" t="n">
        <f aca="false">IF(Presupuesto!$B$15='Flujo de Pagos'!$E376,15,9999)</f>
        <v>15</v>
      </c>
      <c r="AJ376" s="0" t="n">
        <f aca="false">IF(Presupuesto!$B$16='Flujo de Pagos'!$E376,16,9999)</f>
        <v>16</v>
      </c>
      <c r="AK376" s="0" t="n">
        <f aca="false">IF(Presupuesto!$B$17='Flujo de Pagos'!$E376,17,9999)</f>
        <v>17</v>
      </c>
      <c r="AL376" s="0" t="n">
        <f aca="false">IF(Presupuesto!$B$18='Flujo de Pagos'!$E376,18,9999)</f>
        <v>18</v>
      </c>
      <c r="AM376" s="0" t="n">
        <f aca="false">IF(Presupuesto!$B$19='Flujo de Pagos'!$E376,19,9999)</f>
        <v>19</v>
      </c>
      <c r="AN376" s="0" t="n">
        <f aca="false">IF(Presupuesto!$B$20='Flujo de Pagos'!$E376,20,9999)</f>
        <v>20</v>
      </c>
      <c r="AO376" s="0" t="n">
        <f aca="false">IF(Presupuesto!$B$21='Flujo de Pagos'!$E376,21,9999)</f>
        <v>21</v>
      </c>
      <c r="AP376" s="0" t="n">
        <f aca="false">IF(Presupuesto!$B$22='Flujo de Pagos'!$E376,22,9999)</f>
        <v>22</v>
      </c>
      <c r="AQ376" s="0" t="n">
        <f aca="false">IF(Presupuesto!$B$23='Flujo de Pagos'!$E376,23,9999)</f>
        <v>23</v>
      </c>
      <c r="AR376" s="0" t="n">
        <f aca="false">IF(Presupuesto!$B$24='Flujo de Pagos'!$E376,24,9999)</f>
        <v>24</v>
      </c>
      <c r="AS376" s="0" t="n">
        <f aca="false">IF(Presupuesto!$B$25='Flujo de Pagos'!$E376,25,9999)</f>
        <v>25</v>
      </c>
      <c r="AT376" s="0" t="n">
        <f aca="false">IF(Presupuesto!$B$26='Flujo de Pagos'!$E376,26,9999)</f>
        <v>26</v>
      </c>
      <c r="AU376" s="0" t="n">
        <f aca="false">IF(Presupuesto!$B$27='Flujo de Pagos'!$E376,27,9999)</f>
        <v>27</v>
      </c>
      <c r="AV376" s="0" t="n">
        <f aca="false">IF(Presupuesto!$B$28='Flujo de Pagos'!$E376,28,9999)</f>
        <v>28</v>
      </c>
      <c r="AW376" s="0" t="n">
        <f aca="false">IF(Presupuesto!$B$29='Flujo de Pagos'!$E376,29,9999)</f>
        <v>29</v>
      </c>
      <c r="AX376" s="0" t="n">
        <f aca="false">IF(Presupuesto!$B$30='Flujo de Pagos'!$E376,30,9999)</f>
        <v>30</v>
      </c>
      <c r="AY376" s="0" t="n">
        <f aca="false">IF(Presupuesto!$B$31='Flujo de Pagos'!$E376,31,9999)</f>
        <v>31</v>
      </c>
      <c r="AZ376" s="0" t="n">
        <f aca="false">IF(Presupuesto!$B$32='Flujo de Pagos'!$E376,32,9999)</f>
        <v>32</v>
      </c>
      <c r="BA376" s="0" t="n">
        <f aca="false">IF(Presupuesto!$B$33='Flujo de Pagos'!$E376,33,9999)</f>
        <v>33</v>
      </c>
      <c r="BB376" s="0" t="n">
        <f aca="false">IF(Presupuesto!$B$34='Flujo de Pagos'!$E376,34,9999)</f>
        <v>34</v>
      </c>
      <c r="BC376" s="0" t="n">
        <f aca="false">IF(Presupuesto!$B$35='Flujo de Pagos'!$E376,35,9999)</f>
        <v>35</v>
      </c>
      <c r="BD376" s="0" t="n">
        <f aca="false">IF(Presupuesto!$B$36='Flujo de Pagos'!$E376,36,9999)</f>
        <v>36</v>
      </c>
      <c r="BE376" s="0" t="n">
        <f aca="false">IF(Presupuesto!$B$37='Flujo de Pagos'!$E376,37,9999)</f>
        <v>37</v>
      </c>
      <c r="BF376" s="0" t="n">
        <f aca="false">IF(Presupuesto!$B$38='Flujo de Pagos'!$E376,38,9999)</f>
        <v>38</v>
      </c>
      <c r="BG376" s="0" t="n">
        <f aca="false">IF(Presupuesto!$B$39='Flujo de Pagos'!$E376,39,9999)</f>
        <v>39</v>
      </c>
      <c r="BH376" s="0" t="n">
        <f aca="false">IF(Presupuesto!$B$40='Flujo de Pagos'!$E376,40,9999)</f>
        <v>40</v>
      </c>
      <c r="BI376" s="0" t="n">
        <f aca="false">IF(Presupuesto!$B$41='Flujo de Pagos'!$E376,41,9999)</f>
        <v>41</v>
      </c>
      <c r="BJ376" s="0" t="n">
        <f aca="false">IF(Presupuesto!$B$42='Flujo de Pagos'!$E376,42,9999)</f>
        <v>42</v>
      </c>
      <c r="BK376" s="0" t="n">
        <f aca="false">IF(Presupuesto!$B$43='Flujo de Pagos'!$E376,43,9999)</f>
        <v>43</v>
      </c>
      <c r="BL376" s="0" t="n">
        <f aca="false">IF(Presupuesto!$B$44='Flujo de Pagos'!$E376,44,9999)</f>
        <v>44</v>
      </c>
      <c r="BM376" s="0" t="n">
        <f aca="false">IF(Presupuesto!$B$45='Flujo de Pagos'!$E376,45,9999)</f>
        <v>45</v>
      </c>
      <c r="BN376" s="0" t="n">
        <f aca="false">IF(Presupuesto!$B$46='Flujo de Pagos'!$E376,46,9999)</f>
        <v>46</v>
      </c>
      <c r="BO376" s="0" t="n">
        <f aca="false">IF(Presupuesto!$B$47='Flujo de Pagos'!$E376,47,9999)</f>
        <v>47</v>
      </c>
      <c r="BP376" s="0" t="n">
        <f aca="false">IF(Presupuesto!$B$48='Flujo de Pagos'!$E376,48,9999)</f>
        <v>48</v>
      </c>
      <c r="BQ376" s="0" t="n">
        <f aca="false">IF(Presupuesto!$B$49='Flujo de Pagos'!$E376,49,9999)</f>
        <v>49</v>
      </c>
      <c r="BR376" s="0" t="n">
        <f aca="false">IF(Presupuesto!$B$50='Flujo de Pagos'!$E376,50,9999)</f>
        <v>50</v>
      </c>
      <c r="BS376" s="0" t="n">
        <f aca="false">IF(Presupuesto!$B$51='Flujo de Pagos'!$E376,51,9999)</f>
        <v>51</v>
      </c>
      <c r="BT376" s="0" t="n">
        <f aca="false">IF(Presupuesto!$B$52='Flujo de Pagos'!$E376,52,9999)</f>
        <v>52</v>
      </c>
      <c r="BU376" s="0" t="n">
        <f aca="false">IF(Presupuesto!$B$53='Flujo de Pagos'!$E376,53,9999)</f>
        <v>53</v>
      </c>
      <c r="BV376" s="0" t="n">
        <f aca="false">IF(Presupuesto!$B$54='Flujo de Pagos'!$E376,54,9999)</f>
        <v>54</v>
      </c>
      <c r="BW376" s="0" t="n">
        <f aca="false">IF(Presupuesto!$B$55='Flujo de Pagos'!$E376,55,9999)</f>
        <v>55</v>
      </c>
      <c r="BX376" s="0" t="n">
        <f aca="false">IF(Presupuesto!$B$56='Flujo de Pagos'!$E376,56,9999)</f>
        <v>56</v>
      </c>
      <c r="BY376" s="0" t="n">
        <f aca="false">IF(Presupuesto!$B$57='Flujo de Pagos'!$E376,57,9999)</f>
        <v>57</v>
      </c>
      <c r="BZ376" s="0" t="n">
        <f aca="false">IF(Presupuesto!$B$58='Flujo de Pagos'!$E376,58,9999)</f>
        <v>58</v>
      </c>
      <c r="CA376" s="0" t="n">
        <f aca="false">IF(Presupuesto!$B$59='Flujo de Pagos'!$E376,59,9999)</f>
        <v>59</v>
      </c>
      <c r="CB376" s="0" t="n">
        <f aca="false">IF(Presupuesto!$B$60='Flujo de Pagos'!$E376,60,9999)</f>
        <v>60</v>
      </c>
      <c r="CC376" s="0" t="n">
        <f aca="false">IF(Presupuesto!$B$61='Flujo de Pagos'!$E376,61,9999)</f>
        <v>61</v>
      </c>
      <c r="CD376" s="0" t="n">
        <f aca="false">IF(Presupuesto!$B$62='Flujo de Pagos'!$E376,62,9999)</f>
        <v>62</v>
      </c>
      <c r="CE376" s="0" t="n">
        <f aca="false">IF(Presupuesto!$B$63='Flujo de Pagos'!$E376,63,9999)</f>
        <v>63</v>
      </c>
      <c r="CF376" s="0" t="n">
        <f aca="false">IF(Presupuesto!$B$64='Flujo de Pagos'!$E376,64,9999)</f>
        <v>64</v>
      </c>
      <c r="CG376" s="0" t="n">
        <f aca="false">IF(Presupuesto!$B$65='Flujo de Pagos'!$E376,65,9999)</f>
        <v>65</v>
      </c>
      <c r="CH376" s="0" t="n">
        <f aca="false">IF(Presupuesto!$B$66='Flujo de Pagos'!$E376,66,9999)</f>
        <v>66</v>
      </c>
    </row>
    <row r="377" customFormat="false" ht="15" hidden="false" customHeight="true" outlineLevel="0" collapsed="false">
      <c r="B377" s="1" t="n">
        <f aca="false">IF(AND('Flujo de Pagos'!E382=Carátula!$B$2,'Flujo de Pagos'!F382=Carátula!$B$4,'Flujo de Pagos'!H382&lt;&gt;""),382,99999)</f>
        <v>99999</v>
      </c>
      <c r="H377" s="1" t="n">
        <f aca="false">IF(SMALL($AA377:$CH377,1)&gt;=9999,"",INDEX(Presupuesto!$C:$C,SMALL($AA377:$CH377,1)))</f>
        <v>0</v>
      </c>
      <c r="I377" s="1" t="n">
        <f aca="false">IF(SMALL($AA377:$CH377,2)&gt;=9999,"",INDEX(Presupuesto!$C:$C,SMALL($AA377:$CH377,2)))</f>
        <v>0</v>
      </c>
      <c r="J377" s="1" t="n">
        <f aca="false">IF(SMALL($AA377:$CH377,3)&gt;=9999,"",INDEX(Presupuesto!$C:$C,SMALL($AA377:$CH377,3)))</f>
        <v>0</v>
      </c>
      <c r="K377" s="1" t="n">
        <f aca="false">IF(SMALL($AA377:$CH377,4)&gt;=9999,"",INDEX(Presupuesto!$C:$C,SMALL($AA377:$CH377,4)))</f>
        <v>0</v>
      </c>
      <c r="L377" s="1" t="n">
        <f aca="false">IF(SMALL($AA377:$CH377,5)&gt;=9999,"",INDEX(Presupuesto!$C:$C,SMALL($AA377:$CH377,5)))</f>
        <v>0</v>
      </c>
      <c r="M377" s="1" t="n">
        <f aca="false">IF(SMALL($AA377:$CH377,6)&gt;=9999,"",INDEX(Presupuesto!$C:$C,SMALL($AA377:$CH377,6)))</f>
        <v>0</v>
      </c>
      <c r="N377" s="1" t="n">
        <f aca="false">IF(SMALL($AA377:$CH377,7)&gt;=9999,"",INDEX(Presupuesto!$C:$C,SMALL($AA377:$CH377,7)))</f>
        <v>0</v>
      </c>
      <c r="O377" s="1" t="n">
        <f aca="false">IF(SMALL($AA377:$CH377,8)&gt;=9999,"",INDEX(Presupuesto!$C:$C,SMALL($AA377:$CH377,8)))</f>
        <v>0</v>
      </c>
      <c r="P377" s="1" t="n">
        <f aca="false">IF(SMALL($AA377:$CH377,9)&gt;=9999,"",INDEX(Presupuesto!$C:$C,SMALL($AA377:$CH377,9)))</f>
        <v>0</v>
      </c>
      <c r="Q377" s="1" t="n">
        <f aca="false">IF(SMALL($AA377:$CH377,10)&gt;=9999,"",INDEX(Presupuesto!$C:$C,SMALL($AA377:$CH377,10)))</f>
        <v>0</v>
      </c>
      <c r="AA377" s="0" t="n">
        <f aca="false">IF(Presupuesto!$B$7='Flujo de Pagos'!$E377,7,9999)</f>
        <v>9999</v>
      </c>
      <c r="AB377" s="0" t="n">
        <f aca="false">IF(Presupuesto!$B$8='Flujo de Pagos'!$E377,8,9999)</f>
        <v>9999</v>
      </c>
      <c r="AC377" s="0" t="n">
        <f aca="false">IF(Presupuesto!$B$9='Flujo de Pagos'!$E377,9,9999)</f>
        <v>9999</v>
      </c>
      <c r="AD377" s="0" t="n">
        <f aca="false">IF(Presupuesto!$B$10='Flujo de Pagos'!$E377,10,9999)</f>
        <v>9999</v>
      </c>
      <c r="AE377" s="0" t="n">
        <f aca="false">IF(Presupuesto!$B$11='Flujo de Pagos'!$E377,11,9999)</f>
        <v>9999</v>
      </c>
      <c r="AF377" s="0" t="n">
        <f aca="false">IF(Presupuesto!$B$12='Flujo de Pagos'!$E377,12,9999)</f>
        <v>12</v>
      </c>
      <c r="AG377" s="0" t="n">
        <f aca="false">IF(Presupuesto!$B$13='Flujo de Pagos'!$E377,13,9999)</f>
        <v>13</v>
      </c>
      <c r="AH377" s="0" t="n">
        <f aca="false">IF(Presupuesto!$B$14='Flujo de Pagos'!$E377,14,9999)</f>
        <v>14</v>
      </c>
      <c r="AI377" s="0" t="n">
        <f aca="false">IF(Presupuesto!$B$15='Flujo de Pagos'!$E377,15,9999)</f>
        <v>15</v>
      </c>
      <c r="AJ377" s="0" t="n">
        <f aca="false">IF(Presupuesto!$B$16='Flujo de Pagos'!$E377,16,9999)</f>
        <v>16</v>
      </c>
      <c r="AK377" s="0" t="n">
        <f aca="false">IF(Presupuesto!$B$17='Flujo de Pagos'!$E377,17,9999)</f>
        <v>17</v>
      </c>
      <c r="AL377" s="0" t="n">
        <f aca="false">IF(Presupuesto!$B$18='Flujo de Pagos'!$E377,18,9999)</f>
        <v>18</v>
      </c>
      <c r="AM377" s="0" t="n">
        <f aca="false">IF(Presupuesto!$B$19='Flujo de Pagos'!$E377,19,9999)</f>
        <v>19</v>
      </c>
      <c r="AN377" s="0" t="n">
        <f aca="false">IF(Presupuesto!$B$20='Flujo de Pagos'!$E377,20,9999)</f>
        <v>20</v>
      </c>
      <c r="AO377" s="0" t="n">
        <f aca="false">IF(Presupuesto!$B$21='Flujo de Pagos'!$E377,21,9999)</f>
        <v>21</v>
      </c>
      <c r="AP377" s="0" t="n">
        <f aca="false">IF(Presupuesto!$B$22='Flujo de Pagos'!$E377,22,9999)</f>
        <v>22</v>
      </c>
      <c r="AQ377" s="0" t="n">
        <f aca="false">IF(Presupuesto!$B$23='Flujo de Pagos'!$E377,23,9999)</f>
        <v>23</v>
      </c>
      <c r="AR377" s="0" t="n">
        <f aca="false">IF(Presupuesto!$B$24='Flujo de Pagos'!$E377,24,9999)</f>
        <v>24</v>
      </c>
      <c r="AS377" s="0" t="n">
        <f aca="false">IF(Presupuesto!$B$25='Flujo de Pagos'!$E377,25,9999)</f>
        <v>25</v>
      </c>
      <c r="AT377" s="0" t="n">
        <f aca="false">IF(Presupuesto!$B$26='Flujo de Pagos'!$E377,26,9999)</f>
        <v>26</v>
      </c>
      <c r="AU377" s="0" t="n">
        <f aca="false">IF(Presupuesto!$B$27='Flujo de Pagos'!$E377,27,9999)</f>
        <v>27</v>
      </c>
      <c r="AV377" s="0" t="n">
        <f aca="false">IF(Presupuesto!$B$28='Flujo de Pagos'!$E377,28,9999)</f>
        <v>28</v>
      </c>
      <c r="AW377" s="0" t="n">
        <f aca="false">IF(Presupuesto!$B$29='Flujo de Pagos'!$E377,29,9999)</f>
        <v>29</v>
      </c>
      <c r="AX377" s="0" t="n">
        <f aca="false">IF(Presupuesto!$B$30='Flujo de Pagos'!$E377,30,9999)</f>
        <v>30</v>
      </c>
      <c r="AY377" s="0" t="n">
        <f aca="false">IF(Presupuesto!$B$31='Flujo de Pagos'!$E377,31,9999)</f>
        <v>31</v>
      </c>
      <c r="AZ377" s="0" t="n">
        <f aca="false">IF(Presupuesto!$B$32='Flujo de Pagos'!$E377,32,9999)</f>
        <v>32</v>
      </c>
      <c r="BA377" s="0" t="n">
        <f aca="false">IF(Presupuesto!$B$33='Flujo de Pagos'!$E377,33,9999)</f>
        <v>33</v>
      </c>
      <c r="BB377" s="0" t="n">
        <f aca="false">IF(Presupuesto!$B$34='Flujo de Pagos'!$E377,34,9999)</f>
        <v>34</v>
      </c>
      <c r="BC377" s="0" t="n">
        <f aca="false">IF(Presupuesto!$B$35='Flujo de Pagos'!$E377,35,9999)</f>
        <v>35</v>
      </c>
      <c r="BD377" s="0" t="n">
        <f aca="false">IF(Presupuesto!$B$36='Flujo de Pagos'!$E377,36,9999)</f>
        <v>36</v>
      </c>
      <c r="BE377" s="0" t="n">
        <f aca="false">IF(Presupuesto!$B$37='Flujo de Pagos'!$E377,37,9999)</f>
        <v>37</v>
      </c>
      <c r="BF377" s="0" t="n">
        <f aca="false">IF(Presupuesto!$B$38='Flujo de Pagos'!$E377,38,9999)</f>
        <v>38</v>
      </c>
      <c r="BG377" s="0" t="n">
        <f aca="false">IF(Presupuesto!$B$39='Flujo de Pagos'!$E377,39,9999)</f>
        <v>39</v>
      </c>
      <c r="BH377" s="0" t="n">
        <f aca="false">IF(Presupuesto!$B$40='Flujo de Pagos'!$E377,40,9999)</f>
        <v>40</v>
      </c>
      <c r="BI377" s="0" t="n">
        <f aca="false">IF(Presupuesto!$B$41='Flujo de Pagos'!$E377,41,9999)</f>
        <v>41</v>
      </c>
      <c r="BJ377" s="0" t="n">
        <f aca="false">IF(Presupuesto!$B$42='Flujo de Pagos'!$E377,42,9999)</f>
        <v>42</v>
      </c>
      <c r="BK377" s="0" t="n">
        <f aca="false">IF(Presupuesto!$B$43='Flujo de Pagos'!$E377,43,9999)</f>
        <v>43</v>
      </c>
      <c r="BL377" s="0" t="n">
        <f aca="false">IF(Presupuesto!$B$44='Flujo de Pagos'!$E377,44,9999)</f>
        <v>44</v>
      </c>
      <c r="BM377" s="0" t="n">
        <f aca="false">IF(Presupuesto!$B$45='Flujo de Pagos'!$E377,45,9999)</f>
        <v>45</v>
      </c>
      <c r="BN377" s="0" t="n">
        <f aca="false">IF(Presupuesto!$B$46='Flujo de Pagos'!$E377,46,9999)</f>
        <v>46</v>
      </c>
      <c r="BO377" s="0" t="n">
        <f aca="false">IF(Presupuesto!$B$47='Flujo de Pagos'!$E377,47,9999)</f>
        <v>47</v>
      </c>
      <c r="BP377" s="0" t="n">
        <f aca="false">IF(Presupuesto!$B$48='Flujo de Pagos'!$E377,48,9999)</f>
        <v>48</v>
      </c>
      <c r="BQ377" s="0" t="n">
        <f aca="false">IF(Presupuesto!$B$49='Flujo de Pagos'!$E377,49,9999)</f>
        <v>49</v>
      </c>
      <c r="BR377" s="0" t="n">
        <f aca="false">IF(Presupuesto!$B$50='Flujo de Pagos'!$E377,50,9999)</f>
        <v>50</v>
      </c>
      <c r="BS377" s="0" t="n">
        <f aca="false">IF(Presupuesto!$B$51='Flujo de Pagos'!$E377,51,9999)</f>
        <v>51</v>
      </c>
      <c r="BT377" s="0" t="n">
        <f aca="false">IF(Presupuesto!$B$52='Flujo de Pagos'!$E377,52,9999)</f>
        <v>52</v>
      </c>
      <c r="BU377" s="0" t="n">
        <f aca="false">IF(Presupuesto!$B$53='Flujo de Pagos'!$E377,53,9999)</f>
        <v>53</v>
      </c>
      <c r="BV377" s="0" t="n">
        <f aca="false">IF(Presupuesto!$B$54='Flujo de Pagos'!$E377,54,9999)</f>
        <v>54</v>
      </c>
      <c r="BW377" s="0" t="n">
        <f aca="false">IF(Presupuesto!$B$55='Flujo de Pagos'!$E377,55,9999)</f>
        <v>55</v>
      </c>
      <c r="BX377" s="0" t="n">
        <f aca="false">IF(Presupuesto!$B$56='Flujo de Pagos'!$E377,56,9999)</f>
        <v>56</v>
      </c>
      <c r="BY377" s="0" t="n">
        <f aca="false">IF(Presupuesto!$B$57='Flujo de Pagos'!$E377,57,9999)</f>
        <v>57</v>
      </c>
      <c r="BZ377" s="0" t="n">
        <f aca="false">IF(Presupuesto!$B$58='Flujo de Pagos'!$E377,58,9999)</f>
        <v>58</v>
      </c>
      <c r="CA377" s="0" t="n">
        <f aca="false">IF(Presupuesto!$B$59='Flujo de Pagos'!$E377,59,9999)</f>
        <v>59</v>
      </c>
      <c r="CB377" s="0" t="n">
        <f aca="false">IF(Presupuesto!$B$60='Flujo de Pagos'!$E377,60,9999)</f>
        <v>60</v>
      </c>
      <c r="CC377" s="0" t="n">
        <f aca="false">IF(Presupuesto!$B$61='Flujo de Pagos'!$E377,61,9999)</f>
        <v>61</v>
      </c>
      <c r="CD377" s="0" t="n">
        <f aca="false">IF(Presupuesto!$B$62='Flujo de Pagos'!$E377,62,9999)</f>
        <v>62</v>
      </c>
      <c r="CE377" s="0" t="n">
        <f aca="false">IF(Presupuesto!$B$63='Flujo de Pagos'!$E377,63,9999)</f>
        <v>63</v>
      </c>
      <c r="CF377" s="0" t="n">
        <f aca="false">IF(Presupuesto!$B$64='Flujo de Pagos'!$E377,64,9999)</f>
        <v>64</v>
      </c>
      <c r="CG377" s="0" t="n">
        <f aca="false">IF(Presupuesto!$B$65='Flujo de Pagos'!$E377,65,9999)</f>
        <v>65</v>
      </c>
      <c r="CH377" s="0" t="n">
        <f aca="false">IF(Presupuesto!$B$66='Flujo de Pagos'!$E377,66,9999)</f>
        <v>66</v>
      </c>
    </row>
    <row r="378" customFormat="false" ht="15" hidden="false" customHeight="true" outlineLevel="0" collapsed="false">
      <c r="B378" s="1" t="n">
        <f aca="false">IF(AND('Flujo de Pagos'!E383=Carátula!$B$2,'Flujo de Pagos'!F383=Carátula!$B$4,'Flujo de Pagos'!H383&lt;&gt;""),383,99999)</f>
        <v>99999</v>
      </c>
      <c r="H378" s="1" t="n">
        <f aca="false">IF(SMALL($AA378:$CH378,1)&gt;=9999,"",INDEX(Presupuesto!$C:$C,SMALL($AA378:$CH378,1)))</f>
        <v>0</v>
      </c>
      <c r="I378" s="1" t="n">
        <f aca="false">IF(SMALL($AA378:$CH378,2)&gt;=9999,"",INDEX(Presupuesto!$C:$C,SMALL($AA378:$CH378,2)))</f>
        <v>0</v>
      </c>
      <c r="J378" s="1" t="n">
        <f aca="false">IF(SMALL($AA378:$CH378,3)&gt;=9999,"",INDEX(Presupuesto!$C:$C,SMALL($AA378:$CH378,3)))</f>
        <v>0</v>
      </c>
      <c r="K378" s="1" t="n">
        <f aca="false">IF(SMALL($AA378:$CH378,4)&gt;=9999,"",INDEX(Presupuesto!$C:$C,SMALL($AA378:$CH378,4)))</f>
        <v>0</v>
      </c>
      <c r="L378" s="1" t="n">
        <f aca="false">IF(SMALL($AA378:$CH378,5)&gt;=9999,"",INDEX(Presupuesto!$C:$C,SMALL($AA378:$CH378,5)))</f>
        <v>0</v>
      </c>
      <c r="M378" s="1" t="n">
        <f aca="false">IF(SMALL($AA378:$CH378,6)&gt;=9999,"",INDEX(Presupuesto!$C:$C,SMALL($AA378:$CH378,6)))</f>
        <v>0</v>
      </c>
      <c r="N378" s="1" t="n">
        <f aca="false">IF(SMALL($AA378:$CH378,7)&gt;=9999,"",INDEX(Presupuesto!$C:$C,SMALL($AA378:$CH378,7)))</f>
        <v>0</v>
      </c>
      <c r="O378" s="1" t="n">
        <f aca="false">IF(SMALL($AA378:$CH378,8)&gt;=9999,"",INDEX(Presupuesto!$C:$C,SMALL($AA378:$CH378,8)))</f>
        <v>0</v>
      </c>
      <c r="P378" s="1" t="n">
        <f aca="false">IF(SMALL($AA378:$CH378,9)&gt;=9999,"",INDEX(Presupuesto!$C:$C,SMALL($AA378:$CH378,9)))</f>
        <v>0</v>
      </c>
      <c r="Q378" s="1" t="n">
        <f aca="false">IF(SMALL($AA378:$CH378,10)&gt;=9999,"",INDEX(Presupuesto!$C:$C,SMALL($AA378:$CH378,10)))</f>
        <v>0</v>
      </c>
      <c r="AA378" s="0" t="n">
        <f aca="false">IF(Presupuesto!$B$7='Flujo de Pagos'!$E378,7,9999)</f>
        <v>9999</v>
      </c>
      <c r="AB378" s="0" t="n">
        <f aca="false">IF(Presupuesto!$B$8='Flujo de Pagos'!$E378,8,9999)</f>
        <v>9999</v>
      </c>
      <c r="AC378" s="0" t="n">
        <f aca="false">IF(Presupuesto!$B$9='Flujo de Pagos'!$E378,9,9999)</f>
        <v>9999</v>
      </c>
      <c r="AD378" s="0" t="n">
        <f aca="false">IF(Presupuesto!$B$10='Flujo de Pagos'!$E378,10,9999)</f>
        <v>9999</v>
      </c>
      <c r="AE378" s="0" t="n">
        <f aca="false">IF(Presupuesto!$B$11='Flujo de Pagos'!$E378,11,9999)</f>
        <v>9999</v>
      </c>
      <c r="AF378" s="0" t="n">
        <f aca="false">IF(Presupuesto!$B$12='Flujo de Pagos'!$E378,12,9999)</f>
        <v>12</v>
      </c>
      <c r="AG378" s="0" t="n">
        <f aca="false">IF(Presupuesto!$B$13='Flujo de Pagos'!$E378,13,9999)</f>
        <v>13</v>
      </c>
      <c r="AH378" s="0" t="n">
        <f aca="false">IF(Presupuesto!$B$14='Flujo de Pagos'!$E378,14,9999)</f>
        <v>14</v>
      </c>
      <c r="AI378" s="0" t="n">
        <f aca="false">IF(Presupuesto!$B$15='Flujo de Pagos'!$E378,15,9999)</f>
        <v>15</v>
      </c>
      <c r="AJ378" s="0" t="n">
        <f aca="false">IF(Presupuesto!$B$16='Flujo de Pagos'!$E378,16,9999)</f>
        <v>16</v>
      </c>
      <c r="AK378" s="0" t="n">
        <f aca="false">IF(Presupuesto!$B$17='Flujo de Pagos'!$E378,17,9999)</f>
        <v>17</v>
      </c>
      <c r="AL378" s="0" t="n">
        <f aca="false">IF(Presupuesto!$B$18='Flujo de Pagos'!$E378,18,9999)</f>
        <v>18</v>
      </c>
      <c r="AM378" s="0" t="n">
        <f aca="false">IF(Presupuesto!$B$19='Flujo de Pagos'!$E378,19,9999)</f>
        <v>19</v>
      </c>
      <c r="AN378" s="0" t="n">
        <f aca="false">IF(Presupuesto!$B$20='Flujo de Pagos'!$E378,20,9999)</f>
        <v>20</v>
      </c>
      <c r="AO378" s="0" t="n">
        <f aca="false">IF(Presupuesto!$B$21='Flujo de Pagos'!$E378,21,9999)</f>
        <v>21</v>
      </c>
      <c r="AP378" s="0" t="n">
        <f aca="false">IF(Presupuesto!$B$22='Flujo de Pagos'!$E378,22,9999)</f>
        <v>22</v>
      </c>
      <c r="AQ378" s="0" t="n">
        <f aca="false">IF(Presupuesto!$B$23='Flujo de Pagos'!$E378,23,9999)</f>
        <v>23</v>
      </c>
      <c r="AR378" s="0" t="n">
        <f aca="false">IF(Presupuesto!$B$24='Flujo de Pagos'!$E378,24,9999)</f>
        <v>24</v>
      </c>
      <c r="AS378" s="0" t="n">
        <f aca="false">IF(Presupuesto!$B$25='Flujo de Pagos'!$E378,25,9999)</f>
        <v>25</v>
      </c>
      <c r="AT378" s="0" t="n">
        <f aca="false">IF(Presupuesto!$B$26='Flujo de Pagos'!$E378,26,9999)</f>
        <v>26</v>
      </c>
      <c r="AU378" s="0" t="n">
        <f aca="false">IF(Presupuesto!$B$27='Flujo de Pagos'!$E378,27,9999)</f>
        <v>27</v>
      </c>
      <c r="AV378" s="0" t="n">
        <f aca="false">IF(Presupuesto!$B$28='Flujo de Pagos'!$E378,28,9999)</f>
        <v>28</v>
      </c>
      <c r="AW378" s="0" t="n">
        <f aca="false">IF(Presupuesto!$B$29='Flujo de Pagos'!$E378,29,9999)</f>
        <v>29</v>
      </c>
      <c r="AX378" s="0" t="n">
        <f aca="false">IF(Presupuesto!$B$30='Flujo de Pagos'!$E378,30,9999)</f>
        <v>30</v>
      </c>
      <c r="AY378" s="0" t="n">
        <f aca="false">IF(Presupuesto!$B$31='Flujo de Pagos'!$E378,31,9999)</f>
        <v>31</v>
      </c>
      <c r="AZ378" s="0" t="n">
        <f aca="false">IF(Presupuesto!$B$32='Flujo de Pagos'!$E378,32,9999)</f>
        <v>32</v>
      </c>
      <c r="BA378" s="0" t="n">
        <f aca="false">IF(Presupuesto!$B$33='Flujo de Pagos'!$E378,33,9999)</f>
        <v>33</v>
      </c>
      <c r="BB378" s="0" t="n">
        <f aca="false">IF(Presupuesto!$B$34='Flujo de Pagos'!$E378,34,9999)</f>
        <v>34</v>
      </c>
      <c r="BC378" s="0" t="n">
        <f aca="false">IF(Presupuesto!$B$35='Flujo de Pagos'!$E378,35,9999)</f>
        <v>35</v>
      </c>
      <c r="BD378" s="0" t="n">
        <f aca="false">IF(Presupuesto!$B$36='Flujo de Pagos'!$E378,36,9999)</f>
        <v>36</v>
      </c>
      <c r="BE378" s="0" t="n">
        <f aca="false">IF(Presupuesto!$B$37='Flujo de Pagos'!$E378,37,9999)</f>
        <v>37</v>
      </c>
      <c r="BF378" s="0" t="n">
        <f aca="false">IF(Presupuesto!$B$38='Flujo de Pagos'!$E378,38,9999)</f>
        <v>38</v>
      </c>
      <c r="BG378" s="0" t="n">
        <f aca="false">IF(Presupuesto!$B$39='Flujo de Pagos'!$E378,39,9999)</f>
        <v>39</v>
      </c>
      <c r="BH378" s="0" t="n">
        <f aca="false">IF(Presupuesto!$B$40='Flujo de Pagos'!$E378,40,9999)</f>
        <v>40</v>
      </c>
      <c r="BI378" s="0" t="n">
        <f aca="false">IF(Presupuesto!$B$41='Flujo de Pagos'!$E378,41,9999)</f>
        <v>41</v>
      </c>
      <c r="BJ378" s="0" t="n">
        <f aca="false">IF(Presupuesto!$B$42='Flujo de Pagos'!$E378,42,9999)</f>
        <v>42</v>
      </c>
      <c r="BK378" s="0" t="n">
        <f aca="false">IF(Presupuesto!$B$43='Flujo de Pagos'!$E378,43,9999)</f>
        <v>43</v>
      </c>
      <c r="BL378" s="0" t="n">
        <f aca="false">IF(Presupuesto!$B$44='Flujo de Pagos'!$E378,44,9999)</f>
        <v>44</v>
      </c>
      <c r="BM378" s="0" t="n">
        <f aca="false">IF(Presupuesto!$B$45='Flujo de Pagos'!$E378,45,9999)</f>
        <v>45</v>
      </c>
      <c r="BN378" s="0" t="n">
        <f aca="false">IF(Presupuesto!$B$46='Flujo de Pagos'!$E378,46,9999)</f>
        <v>46</v>
      </c>
      <c r="BO378" s="0" t="n">
        <f aca="false">IF(Presupuesto!$B$47='Flujo de Pagos'!$E378,47,9999)</f>
        <v>47</v>
      </c>
      <c r="BP378" s="0" t="n">
        <f aca="false">IF(Presupuesto!$B$48='Flujo de Pagos'!$E378,48,9999)</f>
        <v>48</v>
      </c>
      <c r="BQ378" s="0" t="n">
        <f aca="false">IF(Presupuesto!$B$49='Flujo de Pagos'!$E378,49,9999)</f>
        <v>49</v>
      </c>
      <c r="BR378" s="0" t="n">
        <f aca="false">IF(Presupuesto!$B$50='Flujo de Pagos'!$E378,50,9999)</f>
        <v>50</v>
      </c>
      <c r="BS378" s="0" t="n">
        <f aca="false">IF(Presupuesto!$B$51='Flujo de Pagos'!$E378,51,9999)</f>
        <v>51</v>
      </c>
      <c r="BT378" s="0" t="n">
        <f aca="false">IF(Presupuesto!$B$52='Flujo de Pagos'!$E378,52,9999)</f>
        <v>52</v>
      </c>
      <c r="BU378" s="0" t="n">
        <f aca="false">IF(Presupuesto!$B$53='Flujo de Pagos'!$E378,53,9999)</f>
        <v>53</v>
      </c>
      <c r="BV378" s="0" t="n">
        <f aca="false">IF(Presupuesto!$B$54='Flujo de Pagos'!$E378,54,9999)</f>
        <v>54</v>
      </c>
      <c r="BW378" s="0" t="n">
        <f aca="false">IF(Presupuesto!$B$55='Flujo de Pagos'!$E378,55,9999)</f>
        <v>55</v>
      </c>
      <c r="BX378" s="0" t="n">
        <f aca="false">IF(Presupuesto!$B$56='Flujo de Pagos'!$E378,56,9999)</f>
        <v>56</v>
      </c>
      <c r="BY378" s="0" t="n">
        <f aca="false">IF(Presupuesto!$B$57='Flujo de Pagos'!$E378,57,9999)</f>
        <v>57</v>
      </c>
      <c r="BZ378" s="0" t="n">
        <f aca="false">IF(Presupuesto!$B$58='Flujo de Pagos'!$E378,58,9999)</f>
        <v>58</v>
      </c>
      <c r="CA378" s="0" t="n">
        <f aca="false">IF(Presupuesto!$B$59='Flujo de Pagos'!$E378,59,9999)</f>
        <v>59</v>
      </c>
      <c r="CB378" s="0" t="n">
        <f aca="false">IF(Presupuesto!$B$60='Flujo de Pagos'!$E378,60,9999)</f>
        <v>60</v>
      </c>
      <c r="CC378" s="0" t="n">
        <f aca="false">IF(Presupuesto!$B$61='Flujo de Pagos'!$E378,61,9999)</f>
        <v>61</v>
      </c>
      <c r="CD378" s="0" t="n">
        <f aca="false">IF(Presupuesto!$B$62='Flujo de Pagos'!$E378,62,9999)</f>
        <v>62</v>
      </c>
      <c r="CE378" s="0" t="n">
        <f aca="false">IF(Presupuesto!$B$63='Flujo de Pagos'!$E378,63,9999)</f>
        <v>63</v>
      </c>
      <c r="CF378" s="0" t="n">
        <f aca="false">IF(Presupuesto!$B$64='Flujo de Pagos'!$E378,64,9999)</f>
        <v>64</v>
      </c>
      <c r="CG378" s="0" t="n">
        <f aca="false">IF(Presupuesto!$B$65='Flujo de Pagos'!$E378,65,9999)</f>
        <v>65</v>
      </c>
      <c r="CH378" s="0" t="n">
        <f aca="false">IF(Presupuesto!$B$66='Flujo de Pagos'!$E378,66,9999)</f>
        <v>66</v>
      </c>
    </row>
    <row r="379" customFormat="false" ht="15" hidden="false" customHeight="true" outlineLevel="0" collapsed="false">
      <c r="B379" s="1" t="n">
        <f aca="false">IF(AND('Flujo de Pagos'!E384=Carátula!$B$2,'Flujo de Pagos'!F384=Carátula!$B$4,'Flujo de Pagos'!H384&lt;&gt;""),384,99999)</f>
        <v>99999</v>
      </c>
      <c r="H379" s="1" t="n">
        <f aca="false">IF(SMALL($AA379:$CH379,1)&gt;=9999,"",INDEX(Presupuesto!$C:$C,SMALL($AA379:$CH379,1)))</f>
        <v>0</v>
      </c>
      <c r="I379" s="1" t="n">
        <f aca="false">IF(SMALL($AA379:$CH379,2)&gt;=9999,"",INDEX(Presupuesto!$C:$C,SMALL($AA379:$CH379,2)))</f>
        <v>0</v>
      </c>
      <c r="J379" s="1" t="n">
        <f aca="false">IF(SMALL($AA379:$CH379,3)&gt;=9999,"",INDEX(Presupuesto!$C:$C,SMALL($AA379:$CH379,3)))</f>
        <v>0</v>
      </c>
      <c r="K379" s="1" t="n">
        <f aca="false">IF(SMALL($AA379:$CH379,4)&gt;=9999,"",INDEX(Presupuesto!$C:$C,SMALL($AA379:$CH379,4)))</f>
        <v>0</v>
      </c>
      <c r="L379" s="1" t="n">
        <f aca="false">IF(SMALL($AA379:$CH379,5)&gt;=9999,"",INDEX(Presupuesto!$C:$C,SMALL($AA379:$CH379,5)))</f>
        <v>0</v>
      </c>
      <c r="M379" s="1" t="n">
        <f aca="false">IF(SMALL($AA379:$CH379,6)&gt;=9999,"",INDEX(Presupuesto!$C:$C,SMALL($AA379:$CH379,6)))</f>
        <v>0</v>
      </c>
      <c r="N379" s="1" t="n">
        <f aca="false">IF(SMALL($AA379:$CH379,7)&gt;=9999,"",INDEX(Presupuesto!$C:$C,SMALL($AA379:$CH379,7)))</f>
        <v>0</v>
      </c>
      <c r="O379" s="1" t="n">
        <f aca="false">IF(SMALL($AA379:$CH379,8)&gt;=9999,"",INDEX(Presupuesto!$C:$C,SMALL($AA379:$CH379,8)))</f>
        <v>0</v>
      </c>
      <c r="P379" s="1" t="n">
        <f aca="false">IF(SMALL($AA379:$CH379,9)&gt;=9999,"",INDEX(Presupuesto!$C:$C,SMALL($AA379:$CH379,9)))</f>
        <v>0</v>
      </c>
      <c r="Q379" s="1" t="n">
        <f aca="false">IF(SMALL($AA379:$CH379,10)&gt;=9999,"",INDEX(Presupuesto!$C:$C,SMALL($AA379:$CH379,10)))</f>
        <v>0</v>
      </c>
      <c r="AA379" s="0" t="n">
        <f aca="false">IF(Presupuesto!$B$7='Flujo de Pagos'!$E379,7,9999)</f>
        <v>9999</v>
      </c>
      <c r="AB379" s="0" t="n">
        <f aca="false">IF(Presupuesto!$B$8='Flujo de Pagos'!$E379,8,9999)</f>
        <v>9999</v>
      </c>
      <c r="AC379" s="0" t="n">
        <f aca="false">IF(Presupuesto!$B$9='Flujo de Pagos'!$E379,9,9999)</f>
        <v>9999</v>
      </c>
      <c r="AD379" s="0" t="n">
        <f aca="false">IF(Presupuesto!$B$10='Flujo de Pagos'!$E379,10,9999)</f>
        <v>9999</v>
      </c>
      <c r="AE379" s="0" t="n">
        <f aca="false">IF(Presupuesto!$B$11='Flujo de Pagos'!$E379,11,9999)</f>
        <v>9999</v>
      </c>
      <c r="AF379" s="0" t="n">
        <f aca="false">IF(Presupuesto!$B$12='Flujo de Pagos'!$E379,12,9999)</f>
        <v>12</v>
      </c>
      <c r="AG379" s="0" t="n">
        <f aca="false">IF(Presupuesto!$B$13='Flujo de Pagos'!$E379,13,9999)</f>
        <v>13</v>
      </c>
      <c r="AH379" s="0" t="n">
        <f aca="false">IF(Presupuesto!$B$14='Flujo de Pagos'!$E379,14,9999)</f>
        <v>14</v>
      </c>
      <c r="AI379" s="0" t="n">
        <f aca="false">IF(Presupuesto!$B$15='Flujo de Pagos'!$E379,15,9999)</f>
        <v>15</v>
      </c>
      <c r="AJ379" s="0" t="n">
        <f aca="false">IF(Presupuesto!$B$16='Flujo de Pagos'!$E379,16,9999)</f>
        <v>16</v>
      </c>
      <c r="AK379" s="0" t="n">
        <f aca="false">IF(Presupuesto!$B$17='Flujo de Pagos'!$E379,17,9999)</f>
        <v>17</v>
      </c>
      <c r="AL379" s="0" t="n">
        <f aca="false">IF(Presupuesto!$B$18='Flujo de Pagos'!$E379,18,9999)</f>
        <v>18</v>
      </c>
      <c r="AM379" s="0" t="n">
        <f aca="false">IF(Presupuesto!$B$19='Flujo de Pagos'!$E379,19,9999)</f>
        <v>19</v>
      </c>
      <c r="AN379" s="0" t="n">
        <f aca="false">IF(Presupuesto!$B$20='Flujo de Pagos'!$E379,20,9999)</f>
        <v>20</v>
      </c>
      <c r="AO379" s="0" t="n">
        <f aca="false">IF(Presupuesto!$B$21='Flujo de Pagos'!$E379,21,9999)</f>
        <v>21</v>
      </c>
      <c r="AP379" s="0" t="n">
        <f aca="false">IF(Presupuesto!$B$22='Flujo de Pagos'!$E379,22,9999)</f>
        <v>22</v>
      </c>
      <c r="AQ379" s="0" t="n">
        <f aca="false">IF(Presupuesto!$B$23='Flujo de Pagos'!$E379,23,9999)</f>
        <v>23</v>
      </c>
      <c r="AR379" s="0" t="n">
        <f aca="false">IF(Presupuesto!$B$24='Flujo de Pagos'!$E379,24,9999)</f>
        <v>24</v>
      </c>
      <c r="AS379" s="0" t="n">
        <f aca="false">IF(Presupuesto!$B$25='Flujo de Pagos'!$E379,25,9999)</f>
        <v>25</v>
      </c>
      <c r="AT379" s="0" t="n">
        <f aca="false">IF(Presupuesto!$B$26='Flujo de Pagos'!$E379,26,9999)</f>
        <v>26</v>
      </c>
      <c r="AU379" s="0" t="n">
        <f aca="false">IF(Presupuesto!$B$27='Flujo de Pagos'!$E379,27,9999)</f>
        <v>27</v>
      </c>
      <c r="AV379" s="0" t="n">
        <f aca="false">IF(Presupuesto!$B$28='Flujo de Pagos'!$E379,28,9999)</f>
        <v>28</v>
      </c>
      <c r="AW379" s="0" t="n">
        <f aca="false">IF(Presupuesto!$B$29='Flujo de Pagos'!$E379,29,9999)</f>
        <v>29</v>
      </c>
      <c r="AX379" s="0" t="n">
        <f aca="false">IF(Presupuesto!$B$30='Flujo de Pagos'!$E379,30,9999)</f>
        <v>30</v>
      </c>
      <c r="AY379" s="0" t="n">
        <f aca="false">IF(Presupuesto!$B$31='Flujo de Pagos'!$E379,31,9999)</f>
        <v>31</v>
      </c>
      <c r="AZ379" s="0" t="n">
        <f aca="false">IF(Presupuesto!$B$32='Flujo de Pagos'!$E379,32,9999)</f>
        <v>32</v>
      </c>
      <c r="BA379" s="0" t="n">
        <f aca="false">IF(Presupuesto!$B$33='Flujo de Pagos'!$E379,33,9999)</f>
        <v>33</v>
      </c>
      <c r="BB379" s="0" t="n">
        <f aca="false">IF(Presupuesto!$B$34='Flujo de Pagos'!$E379,34,9999)</f>
        <v>34</v>
      </c>
      <c r="BC379" s="0" t="n">
        <f aca="false">IF(Presupuesto!$B$35='Flujo de Pagos'!$E379,35,9999)</f>
        <v>35</v>
      </c>
      <c r="BD379" s="0" t="n">
        <f aca="false">IF(Presupuesto!$B$36='Flujo de Pagos'!$E379,36,9999)</f>
        <v>36</v>
      </c>
      <c r="BE379" s="0" t="n">
        <f aca="false">IF(Presupuesto!$B$37='Flujo de Pagos'!$E379,37,9999)</f>
        <v>37</v>
      </c>
      <c r="BF379" s="0" t="n">
        <f aca="false">IF(Presupuesto!$B$38='Flujo de Pagos'!$E379,38,9999)</f>
        <v>38</v>
      </c>
      <c r="BG379" s="0" t="n">
        <f aca="false">IF(Presupuesto!$B$39='Flujo de Pagos'!$E379,39,9999)</f>
        <v>39</v>
      </c>
      <c r="BH379" s="0" t="n">
        <f aca="false">IF(Presupuesto!$B$40='Flujo de Pagos'!$E379,40,9999)</f>
        <v>40</v>
      </c>
      <c r="BI379" s="0" t="n">
        <f aca="false">IF(Presupuesto!$B$41='Flujo de Pagos'!$E379,41,9999)</f>
        <v>41</v>
      </c>
      <c r="BJ379" s="0" t="n">
        <f aca="false">IF(Presupuesto!$B$42='Flujo de Pagos'!$E379,42,9999)</f>
        <v>42</v>
      </c>
      <c r="BK379" s="0" t="n">
        <f aca="false">IF(Presupuesto!$B$43='Flujo de Pagos'!$E379,43,9999)</f>
        <v>43</v>
      </c>
      <c r="BL379" s="0" t="n">
        <f aca="false">IF(Presupuesto!$B$44='Flujo de Pagos'!$E379,44,9999)</f>
        <v>44</v>
      </c>
      <c r="BM379" s="0" t="n">
        <f aca="false">IF(Presupuesto!$B$45='Flujo de Pagos'!$E379,45,9999)</f>
        <v>45</v>
      </c>
      <c r="BN379" s="0" t="n">
        <f aca="false">IF(Presupuesto!$B$46='Flujo de Pagos'!$E379,46,9999)</f>
        <v>46</v>
      </c>
      <c r="BO379" s="0" t="n">
        <f aca="false">IF(Presupuesto!$B$47='Flujo de Pagos'!$E379,47,9999)</f>
        <v>47</v>
      </c>
      <c r="BP379" s="0" t="n">
        <f aca="false">IF(Presupuesto!$B$48='Flujo de Pagos'!$E379,48,9999)</f>
        <v>48</v>
      </c>
      <c r="BQ379" s="0" t="n">
        <f aca="false">IF(Presupuesto!$B$49='Flujo de Pagos'!$E379,49,9999)</f>
        <v>49</v>
      </c>
      <c r="BR379" s="0" t="n">
        <f aca="false">IF(Presupuesto!$B$50='Flujo de Pagos'!$E379,50,9999)</f>
        <v>50</v>
      </c>
      <c r="BS379" s="0" t="n">
        <f aca="false">IF(Presupuesto!$B$51='Flujo de Pagos'!$E379,51,9999)</f>
        <v>51</v>
      </c>
      <c r="BT379" s="0" t="n">
        <f aca="false">IF(Presupuesto!$B$52='Flujo de Pagos'!$E379,52,9999)</f>
        <v>52</v>
      </c>
      <c r="BU379" s="0" t="n">
        <f aca="false">IF(Presupuesto!$B$53='Flujo de Pagos'!$E379,53,9999)</f>
        <v>53</v>
      </c>
      <c r="BV379" s="0" t="n">
        <f aca="false">IF(Presupuesto!$B$54='Flujo de Pagos'!$E379,54,9999)</f>
        <v>54</v>
      </c>
      <c r="BW379" s="0" t="n">
        <f aca="false">IF(Presupuesto!$B$55='Flujo de Pagos'!$E379,55,9999)</f>
        <v>55</v>
      </c>
      <c r="BX379" s="0" t="n">
        <f aca="false">IF(Presupuesto!$B$56='Flujo de Pagos'!$E379,56,9999)</f>
        <v>56</v>
      </c>
      <c r="BY379" s="0" t="n">
        <f aca="false">IF(Presupuesto!$B$57='Flujo de Pagos'!$E379,57,9999)</f>
        <v>57</v>
      </c>
      <c r="BZ379" s="0" t="n">
        <f aca="false">IF(Presupuesto!$B$58='Flujo de Pagos'!$E379,58,9999)</f>
        <v>58</v>
      </c>
      <c r="CA379" s="0" t="n">
        <f aca="false">IF(Presupuesto!$B$59='Flujo de Pagos'!$E379,59,9999)</f>
        <v>59</v>
      </c>
      <c r="CB379" s="0" t="n">
        <f aca="false">IF(Presupuesto!$B$60='Flujo de Pagos'!$E379,60,9999)</f>
        <v>60</v>
      </c>
      <c r="CC379" s="0" t="n">
        <f aca="false">IF(Presupuesto!$B$61='Flujo de Pagos'!$E379,61,9999)</f>
        <v>61</v>
      </c>
      <c r="CD379" s="0" t="n">
        <f aca="false">IF(Presupuesto!$B$62='Flujo de Pagos'!$E379,62,9999)</f>
        <v>62</v>
      </c>
      <c r="CE379" s="0" t="n">
        <f aca="false">IF(Presupuesto!$B$63='Flujo de Pagos'!$E379,63,9999)</f>
        <v>63</v>
      </c>
      <c r="CF379" s="0" t="n">
        <f aca="false">IF(Presupuesto!$B$64='Flujo de Pagos'!$E379,64,9999)</f>
        <v>64</v>
      </c>
      <c r="CG379" s="0" t="n">
        <f aca="false">IF(Presupuesto!$B$65='Flujo de Pagos'!$E379,65,9999)</f>
        <v>65</v>
      </c>
      <c r="CH379" s="0" t="n">
        <f aca="false">IF(Presupuesto!$B$66='Flujo de Pagos'!$E379,66,9999)</f>
        <v>66</v>
      </c>
    </row>
    <row r="380" customFormat="false" ht="15" hidden="false" customHeight="true" outlineLevel="0" collapsed="false">
      <c r="B380" s="1" t="n">
        <f aca="false">IF(AND('Flujo de Pagos'!E385=Carátula!$B$2,'Flujo de Pagos'!F385=Carátula!$B$4,'Flujo de Pagos'!H385&lt;&gt;""),385,99999)</f>
        <v>99999</v>
      </c>
      <c r="H380" s="1" t="n">
        <f aca="false">IF(SMALL($AA380:$CH380,1)&gt;=9999,"",INDEX(Presupuesto!$C:$C,SMALL($AA380:$CH380,1)))</f>
        <v>0</v>
      </c>
      <c r="I380" s="1" t="n">
        <f aca="false">IF(SMALL($AA380:$CH380,2)&gt;=9999,"",INDEX(Presupuesto!$C:$C,SMALL($AA380:$CH380,2)))</f>
        <v>0</v>
      </c>
      <c r="J380" s="1" t="n">
        <f aca="false">IF(SMALL($AA380:$CH380,3)&gt;=9999,"",INDEX(Presupuesto!$C:$C,SMALL($AA380:$CH380,3)))</f>
        <v>0</v>
      </c>
      <c r="K380" s="1" t="n">
        <f aca="false">IF(SMALL($AA380:$CH380,4)&gt;=9999,"",INDEX(Presupuesto!$C:$C,SMALL($AA380:$CH380,4)))</f>
        <v>0</v>
      </c>
      <c r="L380" s="1" t="n">
        <f aca="false">IF(SMALL($AA380:$CH380,5)&gt;=9999,"",INDEX(Presupuesto!$C:$C,SMALL($AA380:$CH380,5)))</f>
        <v>0</v>
      </c>
      <c r="M380" s="1" t="n">
        <f aca="false">IF(SMALL($AA380:$CH380,6)&gt;=9999,"",INDEX(Presupuesto!$C:$C,SMALL($AA380:$CH380,6)))</f>
        <v>0</v>
      </c>
      <c r="N380" s="1" t="n">
        <f aca="false">IF(SMALL($AA380:$CH380,7)&gt;=9999,"",INDEX(Presupuesto!$C:$C,SMALL($AA380:$CH380,7)))</f>
        <v>0</v>
      </c>
      <c r="O380" s="1" t="n">
        <f aca="false">IF(SMALL($AA380:$CH380,8)&gt;=9999,"",INDEX(Presupuesto!$C:$C,SMALL($AA380:$CH380,8)))</f>
        <v>0</v>
      </c>
      <c r="P380" s="1" t="n">
        <f aca="false">IF(SMALL($AA380:$CH380,9)&gt;=9999,"",INDEX(Presupuesto!$C:$C,SMALL($AA380:$CH380,9)))</f>
        <v>0</v>
      </c>
      <c r="Q380" s="1" t="n">
        <f aca="false">IF(SMALL($AA380:$CH380,10)&gt;=9999,"",INDEX(Presupuesto!$C:$C,SMALL($AA380:$CH380,10)))</f>
        <v>0</v>
      </c>
      <c r="AA380" s="0" t="n">
        <f aca="false">IF(Presupuesto!$B$7='Flujo de Pagos'!$E380,7,9999)</f>
        <v>9999</v>
      </c>
      <c r="AB380" s="0" t="n">
        <f aca="false">IF(Presupuesto!$B$8='Flujo de Pagos'!$E380,8,9999)</f>
        <v>9999</v>
      </c>
      <c r="AC380" s="0" t="n">
        <f aca="false">IF(Presupuesto!$B$9='Flujo de Pagos'!$E380,9,9999)</f>
        <v>9999</v>
      </c>
      <c r="AD380" s="0" t="n">
        <f aca="false">IF(Presupuesto!$B$10='Flujo de Pagos'!$E380,10,9999)</f>
        <v>9999</v>
      </c>
      <c r="AE380" s="0" t="n">
        <f aca="false">IF(Presupuesto!$B$11='Flujo de Pagos'!$E380,11,9999)</f>
        <v>9999</v>
      </c>
      <c r="AF380" s="0" t="n">
        <f aca="false">IF(Presupuesto!$B$12='Flujo de Pagos'!$E380,12,9999)</f>
        <v>12</v>
      </c>
      <c r="AG380" s="0" t="n">
        <f aca="false">IF(Presupuesto!$B$13='Flujo de Pagos'!$E380,13,9999)</f>
        <v>13</v>
      </c>
      <c r="AH380" s="0" t="n">
        <f aca="false">IF(Presupuesto!$B$14='Flujo de Pagos'!$E380,14,9999)</f>
        <v>14</v>
      </c>
      <c r="AI380" s="0" t="n">
        <f aca="false">IF(Presupuesto!$B$15='Flujo de Pagos'!$E380,15,9999)</f>
        <v>15</v>
      </c>
      <c r="AJ380" s="0" t="n">
        <f aca="false">IF(Presupuesto!$B$16='Flujo de Pagos'!$E380,16,9999)</f>
        <v>16</v>
      </c>
      <c r="AK380" s="0" t="n">
        <f aca="false">IF(Presupuesto!$B$17='Flujo de Pagos'!$E380,17,9999)</f>
        <v>17</v>
      </c>
      <c r="AL380" s="0" t="n">
        <f aca="false">IF(Presupuesto!$B$18='Flujo de Pagos'!$E380,18,9999)</f>
        <v>18</v>
      </c>
      <c r="AM380" s="0" t="n">
        <f aca="false">IF(Presupuesto!$B$19='Flujo de Pagos'!$E380,19,9999)</f>
        <v>19</v>
      </c>
      <c r="AN380" s="0" t="n">
        <f aca="false">IF(Presupuesto!$B$20='Flujo de Pagos'!$E380,20,9999)</f>
        <v>20</v>
      </c>
      <c r="AO380" s="0" t="n">
        <f aca="false">IF(Presupuesto!$B$21='Flujo de Pagos'!$E380,21,9999)</f>
        <v>21</v>
      </c>
      <c r="AP380" s="0" t="n">
        <f aca="false">IF(Presupuesto!$B$22='Flujo de Pagos'!$E380,22,9999)</f>
        <v>22</v>
      </c>
      <c r="AQ380" s="0" t="n">
        <f aca="false">IF(Presupuesto!$B$23='Flujo de Pagos'!$E380,23,9999)</f>
        <v>23</v>
      </c>
      <c r="AR380" s="0" t="n">
        <f aca="false">IF(Presupuesto!$B$24='Flujo de Pagos'!$E380,24,9999)</f>
        <v>24</v>
      </c>
      <c r="AS380" s="0" t="n">
        <f aca="false">IF(Presupuesto!$B$25='Flujo de Pagos'!$E380,25,9999)</f>
        <v>25</v>
      </c>
      <c r="AT380" s="0" t="n">
        <f aca="false">IF(Presupuesto!$B$26='Flujo de Pagos'!$E380,26,9999)</f>
        <v>26</v>
      </c>
      <c r="AU380" s="0" t="n">
        <f aca="false">IF(Presupuesto!$B$27='Flujo de Pagos'!$E380,27,9999)</f>
        <v>27</v>
      </c>
      <c r="AV380" s="0" t="n">
        <f aca="false">IF(Presupuesto!$B$28='Flujo de Pagos'!$E380,28,9999)</f>
        <v>28</v>
      </c>
      <c r="AW380" s="0" t="n">
        <f aca="false">IF(Presupuesto!$B$29='Flujo de Pagos'!$E380,29,9999)</f>
        <v>29</v>
      </c>
      <c r="AX380" s="0" t="n">
        <f aca="false">IF(Presupuesto!$B$30='Flujo de Pagos'!$E380,30,9999)</f>
        <v>30</v>
      </c>
      <c r="AY380" s="0" t="n">
        <f aca="false">IF(Presupuesto!$B$31='Flujo de Pagos'!$E380,31,9999)</f>
        <v>31</v>
      </c>
      <c r="AZ380" s="0" t="n">
        <f aca="false">IF(Presupuesto!$B$32='Flujo de Pagos'!$E380,32,9999)</f>
        <v>32</v>
      </c>
      <c r="BA380" s="0" t="n">
        <f aca="false">IF(Presupuesto!$B$33='Flujo de Pagos'!$E380,33,9999)</f>
        <v>33</v>
      </c>
      <c r="BB380" s="0" t="n">
        <f aca="false">IF(Presupuesto!$B$34='Flujo de Pagos'!$E380,34,9999)</f>
        <v>34</v>
      </c>
      <c r="BC380" s="0" t="n">
        <f aca="false">IF(Presupuesto!$B$35='Flujo de Pagos'!$E380,35,9999)</f>
        <v>35</v>
      </c>
      <c r="BD380" s="0" t="n">
        <f aca="false">IF(Presupuesto!$B$36='Flujo de Pagos'!$E380,36,9999)</f>
        <v>36</v>
      </c>
      <c r="BE380" s="0" t="n">
        <f aca="false">IF(Presupuesto!$B$37='Flujo de Pagos'!$E380,37,9999)</f>
        <v>37</v>
      </c>
      <c r="BF380" s="0" t="n">
        <f aca="false">IF(Presupuesto!$B$38='Flujo de Pagos'!$E380,38,9999)</f>
        <v>38</v>
      </c>
      <c r="BG380" s="0" t="n">
        <f aca="false">IF(Presupuesto!$B$39='Flujo de Pagos'!$E380,39,9999)</f>
        <v>39</v>
      </c>
      <c r="BH380" s="0" t="n">
        <f aca="false">IF(Presupuesto!$B$40='Flujo de Pagos'!$E380,40,9999)</f>
        <v>40</v>
      </c>
      <c r="BI380" s="0" t="n">
        <f aca="false">IF(Presupuesto!$B$41='Flujo de Pagos'!$E380,41,9999)</f>
        <v>41</v>
      </c>
      <c r="BJ380" s="0" t="n">
        <f aca="false">IF(Presupuesto!$B$42='Flujo de Pagos'!$E380,42,9999)</f>
        <v>42</v>
      </c>
      <c r="BK380" s="0" t="n">
        <f aca="false">IF(Presupuesto!$B$43='Flujo de Pagos'!$E380,43,9999)</f>
        <v>43</v>
      </c>
      <c r="BL380" s="0" t="n">
        <f aca="false">IF(Presupuesto!$B$44='Flujo de Pagos'!$E380,44,9999)</f>
        <v>44</v>
      </c>
      <c r="BM380" s="0" t="n">
        <f aca="false">IF(Presupuesto!$B$45='Flujo de Pagos'!$E380,45,9999)</f>
        <v>45</v>
      </c>
      <c r="BN380" s="0" t="n">
        <f aca="false">IF(Presupuesto!$B$46='Flujo de Pagos'!$E380,46,9999)</f>
        <v>46</v>
      </c>
      <c r="BO380" s="0" t="n">
        <f aca="false">IF(Presupuesto!$B$47='Flujo de Pagos'!$E380,47,9999)</f>
        <v>47</v>
      </c>
      <c r="BP380" s="0" t="n">
        <f aca="false">IF(Presupuesto!$B$48='Flujo de Pagos'!$E380,48,9999)</f>
        <v>48</v>
      </c>
      <c r="BQ380" s="0" t="n">
        <f aca="false">IF(Presupuesto!$B$49='Flujo de Pagos'!$E380,49,9999)</f>
        <v>49</v>
      </c>
      <c r="BR380" s="0" t="n">
        <f aca="false">IF(Presupuesto!$B$50='Flujo de Pagos'!$E380,50,9999)</f>
        <v>50</v>
      </c>
      <c r="BS380" s="0" t="n">
        <f aca="false">IF(Presupuesto!$B$51='Flujo de Pagos'!$E380,51,9999)</f>
        <v>51</v>
      </c>
      <c r="BT380" s="0" t="n">
        <f aca="false">IF(Presupuesto!$B$52='Flujo de Pagos'!$E380,52,9999)</f>
        <v>52</v>
      </c>
      <c r="BU380" s="0" t="n">
        <f aca="false">IF(Presupuesto!$B$53='Flujo de Pagos'!$E380,53,9999)</f>
        <v>53</v>
      </c>
      <c r="BV380" s="0" t="n">
        <f aca="false">IF(Presupuesto!$B$54='Flujo de Pagos'!$E380,54,9999)</f>
        <v>54</v>
      </c>
      <c r="BW380" s="0" t="n">
        <f aca="false">IF(Presupuesto!$B$55='Flujo de Pagos'!$E380,55,9999)</f>
        <v>55</v>
      </c>
      <c r="BX380" s="0" t="n">
        <f aca="false">IF(Presupuesto!$B$56='Flujo de Pagos'!$E380,56,9999)</f>
        <v>56</v>
      </c>
      <c r="BY380" s="0" t="n">
        <f aca="false">IF(Presupuesto!$B$57='Flujo de Pagos'!$E380,57,9999)</f>
        <v>57</v>
      </c>
      <c r="BZ380" s="0" t="n">
        <f aca="false">IF(Presupuesto!$B$58='Flujo de Pagos'!$E380,58,9999)</f>
        <v>58</v>
      </c>
      <c r="CA380" s="0" t="n">
        <f aca="false">IF(Presupuesto!$B$59='Flujo de Pagos'!$E380,59,9999)</f>
        <v>59</v>
      </c>
      <c r="CB380" s="0" t="n">
        <f aca="false">IF(Presupuesto!$B$60='Flujo de Pagos'!$E380,60,9999)</f>
        <v>60</v>
      </c>
      <c r="CC380" s="0" t="n">
        <f aca="false">IF(Presupuesto!$B$61='Flujo de Pagos'!$E380,61,9999)</f>
        <v>61</v>
      </c>
      <c r="CD380" s="0" t="n">
        <f aca="false">IF(Presupuesto!$B$62='Flujo de Pagos'!$E380,62,9999)</f>
        <v>62</v>
      </c>
      <c r="CE380" s="0" t="n">
        <f aca="false">IF(Presupuesto!$B$63='Flujo de Pagos'!$E380,63,9999)</f>
        <v>63</v>
      </c>
      <c r="CF380" s="0" t="n">
        <f aca="false">IF(Presupuesto!$B$64='Flujo de Pagos'!$E380,64,9999)</f>
        <v>64</v>
      </c>
      <c r="CG380" s="0" t="n">
        <f aca="false">IF(Presupuesto!$B$65='Flujo de Pagos'!$E380,65,9999)</f>
        <v>65</v>
      </c>
      <c r="CH380" s="0" t="n">
        <f aca="false">IF(Presupuesto!$B$66='Flujo de Pagos'!$E380,66,9999)</f>
        <v>66</v>
      </c>
    </row>
    <row r="381" customFormat="false" ht="15" hidden="false" customHeight="true" outlineLevel="0" collapsed="false">
      <c r="B381" s="1" t="n">
        <f aca="false">IF(AND('Flujo de Pagos'!E386=Carátula!$B$2,'Flujo de Pagos'!F386=Carátula!$B$4,'Flujo de Pagos'!H386&lt;&gt;""),386,99999)</f>
        <v>99999</v>
      </c>
      <c r="H381" s="1" t="n">
        <f aca="false">IF(SMALL($AA381:$CH381,1)&gt;=9999,"",INDEX(Presupuesto!$C:$C,SMALL($AA381:$CH381,1)))</f>
        <v>0</v>
      </c>
      <c r="I381" s="1" t="n">
        <f aca="false">IF(SMALL($AA381:$CH381,2)&gt;=9999,"",INDEX(Presupuesto!$C:$C,SMALL($AA381:$CH381,2)))</f>
        <v>0</v>
      </c>
      <c r="J381" s="1" t="n">
        <f aca="false">IF(SMALL($AA381:$CH381,3)&gt;=9999,"",INDEX(Presupuesto!$C:$C,SMALL($AA381:$CH381,3)))</f>
        <v>0</v>
      </c>
      <c r="K381" s="1" t="n">
        <f aca="false">IF(SMALL($AA381:$CH381,4)&gt;=9999,"",INDEX(Presupuesto!$C:$C,SMALL($AA381:$CH381,4)))</f>
        <v>0</v>
      </c>
      <c r="L381" s="1" t="n">
        <f aca="false">IF(SMALL($AA381:$CH381,5)&gt;=9999,"",INDEX(Presupuesto!$C:$C,SMALL($AA381:$CH381,5)))</f>
        <v>0</v>
      </c>
      <c r="M381" s="1" t="n">
        <f aca="false">IF(SMALL($AA381:$CH381,6)&gt;=9999,"",INDEX(Presupuesto!$C:$C,SMALL($AA381:$CH381,6)))</f>
        <v>0</v>
      </c>
      <c r="N381" s="1" t="n">
        <f aca="false">IF(SMALL($AA381:$CH381,7)&gt;=9999,"",INDEX(Presupuesto!$C:$C,SMALL($AA381:$CH381,7)))</f>
        <v>0</v>
      </c>
      <c r="O381" s="1" t="n">
        <f aca="false">IF(SMALL($AA381:$CH381,8)&gt;=9999,"",INDEX(Presupuesto!$C:$C,SMALL($AA381:$CH381,8)))</f>
        <v>0</v>
      </c>
      <c r="P381" s="1" t="n">
        <f aca="false">IF(SMALL($AA381:$CH381,9)&gt;=9999,"",INDEX(Presupuesto!$C:$C,SMALL($AA381:$CH381,9)))</f>
        <v>0</v>
      </c>
      <c r="Q381" s="1" t="n">
        <f aca="false">IF(SMALL($AA381:$CH381,10)&gt;=9999,"",INDEX(Presupuesto!$C:$C,SMALL($AA381:$CH381,10)))</f>
        <v>0</v>
      </c>
      <c r="AA381" s="0" t="n">
        <f aca="false">IF(Presupuesto!$B$7='Flujo de Pagos'!$E381,7,9999)</f>
        <v>9999</v>
      </c>
      <c r="AB381" s="0" t="n">
        <f aca="false">IF(Presupuesto!$B$8='Flujo de Pagos'!$E381,8,9999)</f>
        <v>9999</v>
      </c>
      <c r="AC381" s="0" t="n">
        <f aca="false">IF(Presupuesto!$B$9='Flujo de Pagos'!$E381,9,9999)</f>
        <v>9999</v>
      </c>
      <c r="AD381" s="0" t="n">
        <f aca="false">IF(Presupuesto!$B$10='Flujo de Pagos'!$E381,10,9999)</f>
        <v>9999</v>
      </c>
      <c r="AE381" s="0" t="n">
        <f aca="false">IF(Presupuesto!$B$11='Flujo de Pagos'!$E381,11,9999)</f>
        <v>9999</v>
      </c>
      <c r="AF381" s="0" t="n">
        <f aca="false">IF(Presupuesto!$B$12='Flujo de Pagos'!$E381,12,9999)</f>
        <v>12</v>
      </c>
      <c r="AG381" s="0" t="n">
        <f aca="false">IF(Presupuesto!$B$13='Flujo de Pagos'!$E381,13,9999)</f>
        <v>13</v>
      </c>
      <c r="AH381" s="0" t="n">
        <f aca="false">IF(Presupuesto!$B$14='Flujo de Pagos'!$E381,14,9999)</f>
        <v>14</v>
      </c>
      <c r="AI381" s="0" t="n">
        <f aca="false">IF(Presupuesto!$B$15='Flujo de Pagos'!$E381,15,9999)</f>
        <v>15</v>
      </c>
      <c r="AJ381" s="0" t="n">
        <f aca="false">IF(Presupuesto!$B$16='Flujo de Pagos'!$E381,16,9999)</f>
        <v>16</v>
      </c>
      <c r="AK381" s="0" t="n">
        <f aca="false">IF(Presupuesto!$B$17='Flujo de Pagos'!$E381,17,9999)</f>
        <v>17</v>
      </c>
      <c r="AL381" s="0" t="n">
        <f aca="false">IF(Presupuesto!$B$18='Flujo de Pagos'!$E381,18,9999)</f>
        <v>18</v>
      </c>
      <c r="AM381" s="0" t="n">
        <f aca="false">IF(Presupuesto!$B$19='Flujo de Pagos'!$E381,19,9999)</f>
        <v>19</v>
      </c>
      <c r="AN381" s="0" t="n">
        <f aca="false">IF(Presupuesto!$B$20='Flujo de Pagos'!$E381,20,9999)</f>
        <v>20</v>
      </c>
      <c r="AO381" s="0" t="n">
        <f aca="false">IF(Presupuesto!$B$21='Flujo de Pagos'!$E381,21,9999)</f>
        <v>21</v>
      </c>
      <c r="AP381" s="0" t="n">
        <f aca="false">IF(Presupuesto!$B$22='Flujo de Pagos'!$E381,22,9999)</f>
        <v>22</v>
      </c>
      <c r="AQ381" s="0" t="n">
        <f aca="false">IF(Presupuesto!$B$23='Flujo de Pagos'!$E381,23,9999)</f>
        <v>23</v>
      </c>
      <c r="AR381" s="0" t="n">
        <f aca="false">IF(Presupuesto!$B$24='Flujo de Pagos'!$E381,24,9999)</f>
        <v>24</v>
      </c>
      <c r="AS381" s="0" t="n">
        <f aca="false">IF(Presupuesto!$B$25='Flujo de Pagos'!$E381,25,9999)</f>
        <v>25</v>
      </c>
      <c r="AT381" s="0" t="n">
        <f aca="false">IF(Presupuesto!$B$26='Flujo de Pagos'!$E381,26,9999)</f>
        <v>26</v>
      </c>
      <c r="AU381" s="0" t="n">
        <f aca="false">IF(Presupuesto!$B$27='Flujo de Pagos'!$E381,27,9999)</f>
        <v>27</v>
      </c>
      <c r="AV381" s="0" t="n">
        <f aca="false">IF(Presupuesto!$B$28='Flujo de Pagos'!$E381,28,9999)</f>
        <v>28</v>
      </c>
      <c r="AW381" s="0" t="n">
        <f aca="false">IF(Presupuesto!$B$29='Flujo de Pagos'!$E381,29,9999)</f>
        <v>29</v>
      </c>
      <c r="AX381" s="0" t="n">
        <f aca="false">IF(Presupuesto!$B$30='Flujo de Pagos'!$E381,30,9999)</f>
        <v>30</v>
      </c>
      <c r="AY381" s="0" t="n">
        <f aca="false">IF(Presupuesto!$B$31='Flujo de Pagos'!$E381,31,9999)</f>
        <v>31</v>
      </c>
      <c r="AZ381" s="0" t="n">
        <f aca="false">IF(Presupuesto!$B$32='Flujo de Pagos'!$E381,32,9999)</f>
        <v>32</v>
      </c>
      <c r="BA381" s="0" t="n">
        <f aca="false">IF(Presupuesto!$B$33='Flujo de Pagos'!$E381,33,9999)</f>
        <v>33</v>
      </c>
      <c r="BB381" s="0" t="n">
        <f aca="false">IF(Presupuesto!$B$34='Flujo de Pagos'!$E381,34,9999)</f>
        <v>34</v>
      </c>
      <c r="BC381" s="0" t="n">
        <f aca="false">IF(Presupuesto!$B$35='Flujo de Pagos'!$E381,35,9999)</f>
        <v>35</v>
      </c>
      <c r="BD381" s="0" t="n">
        <f aca="false">IF(Presupuesto!$B$36='Flujo de Pagos'!$E381,36,9999)</f>
        <v>36</v>
      </c>
      <c r="BE381" s="0" t="n">
        <f aca="false">IF(Presupuesto!$B$37='Flujo de Pagos'!$E381,37,9999)</f>
        <v>37</v>
      </c>
      <c r="BF381" s="0" t="n">
        <f aca="false">IF(Presupuesto!$B$38='Flujo de Pagos'!$E381,38,9999)</f>
        <v>38</v>
      </c>
      <c r="BG381" s="0" t="n">
        <f aca="false">IF(Presupuesto!$B$39='Flujo de Pagos'!$E381,39,9999)</f>
        <v>39</v>
      </c>
      <c r="BH381" s="0" t="n">
        <f aca="false">IF(Presupuesto!$B$40='Flujo de Pagos'!$E381,40,9999)</f>
        <v>40</v>
      </c>
      <c r="BI381" s="0" t="n">
        <f aca="false">IF(Presupuesto!$B$41='Flujo de Pagos'!$E381,41,9999)</f>
        <v>41</v>
      </c>
      <c r="BJ381" s="0" t="n">
        <f aca="false">IF(Presupuesto!$B$42='Flujo de Pagos'!$E381,42,9999)</f>
        <v>42</v>
      </c>
      <c r="BK381" s="0" t="n">
        <f aca="false">IF(Presupuesto!$B$43='Flujo de Pagos'!$E381,43,9999)</f>
        <v>43</v>
      </c>
      <c r="BL381" s="0" t="n">
        <f aca="false">IF(Presupuesto!$B$44='Flujo de Pagos'!$E381,44,9999)</f>
        <v>44</v>
      </c>
      <c r="BM381" s="0" t="n">
        <f aca="false">IF(Presupuesto!$B$45='Flujo de Pagos'!$E381,45,9999)</f>
        <v>45</v>
      </c>
      <c r="BN381" s="0" t="n">
        <f aca="false">IF(Presupuesto!$B$46='Flujo de Pagos'!$E381,46,9999)</f>
        <v>46</v>
      </c>
      <c r="BO381" s="0" t="n">
        <f aca="false">IF(Presupuesto!$B$47='Flujo de Pagos'!$E381,47,9999)</f>
        <v>47</v>
      </c>
      <c r="BP381" s="0" t="n">
        <f aca="false">IF(Presupuesto!$B$48='Flujo de Pagos'!$E381,48,9999)</f>
        <v>48</v>
      </c>
      <c r="BQ381" s="0" t="n">
        <f aca="false">IF(Presupuesto!$B$49='Flujo de Pagos'!$E381,49,9999)</f>
        <v>49</v>
      </c>
      <c r="BR381" s="0" t="n">
        <f aca="false">IF(Presupuesto!$B$50='Flujo de Pagos'!$E381,50,9999)</f>
        <v>50</v>
      </c>
      <c r="BS381" s="0" t="n">
        <f aca="false">IF(Presupuesto!$B$51='Flujo de Pagos'!$E381,51,9999)</f>
        <v>51</v>
      </c>
      <c r="BT381" s="0" t="n">
        <f aca="false">IF(Presupuesto!$B$52='Flujo de Pagos'!$E381,52,9999)</f>
        <v>52</v>
      </c>
      <c r="BU381" s="0" t="n">
        <f aca="false">IF(Presupuesto!$B$53='Flujo de Pagos'!$E381,53,9999)</f>
        <v>53</v>
      </c>
      <c r="BV381" s="0" t="n">
        <f aca="false">IF(Presupuesto!$B$54='Flujo de Pagos'!$E381,54,9999)</f>
        <v>54</v>
      </c>
      <c r="BW381" s="0" t="n">
        <f aca="false">IF(Presupuesto!$B$55='Flujo de Pagos'!$E381,55,9999)</f>
        <v>55</v>
      </c>
      <c r="BX381" s="0" t="n">
        <f aca="false">IF(Presupuesto!$B$56='Flujo de Pagos'!$E381,56,9999)</f>
        <v>56</v>
      </c>
      <c r="BY381" s="0" t="n">
        <f aca="false">IF(Presupuesto!$B$57='Flujo de Pagos'!$E381,57,9999)</f>
        <v>57</v>
      </c>
      <c r="BZ381" s="0" t="n">
        <f aca="false">IF(Presupuesto!$B$58='Flujo de Pagos'!$E381,58,9999)</f>
        <v>58</v>
      </c>
      <c r="CA381" s="0" t="n">
        <f aca="false">IF(Presupuesto!$B$59='Flujo de Pagos'!$E381,59,9999)</f>
        <v>59</v>
      </c>
      <c r="CB381" s="0" t="n">
        <f aca="false">IF(Presupuesto!$B$60='Flujo de Pagos'!$E381,60,9999)</f>
        <v>60</v>
      </c>
      <c r="CC381" s="0" t="n">
        <f aca="false">IF(Presupuesto!$B$61='Flujo de Pagos'!$E381,61,9999)</f>
        <v>61</v>
      </c>
      <c r="CD381" s="0" t="n">
        <f aca="false">IF(Presupuesto!$B$62='Flujo de Pagos'!$E381,62,9999)</f>
        <v>62</v>
      </c>
      <c r="CE381" s="0" t="n">
        <f aca="false">IF(Presupuesto!$B$63='Flujo de Pagos'!$E381,63,9999)</f>
        <v>63</v>
      </c>
      <c r="CF381" s="0" t="n">
        <f aca="false">IF(Presupuesto!$B$64='Flujo de Pagos'!$E381,64,9999)</f>
        <v>64</v>
      </c>
      <c r="CG381" s="0" t="n">
        <f aca="false">IF(Presupuesto!$B$65='Flujo de Pagos'!$E381,65,9999)</f>
        <v>65</v>
      </c>
      <c r="CH381" s="0" t="n">
        <f aca="false">IF(Presupuesto!$B$66='Flujo de Pagos'!$E381,66,9999)</f>
        <v>66</v>
      </c>
    </row>
    <row r="382" customFormat="false" ht="15" hidden="false" customHeight="true" outlineLevel="0" collapsed="false">
      <c r="B382" s="1" t="n">
        <f aca="false">IF(AND('Flujo de Pagos'!E387=Carátula!$B$2,'Flujo de Pagos'!F387=Carátula!$B$4,'Flujo de Pagos'!H387&lt;&gt;""),387,99999)</f>
        <v>99999</v>
      </c>
      <c r="H382" s="1" t="n">
        <f aca="false">IF(SMALL($AA382:$CH382,1)&gt;=9999,"",INDEX(Presupuesto!$C:$C,SMALL($AA382:$CH382,1)))</f>
        <v>0</v>
      </c>
      <c r="I382" s="1" t="n">
        <f aca="false">IF(SMALL($AA382:$CH382,2)&gt;=9999,"",INDEX(Presupuesto!$C:$C,SMALL($AA382:$CH382,2)))</f>
        <v>0</v>
      </c>
      <c r="J382" s="1" t="n">
        <f aca="false">IF(SMALL($AA382:$CH382,3)&gt;=9999,"",INDEX(Presupuesto!$C:$C,SMALL($AA382:$CH382,3)))</f>
        <v>0</v>
      </c>
      <c r="K382" s="1" t="n">
        <f aca="false">IF(SMALL($AA382:$CH382,4)&gt;=9999,"",INDEX(Presupuesto!$C:$C,SMALL($AA382:$CH382,4)))</f>
        <v>0</v>
      </c>
      <c r="L382" s="1" t="n">
        <f aca="false">IF(SMALL($AA382:$CH382,5)&gt;=9999,"",INDEX(Presupuesto!$C:$C,SMALL($AA382:$CH382,5)))</f>
        <v>0</v>
      </c>
      <c r="M382" s="1" t="n">
        <f aca="false">IF(SMALL($AA382:$CH382,6)&gt;=9999,"",INDEX(Presupuesto!$C:$C,SMALL($AA382:$CH382,6)))</f>
        <v>0</v>
      </c>
      <c r="N382" s="1" t="n">
        <f aca="false">IF(SMALL($AA382:$CH382,7)&gt;=9999,"",INDEX(Presupuesto!$C:$C,SMALL($AA382:$CH382,7)))</f>
        <v>0</v>
      </c>
      <c r="O382" s="1" t="n">
        <f aca="false">IF(SMALL($AA382:$CH382,8)&gt;=9999,"",INDEX(Presupuesto!$C:$C,SMALL($AA382:$CH382,8)))</f>
        <v>0</v>
      </c>
      <c r="P382" s="1" t="n">
        <f aca="false">IF(SMALL($AA382:$CH382,9)&gt;=9999,"",INDEX(Presupuesto!$C:$C,SMALL($AA382:$CH382,9)))</f>
        <v>0</v>
      </c>
      <c r="Q382" s="1" t="n">
        <f aca="false">IF(SMALL($AA382:$CH382,10)&gt;=9999,"",INDEX(Presupuesto!$C:$C,SMALL($AA382:$CH382,10)))</f>
        <v>0</v>
      </c>
      <c r="AA382" s="0" t="n">
        <f aca="false">IF(Presupuesto!$B$7='Flujo de Pagos'!$E382,7,9999)</f>
        <v>9999</v>
      </c>
      <c r="AB382" s="0" t="n">
        <f aca="false">IF(Presupuesto!$B$8='Flujo de Pagos'!$E382,8,9999)</f>
        <v>9999</v>
      </c>
      <c r="AC382" s="0" t="n">
        <f aca="false">IF(Presupuesto!$B$9='Flujo de Pagos'!$E382,9,9999)</f>
        <v>9999</v>
      </c>
      <c r="AD382" s="0" t="n">
        <f aca="false">IF(Presupuesto!$B$10='Flujo de Pagos'!$E382,10,9999)</f>
        <v>9999</v>
      </c>
      <c r="AE382" s="0" t="n">
        <f aca="false">IF(Presupuesto!$B$11='Flujo de Pagos'!$E382,11,9999)</f>
        <v>9999</v>
      </c>
      <c r="AF382" s="0" t="n">
        <f aca="false">IF(Presupuesto!$B$12='Flujo de Pagos'!$E382,12,9999)</f>
        <v>12</v>
      </c>
      <c r="AG382" s="0" t="n">
        <f aca="false">IF(Presupuesto!$B$13='Flujo de Pagos'!$E382,13,9999)</f>
        <v>13</v>
      </c>
      <c r="AH382" s="0" t="n">
        <f aca="false">IF(Presupuesto!$B$14='Flujo de Pagos'!$E382,14,9999)</f>
        <v>14</v>
      </c>
      <c r="AI382" s="0" t="n">
        <f aca="false">IF(Presupuesto!$B$15='Flujo de Pagos'!$E382,15,9999)</f>
        <v>15</v>
      </c>
      <c r="AJ382" s="0" t="n">
        <f aca="false">IF(Presupuesto!$B$16='Flujo de Pagos'!$E382,16,9999)</f>
        <v>16</v>
      </c>
      <c r="AK382" s="0" t="n">
        <f aca="false">IF(Presupuesto!$B$17='Flujo de Pagos'!$E382,17,9999)</f>
        <v>17</v>
      </c>
      <c r="AL382" s="0" t="n">
        <f aca="false">IF(Presupuesto!$B$18='Flujo de Pagos'!$E382,18,9999)</f>
        <v>18</v>
      </c>
      <c r="AM382" s="0" t="n">
        <f aca="false">IF(Presupuesto!$B$19='Flujo de Pagos'!$E382,19,9999)</f>
        <v>19</v>
      </c>
      <c r="AN382" s="0" t="n">
        <f aca="false">IF(Presupuesto!$B$20='Flujo de Pagos'!$E382,20,9999)</f>
        <v>20</v>
      </c>
      <c r="AO382" s="0" t="n">
        <f aca="false">IF(Presupuesto!$B$21='Flujo de Pagos'!$E382,21,9999)</f>
        <v>21</v>
      </c>
      <c r="AP382" s="0" t="n">
        <f aca="false">IF(Presupuesto!$B$22='Flujo de Pagos'!$E382,22,9999)</f>
        <v>22</v>
      </c>
      <c r="AQ382" s="0" t="n">
        <f aca="false">IF(Presupuesto!$B$23='Flujo de Pagos'!$E382,23,9999)</f>
        <v>23</v>
      </c>
      <c r="AR382" s="0" t="n">
        <f aca="false">IF(Presupuesto!$B$24='Flujo de Pagos'!$E382,24,9999)</f>
        <v>24</v>
      </c>
      <c r="AS382" s="0" t="n">
        <f aca="false">IF(Presupuesto!$B$25='Flujo de Pagos'!$E382,25,9999)</f>
        <v>25</v>
      </c>
      <c r="AT382" s="0" t="n">
        <f aca="false">IF(Presupuesto!$B$26='Flujo de Pagos'!$E382,26,9999)</f>
        <v>26</v>
      </c>
      <c r="AU382" s="0" t="n">
        <f aca="false">IF(Presupuesto!$B$27='Flujo de Pagos'!$E382,27,9999)</f>
        <v>27</v>
      </c>
      <c r="AV382" s="0" t="n">
        <f aca="false">IF(Presupuesto!$B$28='Flujo de Pagos'!$E382,28,9999)</f>
        <v>28</v>
      </c>
      <c r="AW382" s="0" t="n">
        <f aca="false">IF(Presupuesto!$B$29='Flujo de Pagos'!$E382,29,9999)</f>
        <v>29</v>
      </c>
      <c r="AX382" s="0" t="n">
        <f aca="false">IF(Presupuesto!$B$30='Flujo de Pagos'!$E382,30,9999)</f>
        <v>30</v>
      </c>
      <c r="AY382" s="0" t="n">
        <f aca="false">IF(Presupuesto!$B$31='Flujo de Pagos'!$E382,31,9999)</f>
        <v>31</v>
      </c>
      <c r="AZ382" s="0" t="n">
        <f aca="false">IF(Presupuesto!$B$32='Flujo de Pagos'!$E382,32,9999)</f>
        <v>32</v>
      </c>
      <c r="BA382" s="0" t="n">
        <f aca="false">IF(Presupuesto!$B$33='Flujo de Pagos'!$E382,33,9999)</f>
        <v>33</v>
      </c>
      <c r="BB382" s="0" t="n">
        <f aca="false">IF(Presupuesto!$B$34='Flujo de Pagos'!$E382,34,9999)</f>
        <v>34</v>
      </c>
      <c r="BC382" s="0" t="n">
        <f aca="false">IF(Presupuesto!$B$35='Flujo de Pagos'!$E382,35,9999)</f>
        <v>35</v>
      </c>
      <c r="BD382" s="0" t="n">
        <f aca="false">IF(Presupuesto!$B$36='Flujo de Pagos'!$E382,36,9999)</f>
        <v>36</v>
      </c>
      <c r="BE382" s="0" t="n">
        <f aca="false">IF(Presupuesto!$B$37='Flujo de Pagos'!$E382,37,9999)</f>
        <v>37</v>
      </c>
      <c r="BF382" s="0" t="n">
        <f aca="false">IF(Presupuesto!$B$38='Flujo de Pagos'!$E382,38,9999)</f>
        <v>38</v>
      </c>
      <c r="BG382" s="0" t="n">
        <f aca="false">IF(Presupuesto!$B$39='Flujo de Pagos'!$E382,39,9999)</f>
        <v>39</v>
      </c>
      <c r="BH382" s="0" t="n">
        <f aca="false">IF(Presupuesto!$B$40='Flujo de Pagos'!$E382,40,9999)</f>
        <v>40</v>
      </c>
      <c r="BI382" s="0" t="n">
        <f aca="false">IF(Presupuesto!$B$41='Flujo de Pagos'!$E382,41,9999)</f>
        <v>41</v>
      </c>
      <c r="BJ382" s="0" t="n">
        <f aca="false">IF(Presupuesto!$B$42='Flujo de Pagos'!$E382,42,9999)</f>
        <v>42</v>
      </c>
      <c r="BK382" s="0" t="n">
        <f aca="false">IF(Presupuesto!$B$43='Flujo de Pagos'!$E382,43,9999)</f>
        <v>43</v>
      </c>
      <c r="BL382" s="0" t="n">
        <f aca="false">IF(Presupuesto!$B$44='Flujo de Pagos'!$E382,44,9999)</f>
        <v>44</v>
      </c>
      <c r="BM382" s="0" t="n">
        <f aca="false">IF(Presupuesto!$B$45='Flujo de Pagos'!$E382,45,9999)</f>
        <v>45</v>
      </c>
      <c r="BN382" s="0" t="n">
        <f aca="false">IF(Presupuesto!$B$46='Flujo de Pagos'!$E382,46,9999)</f>
        <v>46</v>
      </c>
      <c r="BO382" s="0" t="n">
        <f aca="false">IF(Presupuesto!$B$47='Flujo de Pagos'!$E382,47,9999)</f>
        <v>47</v>
      </c>
      <c r="BP382" s="0" t="n">
        <f aca="false">IF(Presupuesto!$B$48='Flujo de Pagos'!$E382,48,9999)</f>
        <v>48</v>
      </c>
      <c r="BQ382" s="0" t="n">
        <f aca="false">IF(Presupuesto!$B$49='Flujo de Pagos'!$E382,49,9999)</f>
        <v>49</v>
      </c>
      <c r="BR382" s="0" t="n">
        <f aca="false">IF(Presupuesto!$B$50='Flujo de Pagos'!$E382,50,9999)</f>
        <v>50</v>
      </c>
      <c r="BS382" s="0" t="n">
        <f aca="false">IF(Presupuesto!$B$51='Flujo de Pagos'!$E382,51,9999)</f>
        <v>51</v>
      </c>
      <c r="BT382" s="0" t="n">
        <f aca="false">IF(Presupuesto!$B$52='Flujo de Pagos'!$E382,52,9999)</f>
        <v>52</v>
      </c>
      <c r="BU382" s="0" t="n">
        <f aca="false">IF(Presupuesto!$B$53='Flujo de Pagos'!$E382,53,9999)</f>
        <v>53</v>
      </c>
      <c r="BV382" s="0" t="n">
        <f aca="false">IF(Presupuesto!$B$54='Flujo de Pagos'!$E382,54,9999)</f>
        <v>54</v>
      </c>
      <c r="BW382" s="0" t="n">
        <f aca="false">IF(Presupuesto!$B$55='Flujo de Pagos'!$E382,55,9999)</f>
        <v>55</v>
      </c>
      <c r="BX382" s="0" t="n">
        <f aca="false">IF(Presupuesto!$B$56='Flujo de Pagos'!$E382,56,9999)</f>
        <v>56</v>
      </c>
      <c r="BY382" s="0" t="n">
        <f aca="false">IF(Presupuesto!$B$57='Flujo de Pagos'!$E382,57,9999)</f>
        <v>57</v>
      </c>
      <c r="BZ382" s="0" t="n">
        <f aca="false">IF(Presupuesto!$B$58='Flujo de Pagos'!$E382,58,9999)</f>
        <v>58</v>
      </c>
      <c r="CA382" s="0" t="n">
        <f aca="false">IF(Presupuesto!$B$59='Flujo de Pagos'!$E382,59,9999)</f>
        <v>59</v>
      </c>
      <c r="CB382" s="0" t="n">
        <f aca="false">IF(Presupuesto!$B$60='Flujo de Pagos'!$E382,60,9999)</f>
        <v>60</v>
      </c>
      <c r="CC382" s="0" t="n">
        <f aca="false">IF(Presupuesto!$B$61='Flujo de Pagos'!$E382,61,9999)</f>
        <v>61</v>
      </c>
      <c r="CD382" s="0" t="n">
        <f aca="false">IF(Presupuesto!$B$62='Flujo de Pagos'!$E382,62,9999)</f>
        <v>62</v>
      </c>
      <c r="CE382" s="0" t="n">
        <f aca="false">IF(Presupuesto!$B$63='Flujo de Pagos'!$E382,63,9999)</f>
        <v>63</v>
      </c>
      <c r="CF382" s="0" t="n">
        <f aca="false">IF(Presupuesto!$B$64='Flujo de Pagos'!$E382,64,9999)</f>
        <v>64</v>
      </c>
      <c r="CG382" s="0" t="n">
        <f aca="false">IF(Presupuesto!$B$65='Flujo de Pagos'!$E382,65,9999)</f>
        <v>65</v>
      </c>
      <c r="CH382" s="0" t="n">
        <f aca="false">IF(Presupuesto!$B$66='Flujo de Pagos'!$E382,66,9999)</f>
        <v>66</v>
      </c>
    </row>
    <row r="383" customFormat="false" ht="15" hidden="false" customHeight="true" outlineLevel="0" collapsed="false">
      <c r="B383" s="1" t="n">
        <f aca="false">IF(AND('Flujo de Pagos'!E388=Carátula!$B$2,'Flujo de Pagos'!F388=Carátula!$B$4,'Flujo de Pagos'!H388&lt;&gt;""),388,99999)</f>
        <v>99999</v>
      </c>
      <c r="H383" s="1" t="n">
        <f aca="false">IF(SMALL($AA383:$CH383,1)&gt;=9999,"",INDEX(Presupuesto!$C:$C,SMALL($AA383:$CH383,1)))</f>
        <v>0</v>
      </c>
      <c r="I383" s="1" t="n">
        <f aca="false">IF(SMALL($AA383:$CH383,2)&gt;=9999,"",INDEX(Presupuesto!$C:$C,SMALL($AA383:$CH383,2)))</f>
        <v>0</v>
      </c>
      <c r="J383" s="1" t="n">
        <f aca="false">IF(SMALL($AA383:$CH383,3)&gt;=9999,"",INDEX(Presupuesto!$C:$C,SMALL($AA383:$CH383,3)))</f>
        <v>0</v>
      </c>
      <c r="K383" s="1" t="n">
        <f aca="false">IF(SMALL($AA383:$CH383,4)&gt;=9999,"",INDEX(Presupuesto!$C:$C,SMALL($AA383:$CH383,4)))</f>
        <v>0</v>
      </c>
      <c r="L383" s="1" t="n">
        <f aca="false">IF(SMALL($AA383:$CH383,5)&gt;=9999,"",INDEX(Presupuesto!$C:$C,SMALL($AA383:$CH383,5)))</f>
        <v>0</v>
      </c>
      <c r="M383" s="1" t="n">
        <f aca="false">IF(SMALL($AA383:$CH383,6)&gt;=9999,"",INDEX(Presupuesto!$C:$C,SMALL($AA383:$CH383,6)))</f>
        <v>0</v>
      </c>
      <c r="N383" s="1" t="n">
        <f aca="false">IF(SMALL($AA383:$CH383,7)&gt;=9999,"",INDEX(Presupuesto!$C:$C,SMALL($AA383:$CH383,7)))</f>
        <v>0</v>
      </c>
      <c r="O383" s="1" t="n">
        <f aca="false">IF(SMALL($AA383:$CH383,8)&gt;=9999,"",INDEX(Presupuesto!$C:$C,SMALL($AA383:$CH383,8)))</f>
        <v>0</v>
      </c>
      <c r="P383" s="1" t="n">
        <f aca="false">IF(SMALL($AA383:$CH383,9)&gt;=9999,"",INDEX(Presupuesto!$C:$C,SMALL($AA383:$CH383,9)))</f>
        <v>0</v>
      </c>
      <c r="Q383" s="1" t="n">
        <f aca="false">IF(SMALL($AA383:$CH383,10)&gt;=9999,"",INDEX(Presupuesto!$C:$C,SMALL($AA383:$CH383,10)))</f>
        <v>0</v>
      </c>
      <c r="AA383" s="0" t="n">
        <f aca="false">IF(Presupuesto!$B$7='Flujo de Pagos'!$E383,7,9999)</f>
        <v>9999</v>
      </c>
      <c r="AB383" s="0" t="n">
        <f aca="false">IF(Presupuesto!$B$8='Flujo de Pagos'!$E383,8,9999)</f>
        <v>9999</v>
      </c>
      <c r="AC383" s="0" t="n">
        <f aca="false">IF(Presupuesto!$B$9='Flujo de Pagos'!$E383,9,9999)</f>
        <v>9999</v>
      </c>
      <c r="AD383" s="0" t="n">
        <f aca="false">IF(Presupuesto!$B$10='Flujo de Pagos'!$E383,10,9999)</f>
        <v>9999</v>
      </c>
      <c r="AE383" s="0" t="n">
        <f aca="false">IF(Presupuesto!$B$11='Flujo de Pagos'!$E383,11,9999)</f>
        <v>9999</v>
      </c>
      <c r="AF383" s="0" t="n">
        <f aca="false">IF(Presupuesto!$B$12='Flujo de Pagos'!$E383,12,9999)</f>
        <v>12</v>
      </c>
      <c r="AG383" s="0" t="n">
        <f aca="false">IF(Presupuesto!$B$13='Flujo de Pagos'!$E383,13,9999)</f>
        <v>13</v>
      </c>
      <c r="AH383" s="0" t="n">
        <f aca="false">IF(Presupuesto!$B$14='Flujo de Pagos'!$E383,14,9999)</f>
        <v>14</v>
      </c>
      <c r="AI383" s="0" t="n">
        <f aca="false">IF(Presupuesto!$B$15='Flujo de Pagos'!$E383,15,9999)</f>
        <v>15</v>
      </c>
      <c r="AJ383" s="0" t="n">
        <f aca="false">IF(Presupuesto!$B$16='Flujo de Pagos'!$E383,16,9999)</f>
        <v>16</v>
      </c>
      <c r="AK383" s="0" t="n">
        <f aca="false">IF(Presupuesto!$B$17='Flujo de Pagos'!$E383,17,9999)</f>
        <v>17</v>
      </c>
      <c r="AL383" s="0" t="n">
        <f aca="false">IF(Presupuesto!$B$18='Flujo de Pagos'!$E383,18,9999)</f>
        <v>18</v>
      </c>
      <c r="AM383" s="0" t="n">
        <f aca="false">IF(Presupuesto!$B$19='Flujo de Pagos'!$E383,19,9999)</f>
        <v>19</v>
      </c>
      <c r="AN383" s="0" t="n">
        <f aca="false">IF(Presupuesto!$B$20='Flujo de Pagos'!$E383,20,9999)</f>
        <v>20</v>
      </c>
      <c r="AO383" s="0" t="n">
        <f aca="false">IF(Presupuesto!$B$21='Flujo de Pagos'!$E383,21,9999)</f>
        <v>21</v>
      </c>
      <c r="AP383" s="0" t="n">
        <f aca="false">IF(Presupuesto!$B$22='Flujo de Pagos'!$E383,22,9999)</f>
        <v>22</v>
      </c>
      <c r="AQ383" s="0" t="n">
        <f aca="false">IF(Presupuesto!$B$23='Flujo de Pagos'!$E383,23,9999)</f>
        <v>23</v>
      </c>
      <c r="AR383" s="0" t="n">
        <f aca="false">IF(Presupuesto!$B$24='Flujo de Pagos'!$E383,24,9999)</f>
        <v>24</v>
      </c>
      <c r="AS383" s="0" t="n">
        <f aca="false">IF(Presupuesto!$B$25='Flujo de Pagos'!$E383,25,9999)</f>
        <v>25</v>
      </c>
      <c r="AT383" s="0" t="n">
        <f aca="false">IF(Presupuesto!$B$26='Flujo de Pagos'!$E383,26,9999)</f>
        <v>26</v>
      </c>
      <c r="AU383" s="0" t="n">
        <f aca="false">IF(Presupuesto!$B$27='Flujo de Pagos'!$E383,27,9999)</f>
        <v>27</v>
      </c>
      <c r="AV383" s="0" t="n">
        <f aca="false">IF(Presupuesto!$B$28='Flujo de Pagos'!$E383,28,9999)</f>
        <v>28</v>
      </c>
      <c r="AW383" s="0" t="n">
        <f aca="false">IF(Presupuesto!$B$29='Flujo de Pagos'!$E383,29,9999)</f>
        <v>29</v>
      </c>
      <c r="AX383" s="0" t="n">
        <f aca="false">IF(Presupuesto!$B$30='Flujo de Pagos'!$E383,30,9999)</f>
        <v>30</v>
      </c>
      <c r="AY383" s="0" t="n">
        <f aca="false">IF(Presupuesto!$B$31='Flujo de Pagos'!$E383,31,9999)</f>
        <v>31</v>
      </c>
      <c r="AZ383" s="0" t="n">
        <f aca="false">IF(Presupuesto!$B$32='Flujo de Pagos'!$E383,32,9999)</f>
        <v>32</v>
      </c>
      <c r="BA383" s="0" t="n">
        <f aca="false">IF(Presupuesto!$B$33='Flujo de Pagos'!$E383,33,9999)</f>
        <v>33</v>
      </c>
      <c r="BB383" s="0" t="n">
        <f aca="false">IF(Presupuesto!$B$34='Flujo de Pagos'!$E383,34,9999)</f>
        <v>34</v>
      </c>
      <c r="BC383" s="0" t="n">
        <f aca="false">IF(Presupuesto!$B$35='Flujo de Pagos'!$E383,35,9999)</f>
        <v>35</v>
      </c>
      <c r="BD383" s="0" t="n">
        <f aca="false">IF(Presupuesto!$B$36='Flujo de Pagos'!$E383,36,9999)</f>
        <v>36</v>
      </c>
      <c r="BE383" s="0" t="n">
        <f aca="false">IF(Presupuesto!$B$37='Flujo de Pagos'!$E383,37,9999)</f>
        <v>37</v>
      </c>
      <c r="BF383" s="0" t="n">
        <f aca="false">IF(Presupuesto!$B$38='Flujo de Pagos'!$E383,38,9999)</f>
        <v>38</v>
      </c>
      <c r="BG383" s="0" t="n">
        <f aca="false">IF(Presupuesto!$B$39='Flujo de Pagos'!$E383,39,9999)</f>
        <v>39</v>
      </c>
      <c r="BH383" s="0" t="n">
        <f aca="false">IF(Presupuesto!$B$40='Flujo de Pagos'!$E383,40,9999)</f>
        <v>40</v>
      </c>
      <c r="BI383" s="0" t="n">
        <f aca="false">IF(Presupuesto!$B$41='Flujo de Pagos'!$E383,41,9999)</f>
        <v>41</v>
      </c>
      <c r="BJ383" s="0" t="n">
        <f aca="false">IF(Presupuesto!$B$42='Flujo de Pagos'!$E383,42,9999)</f>
        <v>42</v>
      </c>
      <c r="BK383" s="0" t="n">
        <f aca="false">IF(Presupuesto!$B$43='Flujo de Pagos'!$E383,43,9999)</f>
        <v>43</v>
      </c>
      <c r="BL383" s="0" t="n">
        <f aca="false">IF(Presupuesto!$B$44='Flujo de Pagos'!$E383,44,9999)</f>
        <v>44</v>
      </c>
      <c r="BM383" s="0" t="n">
        <f aca="false">IF(Presupuesto!$B$45='Flujo de Pagos'!$E383,45,9999)</f>
        <v>45</v>
      </c>
      <c r="BN383" s="0" t="n">
        <f aca="false">IF(Presupuesto!$B$46='Flujo de Pagos'!$E383,46,9999)</f>
        <v>46</v>
      </c>
      <c r="BO383" s="0" t="n">
        <f aca="false">IF(Presupuesto!$B$47='Flujo de Pagos'!$E383,47,9999)</f>
        <v>47</v>
      </c>
      <c r="BP383" s="0" t="n">
        <f aca="false">IF(Presupuesto!$B$48='Flujo de Pagos'!$E383,48,9999)</f>
        <v>48</v>
      </c>
      <c r="BQ383" s="0" t="n">
        <f aca="false">IF(Presupuesto!$B$49='Flujo de Pagos'!$E383,49,9999)</f>
        <v>49</v>
      </c>
      <c r="BR383" s="0" t="n">
        <f aca="false">IF(Presupuesto!$B$50='Flujo de Pagos'!$E383,50,9999)</f>
        <v>50</v>
      </c>
      <c r="BS383" s="0" t="n">
        <f aca="false">IF(Presupuesto!$B$51='Flujo de Pagos'!$E383,51,9999)</f>
        <v>51</v>
      </c>
      <c r="BT383" s="0" t="n">
        <f aca="false">IF(Presupuesto!$B$52='Flujo de Pagos'!$E383,52,9999)</f>
        <v>52</v>
      </c>
      <c r="BU383" s="0" t="n">
        <f aca="false">IF(Presupuesto!$B$53='Flujo de Pagos'!$E383,53,9999)</f>
        <v>53</v>
      </c>
      <c r="BV383" s="0" t="n">
        <f aca="false">IF(Presupuesto!$B$54='Flujo de Pagos'!$E383,54,9999)</f>
        <v>54</v>
      </c>
      <c r="BW383" s="0" t="n">
        <f aca="false">IF(Presupuesto!$B$55='Flujo de Pagos'!$E383,55,9999)</f>
        <v>55</v>
      </c>
      <c r="BX383" s="0" t="n">
        <f aca="false">IF(Presupuesto!$B$56='Flujo de Pagos'!$E383,56,9999)</f>
        <v>56</v>
      </c>
      <c r="BY383" s="0" t="n">
        <f aca="false">IF(Presupuesto!$B$57='Flujo de Pagos'!$E383,57,9999)</f>
        <v>57</v>
      </c>
      <c r="BZ383" s="0" t="n">
        <f aca="false">IF(Presupuesto!$B$58='Flujo de Pagos'!$E383,58,9999)</f>
        <v>58</v>
      </c>
      <c r="CA383" s="0" t="n">
        <f aca="false">IF(Presupuesto!$B$59='Flujo de Pagos'!$E383,59,9999)</f>
        <v>59</v>
      </c>
      <c r="CB383" s="0" t="n">
        <f aca="false">IF(Presupuesto!$B$60='Flujo de Pagos'!$E383,60,9999)</f>
        <v>60</v>
      </c>
      <c r="CC383" s="0" t="n">
        <f aca="false">IF(Presupuesto!$B$61='Flujo de Pagos'!$E383,61,9999)</f>
        <v>61</v>
      </c>
      <c r="CD383" s="0" t="n">
        <f aca="false">IF(Presupuesto!$B$62='Flujo de Pagos'!$E383,62,9999)</f>
        <v>62</v>
      </c>
      <c r="CE383" s="0" t="n">
        <f aca="false">IF(Presupuesto!$B$63='Flujo de Pagos'!$E383,63,9999)</f>
        <v>63</v>
      </c>
      <c r="CF383" s="0" t="n">
        <f aca="false">IF(Presupuesto!$B$64='Flujo de Pagos'!$E383,64,9999)</f>
        <v>64</v>
      </c>
      <c r="CG383" s="0" t="n">
        <f aca="false">IF(Presupuesto!$B$65='Flujo de Pagos'!$E383,65,9999)</f>
        <v>65</v>
      </c>
      <c r="CH383" s="0" t="n">
        <f aca="false">IF(Presupuesto!$B$66='Flujo de Pagos'!$E383,66,9999)</f>
        <v>66</v>
      </c>
    </row>
    <row r="384" customFormat="false" ht="15" hidden="false" customHeight="true" outlineLevel="0" collapsed="false">
      <c r="B384" s="1" t="n">
        <f aca="false">IF(AND('Flujo de Pagos'!E389=Carátula!$B$2,'Flujo de Pagos'!F389=Carátula!$B$4,'Flujo de Pagos'!H389&lt;&gt;""),389,99999)</f>
        <v>99999</v>
      </c>
      <c r="H384" s="1" t="n">
        <f aca="false">IF(SMALL($AA384:$CH384,1)&gt;=9999,"",INDEX(Presupuesto!$C:$C,SMALL($AA384:$CH384,1)))</f>
        <v>0</v>
      </c>
      <c r="I384" s="1" t="n">
        <f aca="false">IF(SMALL($AA384:$CH384,2)&gt;=9999,"",INDEX(Presupuesto!$C:$C,SMALL($AA384:$CH384,2)))</f>
        <v>0</v>
      </c>
      <c r="J384" s="1" t="n">
        <f aca="false">IF(SMALL($AA384:$CH384,3)&gt;=9999,"",INDEX(Presupuesto!$C:$C,SMALL($AA384:$CH384,3)))</f>
        <v>0</v>
      </c>
      <c r="K384" s="1" t="n">
        <f aca="false">IF(SMALL($AA384:$CH384,4)&gt;=9999,"",INDEX(Presupuesto!$C:$C,SMALL($AA384:$CH384,4)))</f>
        <v>0</v>
      </c>
      <c r="L384" s="1" t="n">
        <f aca="false">IF(SMALL($AA384:$CH384,5)&gt;=9999,"",INDEX(Presupuesto!$C:$C,SMALL($AA384:$CH384,5)))</f>
        <v>0</v>
      </c>
      <c r="M384" s="1" t="n">
        <f aca="false">IF(SMALL($AA384:$CH384,6)&gt;=9999,"",INDEX(Presupuesto!$C:$C,SMALL($AA384:$CH384,6)))</f>
        <v>0</v>
      </c>
      <c r="N384" s="1" t="n">
        <f aca="false">IF(SMALL($AA384:$CH384,7)&gt;=9999,"",INDEX(Presupuesto!$C:$C,SMALL($AA384:$CH384,7)))</f>
        <v>0</v>
      </c>
      <c r="O384" s="1" t="n">
        <f aca="false">IF(SMALL($AA384:$CH384,8)&gt;=9999,"",INDEX(Presupuesto!$C:$C,SMALL($AA384:$CH384,8)))</f>
        <v>0</v>
      </c>
      <c r="P384" s="1" t="n">
        <f aca="false">IF(SMALL($AA384:$CH384,9)&gt;=9999,"",INDEX(Presupuesto!$C:$C,SMALL($AA384:$CH384,9)))</f>
        <v>0</v>
      </c>
      <c r="Q384" s="1" t="n">
        <f aca="false">IF(SMALL($AA384:$CH384,10)&gt;=9999,"",INDEX(Presupuesto!$C:$C,SMALL($AA384:$CH384,10)))</f>
        <v>0</v>
      </c>
      <c r="AA384" s="0" t="n">
        <f aca="false">IF(Presupuesto!$B$7='Flujo de Pagos'!$E384,7,9999)</f>
        <v>9999</v>
      </c>
      <c r="AB384" s="0" t="n">
        <f aca="false">IF(Presupuesto!$B$8='Flujo de Pagos'!$E384,8,9999)</f>
        <v>9999</v>
      </c>
      <c r="AC384" s="0" t="n">
        <f aca="false">IF(Presupuesto!$B$9='Flujo de Pagos'!$E384,9,9999)</f>
        <v>9999</v>
      </c>
      <c r="AD384" s="0" t="n">
        <f aca="false">IF(Presupuesto!$B$10='Flujo de Pagos'!$E384,10,9999)</f>
        <v>9999</v>
      </c>
      <c r="AE384" s="0" t="n">
        <f aca="false">IF(Presupuesto!$B$11='Flujo de Pagos'!$E384,11,9999)</f>
        <v>9999</v>
      </c>
      <c r="AF384" s="0" t="n">
        <f aca="false">IF(Presupuesto!$B$12='Flujo de Pagos'!$E384,12,9999)</f>
        <v>12</v>
      </c>
      <c r="AG384" s="0" t="n">
        <f aca="false">IF(Presupuesto!$B$13='Flujo de Pagos'!$E384,13,9999)</f>
        <v>13</v>
      </c>
      <c r="AH384" s="0" t="n">
        <f aca="false">IF(Presupuesto!$B$14='Flujo de Pagos'!$E384,14,9999)</f>
        <v>14</v>
      </c>
      <c r="AI384" s="0" t="n">
        <f aca="false">IF(Presupuesto!$B$15='Flujo de Pagos'!$E384,15,9999)</f>
        <v>15</v>
      </c>
      <c r="AJ384" s="0" t="n">
        <f aca="false">IF(Presupuesto!$B$16='Flujo de Pagos'!$E384,16,9999)</f>
        <v>16</v>
      </c>
      <c r="AK384" s="0" t="n">
        <f aca="false">IF(Presupuesto!$B$17='Flujo de Pagos'!$E384,17,9999)</f>
        <v>17</v>
      </c>
      <c r="AL384" s="0" t="n">
        <f aca="false">IF(Presupuesto!$B$18='Flujo de Pagos'!$E384,18,9999)</f>
        <v>18</v>
      </c>
      <c r="AM384" s="0" t="n">
        <f aca="false">IF(Presupuesto!$B$19='Flujo de Pagos'!$E384,19,9999)</f>
        <v>19</v>
      </c>
      <c r="AN384" s="0" t="n">
        <f aca="false">IF(Presupuesto!$B$20='Flujo de Pagos'!$E384,20,9999)</f>
        <v>20</v>
      </c>
      <c r="AO384" s="0" t="n">
        <f aca="false">IF(Presupuesto!$B$21='Flujo de Pagos'!$E384,21,9999)</f>
        <v>21</v>
      </c>
      <c r="AP384" s="0" t="n">
        <f aca="false">IF(Presupuesto!$B$22='Flujo de Pagos'!$E384,22,9999)</f>
        <v>22</v>
      </c>
      <c r="AQ384" s="0" t="n">
        <f aca="false">IF(Presupuesto!$B$23='Flujo de Pagos'!$E384,23,9999)</f>
        <v>23</v>
      </c>
      <c r="AR384" s="0" t="n">
        <f aca="false">IF(Presupuesto!$B$24='Flujo de Pagos'!$E384,24,9999)</f>
        <v>24</v>
      </c>
      <c r="AS384" s="0" t="n">
        <f aca="false">IF(Presupuesto!$B$25='Flujo de Pagos'!$E384,25,9999)</f>
        <v>25</v>
      </c>
      <c r="AT384" s="0" t="n">
        <f aca="false">IF(Presupuesto!$B$26='Flujo de Pagos'!$E384,26,9999)</f>
        <v>26</v>
      </c>
      <c r="AU384" s="0" t="n">
        <f aca="false">IF(Presupuesto!$B$27='Flujo de Pagos'!$E384,27,9999)</f>
        <v>27</v>
      </c>
      <c r="AV384" s="0" t="n">
        <f aca="false">IF(Presupuesto!$B$28='Flujo de Pagos'!$E384,28,9999)</f>
        <v>28</v>
      </c>
      <c r="AW384" s="0" t="n">
        <f aca="false">IF(Presupuesto!$B$29='Flujo de Pagos'!$E384,29,9999)</f>
        <v>29</v>
      </c>
      <c r="AX384" s="0" t="n">
        <f aca="false">IF(Presupuesto!$B$30='Flujo de Pagos'!$E384,30,9999)</f>
        <v>30</v>
      </c>
      <c r="AY384" s="0" t="n">
        <f aca="false">IF(Presupuesto!$B$31='Flujo de Pagos'!$E384,31,9999)</f>
        <v>31</v>
      </c>
      <c r="AZ384" s="0" t="n">
        <f aca="false">IF(Presupuesto!$B$32='Flujo de Pagos'!$E384,32,9999)</f>
        <v>32</v>
      </c>
      <c r="BA384" s="0" t="n">
        <f aca="false">IF(Presupuesto!$B$33='Flujo de Pagos'!$E384,33,9999)</f>
        <v>33</v>
      </c>
      <c r="BB384" s="0" t="n">
        <f aca="false">IF(Presupuesto!$B$34='Flujo de Pagos'!$E384,34,9999)</f>
        <v>34</v>
      </c>
      <c r="BC384" s="0" t="n">
        <f aca="false">IF(Presupuesto!$B$35='Flujo de Pagos'!$E384,35,9999)</f>
        <v>35</v>
      </c>
      <c r="BD384" s="0" t="n">
        <f aca="false">IF(Presupuesto!$B$36='Flujo de Pagos'!$E384,36,9999)</f>
        <v>36</v>
      </c>
      <c r="BE384" s="0" t="n">
        <f aca="false">IF(Presupuesto!$B$37='Flujo de Pagos'!$E384,37,9999)</f>
        <v>37</v>
      </c>
      <c r="BF384" s="0" t="n">
        <f aca="false">IF(Presupuesto!$B$38='Flujo de Pagos'!$E384,38,9999)</f>
        <v>38</v>
      </c>
      <c r="BG384" s="0" t="n">
        <f aca="false">IF(Presupuesto!$B$39='Flujo de Pagos'!$E384,39,9999)</f>
        <v>39</v>
      </c>
      <c r="BH384" s="0" t="n">
        <f aca="false">IF(Presupuesto!$B$40='Flujo de Pagos'!$E384,40,9999)</f>
        <v>40</v>
      </c>
      <c r="BI384" s="0" t="n">
        <f aca="false">IF(Presupuesto!$B$41='Flujo de Pagos'!$E384,41,9999)</f>
        <v>41</v>
      </c>
      <c r="BJ384" s="0" t="n">
        <f aca="false">IF(Presupuesto!$B$42='Flujo de Pagos'!$E384,42,9999)</f>
        <v>42</v>
      </c>
      <c r="BK384" s="0" t="n">
        <f aca="false">IF(Presupuesto!$B$43='Flujo de Pagos'!$E384,43,9999)</f>
        <v>43</v>
      </c>
      <c r="BL384" s="0" t="n">
        <f aca="false">IF(Presupuesto!$B$44='Flujo de Pagos'!$E384,44,9999)</f>
        <v>44</v>
      </c>
      <c r="BM384" s="0" t="n">
        <f aca="false">IF(Presupuesto!$B$45='Flujo de Pagos'!$E384,45,9999)</f>
        <v>45</v>
      </c>
      <c r="BN384" s="0" t="n">
        <f aca="false">IF(Presupuesto!$B$46='Flujo de Pagos'!$E384,46,9999)</f>
        <v>46</v>
      </c>
      <c r="BO384" s="0" t="n">
        <f aca="false">IF(Presupuesto!$B$47='Flujo de Pagos'!$E384,47,9999)</f>
        <v>47</v>
      </c>
      <c r="BP384" s="0" t="n">
        <f aca="false">IF(Presupuesto!$B$48='Flujo de Pagos'!$E384,48,9999)</f>
        <v>48</v>
      </c>
      <c r="BQ384" s="0" t="n">
        <f aca="false">IF(Presupuesto!$B$49='Flujo de Pagos'!$E384,49,9999)</f>
        <v>49</v>
      </c>
      <c r="BR384" s="0" t="n">
        <f aca="false">IF(Presupuesto!$B$50='Flujo de Pagos'!$E384,50,9999)</f>
        <v>50</v>
      </c>
      <c r="BS384" s="0" t="n">
        <f aca="false">IF(Presupuesto!$B$51='Flujo de Pagos'!$E384,51,9999)</f>
        <v>51</v>
      </c>
      <c r="BT384" s="0" t="n">
        <f aca="false">IF(Presupuesto!$B$52='Flujo de Pagos'!$E384,52,9999)</f>
        <v>52</v>
      </c>
      <c r="BU384" s="0" t="n">
        <f aca="false">IF(Presupuesto!$B$53='Flujo de Pagos'!$E384,53,9999)</f>
        <v>53</v>
      </c>
      <c r="BV384" s="0" t="n">
        <f aca="false">IF(Presupuesto!$B$54='Flujo de Pagos'!$E384,54,9999)</f>
        <v>54</v>
      </c>
      <c r="BW384" s="0" t="n">
        <f aca="false">IF(Presupuesto!$B$55='Flujo de Pagos'!$E384,55,9999)</f>
        <v>55</v>
      </c>
      <c r="BX384" s="0" t="n">
        <f aca="false">IF(Presupuesto!$B$56='Flujo de Pagos'!$E384,56,9999)</f>
        <v>56</v>
      </c>
      <c r="BY384" s="0" t="n">
        <f aca="false">IF(Presupuesto!$B$57='Flujo de Pagos'!$E384,57,9999)</f>
        <v>57</v>
      </c>
      <c r="BZ384" s="0" t="n">
        <f aca="false">IF(Presupuesto!$B$58='Flujo de Pagos'!$E384,58,9999)</f>
        <v>58</v>
      </c>
      <c r="CA384" s="0" t="n">
        <f aca="false">IF(Presupuesto!$B$59='Flujo de Pagos'!$E384,59,9999)</f>
        <v>59</v>
      </c>
      <c r="CB384" s="0" t="n">
        <f aca="false">IF(Presupuesto!$B$60='Flujo de Pagos'!$E384,60,9999)</f>
        <v>60</v>
      </c>
      <c r="CC384" s="0" t="n">
        <f aca="false">IF(Presupuesto!$B$61='Flujo de Pagos'!$E384,61,9999)</f>
        <v>61</v>
      </c>
      <c r="CD384" s="0" t="n">
        <f aca="false">IF(Presupuesto!$B$62='Flujo de Pagos'!$E384,62,9999)</f>
        <v>62</v>
      </c>
      <c r="CE384" s="0" t="n">
        <f aca="false">IF(Presupuesto!$B$63='Flujo de Pagos'!$E384,63,9999)</f>
        <v>63</v>
      </c>
      <c r="CF384" s="0" t="n">
        <f aca="false">IF(Presupuesto!$B$64='Flujo de Pagos'!$E384,64,9999)</f>
        <v>64</v>
      </c>
      <c r="CG384" s="0" t="n">
        <f aca="false">IF(Presupuesto!$B$65='Flujo de Pagos'!$E384,65,9999)</f>
        <v>65</v>
      </c>
      <c r="CH384" s="0" t="n">
        <f aca="false">IF(Presupuesto!$B$66='Flujo de Pagos'!$E384,66,9999)</f>
        <v>66</v>
      </c>
    </row>
    <row r="385" customFormat="false" ht="15" hidden="false" customHeight="true" outlineLevel="0" collapsed="false">
      <c r="B385" s="1" t="n">
        <f aca="false">IF(AND('Flujo de Pagos'!E390=Carátula!$B$2,'Flujo de Pagos'!F390=Carátula!$B$4,'Flujo de Pagos'!H390&lt;&gt;""),390,99999)</f>
        <v>99999</v>
      </c>
      <c r="H385" s="1" t="n">
        <f aca="false">IF(SMALL($AA385:$CH385,1)&gt;=9999,"",INDEX(Presupuesto!$C:$C,SMALL($AA385:$CH385,1)))</f>
        <v>0</v>
      </c>
      <c r="I385" s="1" t="n">
        <f aca="false">IF(SMALL($AA385:$CH385,2)&gt;=9999,"",INDEX(Presupuesto!$C:$C,SMALL($AA385:$CH385,2)))</f>
        <v>0</v>
      </c>
      <c r="J385" s="1" t="n">
        <f aca="false">IF(SMALL($AA385:$CH385,3)&gt;=9999,"",INDEX(Presupuesto!$C:$C,SMALL($AA385:$CH385,3)))</f>
        <v>0</v>
      </c>
      <c r="K385" s="1" t="n">
        <f aca="false">IF(SMALL($AA385:$CH385,4)&gt;=9999,"",INDEX(Presupuesto!$C:$C,SMALL($AA385:$CH385,4)))</f>
        <v>0</v>
      </c>
      <c r="L385" s="1" t="n">
        <f aca="false">IF(SMALL($AA385:$CH385,5)&gt;=9999,"",INDEX(Presupuesto!$C:$C,SMALL($AA385:$CH385,5)))</f>
        <v>0</v>
      </c>
      <c r="M385" s="1" t="n">
        <f aca="false">IF(SMALL($AA385:$CH385,6)&gt;=9999,"",INDEX(Presupuesto!$C:$C,SMALL($AA385:$CH385,6)))</f>
        <v>0</v>
      </c>
      <c r="N385" s="1" t="n">
        <f aca="false">IF(SMALL($AA385:$CH385,7)&gt;=9999,"",INDEX(Presupuesto!$C:$C,SMALL($AA385:$CH385,7)))</f>
        <v>0</v>
      </c>
      <c r="O385" s="1" t="n">
        <f aca="false">IF(SMALL($AA385:$CH385,8)&gt;=9999,"",INDEX(Presupuesto!$C:$C,SMALL($AA385:$CH385,8)))</f>
        <v>0</v>
      </c>
      <c r="P385" s="1" t="n">
        <f aca="false">IF(SMALL($AA385:$CH385,9)&gt;=9999,"",INDEX(Presupuesto!$C:$C,SMALL($AA385:$CH385,9)))</f>
        <v>0</v>
      </c>
      <c r="Q385" s="1" t="n">
        <f aca="false">IF(SMALL($AA385:$CH385,10)&gt;=9999,"",INDEX(Presupuesto!$C:$C,SMALL($AA385:$CH385,10)))</f>
        <v>0</v>
      </c>
      <c r="AA385" s="0" t="n">
        <f aca="false">IF(Presupuesto!$B$7='Flujo de Pagos'!$E385,7,9999)</f>
        <v>9999</v>
      </c>
      <c r="AB385" s="0" t="n">
        <f aca="false">IF(Presupuesto!$B$8='Flujo de Pagos'!$E385,8,9999)</f>
        <v>9999</v>
      </c>
      <c r="AC385" s="0" t="n">
        <f aca="false">IF(Presupuesto!$B$9='Flujo de Pagos'!$E385,9,9999)</f>
        <v>9999</v>
      </c>
      <c r="AD385" s="0" t="n">
        <f aca="false">IF(Presupuesto!$B$10='Flujo de Pagos'!$E385,10,9999)</f>
        <v>9999</v>
      </c>
      <c r="AE385" s="0" t="n">
        <f aca="false">IF(Presupuesto!$B$11='Flujo de Pagos'!$E385,11,9999)</f>
        <v>9999</v>
      </c>
      <c r="AF385" s="0" t="n">
        <f aca="false">IF(Presupuesto!$B$12='Flujo de Pagos'!$E385,12,9999)</f>
        <v>12</v>
      </c>
      <c r="AG385" s="0" t="n">
        <f aca="false">IF(Presupuesto!$B$13='Flujo de Pagos'!$E385,13,9999)</f>
        <v>13</v>
      </c>
      <c r="AH385" s="0" t="n">
        <f aca="false">IF(Presupuesto!$B$14='Flujo de Pagos'!$E385,14,9999)</f>
        <v>14</v>
      </c>
      <c r="AI385" s="0" t="n">
        <f aca="false">IF(Presupuesto!$B$15='Flujo de Pagos'!$E385,15,9999)</f>
        <v>15</v>
      </c>
      <c r="AJ385" s="0" t="n">
        <f aca="false">IF(Presupuesto!$B$16='Flujo de Pagos'!$E385,16,9999)</f>
        <v>16</v>
      </c>
      <c r="AK385" s="0" t="n">
        <f aca="false">IF(Presupuesto!$B$17='Flujo de Pagos'!$E385,17,9999)</f>
        <v>17</v>
      </c>
      <c r="AL385" s="0" t="n">
        <f aca="false">IF(Presupuesto!$B$18='Flujo de Pagos'!$E385,18,9999)</f>
        <v>18</v>
      </c>
      <c r="AM385" s="0" t="n">
        <f aca="false">IF(Presupuesto!$B$19='Flujo de Pagos'!$E385,19,9999)</f>
        <v>19</v>
      </c>
      <c r="AN385" s="0" t="n">
        <f aca="false">IF(Presupuesto!$B$20='Flujo de Pagos'!$E385,20,9999)</f>
        <v>20</v>
      </c>
      <c r="AO385" s="0" t="n">
        <f aca="false">IF(Presupuesto!$B$21='Flujo de Pagos'!$E385,21,9999)</f>
        <v>21</v>
      </c>
      <c r="AP385" s="0" t="n">
        <f aca="false">IF(Presupuesto!$B$22='Flujo de Pagos'!$E385,22,9999)</f>
        <v>22</v>
      </c>
      <c r="AQ385" s="0" t="n">
        <f aca="false">IF(Presupuesto!$B$23='Flujo de Pagos'!$E385,23,9999)</f>
        <v>23</v>
      </c>
      <c r="AR385" s="0" t="n">
        <f aca="false">IF(Presupuesto!$B$24='Flujo de Pagos'!$E385,24,9999)</f>
        <v>24</v>
      </c>
      <c r="AS385" s="0" t="n">
        <f aca="false">IF(Presupuesto!$B$25='Flujo de Pagos'!$E385,25,9999)</f>
        <v>25</v>
      </c>
      <c r="AT385" s="0" t="n">
        <f aca="false">IF(Presupuesto!$B$26='Flujo de Pagos'!$E385,26,9999)</f>
        <v>26</v>
      </c>
      <c r="AU385" s="0" t="n">
        <f aca="false">IF(Presupuesto!$B$27='Flujo de Pagos'!$E385,27,9999)</f>
        <v>27</v>
      </c>
      <c r="AV385" s="0" t="n">
        <f aca="false">IF(Presupuesto!$B$28='Flujo de Pagos'!$E385,28,9999)</f>
        <v>28</v>
      </c>
      <c r="AW385" s="0" t="n">
        <f aca="false">IF(Presupuesto!$B$29='Flujo de Pagos'!$E385,29,9999)</f>
        <v>29</v>
      </c>
      <c r="AX385" s="0" t="n">
        <f aca="false">IF(Presupuesto!$B$30='Flujo de Pagos'!$E385,30,9999)</f>
        <v>30</v>
      </c>
      <c r="AY385" s="0" t="n">
        <f aca="false">IF(Presupuesto!$B$31='Flujo de Pagos'!$E385,31,9999)</f>
        <v>31</v>
      </c>
      <c r="AZ385" s="0" t="n">
        <f aca="false">IF(Presupuesto!$B$32='Flujo de Pagos'!$E385,32,9999)</f>
        <v>32</v>
      </c>
      <c r="BA385" s="0" t="n">
        <f aca="false">IF(Presupuesto!$B$33='Flujo de Pagos'!$E385,33,9999)</f>
        <v>33</v>
      </c>
      <c r="BB385" s="0" t="n">
        <f aca="false">IF(Presupuesto!$B$34='Flujo de Pagos'!$E385,34,9999)</f>
        <v>34</v>
      </c>
      <c r="BC385" s="0" t="n">
        <f aca="false">IF(Presupuesto!$B$35='Flujo de Pagos'!$E385,35,9999)</f>
        <v>35</v>
      </c>
      <c r="BD385" s="0" t="n">
        <f aca="false">IF(Presupuesto!$B$36='Flujo de Pagos'!$E385,36,9999)</f>
        <v>36</v>
      </c>
      <c r="BE385" s="0" t="n">
        <f aca="false">IF(Presupuesto!$B$37='Flujo de Pagos'!$E385,37,9999)</f>
        <v>37</v>
      </c>
      <c r="BF385" s="0" t="n">
        <f aca="false">IF(Presupuesto!$B$38='Flujo de Pagos'!$E385,38,9999)</f>
        <v>38</v>
      </c>
      <c r="BG385" s="0" t="n">
        <f aca="false">IF(Presupuesto!$B$39='Flujo de Pagos'!$E385,39,9999)</f>
        <v>39</v>
      </c>
      <c r="BH385" s="0" t="n">
        <f aca="false">IF(Presupuesto!$B$40='Flujo de Pagos'!$E385,40,9999)</f>
        <v>40</v>
      </c>
      <c r="BI385" s="0" t="n">
        <f aca="false">IF(Presupuesto!$B$41='Flujo de Pagos'!$E385,41,9999)</f>
        <v>41</v>
      </c>
      <c r="BJ385" s="0" t="n">
        <f aca="false">IF(Presupuesto!$B$42='Flujo de Pagos'!$E385,42,9999)</f>
        <v>42</v>
      </c>
      <c r="BK385" s="0" t="n">
        <f aca="false">IF(Presupuesto!$B$43='Flujo de Pagos'!$E385,43,9999)</f>
        <v>43</v>
      </c>
      <c r="BL385" s="0" t="n">
        <f aca="false">IF(Presupuesto!$B$44='Flujo de Pagos'!$E385,44,9999)</f>
        <v>44</v>
      </c>
      <c r="BM385" s="0" t="n">
        <f aca="false">IF(Presupuesto!$B$45='Flujo de Pagos'!$E385,45,9999)</f>
        <v>45</v>
      </c>
      <c r="BN385" s="0" t="n">
        <f aca="false">IF(Presupuesto!$B$46='Flujo de Pagos'!$E385,46,9999)</f>
        <v>46</v>
      </c>
      <c r="BO385" s="0" t="n">
        <f aca="false">IF(Presupuesto!$B$47='Flujo de Pagos'!$E385,47,9999)</f>
        <v>47</v>
      </c>
      <c r="BP385" s="0" t="n">
        <f aca="false">IF(Presupuesto!$B$48='Flujo de Pagos'!$E385,48,9999)</f>
        <v>48</v>
      </c>
      <c r="BQ385" s="0" t="n">
        <f aca="false">IF(Presupuesto!$B$49='Flujo de Pagos'!$E385,49,9999)</f>
        <v>49</v>
      </c>
      <c r="BR385" s="0" t="n">
        <f aca="false">IF(Presupuesto!$B$50='Flujo de Pagos'!$E385,50,9999)</f>
        <v>50</v>
      </c>
      <c r="BS385" s="0" t="n">
        <f aca="false">IF(Presupuesto!$B$51='Flujo de Pagos'!$E385,51,9999)</f>
        <v>51</v>
      </c>
      <c r="BT385" s="0" t="n">
        <f aca="false">IF(Presupuesto!$B$52='Flujo de Pagos'!$E385,52,9999)</f>
        <v>52</v>
      </c>
      <c r="BU385" s="0" t="n">
        <f aca="false">IF(Presupuesto!$B$53='Flujo de Pagos'!$E385,53,9999)</f>
        <v>53</v>
      </c>
      <c r="BV385" s="0" t="n">
        <f aca="false">IF(Presupuesto!$B$54='Flujo de Pagos'!$E385,54,9999)</f>
        <v>54</v>
      </c>
      <c r="BW385" s="0" t="n">
        <f aca="false">IF(Presupuesto!$B$55='Flujo de Pagos'!$E385,55,9999)</f>
        <v>55</v>
      </c>
      <c r="BX385" s="0" t="n">
        <f aca="false">IF(Presupuesto!$B$56='Flujo de Pagos'!$E385,56,9999)</f>
        <v>56</v>
      </c>
      <c r="BY385" s="0" t="n">
        <f aca="false">IF(Presupuesto!$B$57='Flujo de Pagos'!$E385,57,9999)</f>
        <v>57</v>
      </c>
      <c r="BZ385" s="0" t="n">
        <f aca="false">IF(Presupuesto!$B$58='Flujo de Pagos'!$E385,58,9999)</f>
        <v>58</v>
      </c>
      <c r="CA385" s="0" t="n">
        <f aca="false">IF(Presupuesto!$B$59='Flujo de Pagos'!$E385,59,9999)</f>
        <v>59</v>
      </c>
      <c r="CB385" s="0" t="n">
        <f aca="false">IF(Presupuesto!$B$60='Flujo de Pagos'!$E385,60,9999)</f>
        <v>60</v>
      </c>
      <c r="CC385" s="0" t="n">
        <f aca="false">IF(Presupuesto!$B$61='Flujo de Pagos'!$E385,61,9999)</f>
        <v>61</v>
      </c>
      <c r="CD385" s="0" t="n">
        <f aca="false">IF(Presupuesto!$B$62='Flujo de Pagos'!$E385,62,9999)</f>
        <v>62</v>
      </c>
      <c r="CE385" s="0" t="n">
        <f aca="false">IF(Presupuesto!$B$63='Flujo de Pagos'!$E385,63,9999)</f>
        <v>63</v>
      </c>
      <c r="CF385" s="0" t="n">
        <f aca="false">IF(Presupuesto!$B$64='Flujo de Pagos'!$E385,64,9999)</f>
        <v>64</v>
      </c>
      <c r="CG385" s="0" t="n">
        <f aca="false">IF(Presupuesto!$B$65='Flujo de Pagos'!$E385,65,9999)</f>
        <v>65</v>
      </c>
      <c r="CH385" s="0" t="n">
        <f aca="false">IF(Presupuesto!$B$66='Flujo de Pagos'!$E385,66,9999)</f>
        <v>66</v>
      </c>
    </row>
    <row r="386" customFormat="false" ht="15" hidden="false" customHeight="true" outlineLevel="0" collapsed="false">
      <c r="B386" s="1" t="n">
        <f aca="false">IF(AND('Flujo de Pagos'!E391=Carátula!$B$2,'Flujo de Pagos'!F391=Carátula!$B$4,'Flujo de Pagos'!H391&lt;&gt;""),391,99999)</f>
        <v>99999</v>
      </c>
      <c r="H386" s="1" t="n">
        <f aca="false">IF(SMALL($AA386:$CH386,1)&gt;=9999,"",INDEX(Presupuesto!$C:$C,SMALL($AA386:$CH386,1)))</f>
        <v>0</v>
      </c>
      <c r="I386" s="1" t="n">
        <f aca="false">IF(SMALL($AA386:$CH386,2)&gt;=9999,"",INDEX(Presupuesto!$C:$C,SMALL($AA386:$CH386,2)))</f>
        <v>0</v>
      </c>
      <c r="J386" s="1" t="n">
        <f aca="false">IF(SMALL($AA386:$CH386,3)&gt;=9999,"",INDEX(Presupuesto!$C:$C,SMALL($AA386:$CH386,3)))</f>
        <v>0</v>
      </c>
      <c r="K386" s="1" t="n">
        <f aca="false">IF(SMALL($AA386:$CH386,4)&gt;=9999,"",INDEX(Presupuesto!$C:$C,SMALL($AA386:$CH386,4)))</f>
        <v>0</v>
      </c>
      <c r="L386" s="1" t="n">
        <f aca="false">IF(SMALL($AA386:$CH386,5)&gt;=9999,"",INDEX(Presupuesto!$C:$C,SMALL($AA386:$CH386,5)))</f>
        <v>0</v>
      </c>
      <c r="M386" s="1" t="n">
        <f aca="false">IF(SMALL($AA386:$CH386,6)&gt;=9999,"",INDEX(Presupuesto!$C:$C,SMALL($AA386:$CH386,6)))</f>
        <v>0</v>
      </c>
      <c r="N386" s="1" t="n">
        <f aca="false">IF(SMALL($AA386:$CH386,7)&gt;=9999,"",INDEX(Presupuesto!$C:$C,SMALL($AA386:$CH386,7)))</f>
        <v>0</v>
      </c>
      <c r="O386" s="1" t="n">
        <f aca="false">IF(SMALL($AA386:$CH386,8)&gt;=9999,"",INDEX(Presupuesto!$C:$C,SMALL($AA386:$CH386,8)))</f>
        <v>0</v>
      </c>
      <c r="P386" s="1" t="n">
        <f aca="false">IF(SMALL($AA386:$CH386,9)&gt;=9999,"",INDEX(Presupuesto!$C:$C,SMALL($AA386:$CH386,9)))</f>
        <v>0</v>
      </c>
      <c r="Q386" s="1" t="n">
        <f aca="false">IF(SMALL($AA386:$CH386,10)&gt;=9999,"",INDEX(Presupuesto!$C:$C,SMALL($AA386:$CH386,10)))</f>
        <v>0</v>
      </c>
      <c r="AA386" s="0" t="n">
        <f aca="false">IF(Presupuesto!$B$7='Flujo de Pagos'!$E386,7,9999)</f>
        <v>9999</v>
      </c>
      <c r="AB386" s="0" t="n">
        <f aca="false">IF(Presupuesto!$B$8='Flujo de Pagos'!$E386,8,9999)</f>
        <v>9999</v>
      </c>
      <c r="AC386" s="0" t="n">
        <f aca="false">IF(Presupuesto!$B$9='Flujo de Pagos'!$E386,9,9999)</f>
        <v>9999</v>
      </c>
      <c r="AD386" s="0" t="n">
        <f aca="false">IF(Presupuesto!$B$10='Flujo de Pagos'!$E386,10,9999)</f>
        <v>9999</v>
      </c>
      <c r="AE386" s="0" t="n">
        <f aca="false">IF(Presupuesto!$B$11='Flujo de Pagos'!$E386,11,9999)</f>
        <v>9999</v>
      </c>
      <c r="AF386" s="0" t="n">
        <f aca="false">IF(Presupuesto!$B$12='Flujo de Pagos'!$E386,12,9999)</f>
        <v>12</v>
      </c>
      <c r="AG386" s="0" t="n">
        <f aca="false">IF(Presupuesto!$B$13='Flujo de Pagos'!$E386,13,9999)</f>
        <v>13</v>
      </c>
      <c r="AH386" s="0" t="n">
        <f aca="false">IF(Presupuesto!$B$14='Flujo de Pagos'!$E386,14,9999)</f>
        <v>14</v>
      </c>
      <c r="AI386" s="0" t="n">
        <f aca="false">IF(Presupuesto!$B$15='Flujo de Pagos'!$E386,15,9999)</f>
        <v>15</v>
      </c>
      <c r="AJ386" s="0" t="n">
        <f aca="false">IF(Presupuesto!$B$16='Flujo de Pagos'!$E386,16,9999)</f>
        <v>16</v>
      </c>
      <c r="AK386" s="0" t="n">
        <f aca="false">IF(Presupuesto!$B$17='Flujo de Pagos'!$E386,17,9999)</f>
        <v>17</v>
      </c>
      <c r="AL386" s="0" t="n">
        <f aca="false">IF(Presupuesto!$B$18='Flujo de Pagos'!$E386,18,9999)</f>
        <v>18</v>
      </c>
      <c r="AM386" s="0" t="n">
        <f aca="false">IF(Presupuesto!$B$19='Flujo de Pagos'!$E386,19,9999)</f>
        <v>19</v>
      </c>
      <c r="AN386" s="0" t="n">
        <f aca="false">IF(Presupuesto!$B$20='Flujo de Pagos'!$E386,20,9999)</f>
        <v>20</v>
      </c>
      <c r="AO386" s="0" t="n">
        <f aca="false">IF(Presupuesto!$B$21='Flujo de Pagos'!$E386,21,9999)</f>
        <v>21</v>
      </c>
      <c r="AP386" s="0" t="n">
        <f aca="false">IF(Presupuesto!$B$22='Flujo de Pagos'!$E386,22,9999)</f>
        <v>22</v>
      </c>
      <c r="AQ386" s="0" t="n">
        <f aca="false">IF(Presupuesto!$B$23='Flujo de Pagos'!$E386,23,9999)</f>
        <v>23</v>
      </c>
      <c r="AR386" s="0" t="n">
        <f aca="false">IF(Presupuesto!$B$24='Flujo de Pagos'!$E386,24,9999)</f>
        <v>24</v>
      </c>
      <c r="AS386" s="0" t="n">
        <f aca="false">IF(Presupuesto!$B$25='Flujo de Pagos'!$E386,25,9999)</f>
        <v>25</v>
      </c>
      <c r="AT386" s="0" t="n">
        <f aca="false">IF(Presupuesto!$B$26='Flujo de Pagos'!$E386,26,9999)</f>
        <v>26</v>
      </c>
      <c r="AU386" s="0" t="n">
        <f aca="false">IF(Presupuesto!$B$27='Flujo de Pagos'!$E386,27,9999)</f>
        <v>27</v>
      </c>
      <c r="AV386" s="0" t="n">
        <f aca="false">IF(Presupuesto!$B$28='Flujo de Pagos'!$E386,28,9999)</f>
        <v>28</v>
      </c>
      <c r="AW386" s="0" t="n">
        <f aca="false">IF(Presupuesto!$B$29='Flujo de Pagos'!$E386,29,9999)</f>
        <v>29</v>
      </c>
      <c r="AX386" s="0" t="n">
        <f aca="false">IF(Presupuesto!$B$30='Flujo de Pagos'!$E386,30,9999)</f>
        <v>30</v>
      </c>
      <c r="AY386" s="0" t="n">
        <f aca="false">IF(Presupuesto!$B$31='Flujo de Pagos'!$E386,31,9999)</f>
        <v>31</v>
      </c>
      <c r="AZ386" s="0" t="n">
        <f aca="false">IF(Presupuesto!$B$32='Flujo de Pagos'!$E386,32,9999)</f>
        <v>32</v>
      </c>
      <c r="BA386" s="0" t="n">
        <f aca="false">IF(Presupuesto!$B$33='Flujo de Pagos'!$E386,33,9999)</f>
        <v>33</v>
      </c>
      <c r="BB386" s="0" t="n">
        <f aca="false">IF(Presupuesto!$B$34='Flujo de Pagos'!$E386,34,9999)</f>
        <v>34</v>
      </c>
      <c r="BC386" s="0" t="n">
        <f aca="false">IF(Presupuesto!$B$35='Flujo de Pagos'!$E386,35,9999)</f>
        <v>35</v>
      </c>
      <c r="BD386" s="0" t="n">
        <f aca="false">IF(Presupuesto!$B$36='Flujo de Pagos'!$E386,36,9999)</f>
        <v>36</v>
      </c>
      <c r="BE386" s="0" t="n">
        <f aca="false">IF(Presupuesto!$B$37='Flujo de Pagos'!$E386,37,9999)</f>
        <v>37</v>
      </c>
      <c r="BF386" s="0" t="n">
        <f aca="false">IF(Presupuesto!$B$38='Flujo de Pagos'!$E386,38,9999)</f>
        <v>38</v>
      </c>
      <c r="BG386" s="0" t="n">
        <f aca="false">IF(Presupuesto!$B$39='Flujo de Pagos'!$E386,39,9999)</f>
        <v>39</v>
      </c>
      <c r="BH386" s="0" t="n">
        <f aca="false">IF(Presupuesto!$B$40='Flujo de Pagos'!$E386,40,9999)</f>
        <v>40</v>
      </c>
      <c r="BI386" s="0" t="n">
        <f aca="false">IF(Presupuesto!$B$41='Flujo de Pagos'!$E386,41,9999)</f>
        <v>41</v>
      </c>
      <c r="BJ386" s="0" t="n">
        <f aca="false">IF(Presupuesto!$B$42='Flujo de Pagos'!$E386,42,9999)</f>
        <v>42</v>
      </c>
      <c r="BK386" s="0" t="n">
        <f aca="false">IF(Presupuesto!$B$43='Flujo de Pagos'!$E386,43,9999)</f>
        <v>43</v>
      </c>
      <c r="BL386" s="0" t="n">
        <f aca="false">IF(Presupuesto!$B$44='Flujo de Pagos'!$E386,44,9999)</f>
        <v>44</v>
      </c>
      <c r="BM386" s="0" t="n">
        <f aca="false">IF(Presupuesto!$B$45='Flujo de Pagos'!$E386,45,9999)</f>
        <v>45</v>
      </c>
      <c r="BN386" s="0" t="n">
        <f aca="false">IF(Presupuesto!$B$46='Flujo de Pagos'!$E386,46,9999)</f>
        <v>46</v>
      </c>
      <c r="BO386" s="0" t="n">
        <f aca="false">IF(Presupuesto!$B$47='Flujo de Pagos'!$E386,47,9999)</f>
        <v>47</v>
      </c>
      <c r="BP386" s="0" t="n">
        <f aca="false">IF(Presupuesto!$B$48='Flujo de Pagos'!$E386,48,9999)</f>
        <v>48</v>
      </c>
      <c r="BQ386" s="0" t="n">
        <f aca="false">IF(Presupuesto!$B$49='Flujo de Pagos'!$E386,49,9999)</f>
        <v>49</v>
      </c>
      <c r="BR386" s="0" t="n">
        <f aca="false">IF(Presupuesto!$B$50='Flujo de Pagos'!$E386,50,9999)</f>
        <v>50</v>
      </c>
      <c r="BS386" s="0" t="n">
        <f aca="false">IF(Presupuesto!$B$51='Flujo de Pagos'!$E386,51,9999)</f>
        <v>51</v>
      </c>
      <c r="BT386" s="0" t="n">
        <f aca="false">IF(Presupuesto!$B$52='Flujo de Pagos'!$E386,52,9999)</f>
        <v>52</v>
      </c>
      <c r="BU386" s="0" t="n">
        <f aca="false">IF(Presupuesto!$B$53='Flujo de Pagos'!$E386,53,9999)</f>
        <v>53</v>
      </c>
      <c r="BV386" s="0" t="n">
        <f aca="false">IF(Presupuesto!$B$54='Flujo de Pagos'!$E386,54,9999)</f>
        <v>54</v>
      </c>
      <c r="BW386" s="0" t="n">
        <f aca="false">IF(Presupuesto!$B$55='Flujo de Pagos'!$E386,55,9999)</f>
        <v>55</v>
      </c>
      <c r="BX386" s="0" t="n">
        <f aca="false">IF(Presupuesto!$B$56='Flujo de Pagos'!$E386,56,9999)</f>
        <v>56</v>
      </c>
      <c r="BY386" s="0" t="n">
        <f aca="false">IF(Presupuesto!$B$57='Flujo de Pagos'!$E386,57,9999)</f>
        <v>57</v>
      </c>
      <c r="BZ386" s="0" t="n">
        <f aca="false">IF(Presupuesto!$B$58='Flujo de Pagos'!$E386,58,9999)</f>
        <v>58</v>
      </c>
      <c r="CA386" s="0" t="n">
        <f aca="false">IF(Presupuesto!$B$59='Flujo de Pagos'!$E386,59,9999)</f>
        <v>59</v>
      </c>
      <c r="CB386" s="0" t="n">
        <f aca="false">IF(Presupuesto!$B$60='Flujo de Pagos'!$E386,60,9999)</f>
        <v>60</v>
      </c>
      <c r="CC386" s="0" t="n">
        <f aca="false">IF(Presupuesto!$B$61='Flujo de Pagos'!$E386,61,9999)</f>
        <v>61</v>
      </c>
      <c r="CD386" s="0" t="n">
        <f aca="false">IF(Presupuesto!$B$62='Flujo de Pagos'!$E386,62,9999)</f>
        <v>62</v>
      </c>
      <c r="CE386" s="0" t="n">
        <f aca="false">IF(Presupuesto!$B$63='Flujo de Pagos'!$E386,63,9999)</f>
        <v>63</v>
      </c>
      <c r="CF386" s="0" t="n">
        <f aca="false">IF(Presupuesto!$B$64='Flujo de Pagos'!$E386,64,9999)</f>
        <v>64</v>
      </c>
      <c r="CG386" s="0" t="n">
        <f aca="false">IF(Presupuesto!$B$65='Flujo de Pagos'!$E386,65,9999)</f>
        <v>65</v>
      </c>
      <c r="CH386" s="0" t="n">
        <f aca="false">IF(Presupuesto!$B$66='Flujo de Pagos'!$E386,66,9999)</f>
        <v>66</v>
      </c>
    </row>
    <row r="387" customFormat="false" ht="15" hidden="false" customHeight="true" outlineLevel="0" collapsed="false">
      <c r="B387" s="1" t="n">
        <f aca="false">IF(AND('Flujo de Pagos'!E392=Carátula!$B$2,'Flujo de Pagos'!F392=Carátula!$B$4,'Flujo de Pagos'!H392&lt;&gt;""),392,99999)</f>
        <v>99999</v>
      </c>
      <c r="H387" s="1" t="n">
        <f aca="false">IF(SMALL($AA387:$CH387,1)&gt;=9999,"",INDEX(Presupuesto!$C:$C,SMALL($AA387:$CH387,1)))</f>
        <v>0</v>
      </c>
      <c r="I387" s="1" t="n">
        <f aca="false">IF(SMALL($AA387:$CH387,2)&gt;=9999,"",INDEX(Presupuesto!$C:$C,SMALL($AA387:$CH387,2)))</f>
        <v>0</v>
      </c>
      <c r="J387" s="1" t="n">
        <f aca="false">IF(SMALL($AA387:$CH387,3)&gt;=9999,"",INDEX(Presupuesto!$C:$C,SMALL($AA387:$CH387,3)))</f>
        <v>0</v>
      </c>
      <c r="K387" s="1" t="n">
        <f aca="false">IF(SMALL($AA387:$CH387,4)&gt;=9999,"",INDEX(Presupuesto!$C:$C,SMALL($AA387:$CH387,4)))</f>
        <v>0</v>
      </c>
      <c r="L387" s="1" t="n">
        <f aca="false">IF(SMALL($AA387:$CH387,5)&gt;=9999,"",INDEX(Presupuesto!$C:$C,SMALL($AA387:$CH387,5)))</f>
        <v>0</v>
      </c>
      <c r="M387" s="1" t="n">
        <f aca="false">IF(SMALL($AA387:$CH387,6)&gt;=9999,"",INDEX(Presupuesto!$C:$C,SMALL($AA387:$CH387,6)))</f>
        <v>0</v>
      </c>
      <c r="N387" s="1" t="n">
        <f aca="false">IF(SMALL($AA387:$CH387,7)&gt;=9999,"",INDEX(Presupuesto!$C:$C,SMALL($AA387:$CH387,7)))</f>
        <v>0</v>
      </c>
      <c r="O387" s="1" t="n">
        <f aca="false">IF(SMALL($AA387:$CH387,8)&gt;=9999,"",INDEX(Presupuesto!$C:$C,SMALL($AA387:$CH387,8)))</f>
        <v>0</v>
      </c>
      <c r="P387" s="1" t="n">
        <f aca="false">IF(SMALL($AA387:$CH387,9)&gt;=9999,"",INDEX(Presupuesto!$C:$C,SMALL($AA387:$CH387,9)))</f>
        <v>0</v>
      </c>
      <c r="Q387" s="1" t="n">
        <f aca="false">IF(SMALL($AA387:$CH387,10)&gt;=9999,"",INDEX(Presupuesto!$C:$C,SMALL($AA387:$CH387,10)))</f>
        <v>0</v>
      </c>
      <c r="AA387" s="0" t="n">
        <f aca="false">IF(Presupuesto!$B$7='Flujo de Pagos'!$E387,7,9999)</f>
        <v>9999</v>
      </c>
      <c r="AB387" s="0" t="n">
        <f aca="false">IF(Presupuesto!$B$8='Flujo de Pagos'!$E387,8,9999)</f>
        <v>9999</v>
      </c>
      <c r="AC387" s="0" t="n">
        <f aca="false">IF(Presupuesto!$B$9='Flujo de Pagos'!$E387,9,9999)</f>
        <v>9999</v>
      </c>
      <c r="AD387" s="0" t="n">
        <f aca="false">IF(Presupuesto!$B$10='Flujo de Pagos'!$E387,10,9999)</f>
        <v>9999</v>
      </c>
      <c r="AE387" s="0" t="n">
        <f aca="false">IF(Presupuesto!$B$11='Flujo de Pagos'!$E387,11,9999)</f>
        <v>9999</v>
      </c>
      <c r="AF387" s="0" t="n">
        <f aca="false">IF(Presupuesto!$B$12='Flujo de Pagos'!$E387,12,9999)</f>
        <v>12</v>
      </c>
      <c r="AG387" s="0" t="n">
        <f aca="false">IF(Presupuesto!$B$13='Flujo de Pagos'!$E387,13,9999)</f>
        <v>13</v>
      </c>
      <c r="AH387" s="0" t="n">
        <f aca="false">IF(Presupuesto!$B$14='Flujo de Pagos'!$E387,14,9999)</f>
        <v>14</v>
      </c>
      <c r="AI387" s="0" t="n">
        <f aca="false">IF(Presupuesto!$B$15='Flujo de Pagos'!$E387,15,9999)</f>
        <v>15</v>
      </c>
      <c r="AJ387" s="0" t="n">
        <f aca="false">IF(Presupuesto!$B$16='Flujo de Pagos'!$E387,16,9999)</f>
        <v>16</v>
      </c>
      <c r="AK387" s="0" t="n">
        <f aca="false">IF(Presupuesto!$B$17='Flujo de Pagos'!$E387,17,9999)</f>
        <v>17</v>
      </c>
      <c r="AL387" s="0" t="n">
        <f aca="false">IF(Presupuesto!$B$18='Flujo de Pagos'!$E387,18,9999)</f>
        <v>18</v>
      </c>
      <c r="AM387" s="0" t="n">
        <f aca="false">IF(Presupuesto!$B$19='Flujo de Pagos'!$E387,19,9999)</f>
        <v>19</v>
      </c>
      <c r="AN387" s="0" t="n">
        <f aca="false">IF(Presupuesto!$B$20='Flujo de Pagos'!$E387,20,9999)</f>
        <v>20</v>
      </c>
      <c r="AO387" s="0" t="n">
        <f aca="false">IF(Presupuesto!$B$21='Flujo de Pagos'!$E387,21,9999)</f>
        <v>21</v>
      </c>
      <c r="AP387" s="0" t="n">
        <f aca="false">IF(Presupuesto!$B$22='Flujo de Pagos'!$E387,22,9999)</f>
        <v>22</v>
      </c>
      <c r="AQ387" s="0" t="n">
        <f aca="false">IF(Presupuesto!$B$23='Flujo de Pagos'!$E387,23,9999)</f>
        <v>23</v>
      </c>
      <c r="AR387" s="0" t="n">
        <f aca="false">IF(Presupuesto!$B$24='Flujo de Pagos'!$E387,24,9999)</f>
        <v>24</v>
      </c>
      <c r="AS387" s="0" t="n">
        <f aca="false">IF(Presupuesto!$B$25='Flujo de Pagos'!$E387,25,9999)</f>
        <v>25</v>
      </c>
      <c r="AT387" s="0" t="n">
        <f aca="false">IF(Presupuesto!$B$26='Flujo de Pagos'!$E387,26,9999)</f>
        <v>26</v>
      </c>
      <c r="AU387" s="0" t="n">
        <f aca="false">IF(Presupuesto!$B$27='Flujo de Pagos'!$E387,27,9999)</f>
        <v>27</v>
      </c>
      <c r="AV387" s="0" t="n">
        <f aca="false">IF(Presupuesto!$B$28='Flujo de Pagos'!$E387,28,9999)</f>
        <v>28</v>
      </c>
      <c r="AW387" s="0" t="n">
        <f aca="false">IF(Presupuesto!$B$29='Flujo de Pagos'!$E387,29,9999)</f>
        <v>29</v>
      </c>
      <c r="AX387" s="0" t="n">
        <f aca="false">IF(Presupuesto!$B$30='Flujo de Pagos'!$E387,30,9999)</f>
        <v>30</v>
      </c>
      <c r="AY387" s="0" t="n">
        <f aca="false">IF(Presupuesto!$B$31='Flujo de Pagos'!$E387,31,9999)</f>
        <v>31</v>
      </c>
      <c r="AZ387" s="0" t="n">
        <f aca="false">IF(Presupuesto!$B$32='Flujo de Pagos'!$E387,32,9999)</f>
        <v>32</v>
      </c>
      <c r="BA387" s="0" t="n">
        <f aca="false">IF(Presupuesto!$B$33='Flujo de Pagos'!$E387,33,9999)</f>
        <v>33</v>
      </c>
      <c r="BB387" s="0" t="n">
        <f aca="false">IF(Presupuesto!$B$34='Flujo de Pagos'!$E387,34,9999)</f>
        <v>34</v>
      </c>
      <c r="BC387" s="0" t="n">
        <f aca="false">IF(Presupuesto!$B$35='Flujo de Pagos'!$E387,35,9999)</f>
        <v>35</v>
      </c>
      <c r="BD387" s="0" t="n">
        <f aca="false">IF(Presupuesto!$B$36='Flujo de Pagos'!$E387,36,9999)</f>
        <v>36</v>
      </c>
      <c r="BE387" s="0" t="n">
        <f aca="false">IF(Presupuesto!$B$37='Flujo de Pagos'!$E387,37,9999)</f>
        <v>37</v>
      </c>
      <c r="BF387" s="0" t="n">
        <f aca="false">IF(Presupuesto!$B$38='Flujo de Pagos'!$E387,38,9999)</f>
        <v>38</v>
      </c>
      <c r="BG387" s="0" t="n">
        <f aca="false">IF(Presupuesto!$B$39='Flujo de Pagos'!$E387,39,9999)</f>
        <v>39</v>
      </c>
      <c r="BH387" s="0" t="n">
        <f aca="false">IF(Presupuesto!$B$40='Flujo de Pagos'!$E387,40,9999)</f>
        <v>40</v>
      </c>
      <c r="BI387" s="0" t="n">
        <f aca="false">IF(Presupuesto!$B$41='Flujo de Pagos'!$E387,41,9999)</f>
        <v>41</v>
      </c>
      <c r="BJ387" s="0" t="n">
        <f aca="false">IF(Presupuesto!$B$42='Flujo de Pagos'!$E387,42,9999)</f>
        <v>42</v>
      </c>
      <c r="BK387" s="0" t="n">
        <f aca="false">IF(Presupuesto!$B$43='Flujo de Pagos'!$E387,43,9999)</f>
        <v>43</v>
      </c>
      <c r="BL387" s="0" t="n">
        <f aca="false">IF(Presupuesto!$B$44='Flujo de Pagos'!$E387,44,9999)</f>
        <v>44</v>
      </c>
      <c r="BM387" s="0" t="n">
        <f aca="false">IF(Presupuesto!$B$45='Flujo de Pagos'!$E387,45,9999)</f>
        <v>45</v>
      </c>
      <c r="BN387" s="0" t="n">
        <f aca="false">IF(Presupuesto!$B$46='Flujo de Pagos'!$E387,46,9999)</f>
        <v>46</v>
      </c>
      <c r="BO387" s="0" t="n">
        <f aca="false">IF(Presupuesto!$B$47='Flujo de Pagos'!$E387,47,9999)</f>
        <v>47</v>
      </c>
      <c r="BP387" s="0" t="n">
        <f aca="false">IF(Presupuesto!$B$48='Flujo de Pagos'!$E387,48,9999)</f>
        <v>48</v>
      </c>
      <c r="BQ387" s="0" t="n">
        <f aca="false">IF(Presupuesto!$B$49='Flujo de Pagos'!$E387,49,9999)</f>
        <v>49</v>
      </c>
      <c r="BR387" s="0" t="n">
        <f aca="false">IF(Presupuesto!$B$50='Flujo de Pagos'!$E387,50,9999)</f>
        <v>50</v>
      </c>
      <c r="BS387" s="0" t="n">
        <f aca="false">IF(Presupuesto!$B$51='Flujo de Pagos'!$E387,51,9999)</f>
        <v>51</v>
      </c>
      <c r="BT387" s="0" t="n">
        <f aca="false">IF(Presupuesto!$B$52='Flujo de Pagos'!$E387,52,9999)</f>
        <v>52</v>
      </c>
      <c r="BU387" s="0" t="n">
        <f aca="false">IF(Presupuesto!$B$53='Flujo de Pagos'!$E387,53,9999)</f>
        <v>53</v>
      </c>
      <c r="BV387" s="0" t="n">
        <f aca="false">IF(Presupuesto!$B$54='Flujo de Pagos'!$E387,54,9999)</f>
        <v>54</v>
      </c>
      <c r="BW387" s="0" t="n">
        <f aca="false">IF(Presupuesto!$B$55='Flujo de Pagos'!$E387,55,9999)</f>
        <v>55</v>
      </c>
      <c r="BX387" s="0" t="n">
        <f aca="false">IF(Presupuesto!$B$56='Flujo de Pagos'!$E387,56,9999)</f>
        <v>56</v>
      </c>
      <c r="BY387" s="0" t="n">
        <f aca="false">IF(Presupuesto!$B$57='Flujo de Pagos'!$E387,57,9999)</f>
        <v>57</v>
      </c>
      <c r="BZ387" s="0" t="n">
        <f aca="false">IF(Presupuesto!$B$58='Flujo de Pagos'!$E387,58,9999)</f>
        <v>58</v>
      </c>
      <c r="CA387" s="0" t="n">
        <f aca="false">IF(Presupuesto!$B$59='Flujo de Pagos'!$E387,59,9999)</f>
        <v>59</v>
      </c>
      <c r="CB387" s="0" t="n">
        <f aca="false">IF(Presupuesto!$B$60='Flujo de Pagos'!$E387,60,9999)</f>
        <v>60</v>
      </c>
      <c r="CC387" s="0" t="n">
        <f aca="false">IF(Presupuesto!$B$61='Flujo de Pagos'!$E387,61,9999)</f>
        <v>61</v>
      </c>
      <c r="CD387" s="0" t="n">
        <f aca="false">IF(Presupuesto!$B$62='Flujo de Pagos'!$E387,62,9999)</f>
        <v>62</v>
      </c>
      <c r="CE387" s="0" t="n">
        <f aca="false">IF(Presupuesto!$B$63='Flujo de Pagos'!$E387,63,9999)</f>
        <v>63</v>
      </c>
      <c r="CF387" s="0" t="n">
        <f aca="false">IF(Presupuesto!$B$64='Flujo de Pagos'!$E387,64,9999)</f>
        <v>64</v>
      </c>
      <c r="CG387" s="0" t="n">
        <f aca="false">IF(Presupuesto!$B$65='Flujo de Pagos'!$E387,65,9999)</f>
        <v>65</v>
      </c>
      <c r="CH387" s="0" t="n">
        <f aca="false">IF(Presupuesto!$B$66='Flujo de Pagos'!$E387,66,9999)</f>
        <v>66</v>
      </c>
    </row>
    <row r="388" customFormat="false" ht="15" hidden="false" customHeight="true" outlineLevel="0" collapsed="false">
      <c r="B388" s="1" t="n">
        <f aca="false">IF(AND('Flujo de Pagos'!E393=Carátula!$B$2,'Flujo de Pagos'!F393=Carátula!$B$4,'Flujo de Pagos'!H393&lt;&gt;""),393,99999)</f>
        <v>99999</v>
      </c>
      <c r="H388" s="1" t="n">
        <f aca="false">IF(SMALL($AA388:$CH388,1)&gt;=9999,"",INDEX(Presupuesto!$C:$C,SMALL($AA388:$CH388,1)))</f>
        <v>0</v>
      </c>
      <c r="I388" s="1" t="n">
        <f aca="false">IF(SMALL($AA388:$CH388,2)&gt;=9999,"",INDEX(Presupuesto!$C:$C,SMALL($AA388:$CH388,2)))</f>
        <v>0</v>
      </c>
      <c r="J388" s="1" t="n">
        <f aca="false">IF(SMALL($AA388:$CH388,3)&gt;=9999,"",INDEX(Presupuesto!$C:$C,SMALL($AA388:$CH388,3)))</f>
        <v>0</v>
      </c>
      <c r="K388" s="1" t="n">
        <f aca="false">IF(SMALL($AA388:$CH388,4)&gt;=9999,"",INDEX(Presupuesto!$C:$C,SMALL($AA388:$CH388,4)))</f>
        <v>0</v>
      </c>
      <c r="L388" s="1" t="n">
        <f aca="false">IF(SMALL($AA388:$CH388,5)&gt;=9999,"",INDEX(Presupuesto!$C:$C,SMALL($AA388:$CH388,5)))</f>
        <v>0</v>
      </c>
      <c r="M388" s="1" t="n">
        <f aca="false">IF(SMALL($AA388:$CH388,6)&gt;=9999,"",INDEX(Presupuesto!$C:$C,SMALL($AA388:$CH388,6)))</f>
        <v>0</v>
      </c>
      <c r="N388" s="1" t="n">
        <f aca="false">IF(SMALL($AA388:$CH388,7)&gt;=9999,"",INDEX(Presupuesto!$C:$C,SMALL($AA388:$CH388,7)))</f>
        <v>0</v>
      </c>
      <c r="O388" s="1" t="n">
        <f aca="false">IF(SMALL($AA388:$CH388,8)&gt;=9999,"",INDEX(Presupuesto!$C:$C,SMALL($AA388:$CH388,8)))</f>
        <v>0</v>
      </c>
      <c r="P388" s="1" t="n">
        <f aca="false">IF(SMALL($AA388:$CH388,9)&gt;=9999,"",INDEX(Presupuesto!$C:$C,SMALL($AA388:$CH388,9)))</f>
        <v>0</v>
      </c>
      <c r="Q388" s="1" t="n">
        <f aca="false">IF(SMALL($AA388:$CH388,10)&gt;=9999,"",INDEX(Presupuesto!$C:$C,SMALL($AA388:$CH388,10)))</f>
        <v>0</v>
      </c>
      <c r="AA388" s="0" t="n">
        <f aca="false">IF(Presupuesto!$B$7='Flujo de Pagos'!$E388,7,9999)</f>
        <v>9999</v>
      </c>
      <c r="AB388" s="0" t="n">
        <f aca="false">IF(Presupuesto!$B$8='Flujo de Pagos'!$E388,8,9999)</f>
        <v>9999</v>
      </c>
      <c r="AC388" s="0" t="n">
        <f aca="false">IF(Presupuesto!$B$9='Flujo de Pagos'!$E388,9,9999)</f>
        <v>9999</v>
      </c>
      <c r="AD388" s="0" t="n">
        <f aca="false">IF(Presupuesto!$B$10='Flujo de Pagos'!$E388,10,9999)</f>
        <v>9999</v>
      </c>
      <c r="AE388" s="0" t="n">
        <f aca="false">IF(Presupuesto!$B$11='Flujo de Pagos'!$E388,11,9999)</f>
        <v>9999</v>
      </c>
      <c r="AF388" s="0" t="n">
        <f aca="false">IF(Presupuesto!$B$12='Flujo de Pagos'!$E388,12,9999)</f>
        <v>12</v>
      </c>
      <c r="AG388" s="0" t="n">
        <f aca="false">IF(Presupuesto!$B$13='Flujo de Pagos'!$E388,13,9999)</f>
        <v>13</v>
      </c>
      <c r="AH388" s="0" t="n">
        <f aca="false">IF(Presupuesto!$B$14='Flujo de Pagos'!$E388,14,9999)</f>
        <v>14</v>
      </c>
      <c r="AI388" s="0" t="n">
        <f aca="false">IF(Presupuesto!$B$15='Flujo de Pagos'!$E388,15,9999)</f>
        <v>15</v>
      </c>
      <c r="AJ388" s="0" t="n">
        <f aca="false">IF(Presupuesto!$B$16='Flujo de Pagos'!$E388,16,9999)</f>
        <v>16</v>
      </c>
      <c r="AK388" s="0" t="n">
        <f aca="false">IF(Presupuesto!$B$17='Flujo de Pagos'!$E388,17,9999)</f>
        <v>17</v>
      </c>
      <c r="AL388" s="0" t="n">
        <f aca="false">IF(Presupuesto!$B$18='Flujo de Pagos'!$E388,18,9999)</f>
        <v>18</v>
      </c>
      <c r="AM388" s="0" t="n">
        <f aca="false">IF(Presupuesto!$B$19='Flujo de Pagos'!$E388,19,9999)</f>
        <v>19</v>
      </c>
      <c r="AN388" s="0" t="n">
        <f aca="false">IF(Presupuesto!$B$20='Flujo de Pagos'!$E388,20,9999)</f>
        <v>20</v>
      </c>
      <c r="AO388" s="0" t="n">
        <f aca="false">IF(Presupuesto!$B$21='Flujo de Pagos'!$E388,21,9999)</f>
        <v>21</v>
      </c>
      <c r="AP388" s="0" t="n">
        <f aca="false">IF(Presupuesto!$B$22='Flujo de Pagos'!$E388,22,9999)</f>
        <v>22</v>
      </c>
      <c r="AQ388" s="0" t="n">
        <f aca="false">IF(Presupuesto!$B$23='Flujo de Pagos'!$E388,23,9999)</f>
        <v>23</v>
      </c>
      <c r="AR388" s="0" t="n">
        <f aca="false">IF(Presupuesto!$B$24='Flujo de Pagos'!$E388,24,9999)</f>
        <v>24</v>
      </c>
      <c r="AS388" s="0" t="n">
        <f aca="false">IF(Presupuesto!$B$25='Flujo de Pagos'!$E388,25,9999)</f>
        <v>25</v>
      </c>
      <c r="AT388" s="0" t="n">
        <f aca="false">IF(Presupuesto!$B$26='Flujo de Pagos'!$E388,26,9999)</f>
        <v>26</v>
      </c>
      <c r="AU388" s="0" t="n">
        <f aca="false">IF(Presupuesto!$B$27='Flujo de Pagos'!$E388,27,9999)</f>
        <v>27</v>
      </c>
      <c r="AV388" s="0" t="n">
        <f aca="false">IF(Presupuesto!$B$28='Flujo de Pagos'!$E388,28,9999)</f>
        <v>28</v>
      </c>
      <c r="AW388" s="0" t="n">
        <f aca="false">IF(Presupuesto!$B$29='Flujo de Pagos'!$E388,29,9999)</f>
        <v>29</v>
      </c>
      <c r="AX388" s="0" t="n">
        <f aca="false">IF(Presupuesto!$B$30='Flujo de Pagos'!$E388,30,9999)</f>
        <v>30</v>
      </c>
      <c r="AY388" s="0" t="n">
        <f aca="false">IF(Presupuesto!$B$31='Flujo de Pagos'!$E388,31,9999)</f>
        <v>31</v>
      </c>
      <c r="AZ388" s="0" t="n">
        <f aca="false">IF(Presupuesto!$B$32='Flujo de Pagos'!$E388,32,9999)</f>
        <v>32</v>
      </c>
      <c r="BA388" s="0" t="n">
        <f aca="false">IF(Presupuesto!$B$33='Flujo de Pagos'!$E388,33,9999)</f>
        <v>33</v>
      </c>
      <c r="BB388" s="0" t="n">
        <f aca="false">IF(Presupuesto!$B$34='Flujo de Pagos'!$E388,34,9999)</f>
        <v>34</v>
      </c>
      <c r="BC388" s="0" t="n">
        <f aca="false">IF(Presupuesto!$B$35='Flujo de Pagos'!$E388,35,9999)</f>
        <v>35</v>
      </c>
      <c r="BD388" s="0" t="n">
        <f aca="false">IF(Presupuesto!$B$36='Flujo de Pagos'!$E388,36,9999)</f>
        <v>36</v>
      </c>
      <c r="BE388" s="0" t="n">
        <f aca="false">IF(Presupuesto!$B$37='Flujo de Pagos'!$E388,37,9999)</f>
        <v>37</v>
      </c>
      <c r="BF388" s="0" t="n">
        <f aca="false">IF(Presupuesto!$B$38='Flujo de Pagos'!$E388,38,9999)</f>
        <v>38</v>
      </c>
      <c r="BG388" s="0" t="n">
        <f aca="false">IF(Presupuesto!$B$39='Flujo de Pagos'!$E388,39,9999)</f>
        <v>39</v>
      </c>
      <c r="BH388" s="0" t="n">
        <f aca="false">IF(Presupuesto!$B$40='Flujo de Pagos'!$E388,40,9999)</f>
        <v>40</v>
      </c>
      <c r="BI388" s="0" t="n">
        <f aca="false">IF(Presupuesto!$B$41='Flujo de Pagos'!$E388,41,9999)</f>
        <v>41</v>
      </c>
      <c r="BJ388" s="0" t="n">
        <f aca="false">IF(Presupuesto!$B$42='Flujo de Pagos'!$E388,42,9999)</f>
        <v>42</v>
      </c>
      <c r="BK388" s="0" t="n">
        <f aca="false">IF(Presupuesto!$B$43='Flujo de Pagos'!$E388,43,9999)</f>
        <v>43</v>
      </c>
      <c r="BL388" s="0" t="n">
        <f aca="false">IF(Presupuesto!$B$44='Flujo de Pagos'!$E388,44,9999)</f>
        <v>44</v>
      </c>
      <c r="BM388" s="0" t="n">
        <f aca="false">IF(Presupuesto!$B$45='Flujo de Pagos'!$E388,45,9999)</f>
        <v>45</v>
      </c>
      <c r="BN388" s="0" t="n">
        <f aca="false">IF(Presupuesto!$B$46='Flujo de Pagos'!$E388,46,9999)</f>
        <v>46</v>
      </c>
      <c r="BO388" s="0" t="n">
        <f aca="false">IF(Presupuesto!$B$47='Flujo de Pagos'!$E388,47,9999)</f>
        <v>47</v>
      </c>
      <c r="BP388" s="0" t="n">
        <f aca="false">IF(Presupuesto!$B$48='Flujo de Pagos'!$E388,48,9999)</f>
        <v>48</v>
      </c>
      <c r="BQ388" s="0" t="n">
        <f aca="false">IF(Presupuesto!$B$49='Flujo de Pagos'!$E388,49,9999)</f>
        <v>49</v>
      </c>
      <c r="BR388" s="0" t="n">
        <f aca="false">IF(Presupuesto!$B$50='Flujo de Pagos'!$E388,50,9999)</f>
        <v>50</v>
      </c>
      <c r="BS388" s="0" t="n">
        <f aca="false">IF(Presupuesto!$B$51='Flujo de Pagos'!$E388,51,9999)</f>
        <v>51</v>
      </c>
      <c r="BT388" s="0" t="n">
        <f aca="false">IF(Presupuesto!$B$52='Flujo de Pagos'!$E388,52,9999)</f>
        <v>52</v>
      </c>
      <c r="BU388" s="0" t="n">
        <f aca="false">IF(Presupuesto!$B$53='Flujo de Pagos'!$E388,53,9999)</f>
        <v>53</v>
      </c>
      <c r="BV388" s="0" t="n">
        <f aca="false">IF(Presupuesto!$B$54='Flujo de Pagos'!$E388,54,9999)</f>
        <v>54</v>
      </c>
      <c r="BW388" s="0" t="n">
        <f aca="false">IF(Presupuesto!$B$55='Flujo de Pagos'!$E388,55,9999)</f>
        <v>55</v>
      </c>
      <c r="BX388" s="0" t="n">
        <f aca="false">IF(Presupuesto!$B$56='Flujo de Pagos'!$E388,56,9999)</f>
        <v>56</v>
      </c>
      <c r="BY388" s="0" t="n">
        <f aca="false">IF(Presupuesto!$B$57='Flujo de Pagos'!$E388,57,9999)</f>
        <v>57</v>
      </c>
      <c r="BZ388" s="0" t="n">
        <f aca="false">IF(Presupuesto!$B$58='Flujo de Pagos'!$E388,58,9999)</f>
        <v>58</v>
      </c>
      <c r="CA388" s="0" t="n">
        <f aca="false">IF(Presupuesto!$B$59='Flujo de Pagos'!$E388,59,9999)</f>
        <v>59</v>
      </c>
      <c r="CB388" s="0" t="n">
        <f aca="false">IF(Presupuesto!$B$60='Flujo de Pagos'!$E388,60,9999)</f>
        <v>60</v>
      </c>
      <c r="CC388" s="0" t="n">
        <f aca="false">IF(Presupuesto!$B$61='Flujo de Pagos'!$E388,61,9999)</f>
        <v>61</v>
      </c>
      <c r="CD388" s="0" t="n">
        <f aca="false">IF(Presupuesto!$B$62='Flujo de Pagos'!$E388,62,9999)</f>
        <v>62</v>
      </c>
      <c r="CE388" s="0" t="n">
        <f aca="false">IF(Presupuesto!$B$63='Flujo de Pagos'!$E388,63,9999)</f>
        <v>63</v>
      </c>
      <c r="CF388" s="0" t="n">
        <f aca="false">IF(Presupuesto!$B$64='Flujo de Pagos'!$E388,64,9999)</f>
        <v>64</v>
      </c>
      <c r="CG388" s="0" t="n">
        <f aca="false">IF(Presupuesto!$B$65='Flujo de Pagos'!$E388,65,9999)</f>
        <v>65</v>
      </c>
      <c r="CH388" s="0" t="n">
        <f aca="false">IF(Presupuesto!$B$66='Flujo de Pagos'!$E388,66,9999)</f>
        <v>66</v>
      </c>
    </row>
    <row r="389" customFormat="false" ht="15" hidden="false" customHeight="true" outlineLevel="0" collapsed="false">
      <c r="B389" s="1" t="n">
        <f aca="false">IF(AND('Flujo de Pagos'!E394=Carátula!$B$2,'Flujo de Pagos'!F394=Carátula!$B$4,'Flujo de Pagos'!H394&lt;&gt;""),394,99999)</f>
        <v>99999</v>
      </c>
      <c r="H389" s="1" t="n">
        <f aca="false">IF(SMALL($AA389:$CH389,1)&gt;=9999,"",INDEX(Presupuesto!$C:$C,SMALL($AA389:$CH389,1)))</f>
        <v>0</v>
      </c>
      <c r="I389" s="1" t="n">
        <f aca="false">IF(SMALL($AA389:$CH389,2)&gt;=9999,"",INDEX(Presupuesto!$C:$C,SMALL($AA389:$CH389,2)))</f>
        <v>0</v>
      </c>
      <c r="J389" s="1" t="n">
        <f aca="false">IF(SMALL($AA389:$CH389,3)&gt;=9999,"",INDEX(Presupuesto!$C:$C,SMALL($AA389:$CH389,3)))</f>
        <v>0</v>
      </c>
      <c r="K389" s="1" t="n">
        <f aca="false">IF(SMALL($AA389:$CH389,4)&gt;=9999,"",INDEX(Presupuesto!$C:$C,SMALL($AA389:$CH389,4)))</f>
        <v>0</v>
      </c>
      <c r="L389" s="1" t="n">
        <f aca="false">IF(SMALL($AA389:$CH389,5)&gt;=9999,"",INDEX(Presupuesto!$C:$C,SMALL($AA389:$CH389,5)))</f>
        <v>0</v>
      </c>
      <c r="M389" s="1" t="n">
        <f aca="false">IF(SMALL($AA389:$CH389,6)&gt;=9999,"",INDEX(Presupuesto!$C:$C,SMALL($AA389:$CH389,6)))</f>
        <v>0</v>
      </c>
      <c r="N389" s="1" t="n">
        <f aca="false">IF(SMALL($AA389:$CH389,7)&gt;=9999,"",INDEX(Presupuesto!$C:$C,SMALL($AA389:$CH389,7)))</f>
        <v>0</v>
      </c>
      <c r="O389" s="1" t="n">
        <f aca="false">IF(SMALL($AA389:$CH389,8)&gt;=9999,"",INDEX(Presupuesto!$C:$C,SMALL($AA389:$CH389,8)))</f>
        <v>0</v>
      </c>
      <c r="P389" s="1" t="n">
        <f aca="false">IF(SMALL($AA389:$CH389,9)&gt;=9999,"",INDEX(Presupuesto!$C:$C,SMALL($AA389:$CH389,9)))</f>
        <v>0</v>
      </c>
      <c r="Q389" s="1" t="n">
        <f aca="false">IF(SMALL($AA389:$CH389,10)&gt;=9999,"",INDEX(Presupuesto!$C:$C,SMALL($AA389:$CH389,10)))</f>
        <v>0</v>
      </c>
      <c r="AA389" s="0" t="n">
        <f aca="false">IF(Presupuesto!$B$7='Flujo de Pagos'!$E389,7,9999)</f>
        <v>9999</v>
      </c>
      <c r="AB389" s="0" t="n">
        <f aca="false">IF(Presupuesto!$B$8='Flujo de Pagos'!$E389,8,9999)</f>
        <v>9999</v>
      </c>
      <c r="AC389" s="0" t="n">
        <f aca="false">IF(Presupuesto!$B$9='Flujo de Pagos'!$E389,9,9999)</f>
        <v>9999</v>
      </c>
      <c r="AD389" s="0" t="n">
        <f aca="false">IF(Presupuesto!$B$10='Flujo de Pagos'!$E389,10,9999)</f>
        <v>9999</v>
      </c>
      <c r="AE389" s="0" t="n">
        <f aca="false">IF(Presupuesto!$B$11='Flujo de Pagos'!$E389,11,9999)</f>
        <v>9999</v>
      </c>
      <c r="AF389" s="0" t="n">
        <f aca="false">IF(Presupuesto!$B$12='Flujo de Pagos'!$E389,12,9999)</f>
        <v>12</v>
      </c>
      <c r="AG389" s="0" t="n">
        <f aca="false">IF(Presupuesto!$B$13='Flujo de Pagos'!$E389,13,9999)</f>
        <v>13</v>
      </c>
      <c r="AH389" s="0" t="n">
        <f aca="false">IF(Presupuesto!$B$14='Flujo de Pagos'!$E389,14,9999)</f>
        <v>14</v>
      </c>
      <c r="AI389" s="0" t="n">
        <f aca="false">IF(Presupuesto!$B$15='Flujo de Pagos'!$E389,15,9999)</f>
        <v>15</v>
      </c>
      <c r="AJ389" s="0" t="n">
        <f aca="false">IF(Presupuesto!$B$16='Flujo de Pagos'!$E389,16,9999)</f>
        <v>16</v>
      </c>
      <c r="AK389" s="0" t="n">
        <f aca="false">IF(Presupuesto!$B$17='Flujo de Pagos'!$E389,17,9999)</f>
        <v>17</v>
      </c>
      <c r="AL389" s="0" t="n">
        <f aca="false">IF(Presupuesto!$B$18='Flujo de Pagos'!$E389,18,9999)</f>
        <v>18</v>
      </c>
      <c r="AM389" s="0" t="n">
        <f aca="false">IF(Presupuesto!$B$19='Flujo de Pagos'!$E389,19,9999)</f>
        <v>19</v>
      </c>
      <c r="AN389" s="0" t="n">
        <f aca="false">IF(Presupuesto!$B$20='Flujo de Pagos'!$E389,20,9999)</f>
        <v>20</v>
      </c>
      <c r="AO389" s="0" t="n">
        <f aca="false">IF(Presupuesto!$B$21='Flujo de Pagos'!$E389,21,9999)</f>
        <v>21</v>
      </c>
      <c r="AP389" s="0" t="n">
        <f aca="false">IF(Presupuesto!$B$22='Flujo de Pagos'!$E389,22,9999)</f>
        <v>22</v>
      </c>
      <c r="AQ389" s="0" t="n">
        <f aca="false">IF(Presupuesto!$B$23='Flujo de Pagos'!$E389,23,9999)</f>
        <v>23</v>
      </c>
      <c r="AR389" s="0" t="n">
        <f aca="false">IF(Presupuesto!$B$24='Flujo de Pagos'!$E389,24,9999)</f>
        <v>24</v>
      </c>
      <c r="AS389" s="0" t="n">
        <f aca="false">IF(Presupuesto!$B$25='Flujo de Pagos'!$E389,25,9999)</f>
        <v>25</v>
      </c>
      <c r="AT389" s="0" t="n">
        <f aca="false">IF(Presupuesto!$B$26='Flujo de Pagos'!$E389,26,9999)</f>
        <v>26</v>
      </c>
      <c r="AU389" s="0" t="n">
        <f aca="false">IF(Presupuesto!$B$27='Flujo de Pagos'!$E389,27,9999)</f>
        <v>27</v>
      </c>
      <c r="AV389" s="0" t="n">
        <f aca="false">IF(Presupuesto!$B$28='Flujo de Pagos'!$E389,28,9999)</f>
        <v>28</v>
      </c>
      <c r="AW389" s="0" t="n">
        <f aca="false">IF(Presupuesto!$B$29='Flujo de Pagos'!$E389,29,9999)</f>
        <v>29</v>
      </c>
      <c r="AX389" s="0" t="n">
        <f aca="false">IF(Presupuesto!$B$30='Flujo de Pagos'!$E389,30,9999)</f>
        <v>30</v>
      </c>
      <c r="AY389" s="0" t="n">
        <f aca="false">IF(Presupuesto!$B$31='Flujo de Pagos'!$E389,31,9999)</f>
        <v>31</v>
      </c>
      <c r="AZ389" s="0" t="n">
        <f aca="false">IF(Presupuesto!$B$32='Flujo de Pagos'!$E389,32,9999)</f>
        <v>32</v>
      </c>
      <c r="BA389" s="0" t="n">
        <f aca="false">IF(Presupuesto!$B$33='Flujo de Pagos'!$E389,33,9999)</f>
        <v>33</v>
      </c>
      <c r="BB389" s="0" t="n">
        <f aca="false">IF(Presupuesto!$B$34='Flujo de Pagos'!$E389,34,9999)</f>
        <v>34</v>
      </c>
      <c r="BC389" s="0" t="n">
        <f aca="false">IF(Presupuesto!$B$35='Flujo de Pagos'!$E389,35,9999)</f>
        <v>35</v>
      </c>
      <c r="BD389" s="0" t="n">
        <f aca="false">IF(Presupuesto!$B$36='Flujo de Pagos'!$E389,36,9999)</f>
        <v>36</v>
      </c>
      <c r="BE389" s="0" t="n">
        <f aca="false">IF(Presupuesto!$B$37='Flujo de Pagos'!$E389,37,9999)</f>
        <v>37</v>
      </c>
      <c r="BF389" s="0" t="n">
        <f aca="false">IF(Presupuesto!$B$38='Flujo de Pagos'!$E389,38,9999)</f>
        <v>38</v>
      </c>
      <c r="BG389" s="0" t="n">
        <f aca="false">IF(Presupuesto!$B$39='Flujo de Pagos'!$E389,39,9999)</f>
        <v>39</v>
      </c>
      <c r="BH389" s="0" t="n">
        <f aca="false">IF(Presupuesto!$B$40='Flujo de Pagos'!$E389,40,9999)</f>
        <v>40</v>
      </c>
      <c r="BI389" s="0" t="n">
        <f aca="false">IF(Presupuesto!$B$41='Flujo de Pagos'!$E389,41,9999)</f>
        <v>41</v>
      </c>
      <c r="BJ389" s="0" t="n">
        <f aca="false">IF(Presupuesto!$B$42='Flujo de Pagos'!$E389,42,9999)</f>
        <v>42</v>
      </c>
      <c r="BK389" s="0" t="n">
        <f aca="false">IF(Presupuesto!$B$43='Flujo de Pagos'!$E389,43,9999)</f>
        <v>43</v>
      </c>
      <c r="BL389" s="0" t="n">
        <f aca="false">IF(Presupuesto!$B$44='Flujo de Pagos'!$E389,44,9999)</f>
        <v>44</v>
      </c>
      <c r="BM389" s="0" t="n">
        <f aca="false">IF(Presupuesto!$B$45='Flujo de Pagos'!$E389,45,9999)</f>
        <v>45</v>
      </c>
      <c r="BN389" s="0" t="n">
        <f aca="false">IF(Presupuesto!$B$46='Flujo de Pagos'!$E389,46,9999)</f>
        <v>46</v>
      </c>
      <c r="BO389" s="0" t="n">
        <f aca="false">IF(Presupuesto!$B$47='Flujo de Pagos'!$E389,47,9999)</f>
        <v>47</v>
      </c>
      <c r="BP389" s="0" t="n">
        <f aca="false">IF(Presupuesto!$B$48='Flujo de Pagos'!$E389,48,9999)</f>
        <v>48</v>
      </c>
      <c r="BQ389" s="0" t="n">
        <f aca="false">IF(Presupuesto!$B$49='Flujo de Pagos'!$E389,49,9999)</f>
        <v>49</v>
      </c>
      <c r="BR389" s="0" t="n">
        <f aca="false">IF(Presupuesto!$B$50='Flujo de Pagos'!$E389,50,9999)</f>
        <v>50</v>
      </c>
      <c r="BS389" s="0" t="n">
        <f aca="false">IF(Presupuesto!$B$51='Flujo de Pagos'!$E389,51,9999)</f>
        <v>51</v>
      </c>
      <c r="BT389" s="0" t="n">
        <f aca="false">IF(Presupuesto!$B$52='Flujo de Pagos'!$E389,52,9999)</f>
        <v>52</v>
      </c>
      <c r="BU389" s="0" t="n">
        <f aca="false">IF(Presupuesto!$B$53='Flujo de Pagos'!$E389,53,9999)</f>
        <v>53</v>
      </c>
      <c r="BV389" s="0" t="n">
        <f aca="false">IF(Presupuesto!$B$54='Flujo de Pagos'!$E389,54,9999)</f>
        <v>54</v>
      </c>
      <c r="BW389" s="0" t="n">
        <f aca="false">IF(Presupuesto!$B$55='Flujo de Pagos'!$E389,55,9999)</f>
        <v>55</v>
      </c>
      <c r="BX389" s="0" t="n">
        <f aca="false">IF(Presupuesto!$B$56='Flujo de Pagos'!$E389,56,9999)</f>
        <v>56</v>
      </c>
      <c r="BY389" s="0" t="n">
        <f aca="false">IF(Presupuesto!$B$57='Flujo de Pagos'!$E389,57,9999)</f>
        <v>57</v>
      </c>
      <c r="BZ389" s="0" t="n">
        <f aca="false">IF(Presupuesto!$B$58='Flujo de Pagos'!$E389,58,9999)</f>
        <v>58</v>
      </c>
      <c r="CA389" s="0" t="n">
        <f aca="false">IF(Presupuesto!$B$59='Flujo de Pagos'!$E389,59,9999)</f>
        <v>59</v>
      </c>
      <c r="CB389" s="0" t="n">
        <f aca="false">IF(Presupuesto!$B$60='Flujo de Pagos'!$E389,60,9999)</f>
        <v>60</v>
      </c>
      <c r="CC389" s="0" t="n">
        <f aca="false">IF(Presupuesto!$B$61='Flujo de Pagos'!$E389,61,9999)</f>
        <v>61</v>
      </c>
      <c r="CD389" s="0" t="n">
        <f aca="false">IF(Presupuesto!$B$62='Flujo de Pagos'!$E389,62,9999)</f>
        <v>62</v>
      </c>
      <c r="CE389" s="0" t="n">
        <f aca="false">IF(Presupuesto!$B$63='Flujo de Pagos'!$E389,63,9999)</f>
        <v>63</v>
      </c>
      <c r="CF389" s="0" t="n">
        <f aca="false">IF(Presupuesto!$B$64='Flujo de Pagos'!$E389,64,9999)</f>
        <v>64</v>
      </c>
      <c r="CG389" s="0" t="n">
        <f aca="false">IF(Presupuesto!$B$65='Flujo de Pagos'!$E389,65,9999)</f>
        <v>65</v>
      </c>
      <c r="CH389" s="0" t="n">
        <f aca="false">IF(Presupuesto!$B$66='Flujo de Pagos'!$E389,66,9999)</f>
        <v>66</v>
      </c>
    </row>
    <row r="390" customFormat="false" ht="15" hidden="false" customHeight="true" outlineLevel="0" collapsed="false">
      <c r="B390" s="1" t="n">
        <f aca="false">IF(AND('Flujo de Pagos'!E395=Carátula!$B$2,'Flujo de Pagos'!F395=Carátula!$B$4,'Flujo de Pagos'!H395&lt;&gt;""),395,99999)</f>
        <v>99999</v>
      </c>
      <c r="H390" s="1" t="n">
        <f aca="false">IF(SMALL($AA390:$CH390,1)&gt;=9999,"",INDEX(Presupuesto!$C:$C,SMALL($AA390:$CH390,1)))</f>
        <v>0</v>
      </c>
      <c r="I390" s="1" t="n">
        <f aca="false">IF(SMALL($AA390:$CH390,2)&gt;=9999,"",INDEX(Presupuesto!$C:$C,SMALL($AA390:$CH390,2)))</f>
        <v>0</v>
      </c>
      <c r="J390" s="1" t="n">
        <f aca="false">IF(SMALL($AA390:$CH390,3)&gt;=9999,"",INDEX(Presupuesto!$C:$C,SMALL($AA390:$CH390,3)))</f>
        <v>0</v>
      </c>
      <c r="K390" s="1" t="n">
        <f aca="false">IF(SMALL($AA390:$CH390,4)&gt;=9999,"",INDEX(Presupuesto!$C:$C,SMALL($AA390:$CH390,4)))</f>
        <v>0</v>
      </c>
      <c r="L390" s="1" t="n">
        <f aca="false">IF(SMALL($AA390:$CH390,5)&gt;=9999,"",INDEX(Presupuesto!$C:$C,SMALL($AA390:$CH390,5)))</f>
        <v>0</v>
      </c>
      <c r="M390" s="1" t="n">
        <f aca="false">IF(SMALL($AA390:$CH390,6)&gt;=9999,"",INDEX(Presupuesto!$C:$C,SMALL($AA390:$CH390,6)))</f>
        <v>0</v>
      </c>
      <c r="N390" s="1" t="n">
        <f aca="false">IF(SMALL($AA390:$CH390,7)&gt;=9999,"",INDEX(Presupuesto!$C:$C,SMALL($AA390:$CH390,7)))</f>
        <v>0</v>
      </c>
      <c r="O390" s="1" t="n">
        <f aca="false">IF(SMALL($AA390:$CH390,8)&gt;=9999,"",INDEX(Presupuesto!$C:$C,SMALL($AA390:$CH390,8)))</f>
        <v>0</v>
      </c>
      <c r="P390" s="1" t="n">
        <f aca="false">IF(SMALL($AA390:$CH390,9)&gt;=9999,"",INDEX(Presupuesto!$C:$C,SMALL($AA390:$CH390,9)))</f>
        <v>0</v>
      </c>
      <c r="Q390" s="1" t="n">
        <f aca="false">IF(SMALL($AA390:$CH390,10)&gt;=9999,"",INDEX(Presupuesto!$C:$C,SMALL($AA390:$CH390,10)))</f>
        <v>0</v>
      </c>
      <c r="AA390" s="0" t="n">
        <f aca="false">IF(Presupuesto!$B$7='Flujo de Pagos'!$E390,7,9999)</f>
        <v>9999</v>
      </c>
      <c r="AB390" s="0" t="n">
        <f aca="false">IF(Presupuesto!$B$8='Flujo de Pagos'!$E390,8,9999)</f>
        <v>9999</v>
      </c>
      <c r="AC390" s="0" t="n">
        <f aca="false">IF(Presupuesto!$B$9='Flujo de Pagos'!$E390,9,9999)</f>
        <v>9999</v>
      </c>
      <c r="AD390" s="0" t="n">
        <f aca="false">IF(Presupuesto!$B$10='Flujo de Pagos'!$E390,10,9999)</f>
        <v>9999</v>
      </c>
      <c r="AE390" s="0" t="n">
        <f aca="false">IF(Presupuesto!$B$11='Flujo de Pagos'!$E390,11,9999)</f>
        <v>9999</v>
      </c>
      <c r="AF390" s="0" t="n">
        <f aca="false">IF(Presupuesto!$B$12='Flujo de Pagos'!$E390,12,9999)</f>
        <v>12</v>
      </c>
      <c r="AG390" s="0" t="n">
        <f aca="false">IF(Presupuesto!$B$13='Flujo de Pagos'!$E390,13,9999)</f>
        <v>13</v>
      </c>
      <c r="AH390" s="0" t="n">
        <f aca="false">IF(Presupuesto!$B$14='Flujo de Pagos'!$E390,14,9999)</f>
        <v>14</v>
      </c>
      <c r="AI390" s="0" t="n">
        <f aca="false">IF(Presupuesto!$B$15='Flujo de Pagos'!$E390,15,9999)</f>
        <v>15</v>
      </c>
      <c r="AJ390" s="0" t="n">
        <f aca="false">IF(Presupuesto!$B$16='Flujo de Pagos'!$E390,16,9999)</f>
        <v>16</v>
      </c>
      <c r="AK390" s="0" t="n">
        <f aca="false">IF(Presupuesto!$B$17='Flujo de Pagos'!$E390,17,9999)</f>
        <v>17</v>
      </c>
      <c r="AL390" s="0" t="n">
        <f aca="false">IF(Presupuesto!$B$18='Flujo de Pagos'!$E390,18,9999)</f>
        <v>18</v>
      </c>
      <c r="AM390" s="0" t="n">
        <f aca="false">IF(Presupuesto!$B$19='Flujo de Pagos'!$E390,19,9999)</f>
        <v>19</v>
      </c>
      <c r="AN390" s="0" t="n">
        <f aca="false">IF(Presupuesto!$B$20='Flujo de Pagos'!$E390,20,9999)</f>
        <v>20</v>
      </c>
      <c r="AO390" s="0" t="n">
        <f aca="false">IF(Presupuesto!$B$21='Flujo de Pagos'!$E390,21,9999)</f>
        <v>21</v>
      </c>
      <c r="AP390" s="0" t="n">
        <f aca="false">IF(Presupuesto!$B$22='Flujo de Pagos'!$E390,22,9999)</f>
        <v>22</v>
      </c>
      <c r="AQ390" s="0" t="n">
        <f aca="false">IF(Presupuesto!$B$23='Flujo de Pagos'!$E390,23,9999)</f>
        <v>23</v>
      </c>
      <c r="AR390" s="0" t="n">
        <f aca="false">IF(Presupuesto!$B$24='Flujo de Pagos'!$E390,24,9999)</f>
        <v>24</v>
      </c>
      <c r="AS390" s="0" t="n">
        <f aca="false">IF(Presupuesto!$B$25='Flujo de Pagos'!$E390,25,9999)</f>
        <v>25</v>
      </c>
      <c r="AT390" s="0" t="n">
        <f aca="false">IF(Presupuesto!$B$26='Flujo de Pagos'!$E390,26,9999)</f>
        <v>26</v>
      </c>
      <c r="AU390" s="0" t="n">
        <f aca="false">IF(Presupuesto!$B$27='Flujo de Pagos'!$E390,27,9999)</f>
        <v>27</v>
      </c>
      <c r="AV390" s="0" t="n">
        <f aca="false">IF(Presupuesto!$B$28='Flujo de Pagos'!$E390,28,9999)</f>
        <v>28</v>
      </c>
      <c r="AW390" s="0" t="n">
        <f aca="false">IF(Presupuesto!$B$29='Flujo de Pagos'!$E390,29,9999)</f>
        <v>29</v>
      </c>
      <c r="AX390" s="0" t="n">
        <f aca="false">IF(Presupuesto!$B$30='Flujo de Pagos'!$E390,30,9999)</f>
        <v>30</v>
      </c>
      <c r="AY390" s="0" t="n">
        <f aca="false">IF(Presupuesto!$B$31='Flujo de Pagos'!$E390,31,9999)</f>
        <v>31</v>
      </c>
      <c r="AZ390" s="0" t="n">
        <f aca="false">IF(Presupuesto!$B$32='Flujo de Pagos'!$E390,32,9999)</f>
        <v>32</v>
      </c>
      <c r="BA390" s="0" t="n">
        <f aca="false">IF(Presupuesto!$B$33='Flujo de Pagos'!$E390,33,9999)</f>
        <v>33</v>
      </c>
      <c r="BB390" s="0" t="n">
        <f aca="false">IF(Presupuesto!$B$34='Flujo de Pagos'!$E390,34,9999)</f>
        <v>34</v>
      </c>
      <c r="BC390" s="0" t="n">
        <f aca="false">IF(Presupuesto!$B$35='Flujo de Pagos'!$E390,35,9999)</f>
        <v>35</v>
      </c>
      <c r="BD390" s="0" t="n">
        <f aca="false">IF(Presupuesto!$B$36='Flujo de Pagos'!$E390,36,9999)</f>
        <v>36</v>
      </c>
      <c r="BE390" s="0" t="n">
        <f aca="false">IF(Presupuesto!$B$37='Flujo de Pagos'!$E390,37,9999)</f>
        <v>37</v>
      </c>
      <c r="BF390" s="0" t="n">
        <f aca="false">IF(Presupuesto!$B$38='Flujo de Pagos'!$E390,38,9999)</f>
        <v>38</v>
      </c>
      <c r="BG390" s="0" t="n">
        <f aca="false">IF(Presupuesto!$B$39='Flujo de Pagos'!$E390,39,9999)</f>
        <v>39</v>
      </c>
      <c r="BH390" s="0" t="n">
        <f aca="false">IF(Presupuesto!$B$40='Flujo de Pagos'!$E390,40,9999)</f>
        <v>40</v>
      </c>
      <c r="BI390" s="0" t="n">
        <f aca="false">IF(Presupuesto!$B$41='Flujo de Pagos'!$E390,41,9999)</f>
        <v>41</v>
      </c>
      <c r="BJ390" s="0" t="n">
        <f aca="false">IF(Presupuesto!$B$42='Flujo de Pagos'!$E390,42,9999)</f>
        <v>42</v>
      </c>
      <c r="BK390" s="0" t="n">
        <f aca="false">IF(Presupuesto!$B$43='Flujo de Pagos'!$E390,43,9999)</f>
        <v>43</v>
      </c>
      <c r="BL390" s="0" t="n">
        <f aca="false">IF(Presupuesto!$B$44='Flujo de Pagos'!$E390,44,9999)</f>
        <v>44</v>
      </c>
      <c r="BM390" s="0" t="n">
        <f aca="false">IF(Presupuesto!$B$45='Flujo de Pagos'!$E390,45,9999)</f>
        <v>45</v>
      </c>
      <c r="BN390" s="0" t="n">
        <f aca="false">IF(Presupuesto!$B$46='Flujo de Pagos'!$E390,46,9999)</f>
        <v>46</v>
      </c>
      <c r="BO390" s="0" t="n">
        <f aca="false">IF(Presupuesto!$B$47='Flujo de Pagos'!$E390,47,9999)</f>
        <v>47</v>
      </c>
      <c r="BP390" s="0" t="n">
        <f aca="false">IF(Presupuesto!$B$48='Flujo de Pagos'!$E390,48,9999)</f>
        <v>48</v>
      </c>
      <c r="BQ390" s="0" t="n">
        <f aca="false">IF(Presupuesto!$B$49='Flujo de Pagos'!$E390,49,9999)</f>
        <v>49</v>
      </c>
      <c r="BR390" s="0" t="n">
        <f aca="false">IF(Presupuesto!$B$50='Flujo de Pagos'!$E390,50,9999)</f>
        <v>50</v>
      </c>
      <c r="BS390" s="0" t="n">
        <f aca="false">IF(Presupuesto!$B$51='Flujo de Pagos'!$E390,51,9999)</f>
        <v>51</v>
      </c>
      <c r="BT390" s="0" t="n">
        <f aca="false">IF(Presupuesto!$B$52='Flujo de Pagos'!$E390,52,9999)</f>
        <v>52</v>
      </c>
      <c r="BU390" s="0" t="n">
        <f aca="false">IF(Presupuesto!$B$53='Flujo de Pagos'!$E390,53,9999)</f>
        <v>53</v>
      </c>
      <c r="BV390" s="0" t="n">
        <f aca="false">IF(Presupuesto!$B$54='Flujo de Pagos'!$E390,54,9999)</f>
        <v>54</v>
      </c>
      <c r="BW390" s="0" t="n">
        <f aca="false">IF(Presupuesto!$B$55='Flujo de Pagos'!$E390,55,9999)</f>
        <v>55</v>
      </c>
      <c r="BX390" s="0" t="n">
        <f aca="false">IF(Presupuesto!$B$56='Flujo de Pagos'!$E390,56,9999)</f>
        <v>56</v>
      </c>
      <c r="BY390" s="0" t="n">
        <f aca="false">IF(Presupuesto!$B$57='Flujo de Pagos'!$E390,57,9999)</f>
        <v>57</v>
      </c>
      <c r="BZ390" s="0" t="n">
        <f aca="false">IF(Presupuesto!$B$58='Flujo de Pagos'!$E390,58,9999)</f>
        <v>58</v>
      </c>
      <c r="CA390" s="0" t="n">
        <f aca="false">IF(Presupuesto!$B$59='Flujo de Pagos'!$E390,59,9999)</f>
        <v>59</v>
      </c>
      <c r="CB390" s="0" t="n">
        <f aca="false">IF(Presupuesto!$B$60='Flujo de Pagos'!$E390,60,9999)</f>
        <v>60</v>
      </c>
      <c r="CC390" s="0" t="n">
        <f aca="false">IF(Presupuesto!$B$61='Flujo de Pagos'!$E390,61,9999)</f>
        <v>61</v>
      </c>
      <c r="CD390" s="0" t="n">
        <f aca="false">IF(Presupuesto!$B$62='Flujo de Pagos'!$E390,62,9999)</f>
        <v>62</v>
      </c>
      <c r="CE390" s="0" t="n">
        <f aca="false">IF(Presupuesto!$B$63='Flujo de Pagos'!$E390,63,9999)</f>
        <v>63</v>
      </c>
      <c r="CF390" s="0" t="n">
        <f aca="false">IF(Presupuesto!$B$64='Flujo de Pagos'!$E390,64,9999)</f>
        <v>64</v>
      </c>
      <c r="CG390" s="0" t="n">
        <f aca="false">IF(Presupuesto!$B$65='Flujo de Pagos'!$E390,65,9999)</f>
        <v>65</v>
      </c>
      <c r="CH390" s="0" t="n">
        <f aca="false">IF(Presupuesto!$B$66='Flujo de Pagos'!$E390,66,9999)</f>
        <v>66</v>
      </c>
    </row>
    <row r="391" customFormat="false" ht="15" hidden="false" customHeight="true" outlineLevel="0" collapsed="false">
      <c r="B391" s="1" t="n">
        <f aca="false">IF(AND('Flujo de Pagos'!E396=Carátula!$B$2,'Flujo de Pagos'!F396=Carátula!$B$4,'Flujo de Pagos'!H396&lt;&gt;""),396,99999)</f>
        <v>99999</v>
      </c>
      <c r="H391" s="1" t="n">
        <f aca="false">IF(SMALL($AA391:$CH391,1)&gt;=9999,"",INDEX(Presupuesto!$C:$C,SMALL($AA391:$CH391,1)))</f>
        <v>0</v>
      </c>
      <c r="I391" s="1" t="n">
        <f aca="false">IF(SMALL($AA391:$CH391,2)&gt;=9999,"",INDEX(Presupuesto!$C:$C,SMALL($AA391:$CH391,2)))</f>
        <v>0</v>
      </c>
      <c r="J391" s="1" t="n">
        <f aca="false">IF(SMALL($AA391:$CH391,3)&gt;=9999,"",INDEX(Presupuesto!$C:$C,SMALL($AA391:$CH391,3)))</f>
        <v>0</v>
      </c>
      <c r="K391" s="1" t="n">
        <f aca="false">IF(SMALL($AA391:$CH391,4)&gt;=9999,"",INDEX(Presupuesto!$C:$C,SMALL($AA391:$CH391,4)))</f>
        <v>0</v>
      </c>
      <c r="L391" s="1" t="n">
        <f aca="false">IF(SMALL($AA391:$CH391,5)&gt;=9999,"",INDEX(Presupuesto!$C:$C,SMALL($AA391:$CH391,5)))</f>
        <v>0</v>
      </c>
      <c r="M391" s="1" t="n">
        <f aca="false">IF(SMALL($AA391:$CH391,6)&gt;=9999,"",INDEX(Presupuesto!$C:$C,SMALL($AA391:$CH391,6)))</f>
        <v>0</v>
      </c>
      <c r="N391" s="1" t="n">
        <f aca="false">IF(SMALL($AA391:$CH391,7)&gt;=9999,"",INDEX(Presupuesto!$C:$C,SMALL($AA391:$CH391,7)))</f>
        <v>0</v>
      </c>
      <c r="O391" s="1" t="n">
        <f aca="false">IF(SMALL($AA391:$CH391,8)&gt;=9999,"",INDEX(Presupuesto!$C:$C,SMALL($AA391:$CH391,8)))</f>
        <v>0</v>
      </c>
      <c r="P391" s="1" t="n">
        <f aca="false">IF(SMALL($AA391:$CH391,9)&gt;=9999,"",INDEX(Presupuesto!$C:$C,SMALL($AA391:$CH391,9)))</f>
        <v>0</v>
      </c>
      <c r="Q391" s="1" t="n">
        <f aca="false">IF(SMALL($AA391:$CH391,10)&gt;=9999,"",INDEX(Presupuesto!$C:$C,SMALL($AA391:$CH391,10)))</f>
        <v>0</v>
      </c>
      <c r="AA391" s="0" t="n">
        <f aca="false">IF(Presupuesto!$B$7='Flujo de Pagos'!$E391,7,9999)</f>
        <v>9999</v>
      </c>
      <c r="AB391" s="0" t="n">
        <f aca="false">IF(Presupuesto!$B$8='Flujo de Pagos'!$E391,8,9999)</f>
        <v>9999</v>
      </c>
      <c r="AC391" s="0" t="n">
        <f aca="false">IF(Presupuesto!$B$9='Flujo de Pagos'!$E391,9,9999)</f>
        <v>9999</v>
      </c>
      <c r="AD391" s="0" t="n">
        <f aca="false">IF(Presupuesto!$B$10='Flujo de Pagos'!$E391,10,9999)</f>
        <v>9999</v>
      </c>
      <c r="AE391" s="0" t="n">
        <f aca="false">IF(Presupuesto!$B$11='Flujo de Pagos'!$E391,11,9999)</f>
        <v>9999</v>
      </c>
      <c r="AF391" s="0" t="n">
        <f aca="false">IF(Presupuesto!$B$12='Flujo de Pagos'!$E391,12,9999)</f>
        <v>12</v>
      </c>
      <c r="AG391" s="0" t="n">
        <f aca="false">IF(Presupuesto!$B$13='Flujo de Pagos'!$E391,13,9999)</f>
        <v>13</v>
      </c>
      <c r="AH391" s="0" t="n">
        <f aca="false">IF(Presupuesto!$B$14='Flujo de Pagos'!$E391,14,9999)</f>
        <v>14</v>
      </c>
      <c r="AI391" s="0" t="n">
        <f aca="false">IF(Presupuesto!$B$15='Flujo de Pagos'!$E391,15,9999)</f>
        <v>15</v>
      </c>
      <c r="AJ391" s="0" t="n">
        <f aca="false">IF(Presupuesto!$B$16='Flujo de Pagos'!$E391,16,9999)</f>
        <v>16</v>
      </c>
      <c r="AK391" s="0" t="n">
        <f aca="false">IF(Presupuesto!$B$17='Flujo de Pagos'!$E391,17,9999)</f>
        <v>17</v>
      </c>
      <c r="AL391" s="0" t="n">
        <f aca="false">IF(Presupuesto!$B$18='Flujo de Pagos'!$E391,18,9999)</f>
        <v>18</v>
      </c>
      <c r="AM391" s="0" t="n">
        <f aca="false">IF(Presupuesto!$B$19='Flujo de Pagos'!$E391,19,9999)</f>
        <v>19</v>
      </c>
      <c r="AN391" s="0" t="n">
        <f aca="false">IF(Presupuesto!$B$20='Flujo de Pagos'!$E391,20,9999)</f>
        <v>20</v>
      </c>
      <c r="AO391" s="0" t="n">
        <f aca="false">IF(Presupuesto!$B$21='Flujo de Pagos'!$E391,21,9999)</f>
        <v>21</v>
      </c>
      <c r="AP391" s="0" t="n">
        <f aca="false">IF(Presupuesto!$B$22='Flujo de Pagos'!$E391,22,9999)</f>
        <v>22</v>
      </c>
      <c r="AQ391" s="0" t="n">
        <f aca="false">IF(Presupuesto!$B$23='Flujo de Pagos'!$E391,23,9999)</f>
        <v>23</v>
      </c>
      <c r="AR391" s="0" t="n">
        <f aca="false">IF(Presupuesto!$B$24='Flujo de Pagos'!$E391,24,9999)</f>
        <v>24</v>
      </c>
      <c r="AS391" s="0" t="n">
        <f aca="false">IF(Presupuesto!$B$25='Flujo de Pagos'!$E391,25,9999)</f>
        <v>25</v>
      </c>
      <c r="AT391" s="0" t="n">
        <f aca="false">IF(Presupuesto!$B$26='Flujo de Pagos'!$E391,26,9999)</f>
        <v>26</v>
      </c>
      <c r="AU391" s="0" t="n">
        <f aca="false">IF(Presupuesto!$B$27='Flujo de Pagos'!$E391,27,9999)</f>
        <v>27</v>
      </c>
      <c r="AV391" s="0" t="n">
        <f aca="false">IF(Presupuesto!$B$28='Flujo de Pagos'!$E391,28,9999)</f>
        <v>28</v>
      </c>
      <c r="AW391" s="0" t="n">
        <f aca="false">IF(Presupuesto!$B$29='Flujo de Pagos'!$E391,29,9999)</f>
        <v>29</v>
      </c>
      <c r="AX391" s="0" t="n">
        <f aca="false">IF(Presupuesto!$B$30='Flujo de Pagos'!$E391,30,9999)</f>
        <v>30</v>
      </c>
      <c r="AY391" s="0" t="n">
        <f aca="false">IF(Presupuesto!$B$31='Flujo de Pagos'!$E391,31,9999)</f>
        <v>31</v>
      </c>
      <c r="AZ391" s="0" t="n">
        <f aca="false">IF(Presupuesto!$B$32='Flujo de Pagos'!$E391,32,9999)</f>
        <v>32</v>
      </c>
      <c r="BA391" s="0" t="n">
        <f aca="false">IF(Presupuesto!$B$33='Flujo de Pagos'!$E391,33,9999)</f>
        <v>33</v>
      </c>
      <c r="BB391" s="0" t="n">
        <f aca="false">IF(Presupuesto!$B$34='Flujo de Pagos'!$E391,34,9999)</f>
        <v>34</v>
      </c>
      <c r="BC391" s="0" t="n">
        <f aca="false">IF(Presupuesto!$B$35='Flujo de Pagos'!$E391,35,9999)</f>
        <v>35</v>
      </c>
      <c r="BD391" s="0" t="n">
        <f aca="false">IF(Presupuesto!$B$36='Flujo de Pagos'!$E391,36,9999)</f>
        <v>36</v>
      </c>
      <c r="BE391" s="0" t="n">
        <f aca="false">IF(Presupuesto!$B$37='Flujo de Pagos'!$E391,37,9999)</f>
        <v>37</v>
      </c>
      <c r="BF391" s="0" t="n">
        <f aca="false">IF(Presupuesto!$B$38='Flujo de Pagos'!$E391,38,9999)</f>
        <v>38</v>
      </c>
      <c r="BG391" s="0" t="n">
        <f aca="false">IF(Presupuesto!$B$39='Flujo de Pagos'!$E391,39,9999)</f>
        <v>39</v>
      </c>
      <c r="BH391" s="0" t="n">
        <f aca="false">IF(Presupuesto!$B$40='Flujo de Pagos'!$E391,40,9999)</f>
        <v>40</v>
      </c>
      <c r="BI391" s="0" t="n">
        <f aca="false">IF(Presupuesto!$B$41='Flujo de Pagos'!$E391,41,9999)</f>
        <v>41</v>
      </c>
      <c r="BJ391" s="0" t="n">
        <f aca="false">IF(Presupuesto!$B$42='Flujo de Pagos'!$E391,42,9999)</f>
        <v>42</v>
      </c>
      <c r="BK391" s="0" t="n">
        <f aca="false">IF(Presupuesto!$B$43='Flujo de Pagos'!$E391,43,9999)</f>
        <v>43</v>
      </c>
      <c r="BL391" s="0" t="n">
        <f aca="false">IF(Presupuesto!$B$44='Flujo de Pagos'!$E391,44,9999)</f>
        <v>44</v>
      </c>
      <c r="BM391" s="0" t="n">
        <f aca="false">IF(Presupuesto!$B$45='Flujo de Pagos'!$E391,45,9999)</f>
        <v>45</v>
      </c>
      <c r="BN391" s="0" t="n">
        <f aca="false">IF(Presupuesto!$B$46='Flujo de Pagos'!$E391,46,9999)</f>
        <v>46</v>
      </c>
      <c r="BO391" s="0" t="n">
        <f aca="false">IF(Presupuesto!$B$47='Flujo de Pagos'!$E391,47,9999)</f>
        <v>47</v>
      </c>
      <c r="BP391" s="0" t="n">
        <f aca="false">IF(Presupuesto!$B$48='Flujo de Pagos'!$E391,48,9999)</f>
        <v>48</v>
      </c>
      <c r="BQ391" s="0" t="n">
        <f aca="false">IF(Presupuesto!$B$49='Flujo de Pagos'!$E391,49,9999)</f>
        <v>49</v>
      </c>
      <c r="BR391" s="0" t="n">
        <f aca="false">IF(Presupuesto!$B$50='Flujo de Pagos'!$E391,50,9999)</f>
        <v>50</v>
      </c>
      <c r="BS391" s="0" t="n">
        <f aca="false">IF(Presupuesto!$B$51='Flujo de Pagos'!$E391,51,9999)</f>
        <v>51</v>
      </c>
      <c r="BT391" s="0" t="n">
        <f aca="false">IF(Presupuesto!$B$52='Flujo de Pagos'!$E391,52,9999)</f>
        <v>52</v>
      </c>
      <c r="BU391" s="0" t="n">
        <f aca="false">IF(Presupuesto!$B$53='Flujo de Pagos'!$E391,53,9999)</f>
        <v>53</v>
      </c>
      <c r="BV391" s="0" t="n">
        <f aca="false">IF(Presupuesto!$B$54='Flujo de Pagos'!$E391,54,9999)</f>
        <v>54</v>
      </c>
      <c r="BW391" s="0" t="n">
        <f aca="false">IF(Presupuesto!$B$55='Flujo de Pagos'!$E391,55,9999)</f>
        <v>55</v>
      </c>
      <c r="BX391" s="0" t="n">
        <f aca="false">IF(Presupuesto!$B$56='Flujo de Pagos'!$E391,56,9999)</f>
        <v>56</v>
      </c>
      <c r="BY391" s="0" t="n">
        <f aca="false">IF(Presupuesto!$B$57='Flujo de Pagos'!$E391,57,9999)</f>
        <v>57</v>
      </c>
      <c r="BZ391" s="0" t="n">
        <f aca="false">IF(Presupuesto!$B$58='Flujo de Pagos'!$E391,58,9999)</f>
        <v>58</v>
      </c>
      <c r="CA391" s="0" t="n">
        <f aca="false">IF(Presupuesto!$B$59='Flujo de Pagos'!$E391,59,9999)</f>
        <v>59</v>
      </c>
      <c r="CB391" s="0" t="n">
        <f aca="false">IF(Presupuesto!$B$60='Flujo de Pagos'!$E391,60,9999)</f>
        <v>60</v>
      </c>
      <c r="CC391" s="0" t="n">
        <f aca="false">IF(Presupuesto!$B$61='Flujo de Pagos'!$E391,61,9999)</f>
        <v>61</v>
      </c>
      <c r="CD391" s="0" t="n">
        <f aca="false">IF(Presupuesto!$B$62='Flujo de Pagos'!$E391,62,9999)</f>
        <v>62</v>
      </c>
      <c r="CE391" s="0" t="n">
        <f aca="false">IF(Presupuesto!$B$63='Flujo de Pagos'!$E391,63,9999)</f>
        <v>63</v>
      </c>
      <c r="CF391" s="0" t="n">
        <f aca="false">IF(Presupuesto!$B$64='Flujo de Pagos'!$E391,64,9999)</f>
        <v>64</v>
      </c>
      <c r="CG391" s="0" t="n">
        <f aca="false">IF(Presupuesto!$B$65='Flujo de Pagos'!$E391,65,9999)</f>
        <v>65</v>
      </c>
      <c r="CH391" s="0" t="n">
        <f aca="false">IF(Presupuesto!$B$66='Flujo de Pagos'!$E391,66,9999)</f>
        <v>66</v>
      </c>
    </row>
    <row r="392" customFormat="false" ht="15" hidden="false" customHeight="true" outlineLevel="0" collapsed="false">
      <c r="B392" s="1" t="n">
        <f aca="false">IF(AND('Flujo de Pagos'!E397=Carátula!$B$2,'Flujo de Pagos'!F397=Carátula!$B$4,'Flujo de Pagos'!H397&lt;&gt;""),397,99999)</f>
        <v>99999</v>
      </c>
      <c r="H392" s="1" t="n">
        <f aca="false">IF(SMALL($AA392:$CH392,1)&gt;=9999,"",INDEX(Presupuesto!$C:$C,SMALL($AA392:$CH392,1)))</f>
        <v>0</v>
      </c>
      <c r="I392" s="1" t="n">
        <f aca="false">IF(SMALL($AA392:$CH392,2)&gt;=9999,"",INDEX(Presupuesto!$C:$C,SMALL($AA392:$CH392,2)))</f>
        <v>0</v>
      </c>
      <c r="J392" s="1" t="n">
        <f aca="false">IF(SMALL($AA392:$CH392,3)&gt;=9999,"",INDEX(Presupuesto!$C:$C,SMALL($AA392:$CH392,3)))</f>
        <v>0</v>
      </c>
      <c r="K392" s="1" t="n">
        <f aca="false">IF(SMALL($AA392:$CH392,4)&gt;=9999,"",INDEX(Presupuesto!$C:$C,SMALL($AA392:$CH392,4)))</f>
        <v>0</v>
      </c>
      <c r="L392" s="1" t="n">
        <f aca="false">IF(SMALL($AA392:$CH392,5)&gt;=9999,"",INDEX(Presupuesto!$C:$C,SMALL($AA392:$CH392,5)))</f>
        <v>0</v>
      </c>
      <c r="M392" s="1" t="n">
        <f aca="false">IF(SMALL($AA392:$CH392,6)&gt;=9999,"",INDEX(Presupuesto!$C:$C,SMALL($AA392:$CH392,6)))</f>
        <v>0</v>
      </c>
      <c r="N392" s="1" t="n">
        <f aca="false">IF(SMALL($AA392:$CH392,7)&gt;=9999,"",INDEX(Presupuesto!$C:$C,SMALL($AA392:$CH392,7)))</f>
        <v>0</v>
      </c>
      <c r="O392" s="1" t="n">
        <f aca="false">IF(SMALL($AA392:$CH392,8)&gt;=9999,"",INDEX(Presupuesto!$C:$C,SMALL($AA392:$CH392,8)))</f>
        <v>0</v>
      </c>
      <c r="P392" s="1" t="n">
        <f aca="false">IF(SMALL($AA392:$CH392,9)&gt;=9999,"",INDEX(Presupuesto!$C:$C,SMALL($AA392:$CH392,9)))</f>
        <v>0</v>
      </c>
      <c r="Q392" s="1" t="n">
        <f aca="false">IF(SMALL($AA392:$CH392,10)&gt;=9999,"",INDEX(Presupuesto!$C:$C,SMALL($AA392:$CH392,10)))</f>
        <v>0</v>
      </c>
      <c r="AA392" s="0" t="n">
        <f aca="false">IF(Presupuesto!$B$7='Flujo de Pagos'!$E392,7,9999)</f>
        <v>9999</v>
      </c>
      <c r="AB392" s="0" t="n">
        <f aca="false">IF(Presupuesto!$B$8='Flujo de Pagos'!$E392,8,9999)</f>
        <v>9999</v>
      </c>
      <c r="AC392" s="0" t="n">
        <f aca="false">IF(Presupuesto!$B$9='Flujo de Pagos'!$E392,9,9999)</f>
        <v>9999</v>
      </c>
      <c r="AD392" s="0" t="n">
        <f aca="false">IF(Presupuesto!$B$10='Flujo de Pagos'!$E392,10,9999)</f>
        <v>9999</v>
      </c>
      <c r="AE392" s="0" t="n">
        <f aca="false">IF(Presupuesto!$B$11='Flujo de Pagos'!$E392,11,9999)</f>
        <v>9999</v>
      </c>
      <c r="AF392" s="0" t="n">
        <f aca="false">IF(Presupuesto!$B$12='Flujo de Pagos'!$E392,12,9999)</f>
        <v>12</v>
      </c>
      <c r="AG392" s="0" t="n">
        <f aca="false">IF(Presupuesto!$B$13='Flujo de Pagos'!$E392,13,9999)</f>
        <v>13</v>
      </c>
      <c r="AH392" s="0" t="n">
        <f aca="false">IF(Presupuesto!$B$14='Flujo de Pagos'!$E392,14,9999)</f>
        <v>14</v>
      </c>
      <c r="AI392" s="0" t="n">
        <f aca="false">IF(Presupuesto!$B$15='Flujo de Pagos'!$E392,15,9999)</f>
        <v>15</v>
      </c>
      <c r="AJ392" s="0" t="n">
        <f aca="false">IF(Presupuesto!$B$16='Flujo de Pagos'!$E392,16,9999)</f>
        <v>16</v>
      </c>
      <c r="AK392" s="0" t="n">
        <f aca="false">IF(Presupuesto!$B$17='Flujo de Pagos'!$E392,17,9999)</f>
        <v>17</v>
      </c>
      <c r="AL392" s="0" t="n">
        <f aca="false">IF(Presupuesto!$B$18='Flujo de Pagos'!$E392,18,9999)</f>
        <v>18</v>
      </c>
      <c r="AM392" s="0" t="n">
        <f aca="false">IF(Presupuesto!$B$19='Flujo de Pagos'!$E392,19,9999)</f>
        <v>19</v>
      </c>
      <c r="AN392" s="0" t="n">
        <f aca="false">IF(Presupuesto!$B$20='Flujo de Pagos'!$E392,20,9999)</f>
        <v>20</v>
      </c>
      <c r="AO392" s="0" t="n">
        <f aca="false">IF(Presupuesto!$B$21='Flujo de Pagos'!$E392,21,9999)</f>
        <v>21</v>
      </c>
      <c r="AP392" s="0" t="n">
        <f aca="false">IF(Presupuesto!$B$22='Flujo de Pagos'!$E392,22,9999)</f>
        <v>22</v>
      </c>
      <c r="AQ392" s="0" t="n">
        <f aca="false">IF(Presupuesto!$B$23='Flujo de Pagos'!$E392,23,9999)</f>
        <v>23</v>
      </c>
      <c r="AR392" s="0" t="n">
        <f aca="false">IF(Presupuesto!$B$24='Flujo de Pagos'!$E392,24,9999)</f>
        <v>24</v>
      </c>
      <c r="AS392" s="0" t="n">
        <f aca="false">IF(Presupuesto!$B$25='Flujo de Pagos'!$E392,25,9999)</f>
        <v>25</v>
      </c>
      <c r="AT392" s="0" t="n">
        <f aca="false">IF(Presupuesto!$B$26='Flujo de Pagos'!$E392,26,9999)</f>
        <v>26</v>
      </c>
      <c r="AU392" s="0" t="n">
        <f aca="false">IF(Presupuesto!$B$27='Flujo de Pagos'!$E392,27,9999)</f>
        <v>27</v>
      </c>
      <c r="AV392" s="0" t="n">
        <f aca="false">IF(Presupuesto!$B$28='Flujo de Pagos'!$E392,28,9999)</f>
        <v>28</v>
      </c>
      <c r="AW392" s="0" t="n">
        <f aca="false">IF(Presupuesto!$B$29='Flujo de Pagos'!$E392,29,9999)</f>
        <v>29</v>
      </c>
      <c r="AX392" s="0" t="n">
        <f aca="false">IF(Presupuesto!$B$30='Flujo de Pagos'!$E392,30,9999)</f>
        <v>30</v>
      </c>
      <c r="AY392" s="0" t="n">
        <f aca="false">IF(Presupuesto!$B$31='Flujo de Pagos'!$E392,31,9999)</f>
        <v>31</v>
      </c>
      <c r="AZ392" s="0" t="n">
        <f aca="false">IF(Presupuesto!$B$32='Flujo de Pagos'!$E392,32,9999)</f>
        <v>32</v>
      </c>
      <c r="BA392" s="0" t="n">
        <f aca="false">IF(Presupuesto!$B$33='Flujo de Pagos'!$E392,33,9999)</f>
        <v>33</v>
      </c>
      <c r="BB392" s="0" t="n">
        <f aca="false">IF(Presupuesto!$B$34='Flujo de Pagos'!$E392,34,9999)</f>
        <v>34</v>
      </c>
      <c r="BC392" s="0" t="n">
        <f aca="false">IF(Presupuesto!$B$35='Flujo de Pagos'!$E392,35,9999)</f>
        <v>35</v>
      </c>
      <c r="BD392" s="0" t="n">
        <f aca="false">IF(Presupuesto!$B$36='Flujo de Pagos'!$E392,36,9999)</f>
        <v>36</v>
      </c>
      <c r="BE392" s="0" t="n">
        <f aca="false">IF(Presupuesto!$B$37='Flujo de Pagos'!$E392,37,9999)</f>
        <v>37</v>
      </c>
      <c r="BF392" s="0" t="n">
        <f aca="false">IF(Presupuesto!$B$38='Flujo de Pagos'!$E392,38,9999)</f>
        <v>38</v>
      </c>
      <c r="BG392" s="0" t="n">
        <f aca="false">IF(Presupuesto!$B$39='Flujo de Pagos'!$E392,39,9999)</f>
        <v>39</v>
      </c>
      <c r="BH392" s="0" t="n">
        <f aca="false">IF(Presupuesto!$B$40='Flujo de Pagos'!$E392,40,9999)</f>
        <v>40</v>
      </c>
      <c r="BI392" s="0" t="n">
        <f aca="false">IF(Presupuesto!$B$41='Flujo de Pagos'!$E392,41,9999)</f>
        <v>41</v>
      </c>
      <c r="BJ392" s="0" t="n">
        <f aca="false">IF(Presupuesto!$B$42='Flujo de Pagos'!$E392,42,9999)</f>
        <v>42</v>
      </c>
      <c r="BK392" s="0" t="n">
        <f aca="false">IF(Presupuesto!$B$43='Flujo de Pagos'!$E392,43,9999)</f>
        <v>43</v>
      </c>
      <c r="BL392" s="0" t="n">
        <f aca="false">IF(Presupuesto!$B$44='Flujo de Pagos'!$E392,44,9999)</f>
        <v>44</v>
      </c>
      <c r="BM392" s="0" t="n">
        <f aca="false">IF(Presupuesto!$B$45='Flujo de Pagos'!$E392,45,9999)</f>
        <v>45</v>
      </c>
      <c r="BN392" s="0" t="n">
        <f aca="false">IF(Presupuesto!$B$46='Flujo de Pagos'!$E392,46,9999)</f>
        <v>46</v>
      </c>
      <c r="BO392" s="0" t="n">
        <f aca="false">IF(Presupuesto!$B$47='Flujo de Pagos'!$E392,47,9999)</f>
        <v>47</v>
      </c>
      <c r="BP392" s="0" t="n">
        <f aca="false">IF(Presupuesto!$B$48='Flujo de Pagos'!$E392,48,9999)</f>
        <v>48</v>
      </c>
      <c r="BQ392" s="0" t="n">
        <f aca="false">IF(Presupuesto!$B$49='Flujo de Pagos'!$E392,49,9999)</f>
        <v>49</v>
      </c>
      <c r="BR392" s="0" t="n">
        <f aca="false">IF(Presupuesto!$B$50='Flujo de Pagos'!$E392,50,9999)</f>
        <v>50</v>
      </c>
      <c r="BS392" s="0" t="n">
        <f aca="false">IF(Presupuesto!$B$51='Flujo de Pagos'!$E392,51,9999)</f>
        <v>51</v>
      </c>
      <c r="BT392" s="0" t="n">
        <f aca="false">IF(Presupuesto!$B$52='Flujo de Pagos'!$E392,52,9999)</f>
        <v>52</v>
      </c>
      <c r="BU392" s="0" t="n">
        <f aca="false">IF(Presupuesto!$B$53='Flujo de Pagos'!$E392,53,9999)</f>
        <v>53</v>
      </c>
      <c r="BV392" s="0" t="n">
        <f aca="false">IF(Presupuesto!$B$54='Flujo de Pagos'!$E392,54,9999)</f>
        <v>54</v>
      </c>
      <c r="BW392" s="0" t="n">
        <f aca="false">IF(Presupuesto!$B$55='Flujo de Pagos'!$E392,55,9999)</f>
        <v>55</v>
      </c>
      <c r="BX392" s="0" t="n">
        <f aca="false">IF(Presupuesto!$B$56='Flujo de Pagos'!$E392,56,9999)</f>
        <v>56</v>
      </c>
      <c r="BY392" s="0" t="n">
        <f aca="false">IF(Presupuesto!$B$57='Flujo de Pagos'!$E392,57,9999)</f>
        <v>57</v>
      </c>
      <c r="BZ392" s="0" t="n">
        <f aca="false">IF(Presupuesto!$B$58='Flujo de Pagos'!$E392,58,9999)</f>
        <v>58</v>
      </c>
      <c r="CA392" s="0" t="n">
        <f aca="false">IF(Presupuesto!$B$59='Flujo de Pagos'!$E392,59,9999)</f>
        <v>59</v>
      </c>
      <c r="CB392" s="0" t="n">
        <f aca="false">IF(Presupuesto!$B$60='Flujo de Pagos'!$E392,60,9999)</f>
        <v>60</v>
      </c>
      <c r="CC392" s="0" t="n">
        <f aca="false">IF(Presupuesto!$B$61='Flujo de Pagos'!$E392,61,9999)</f>
        <v>61</v>
      </c>
      <c r="CD392" s="0" t="n">
        <f aca="false">IF(Presupuesto!$B$62='Flujo de Pagos'!$E392,62,9999)</f>
        <v>62</v>
      </c>
      <c r="CE392" s="0" t="n">
        <f aca="false">IF(Presupuesto!$B$63='Flujo de Pagos'!$E392,63,9999)</f>
        <v>63</v>
      </c>
      <c r="CF392" s="0" t="n">
        <f aca="false">IF(Presupuesto!$B$64='Flujo de Pagos'!$E392,64,9999)</f>
        <v>64</v>
      </c>
      <c r="CG392" s="0" t="n">
        <f aca="false">IF(Presupuesto!$B$65='Flujo de Pagos'!$E392,65,9999)</f>
        <v>65</v>
      </c>
      <c r="CH392" s="0" t="n">
        <f aca="false">IF(Presupuesto!$B$66='Flujo de Pagos'!$E392,66,9999)</f>
        <v>66</v>
      </c>
    </row>
    <row r="393" customFormat="false" ht="15" hidden="false" customHeight="true" outlineLevel="0" collapsed="false">
      <c r="B393" s="1" t="n">
        <f aca="false">IF(AND('Flujo de Pagos'!E398=Carátula!$B$2,'Flujo de Pagos'!F398=Carátula!$B$4,'Flujo de Pagos'!H398&lt;&gt;""),398,99999)</f>
        <v>99999</v>
      </c>
      <c r="H393" s="1" t="n">
        <f aca="false">IF(SMALL($AA393:$CH393,1)&gt;=9999,"",INDEX(Presupuesto!$C:$C,SMALL($AA393:$CH393,1)))</f>
        <v>0</v>
      </c>
      <c r="I393" s="1" t="n">
        <f aca="false">IF(SMALL($AA393:$CH393,2)&gt;=9999,"",INDEX(Presupuesto!$C:$C,SMALL($AA393:$CH393,2)))</f>
        <v>0</v>
      </c>
      <c r="J393" s="1" t="n">
        <f aca="false">IF(SMALL($AA393:$CH393,3)&gt;=9999,"",INDEX(Presupuesto!$C:$C,SMALL($AA393:$CH393,3)))</f>
        <v>0</v>
      </c>
      <c r="K393" s="1" t="n">
        <f aca="false">IF(SMALL($AA393:$CH393,4)&gt;=9999,"",INDEX(Presupuesto!$C:$C,SMALL($AA393:$CH393,4)))</f>
        <v>0</v>
      </c>
      <c r="L393" s="1" t="n">
        <f aca="false">IF(SMALL($AA393:$CH393,5)&gt;=9999,"",INDEX(Presupuesto!$C:$C,SMALL($AA393:$CH393,5)))</f>
        <v>0</v>
      </c>
      <c r="M393" s="1" t="n">
        <f aca="false">IF(SMALL($AA393:$CH393,6)&gt;=9999,"",INDEX(Presupuesto!$C:$C,SMALL($AA393:$CH393,6)))</f>
        <v>0</v>
      </c>
      <c r="N393" s="1" t="n">
        <f aca="false">IF(SMALL($AA393:$CH393,7)&gt;=9999,"",INDEX(Presupuesto!$C:$C,SMALL($AA393:$CH393,7)))</f>
        <v>0</v>
      </c>
      <c r="O393" s="1" t="n">
        <f aca="false">IF(SMALL($AA393:$CH393,8)&gt;=9999,"",INDEX(Presupuesto!$C:$C,SMALL($AA393:$CH393,8)))</f>
        <v>0</v>
      </c>
      <c r="P393" s="1" t="n">
        <f aca="false">IF(SMALL($AA393:$CH393,9)&gt;=9999,"",INDEX(Presupuesto!$C:$C,SMALL($AA393:$CH393,9)))</f>
        <v>0</v>
      </c>
      <c r="Q393" s="1" t="n">
        <f aca="false">IF(SMALL($AA393:$CH393,10)&gt;=9999,"",INDEX(Presupuesto!$C:$C,SMALL($AA393:$CH393,10)))</f>
        <v>0</v>
      </c>
      <c r="AA393" s="0" t="n">
        <f aca="false">IF(Presupuesto!$B$7='Flujo de Pagos'!$E393,7,9999)</f>
        <v>9999</v>
      </c>
      <c r="AB393" s="0" t="n">
        <f aca="false">IF(Presupuesto!$B$8='Flujo de Pagos'!$E393,8,9999)</f>
        <v>9999</v>
      </c>
      <c r="AC393" s="0" t="n">
        <f aca="false">IF(Presupuesto!$B$9='Flujo de Pagos'!$E393,9,9999)</f>
        <v>9999</v>
      </c>
      <c r="AD393" s="0" t="n">
        <f aca="false">IF(Presupuesto!$B$10='Flujo de Pagos'!$E393,10,9999)</f>
        <v>9999</v>
      </c>
      <c r="AE393" s="0" t="n">
        <f aca="false">IF(Presupuesto!$B$11='Flujo de Pagos'!$E393,11,9999)</f>
        <v>9999</v>
      </c>
      <c r="AF393" s="0" t="n">
        <f aca="false">IF(Presupuesto!$B$12='Flujo de Pagos'!$E393,12,9999)</f>
        <v>12</v>
      </c>
      <c r="AG393" s="0" t="n">
        <f aca="false">IF(Presupuesto!$B$13='Flujo de Pagos'!$E393,13,9999)</f>
        <v>13</v>
      </c>
      <c r="AH393" s="0" t="n">
        <f aca="false">IF(Presupuesto!$B$14='Flujo de Pagos'!$E393,14,9999)</f>
        <v>14</v>
      </c>
      <c r="AI393" s="0" t="n">
        <f aca="false">IF(Presupuesto!$B$15='Flujo de Pagos'!$E393,15,9999)</f>
        <v>15</v>
      </c>
      <c r="AJ393" s="0" t="n">
        <f aca="false">IF(Presupuesto!$B$16='Flujo de Pagos'!$E393,16,9999)</f>
        <v>16</v>
      </c>
      <c r="AK393" s="0" t="n">
        <f aca="false">IF(Presupuesto!$B$17='Flujo de Pagos'!$E393,17,9999)</f>
        <v>17</v>
      </c>
      <c r="AL393" s="0" t="n">
        <f aca="false">IF(Presupuesto!$B$18='Flujo de Pagos'!$E393,18,9999)</f>
        <v>18</v>
      </c>
      <c r="AM393" s="0" t="n">
        <f aca="false">IF(Presupuesto!$B$19='Flujo de Pagos'!$E393,19,9999)</f>
        <v>19</v>
      </c>
      <c r="AN393" s="0" t="n">
        <f aca="false">IF(Presupuesto!$B$20='Flujo de Pagos'!$E393,20,9999)</f>
        <v>20</v>
      </c>
      <c r="AO393" s="0" t="n">
        <f aca="false">IF(Presupuesto!$B$21='Flujo de Pagos'!$E393,21,9999)</f>
        <v>21</v>
      </c>
      <c r="AP393" s="0" t="n">
        <f aca="false">IF(Presupuesto!$B$22='Flujo de Pagos'!$E393,22,9999)</f>
        <v>22</v>
      </c>
      <c r="AQ393" s="0" t="n">
        <f aca="false">IF(Presupuesto!$B$23='Flujo de Pagos'!$E393,23,9999)</f>
        <v>23</v>
      </c>
      <c r="AR393" s="0" t="n">
        <f aca="false">IF(Presupuesto!$B$24='Flujo de Pagos'!$E393,24,9999)</f>
        <v>24</v>
      </c>
      <c r="AS393" s="0" t="n">
        <f aca="false">IF(Presupuesto!$B$25='Flujo de Pagos'!$E393,25,9999)</f>
        <v>25</v>
      </c>
      <c r="AT393" s="0" t="n">
        <f aca="false">IF(Presupuesto!$B$26='Flujo de Pagos'!$E393,26,9999)</f>
        <v>26</v>
      </c>
      <c r="AU393" s="0" t="n">
        <f aca="false">IF(Presupuesto!$B$27='Flujo de Pagos'!$E393,27,9999)</f>
        <v>27</v>
      </c>
      <c r="AV393" s="0" t="n">
        <f aca="false">IF(Presupuesto!$B$28='Flujo de Pagos'!$E393,28,9999)</f>
        <v>28</v>
      </c>
      <c r="AW393" s="0" t="n">
        <f aca="false">IF(Presupuesto!$B$29='Flujo de Pagos'!$E393,29,9999)</f>
        <v>29</v>
      </c>
      <c r="AX393" s="0" t="n">
        <f aca="false">IF(Presupuesto!$B$30='Flujo de Pagos'!$E393,30,9999)</f>
        <v>30</v>
      </c>
      <c r="AY393" s="0" t="n">
        <f aca="false">IF(Presupuesto!$B$31='Flujo de Pagos'!$E393,31,9999)</f>
        <v>31</v>
      </c>
      <c r="AZ393" s="0" t="n">
        <f aca="false">IF(Presupuesto!$B$32='Flujo de Pagos'!$E393,32,9999)</f>
        <v>32</v>
      </c>
      <c r="BA393" s="0" t="n">
        <f aca="false">IF(Presupuesto!$B$33='Flujo de Pagos'!$E393,33,9999)</f>
        <v>33</v>
      </c>
      <c r="BB393" s="0" t="n">
        <f aca="false">IF(Presupuesto!$B$34='Flujo de Pagos'!$E393,34,9999)</f>
        <v>34</v>
      </c>
      <c r="BC393" s="0" t="n">
        <f aca="false">IF(Presupuesto!$B$35='Flujo de Pagos'!$E393,35,9999)</f>
        <v>35</v>
      </c>
      <c r="BD393" s="0" t="n">
        <f aca="false">IF(Presupuesto!$B$36='Flujo de Pagos'!$E393,36,9999)</f>
        <v>36</v>
      </c>
      <c r="BE393" s="0" t="n">
        <f aca="false">IF(Presupuesto!$B$37='Flujo de Pagos'!$E393,37,9999)</f>
        <v>37</v>
      </c>
      <c r="BF393" s="0" t="n">
        <f aca="false">IF(Presupuesto!$B$38='Flujo de Pagos'!$E393,38,9999)</f>
        <v>38</v>
      </c>
      <c r="BG393" s="0" t="n">
        <f aca="false">IF(Presupuesto!$B$39='Flujo de Pagos'!$E393,39,9999)</f>
        <v>39</v>
      </c>
      <c r="BH393" s="0" t="n">
        <f aca="false">IF(Presupuesto!$B$40='Flujo de Pagos'!$E393,40,9999)</f>
        <v>40</v>
      </c>
      <c r="BI393" s="0" t="n">
        <f aca="false">IF(Presupuesto!$B$41='Flujo de Pagos'!$E393,41,9999)</f>
        <v>41</v>
      </c>
      <c r="BJ393" s="0" t="n">
        <f aca="false">IF(Presupuesto!$B$42='Flujo de Pagos'!$E393,42,9999)</f>
        <v>42</v>
      </c>
      <c r="BK393" s="0" t="n">
        <f aca="false">IF(Presupuesto!$B$43='Flujo de Pagos'!$E393,43,9999)</f>
        <v>43</v>
      </c>
      <c r="BL393" s="0" t="n">
        <f aca="false">IF(Presupuesto!$B$44='Flujo de Pagos'!$E393,44,9999)</f>
        <v>44</v>
      </c>
      <c r="BM393" s="0" t="n">
        <f aca="false">IF(Presupuesto!$B$45='Flujo de Pagos'!$E393,45,9999)</f>
        <v>45</v>
      </c>
      <c r="BN393" s="0" t="n">
        <f aca="false">IF(Presupuesto!$B$46='Flujo de Pagos'!$E393,46,9999)</f>
        <v>46</v>
      </c>
      <c r="BO393" s="0" t="n">
        <f aca="false">IF(Presupuesto!$B$47='Flujo de Pagos'!$E393,47,9999)</f>
        <v>47</v>
      </c>
      <c r="BP393" s="0" t="n">
        <f aca="false">IF(Presupuesto!$B$48='Flujo de Pagos'!$E393,48,9999)</f>
        <v>48</v>
      </c>
      <c r="BQ393" s="0" t="n">
        <f aca="false">IF(Presupuesto!$B$49='Flujo de Pagos'!$E393,49,9999)</f>
        <v>49</v>
      </c>
      <c r="BR393" s="0" t="n">
        <f aca="false">IF(Presupuesto!$B$50='Flujo de Pagos'!$E393,50,9999)</f>
        <v>50</v>
      </c>
      <c r="BS393" s="0" t="n">
        <f aca="false">IF(Presupuesto!$B$51='Flujo de Pagos'!$E393,51,9999)</f>
        <v>51</v>
      </c>
      <c r="BT393" s="0" t="n">
        <f aca="false">IF(Presupuesto!$B$52='Flujo de Pagos'!$E393,52,9999)</f>
        <v>52</v>
      </c>
      <c r="BU393" s="0" t="n">
        <f aca="false">IF(Presupuesto!$B$53='Flujo de Pagos'!$E393,53,9999)</f>
        <v>53</v>
      </c>
      <c r="BV393" s="0" t="n">
        <f aca="false">IF(Presupuesto!$B$54='Flujo de Pagos'!$E393,54,9999)</f>
        <v>54</v>
      </c>
      <c r="BW393" s="0" t="n">
        <f aca="false">IF(Presupuesto!$B$55='Flujo de Pagos'!$E393,55,9999)</f>
        <v>55</v>
      </c>
      <c r="BX393" s="0" t="n">
        <f aca="false">IF(Presupuesto!$B$56='Flujo de Pagos'!$E393,56,9999)</f>
        <v>56</v>
      </c>
      <c r="BY393" s="0" t="n">
        <f aca="false">IF(Presupuesto!$B$57='Flujo de Pagos'!$E393,57,9999)</f>
        <v>57</v>
      </c>
      <c r="BZ393" s="0" t="n">
        <f aca="false">IF(Presupuesto!$B$58='Flujo de Pagos'!$E393,58,9999)</f>
        <v>58</v>
      </c>
      <c r="CA393" s="0" t="n">
        <f aca="false">IF(Presupuesto!$B$59='Flujo de Pagos'!$E393,59,9999)</f>
        <v>59</v>
      </c>
      <c r="CB393" s="0" t="n">
        <f aca="false">IF(Presupuesto!$B$60='Flujo de Pagos'!$E393,60,9999)</f>
        <v>60</v>
      </c>
      <c r="CC393" s="0" t="n">
        <f aca="false">IF(Presupuesto!$B$61='Flujo de Pagos'!$E393,61,9999)</f>
        <v>61</v>
      </c>
      <c r="CD393" s="0" t="n">
        <f aca="false">IF(Presupuesto!$B$62='Flujo de Pagos'!$E393,62,9999)</f>
        <v>62</v>
      </c>
      <c r="CE393" s="0" t="n">
        <f aca="false">IF(Presupuesto!$B$63='Flujo de Pagos'!$E393,63,9999)</f>
        <v>63</v>
      </c>
      <c r="CF393" s="0" t="n">
        <f aca="false">IF(Presupuesto!$B$64='Flujo de Pagos'!$E393,64,9999)</f>
        <v>64</v>
      </c>
      <c r="CG393" s="0" t="n">
        <f aca="false">IF(Presupuesto!$B$65='Flujo de Pagos'!$E393,65,9999)</f>
        <v>65</v>
      </c>
      <c r="CH393" s="0" t="n">
        <f aca="false">IF(Presupuesto!$B$66='Flujo de Pagos'!$E393,66,9999)</f>
        <v>66</v>
      </c>
    </row>
    <row r="394" customFormat="false" ht="15" hidden="false" customHeight="true" outlineLevel="0" collapsed="false">
      <c r="B394" s="1" t="n">
        <f aca="false">IF(AND('Flujo de Pagos'!E399=Carátula!$B$2,'Flujo de Pagos'!F399=Carátula!$B$4,'Flujo de Pagos'!H399&lt;&gt;""),399,99999)</f>
        <v>99999</v>
      </c>
      <c r="H394" s="1" t="n">
        <f aca="false">IF(SMALL($AA394:$CH394,1)&gt;=9999,"",INDEX(Presupuesto!$C:$C,SMALL($AA394:$CH394,1)))</f>
        <v>0</v>
      </c>
      <c r="I394" s="1" t="n">
        <f aca="false">IF(SMALL($AA394:$CH394,2)&gt;=9999,"",INDEX(Presupuesto!$C:$C,SMALL($AA394:$CH394,2)))</f>
        <v>0</v>
      </c>
      <c r="J394" s="1" t="n">
        <f aca="false">IF(SMALL($AA394:$CH394,3)&gt;=9999,"",INDEX(Presupuesto!$C:$C,SMALL($AA394:$CH394,3)))</f>
        <v>0</v>
      </c>
      <c r="K394" s="1" t="n">
        <f aca="false">IF(SMALL($AA394:$CH394,4)&gt;=9999,"",INDEX(Presupuesto!$C:$C,SMALL($AA394:$CH394,4)))</f>
        <v>0</v>
      </c>
      <c r="L394" s="1" t="n">
        <f aca="false">IF(SMALL($AA394:$CH394,5)&gt;=9999,"",INDEX(Presupuesto!$C:$C,SMALL($AA394:$CH394,5)))</f>
        <v>0</v>
      </c>
      <c r="M394" s="1" t="n">
        <f aca="false">IF(SMALL($AA394:$CH394,6)&gt;=9999,"",INDEX(Presupuesto!$C:$C,SMALL($AA394:$CH394,6)))</f>
        <v>0</v>
      </c>
      <c r="N394" s="1" t="n">
        <f aca="false">IF(SMALL($AA394:$CH394,7)&gt;=9999,"",INDEX(Presupuesto!$C:$C,SMALL($AA394:$CH394,7)))</f>
        <v>0</v>
      </c>
      <c r="O394" s="1" t="n">
        <f aca="false">IF(SMALL($AA394:$CH394,8)&gt;=9999,"",INDEX(Presupuesto!$C:$C,SMALL($AA394:$CH394,8)))</f>
        <v>0</v>
      </c>
      <c r="P394" s="1" t="n">
        <f aca="false">IF(SMALL($AA394:$CH394,9)&gt;=9999,"",INDEX(Presupuesto!$C:$C,SMALL($AA394:$CH394,9)))</f>
        <v>0</v>
      </c>
      <c r="Q394" s="1" t="n">
        <f aca="false">IF(SMALL($AA394:$CH394,10)&gt;=9999,"",INDEX(Presupuesto!$C:$C,SMALL($AA394:$CH394,10)))</f>
        <v>0</v>
      </c>
      <c r="AA394" s="0" t="n">
        <f aca="false">IF(Presupuesto!$B$7='Flujo de Pagos'!$E394,7,9999)</f>
        <v>9999</v>
      </c>
      <c r="AB394" s="0" t="n">
        <f aca="false">IF(Presupuesto!$B$8='Flujo de Pagos'!$E394,8,9999)</f>
        <v>9999</v>
      </c>
      <c r="AC394" s="0" t="n">
        <f aca="false">IF(Presupuesto!$B$9='Flujo de Pagos'!$E394,9,9999)</f>
        <v>9999</v>
      </c>
      <c r="AD394" s="0" t="n">
        <f aca="false">IF(Presupuesto!$B$10='Flujo de Pagos'!$E394,10,9999)</f>
        <v>9999</v>
      </c>
      <c r="AE394" s="0" t="n">
        <f aca="false">IF(Presupuesto!$B$11='Flujo de Pagos'!$E394,11,9999)</f>
        <v>9999</v>
      </c>
      <c r="AF394" s="0" t="n">
        <f aca="false">IF(Presupuesto!$B$12='Flujo de Pagos'!$E394,12,9999)</f>
        <v>12</v>
      </c>
      <c r="AG394" s="0" t="n">
        <f aca="false">IF(Presupuesto!$B$13='Flujo de Pagos'!$E394,13,9999)</f>
        <v>13</v>
      </c>
      <c r="AH394" s="0" t="n">
        <f aca="false">IF(Presupuesto!$B$14='Flujo de Pagos'!$E394,14,9999)</f>
        <v>14</v>
      </c>
      <c r="AI394" s="0" t="n">
        <f aca="false">IF(Presupuesto!$B$15='Flujo de Pagos'!$E394,15,9999)</f>
        <v>15</v>
      </c>
      <c r="AJ394" s="0" t="n">
        <f aca="false">IF(Presupuesto!$B$16='Flujo de Pagos'!$E394,16,9999)</f>
        <v>16</v>
      </c>
      <c r="AK394" s="0" t="n">
        <f aca="false">IF(Presupuesto!$B$17='Flujo de Pagos'!$E394,17,9999)</f>
        <v>17</v>
      </c>
      <c r="AL394" s="0" t="n">
        <f aca="false">IF(Presupuesto!$B$18='Flujo de Pagos'!$E394,18,9999)</f>
        <v>18</v>
      </c>
      <c r="AM394" s="0" t="n">
        <f aca="false">IF(Presupuesto!$B$19='Flujo de Pagos'!$E394,19,9999)</f>
        <v>19</v>
      </c>
      <c r="AN394" s="0" t="n">
        <f aca="false">IF(Presupuesto!$B$20='Flujo de Pagos'!$E394,20,9999)</f>
        <v>20</v>
      </c>
      <c r="AO394" s="0" t="n">
        <f aca="false">IF(Presupuesto!$B$21='Flujo de Pagos'!$E394,21,9999)</f>
        <v>21</v>
      </c>
      <c r="AP394" s="0" t="n">
        <f aca="false">IF(Presupuesto!$B$22='Flujo de Pagos'!$E394,22,9999)</f>
        <v>22</v>
      </c>
      <c r="AQ394" s="0" t="n">
        <f aca="false">IF(Presupuesto!$B$23='Flujo de Pagos'!$E394,23,9999)</f>
        <v>23</v>
      </c>
      <c r="AR394" s="0" t="n">
        <f aca="false">IF(Presupuesto!$B$24='Flujo de Pagos'!$E394,24,9999)</f>
        <v>24</v>
      </c>
      <c r="AS394" s="0" t="n">
        <f aca="false">IF(Presupuesto!$B$25='Flujo de Pagos'!$E394,25,9999)</f>
        <v>25</v>
      </c>
      <c r="AT394" s="0" t="n">
        <f aca="false">IF(Presupuesto!$B$26='Flujo de Pagos'!$E394,26,9999)</f>
        <v>26</v>
      </c>
      <c r="AU394" s="0" t="n">
        <f aca="false">IF(Presupuesto!$B$27='Flujo de Pagos'!$E394,27,9999)</f>
        <v>27</v>
      </c>
      <c r="AV394" s="0" t="n">
        <f aca="false">IF(Presupuesto!$B$28='Flujo de Pagos'!$E394,28,9999)</f>
        <v>28</v>
      </c>
      <c r="AW394" s="0" t="n">
        <f aca="false">IF(Presupuesto!$B$29='Flujo de Pagos'!$E394,29,9999)</f>
        <v>29</v>
      </c>
      <c r="AX394" s="0" t="n">
        <f aca="false">IF(Presupuesto!$B$30='Flujo de Pagos'!$E394,30,9999)</f>
        <v>30</v>
      </c>
      <c r="AY394" s="0" t="n">
        <f aca="false">IF(Presupuesto!$B$31='Flujo de Pagos'!$E394,31,9999)</f>
        <v>31</v>
      </c>
      <c r="AZ394" s="0" t="n">
        <f aca="false">IF(Presupuesto!$B$32='Flujo de Pagos'!$E394,32,9999)</f>
        <v>32</v>
      </c>
      <c r="BA394" s="0" t="n">
        <f aca="false">IF(Presupuesto!$B$33='Flujo de Pagos'!$E394,33,9999)</f>
        <v>33</v>
      </c>
      <c r="BB394" s="0" t="n">
        <f aca="false">IF(Presupuesto!$B$34='Flujo de Pagos'!$E394,34,9999)</f>
        <v>34</v>
      </c>
      <c r="BC394" s="0" t="n">
        <f aca="false">IF(Presupuesto!$B$35='Flujo de Pagos'!$E394,35,9999)</f>
        <v>35</v>
      </c>
      <c r="BD394" s="0" t="n">
        <f aca="false">IF(Presupuesto!$B$36='Flujo de Pagos'!$E394,36,9999)</f>
        <v>36</v>
      </c>
      <c r="BE394" s="0" t="n">
        <f aca="false">IF(Presupuesto!$B$37='Flujo de Pagos'!$E394,37,9999)</f>
        <v>37</v>
      </c>
      <c r="BF394" s="0" t="n">
        <f aca="false">IF(Presupuesto!$B$38='Flujo de Pagos'!$E394,38,9999)</f>
        <v>38</v>
      </c>
      <c r="BG394" s="0" t="n">
        <f aca="false">IF(Presupuesto!$B$39='Flujo de Pagos'!$E394,39,9999)</f>
        <v>39</v>
      </c>
      <c r="BH394" s="0" t="n">
        <f aca="false">IF(Presupuesto!$B$40='Flujo de Pagos'!$E394,40,9999)</f>
        <v>40</v>
      </c>
      <c r="BI394" s="0" t="n">
        <f aca="false">IF(Presupuesto!$B$41='Flujo de Pagos'!$E394,41,9999)</f>
        <v>41</v>
      </c>
      <c r="BJ394" s="0" t="n">
        <f aca="false">IF(Presupuesto!$B$42='Flujo de Pagos'!$E394,42,9999)</f>
        <v>42</v>
      </c>
      <c r="BK394" s="0" t="n">
        <f aca="false">IF(Presupuesto!$B$43='Flujo de Pagos'!$E394,43,9999)</f>
        <v>43</v>
      </c>
      <c r="BL394" s="0" t="n">
        <f aca="false">IF(Presupuesto!$B$44='Flujo de Pagos'!$E394,44,9999)</f>
        <v>44</v>
      </c>
      <c r="BM394" s="0" t="n">
        <f aca="false">IF(Presupuesto!$B$45='Flujo de Pagos'!$E394,45,9999)</f>
        <v>45</v>
      </c>
      <c r="BN394" s="0" t="n">
        <f aca="false">IF(Presupuesto!$B$46='Flujo de Pagos'!$E394,46,9999)</f>
        <v>46</v>
      </c>
      <c r="BO394" s="0" t="n">
        <f aca="false">IF(Presupuesto!$B$47='Flujo de Pagos'!$E394,47,9999)</f>
        <v>47</v>
      </c>
      <c r="BP394" s="0" t="n">
        <f aca="false">IF(Presupuesto!$B$48='Flujo de Pagos'!$E394,48,9999)</f>
        <v>48</v>
      </c>
      <c r="BQ394" s="0" t="n">
        <f aca="false">IF(Presupuesto!$B$49='Flujo de Pagos'!$E394,49,9999)</f>
        <v>49</v>
      </c>
      <c r="BR394" s="0" t="n">
        <f aca="false">IF(Presupuesto!$B$50='Flujo de Pagos'!$E394,50,9999)</f>
        <v>50</v>
      </c>
      <c r="BS394" s="0" t="n">
        <f aca="false">IF(Presupuesto!$B$51='Flujo de Pagos'!$E394,51,9999)</f>
        <v>51</v>
      </c>
      <c r="BT394" s="0" t="n">
        <f aca="false">IF(Presupuesto!$B$52='Flujo de Pagos'!$E394,52,9999)</f>
        <v>52</v>
      </c>
      <c r="BU394" s="0" t="n">
        <f aca="false">IF(Presupuesto!$B$53='Flujo de Pagos'!$E394,53,9999)</f>
        <v>53</v>
      </c>
      <c r="BV394" s="0" t="n">
        <f aca="false">IF(Presupuesto!$B$54='Flujo de Pagos'!$E394,54,9999)</f>
        <v>54</v>
      </c>
      <c r="BW394" s="0" t="n">
        <f aca="false">IF(Presupuesto!$B$55='Flujo de Pagos'!$E394,55,9999)</f>
        <v>55</v>
      </c>
      <c r="BX394" s="0" t="n">
        <f aca="false">IF(Presupuesto!$B$56='Flujo de Pagos'!$E394,56,9999)</f>
        <v>56</v>
      </c>
      <c r="BY394" s="0" t="n">
        <f aca="false">IF(Presupuesto!$B$57='Flujo de Pagos'!$E394,57,9999)</f>
        <v>57</v>
      </c>
      <c r="BZ394" s="0" t="n">
        <f aca="false">IF(Presupuesto!$B$58='Flujo de Pagos'!$E394,58,9999)</f>
        <v>58</v>
      </c>
      <c r="CA394" s="0" t="n">
        <f aca="false">IF(Presupuesto!$B$59='Flujo de Pagos'!$E394,59,9999)</f>
        <v>59</v>
      </c>
      <c r="CB394" s="0" t="n">
        <f aca="false">IF(Presupuesto!$B$60='Flujo de Pagos'!$E394,60,9999)</f>
        <v>60</v>
      </c>
      <c r="CC394" s="0" t="n">
        <f aca="false">IF(Presupuesto!$B$61='Flujo de Pagos'!$E394,61,9999)</f>
        <v>61</v>
      </c>
      <c r="CD394" s="0" t="n">
        <f aca="false">IF(Presupuesto!$B$62='Flujo de Pagos'!$E394,62,9999)</f>
        <v>62</v>
      </c>
      <c r="CE394" s="0" t="n">
        <f aca="false">IF(Presupuesto!$B$63='Flujo de Pagos'!$E394,63,9999)</f>
        <v>63</v>
      </c>
      <c r="CF394" s="0" t="n">
        <f aca="false">IF(Presupuesto!$B$64='Flujo de Pagos'!$E394,64,9999)</f>
        <v>64</v>
      </c>
      <c r="CG394" s="0" t="n">
        <f aca="false">IF(Presupuesto!$B$65='Flujo de Pagos'!$E394,65,9999)</f>
        <v>65</v>
      </c>
      <c r="CH394" s="0" t="n">
        <f aca="false">IF(Presupuesto!$B$66='Flujo de Pagos'!$E394,66,9999)</f>
        <v>66</v>
      </c>
    </row>
    <row r="395" customFormat="false" ht="15" hidden="false" customHeight="true" outlineLevel="0" collapsed="false">
      <c r="B395" s="1" t="n">
        <f aca="false">IF(AND('Flujo de Pagos'!E400=Carátula!$B$2,'Flujo de Pagos'!F400=Carátula!$B$4,'Flujo de Pagos'!H400&lt;&gt;""),400,99999)</f>
        <v>99999</v>
      </c>
      <c r="H395" s="1" t="n">
        <f aca="false">IF(SMALL($AA395:$CH395,1)&gt;=9999,"",INDEX(Presupuesto!$C:$C,SMALL($AA395:$CH395,1)))</f>
        <v>0</v>
      </c>
      <c r="I395" s="1" t="n">
        <f aca="false">IF(SMALL($AA395:$CH395,2)&gt;=9999,"",INDEX(Presupuesto!$C:$C,SMALL($AA395:$CH395,2)))</f>
        <v>0</v>
      </c>
      <c r="J395" s="1" t="n">
        <f aca="false">IF(SMALL($AA395:$CH395,3)&gt;=9999,"",INDEX(Presupuesto!$C:$C,SMALL($AA395:$CH395,3)))</f>
        <v>0</v>
      </c>
      <c r="K395" s="1" t="n">
        <f aca="false">IF(SMALL($AA395:$CH395,4)&gt;=9999,"",INDEX(Presupuesto!$C:$C,SMALL($AA395:$CH395,4)))</f>
        <v>0</v>
      </c>
      <c r="L395" s="1" t="n">
        <f aca="false">IF(SMALL($AA395:$CH395,5)&gt;=9999,"",INDEX(Presupuesto!$C:$C,SMALL($AA395:$CH395,5)))</f>
        <v>0</v>
      </c>
      <c r="M395" s="1" t="n">
        <f aca="false">IF(SMALL($AA395:$CH395,6)&gt;=9999,"",INDEX(Presupuesto!$C:$C,SMALL($AA395:$CH395,6)))</f>
        <v>0</v>
      </c>
      <c r="N395" s="1" t="n">
        <f aca="false">IF(SMALL($AA395:$CH395,7)&gt;=9999,"",INDEX(Presupuesto!$C:$C,SMALL($AA395:$CH395,7)))</f>
        <v>0</v>
      </c>
      <c r="O395" s="1" t="n">
        <f aca="false">IF(SMALL($AA395:$CH395,8)&gt;=9999,"",INDEX(Presupuesto!$C:$C,SMALL($AA395:$CH395,8)))</f>
        <v>0</v>
      </c>
      <c r="P395" s="1" t="n">
        <f aca="false">IF(SMALL($AA395:$CH395,9)&gt;=9999,"",INDEX(Presupuesto!$C:$C,SMALL($AA395:$CH395,9)))</f>
        <v>0</v>
      </c>
      <c r="Q395" s="1" t="n">
        <f aca="false">IF(SMALL($AA395:$CH395,10)&gt;=9999,"",INDEX(Presupuesto!$C:$C,SMALL($AA395:$CH395,10)))</f>
        <v>0</v>
      </c>
      <c r="AA395" s="0" t="n">
        <f aca="false">IF(Presupuesto!$B$7='Flujo de Pagos'!$E395,7,9999)</f>
        <v>9999</v>
      </c>
      <c r="AB395" s="0" t="n">
        <f aca="false">IF(Presupuesto!$B$8='Flujo de Pagos'!$E395,8,9999)</f>
        <v>9999</v>
      </c>
      <c r="AC395" s="0" t="n">
        <f aca="false">IF(Presupuesto!$B$9='Flujo de Pagos'!$E395,9,9999)</f>
        <v>9999</v>
      </c>
      <c r="AD395" s="0" t="n">
        <f aca="false">IF(Presupuesto!$B$10='Flujo de Pagos'!$E395,10,9999)</f>
        <v>9999</v>
      </c>
      <c r="AE395" s="0" t="n">
        <f aca="false">IF(Presupuesto!$B$11='Flujo de Pagos'!$E395,11,9999)</f>
        <v>9999</v>
      </c>
      <c r="AF395" s="0" t="n">
        <f aca="false">IF(Presupuesto!$B$12='Flujo de Pagos'!$E395,12,9999)</f>
        <v>12</v>
      </c>
      <c r="AG395" s="0" t="n">
        <f aca="false">IF(Presupuesto!$B$13='Flujo de Pagos'!$E395,13,9999)</f>
        <v>13</v>
      </c>
      <c r="AH395" s="0" t="n">
        <f aca="false">IF(Presupuesto!$B$14='Flujo de Pagos'!$E395,14,9999)</f>
        <v>14</v>
      </c>
      <c r="AI395" s="0" t="n">
        <f aca="false">IF(Presupuesto!$B$15='Flujo de Pagos'!$E395,15,9999)</f>
        <v>15</v>
      </c>
      <c r="AJ395" s="0" t="n">
        <f aca="false">IF(Presupuesto!$B$16='Flujo de Pagos'!$E395,16,9999)</f>
        <v>16</v>
      </c>
      <c r="AK395" s="0" t="n">
        <f aca="false">IF(Presupuesto!$B$17='Flujo de Pagos'!$E395,17,9999)</f>
        <v>17</v>
      </c>
      <c r="AL395" s="0" t="n">
        <f aca="false">IF(Presupuesto!$B$18='Flujo de Pagos'!$E395,18,9999)</f>
        <v>18</v>
      </c>
      <c r="AM395" s="0" t="n">
        <f aca="false">IF(Presupuesto!$B$19='Flujo de Pagos'!$E395,19,9999)</f>
        <v>19</v>
      </c>
      <c r="AN395" s="0" t="n">
        <f aca="false">IF(Presupuesto!$B$20='Flujo de Pagos'!$E395,20,9999)</f>
        <v>20</v>
      </c>
      <c r="AO395" s="0" t="n">
        <f aca="false">IF(Presupuesto!$B$21='Flujo de Pagos'!$E395,21,9999)</f>
        <v>21</v>
      </c>
      <c r="AP395" s="0" t="n">
        <f aca="false">IF(Presupuesto!$B$22='Flujo de Pagos'!$E395,22,9999)</f>
        <v>22</v>
      </c>
      <c r="AQ395" s="0" t="n">
        <f aca="false">IF(Presupuesto!$B$23='Flujo de Pagos'!$E395,23,9999)</f>
        <v>23</v>
      </c>
      <c r="AR395" s="0" t="n">
        <f aca="false">IF(Presupuesto!$B$24='Flujo de Pagos'!$E395,24,9999)</f>
        <v>24</v>
      </c>
      <c r="AS395" s="0" t="n">
        <f aca="false">IF(Presupuesto!$B$25='Flujo de Pagos'!$E395,25,9999)</f>
        <v>25</v>
      </c>
      <c r="AT395" s="0" t="n">
        <f aca="false">IF(Presupuesto!$B$26='Flujo de Pagos'!$E395,26,9999)</f>
        <v>26</v>
      </c>
      <c r="AU395" s="0" t="n">
        <f aca="false">IF(Presupuesto!$B$27='Flujo de Pagos'!$E395,27,9999)</f>
        <v>27</v>
      </c>
      <c r="AV395" s="0" t="n">
        <f aca="false">IF(Presupuesto!$B$28='Flujo de Pagos'!$E395,28,9999)</f>
        <v>28</v>
      </c>
      <c r="AW395" s="0" t="n">
        <f aca="false">IF(Presupuesto!$B$29='Flujo de Pagos'!$E395,29,9999)</f>
        <v>29</v>
      </c>
      <c r="AX395" s="0" t="n">
        <f aca="false">IF(Presupuesto!$B$30='Flujo de Pagos'!$E395,30,9999)</f>
        <v>30</v>
      </c>
      <c r="AY395" s="0" t="n">
        <f aca="false">IF(Presupuesto!$B$31='Flujo de Pagos'!$E395,31,9999)</f>
        <v>31</v>
      </c>
      <c r="AZ395" s="0" t="n">
        <f aca="false">IF(Presupuesto!$B$32='Flujo de Pagos'!$E395,32,9999)</f>
        <v>32</v>
      </c>
      <c r="BA395" s="0" t="n">
        <f aca="false">IF(Presupuesto!$B$33='Flujo de Pagos'!$E395,33,9999)</f>
        <v>33</v>
      </c>
      <c r="BB395" s="0" t="n">
        <f aca="false">IF(Presupuesto!$B$34='Flujo de Pagos'!$E395,34,9999)</f>
        <v>34</v>
      </c>
      <c r="BC395" s="0" t="n">
        <f aca="false">IF(Presupuesto!$B$35='Flujo de Pagos'!$E395,35,9999)</f>
        <v>35</v>
      </c>
      <c r="BD395" s="0" t="n">
        <f aca="false">IF(Presupuesto!$B$36='Flujo de Pagos'!$E395,36,9999)</f>
        <v>36</v>
      </c>
      <c r="BE395" s="0" t="n">
        <f aca="false">IF(Presupuesto!$B$37='Flujo de Pagos'!$E395,37,9999)</f>
        <v>37</v>
      </c>
      <c r="BF395" s="0" t="n">
        <f aca="false">IF(Presupuesto!$B$38='Flujo de Pagos'!$E395,38,9999)</f>
        <v>38</v>
      </c>
      <c r="BG395" s="0" t="n">
        <f aca="false">IF(Presupuesto!$B$39='Flujo de Pagos'!$E395,39,9999)</f>
        <v>39</v>
      </c>
      <c r="BH395" s="0" t="n">
        <f aca="false">IF(Presupuesto!$B$40='Flujo de Pagos'!$E395,40,9999)</f>
        <v>40</v>
      </c>
      <c r="BI395" s="0" t="n">
        <f aca="false">IF(Presupuesto!$B$41='Flujo de Pagos'!$E395,41,9999)</f>
        <v>41</v>
      </c>
      <c r="BJ395" s="0" t="n">
        <f aca="false">IF(Presupuesto!$B$42='Flujo de Pagos'!$E395,42,9999)</f>
        <v>42</v>
      </c>
      <c r="BK395" s="0" t="n">
        <f aca="false">IF(Presupuesto!$B$43='Flujo de Pagos'!$E395,43,9999)</f>
        <v>43</v>
      </c>
      <c r="BL395" s="0" t="n">
        <f aca="false">IF(Presupuesto!$B$44='Flujo de Pagos'!$E395,44,9999)</f>
        <v>44</v>
      </c>
      <c r="BM395" s="0" t="n">
        <f aca="false">IF(Presupuesto!$B$45='Flujo de Pagos'!$E395,45,9999)</f>
        <v>45</v>
      </c>
      <c r="BN395" s="0" t="n">
        <f aca="false">IF(Presupuesto!$B$46='Flujo de Pagos'!$E395,46,9999)</f>
        <v>46</v>
      </c>
      <c r="BO395" s="0" t="n">
        <f aca="false">IF(Presupuesto!$B$47='Flujo de Pagos'!$E395,47,9999)</f>
        <v>47</v>
      </c>
      <c r="BP395" s="0" t="n">
        <f aca="false">IF(Presupuesto!$B$48='Flujo de Pagos'!$E395,48,9999)</f>
        <v>48</v>
      </c>
      <c r="BQ395" s="0" t="n">
        <f aca="false">IF(Presupuesto!$B$49='Flujo de Pagos'!$E395,49,9999)</f>
        <v>49</v>
      </c>
      <c r="BR395" s="0" t="n">
        <f aca="false">IF(Presupuesto!$B$50='Flujo de Pagos'!$E395,50,9999)</f>
        <v>50</v>
      </c>
      <c r="BS395" s="0" t="n">
        <f aca="false">IF(Presupuesto!$B$51='Flujo de Pagos'!$E395,51,9999)</f>
        <v>51</v>
      </c>
      <c r="BT395" s="0" t="n">
        <f aca="false">IF(Presupuesto!$B$52='Flujo de Pagos'!$E395,52,9999)</f>
        <v>52</v>
      </c>
      <c r="BU395" s="0" t="n">
        <f aca="false">IF(Presupuesto!$B$53='Flujo de Pagos'!$E395,53,9999)</f>
        <v>53</v>
      </c>
      <c r="BV395" s="0" t="n">
        <f aca="false">IF(Presupuesto!$B$54='Flujo de Pagos'!$E395,54,9999)</f>
        <v>54</v>
      </c>
      <c r="BW395" s="0" t="n">
        <f aca="false">IF(Presupuesto!$B$55='Flujo de Pagos'!$E395,55,9999)</f>
        <v>55</v>
      </c>
      <c r="BX395" s="0" t="n">
        <f aca="false">IF(Presupuesto!$B$56='Flujo de Pagos'!$E395,56,9999)</f>
        <v>56</v>
      </c>
      <c r="BY395" s="0" t="n">
        <f aca="false">IF(Presupuesto!$B$57='Flujo de Pagos'!$E395,57,9999)</f>
        <v>57</v>
      </c>
      <c r="BZ395" s="0" t="n">
        <f aca="false">IF(Presupuesto!$B$58='Flujo de Pagos'!$E395,58,9999)</f>
        <v>58</v>
      </c>
      <c r="CA395" s="0" t="n">
        <f aca="false">IF(Presupuesto!$B$59='Flujo de Pagos'!$E395,59,9999)</f>
        <v>59</v>
      </c>
      <c r="CB395" s="0" t="n">
        <f aca="false">IF(Presupuesto!$B$60='Flujo de Pagos'!$E395,60,9999)</f>
        <v>60</v>
      </c>
      <c r="CC395" s="0" t="n">
        <f aca="false">IF(Presupuesto!$B$61='Flujo de Pagos'!$E395,61,9999)</f>
        <v>61</v>
      </c>
      <c r="CD395" s="0" t="n">
        <f aca="false">IF(Presupuesto!$B$62='Flujo de Pagos'!$E395,62,9999)</f>
        <v>62</v>
      </c>
      <c r="CE395" s="0" t="n">
        <f aca="false">IF(Presupuesto!$B$63='Flujo de Pagos'!$E395,63,9999)</f>
        <v>63</v>
      </c>
      <c r="CF395" s="0" t="n">
        <f aca="false">IF(Presupuesto!$B$64='Flujo de Pagos'!$E395,64,9999)</f>
        <v>64</v>
      </c>
      <c r="CG395" s="0" t="n">
        <f aca="false">IF(Presupuesto!$B$65='Flujo de Pagos'!$E395,65,9999)</f>
        <v>65</v>
      </c>
      <c r="CH395" s="0" t="n">
        <f aca="false">IF(Presupuesto!$B$66='Flujo de Pagos'!$E395,66,9999)</f>
        <v>66</v>
      </c>
    </row>
    <row r="396" customFormat="false" ht="15" hidden="false" customHeight="true" outlineLevel="0" collapsed="false">
      <c r="B396" s="1" t="n">
        <f aca="false">IF(AND('Flujo de Pagos'!E401=Carátula!$B$2,'Flujo de Pagos'!F401=Carátula!$B$4,'Flujo de Pagos'!H401&lt;&gt;""),401,99999)</f>
        <v>99999</v>
      </c>
      <c r="H396" s="1" t="n">
        <f aca="false">IF(SMALL($AA396:$CH396,1)&gt;=9999,"",INDEX(Presupuesto!$C:$C,SMALL($AA396:$CH396,1)))</f>
        <v>0</v>
      </c>
      <c r="I396" s="1" t="n">
        <f aca="false">IF(SMALL($AA396:$CH396,2)&gt;=9999,"",INDEX(Presupuesto!$C:$C,SMALL($AA396:$CH396,2)))</f>
        <v>0</v>
      </c>
      <c r="J396" s="1" t="n">
        <f aca="false">IF(SMALL($AA396:$CH396,3)&gt;=9999,"",INDEX(Presupuesto!$C:$C,SMALL($AA396:$CH396,3)))</f>
        <v>0</v>
      </c>
      <c r="K396" s="1" t="n">
        <f aca="false">IF(SMALL($AA396:$CH396,4)&gt;=9999,"",INDEX(Presupuesto!$C:$C,SMALL($AA396:$CH396,4)))</f>
        <v>0</v>
      </c>
      <c r="L396" s="1" t="n">
        <f aca="false">IF(SMALL($AA396:$CH396,5)&gt;=9999,"",INDEX(Presupuesto!$C:$C,SMALL($AA396:$CH396,5)))</f>
        <v>0</v>
      </c>
      <c r="M396" s="1" t="n">
        <f aca="false">IF(SMALL($AA396:$CH396,6)&gt;=9999,"",INDEX(Presupuesto!$C:$C,SMALL($AA396:$CH396,6)))</f>
        <v>0</v>
      </c>
      <c r="N396" s="1" t="n">
        <f aca="false">IF(SMALL($AA396:$CH396,7)&gt;=9999,"",INDEX(Presupuesto!$C:$C,SMALL($AA396:$CH396,7)))</f>
        <v>0</v>
      </c>
      <c r="O396" s="1" t="n">
        <f aca="false">IF(SMALL($AA396:$CH396,8)&gt;=9999,"",INDEX(Presupuesto!$C:$C,SMALL($AA396:$CH396,8)))</f>
        <v>0</v>
      </c>
      <c r="P396" s="1" t="n">
        <f aca="false">IF(SMALL($AA396:$CH396,9)&gt;=9999,"",INDEX(Presupuesto!$C:$C,SMALL($AA396:$CH396,9)))</f>
        <v>0</v>
      </c>
      <c r="Q396" s="1" t="n">
        <f aca="false">IF(SMALL($AA396:$CH396,10)&gt;=9999,"",INDEX(Presupuesto!$C:$C,SMALL($AA396:$CH396,10)))</f>
        <v>0</v>
      </c>
      <c r="AA396" s="0" t="n">
        <f aca="false">IF(Presupuesto!$B$7='Flujo de Pagos'!$E396,7,9999)</f>
        <v>9999</v>
      </c>
      <c r="AB396" s="0" t="n">
        <f aca="false">IF(Presupuesto!$B$8='Flujo de Pagos'!$E396,8,9999)</f>
        <v>9999</v>
      </c>
      <c r="AC396" s="0" t="n">
        <f aca="false">IF(Presupuesto!$B$9='Flujo de Pagos'!$E396,9,9999)</f>
        <v>9999</v>
      </c>
      <c r="AD396" s="0" t="n">
        <f aca="false">IF(Presupuesto!$B$10='Flujo de Pagos'!$E396,10,9999)</f>
        <v>9999</v>
      </c>
      <c r="AE396" s="0" t="n">
        <f aca="false">IF(Presupuesto!$B$11='Flujo de Pagos'!$E396,11,9999)</f>
        <v>9999</v>
      </c>
      <c r="AF396" s="0" t="n">
        <f aca="false">IF(Presupuesto!$B$12='Flujo de Pagos'!$E396,12,9999)</f>
        <v>12</v>
      </c>
      <c r="AG396" s="0" t="n">
        <f aca="false">IF(Presupuesto!$B$13='Flujo de Pagos'!$E396,13,9999)</f>
        <v>13</v>
      </c>
      <c r="AH396" s="0" t="n">
        <f aca="false">IF(Presupuesto!$B$14='Flujo de Pagos'!$E396,14,9999)</f>
        <v>14</v>
      </c>
      <c r="AI396" s="0" t="n">
        <f aca="false">IF(Presupuesto!$B$15='Flujo de Pagos'!$E396,15,9999)</f>
        <v>15</v>
      </c>
      <c r="AJ396" s="0" t="n">
        <f aca="false">IF(Presupuesto!$B$16='Flujo de Pagos'!$E396,16,9999)</f>
        <v>16</v>
      </c>
      <c r="AK396" s="0" t="n">
        <f aca="false">IF(Presupuesto!$B$17='Flujo de Pagos'!$E396,17,9999)</f>
        <v>17</v>
      </c>
      <c r="AL396" s="0" t="n">
        <f aca="false">IF(Presupuesto!$B$18='Flujo de Pagos'!$E396,18,9999)</f>
        <v>18</v>
      </c>
      <c r="AM396" s="0" t="n">
        <f aca="false">IF(Presupuesto!$B$19='Flujo de Pagos'!$E396,19,9999)</f>
        <v>19</v>
      </c>
      <c r="AN396" s="0" t="n">
        <f aca="false">IF(Presupuesto!$B$20='Flujo de Pagos'!$E396,20,9999)</f>
        <v>20</v>
      </c>
      <c r="AO396" s="0" t="n">
        <f aca="false">IF(Presupuesto!$B$21='Flujo de Pagos'!$E396,21,9999)</f>
        <v>21</v>
      </c>
      <c r="AP396" s="0" t="n">
        <f aca="false">IF(Presupuesto!$B$22='Flujo de Pagos'!$E396,22,9999)</f>
        <v>22</v>
      </c>
      <c r="AQ396" s="0" t="n">
        <f aca="false">IF(Presupuesto!$B$23='Flujo de Pagos'!$E396,23,9999)</f>
        <v>23</v>
      </c>
      <c r="AR396" s="0" t="n">
        <f aca="false">IF(Presupuesto!$B$24='Flujo de Pagos'!$E396,24,9999)</f>
        <v>24</v>
      </c>
      <c r="AS396" s="0" t="n">
        <f aca="false">IF(Presupuesto!$B$25='Flujo de Pagos'!$E396,25,9999)</f>
        <v>25</v>
      </c>
      <c r="AT396" s="0" t="n">
        <f aca="false">IF(Presupuesto!$B$26='Flujo de Pagos'!$E396,26,9999)</f>
        <v>26</v>
      </c>
      <c r="AU396" s="0" t="n">
        <f aca="false">IF(Presupuesto!$B$27='Flujo de Pagos'!$E396,27,9999)</f>
        <v>27</v>
      </c>
      <c r="AV396" s="0" t="n">
        <f aca="false">IF(Presupuesto!$B$28='Flujo de Pagos'!$E396,28,9999)</f>
        <v>28</v>
      </c>
      <c r="AW396" s="0" t="n">
        <f aca="false">IF(Presupuesto!$B$29='Flujo de Pagos'!$E396,29,9999)</f>
        <v>29</v>
      </c>
      <c r="AX396" s="0" t="n">
        <f aca="false">IF(Presupuesto!$B$30='Flujo de Pagos'!$E396,30,9999)</f>
        <v>30</v>
      </c>
      <c r="AY396" s="0" t="n">
        <f aca="false">IF(Presupuesto!$B$31='Flujo de Pagos'!$E396,31,9999)</f>
        <v>31</v>
      </c>
      <c r="AZ396" s="0" t="n">
        <f aca="false">IF(Presupuesto!$B$32='Flujo de Pagos'!$E396,32,9999)</f>
        <v>32</v>
      </c>
      <c r="BA396" s="0" t="n">
        <f aca="false">IF(Presupuesto!$B$33='Flujo de Pagos'!$E396,33,9999)</f>
        <v>33</v>
      </c>
      <c r="BB396" s="0" t="n">
        <f aca="false">IF(Presupuesto!$B$34='Flujo de Pagos'!$E396,34,9999)</f>
        <v>34</v>
      </c>
      <c r="BC396" s="0" t="n">
        <f aca="false">IF(Presupuesto!$B$35='Flujo de Pagos'!$E396,35,9999)</f>
        <v>35</v>
      </c>
      <c r="BD396" s="0" t="n">
        <f aca="false">IF(Presupuesto!$B$36='Flujo de Pagos'!$E396,36,9999)</f>
        <v>36</v>
      </c>
      <c r="BE396" s="0" t="n">
        <f aca="false">IF(Presupuesto!$B$37='Flujo de Pagos'!$E396,37,9999)</f>
        <v>37</v>
      </c>
      <c r="BF396" s="0" t="n">
        <f aca="false">IF(Presupuesto!$B$38='Flujo de Pagos'!$E396,38,9999)</f>
        <v>38</v>
      </c>
      <c r="BG396" s="0" t="n">
        <f aca="false">IF(Presupuesto!$B$39='Flujo de Pagos'!$E396,39,9999)</f>
        <v>39</v>
      </c>
      <c r="BH396" s="0" t="n">
        <f aca="false">IF(Presupuesto!$B$40='Flujo de Pagos'!$E396,40,9999)</f>
        <v>40</v>
      </c>
      <c r="BI396" s="0" t="n">
        <f aca="false">IF(Presupuesto!$B$41='Flujo de Pagos'!$E396,41,9999)</f>
        <v>41</v>
      </c>
      <c r="BJ396" s="0" t="n">
        <f aca="false">IF(Presupuesto!$B$42='Flujo de Pagos'!$E396,42,9999)</f>
        <v>42</v>
      </c>
      <c r="BK396" s="0" t="n">
        <f aca="false">IF(Presupuesto!$B$43='Flujo de Pagos'!$E396,43,9999)</f>
        <v>43</v>
      </c>
      <c r="BL396" s="0" t="n">
        <f aca="false">IF(Presupuesto!$B$44='Flujo de Pagos'!$E396,44,9999)</f>
        <v>44</v>
      </c>
      <c r="BM396" s="0" t="n">
        <f aca="false">IF(Presupuesto!$B$45='Flujo de Pagos'!$E396,45,9999)</f>
        <v>45</v>
      </c>
      <c r="BN396" s="0" t="n">
        <f aca="false">IF(Presupuesto!$B$46='Flujo de Pagos'!$E396,46,9999)</f>
        <v>46</v>
      </c>
      <c r="BO396" s="0" t="n">
        <f aca="false">IF(Presupuesto!$B$47='Flujo de Pagos'!$E396,47,9999)</f>
        <v>47</v>
      </c>
      <c r="BP396" s="0" t="n">
        <f aca="false">IF(Presupuesto!$B$48='Flujo de Pagos'!$E396,48,9999)</f>
        <v>48</v>
      </c>
      <c r="BQ396" s="0" t="n">
        <f aca="false">IF(Presupuesto!$B$49='Flujo de Pagos'!$E396,49,9999)</f>
        <v>49</v>
      </c>
      <c r="BR396" s="0" t="n">
        <f aca="false">IF(Presupuesto!$B$50='Flujo de Pagos'!$E396,50,9999)</f>
        <v>50</v>
      </c>
      <c r="BS396" s="0" t="n">
        <f aca="false">IF(Presupuesto!$B$51='Flujo de Pagos'!$E396,51,9999)</f>
        <v>51</v>
      </c>
      <c r="BT396" s="0" t="n">
        <f aca="false">IF(Presupuesto!$B$52='Flujo de Pagos'!$E396,52,9999)</f>
        <v>52</v>
      </c>
      <c r="BU396" s="0" t="n">
        <f aca="false">IF(Presupuesto!$B$53='Flujo de Pagos'!$E396,53,9999)</f>
        <v>53</v>
      </c>
      <c r="BV396" s="0" t="n">
        <f aca="false">IF(Presupuesto!$B$54='Flujo de Pagos'!$E396,54,9999)</f>
        <v>54</v>
      </c>
      <c r="BW396" s="0" t="n">
        <f aca="false">IF(Presupuesto!$B$55='Flujo de Pagos'!$E396,55,9999)</f>
        <v>55</v>
      </c>
      <c r="BX396" s="0" t="n">
        <f aca="false">IF(Presupuesto!$B$56='Flujo de Pagos'!$E396,56,9999)</f>
        <v>56</v>
      </c>
      <c r="BY396" s="0" t="n">
        <f aca="false">IF(Presupuesto!$B$57='Flujo de Pagos'!$E396,57,9999)</f>
        <v>57</v>
      </c>
      <c r="BZ396" s="0" t="n">
        <f aca="false">IF(Presupuesto!$B$58='Flujo de Pagos'!$E396,58,9999)</f>
        <v>58</v>
      </c>
      <c r="CA396" s="0" t="n">
        <f aca="false">IF(Presupuesto!$B$59='Flujo de Pagos'!$E396,59,9999)</f>
        <v>59</v>
      </c>
      <c r="CB396" s="0" t="n">
        <f aca="false">IF(Presupuesto!$B$60='Flujo de Pagos'!$E396,60,9999)</f>
        <v>60</v>
      </c>
      <c r="CC396" s="0" t="n">
        <f aca="false">IF(Presupuesto!$B$61='Flujo de Pagos'!$E396,61,9999)</f>
        <v>61</v>
      </c>
      <c r="CD396" s="0" t="n">
        <f aca="false">IF(Presupuesto!$B$62='Flujo de Pagos'!$E396,62,9999)</f>
        <v>62</v>
      </c>
      <c r="CE396" s="0" t="n">
        <f aca="false">IF(Presupuesto!$B$63='Flujo de Pagos'!$E396,63,9999)</f>
        <v>63</v>
      </c>
      <c r="CF396" s="0" t="n">
        <f aca="false">IF(Presupuesto!$B$64='Flujo de Pagos'!$E396,64,9999)</f>
        <v>64</v>
      </c>
      <c r="CG396" s="0" t="n">
        <f aca="false">IF(Presupuesto!$B$65='Flujo de Pagos'!$E396,65,9999)</f>
        <v>65</v>
      </c>
      <c r="CH396" s="0" t="n">
        <f aca="false">IF(Presupuesto!$B$66='Flujo de Pagos'!$E396,66,9999)</f>
        <v>66</v>
      </c>
    </row>
    <row r="397" customFormat="false" ht="15" hidden="false" customHeight="true" outlineLevel="0" collapsed="false">
      <c r="B397" s="1" t="n">
        <f aca="false">IF(AND('Flujo de Pagos'!E402=Carátula!$B$2,'Flujo de Pagos'!F402=Carátula!$B$4,'Flujo de Pagos'!H402&lt;&gt;""),402,99999)</f>
        <v>99999</v>
      </c>
      <c r="H397" s="1" t="n">
        <f aca="false">IF(SMALL($AA397:$CH397,1)&gt;=9999,"",INDEX(Presupuesto!$C:$C,SMALL($AA397:$CH397,1)))</f>
        <v>0</v>
      </c>
      <c r="I397" s="1" t="n">
        <f aca="false">IF(SMALL($AA397:$CH397,2)&gt;=9999,"",INDEX(Presupuesto!$C:$C,SMALL($AA397:$CH397,2)))</f>
        <v>0</v>
      </c>
      <c r="J397" s="1" t="n">
        <f aca="false">IF(SMALL($AA397:$CH397,3)&gt;=9999,"",INDEX(Presupuesto!$C:$C,SMALL($AA397:$CH397,3)))</f>
        <v>0</v>
      </c>
      <c r="K397" s="1" t="n">
        <f aca="false">IF(SMALL($AA397:$CH397,4)&gt;=9999,"",INDEX(Presupuesto!$C:$C,SMALL($AA397:$CH397,4)))</f>
        <v>0</v>
      </c>
      <c r="L397" s="1" t="n">
        <f aca="false">IF(SMALL($AA397:$CH397,5)&gt;=9999,"",INDEX(Presupuesto!$C:$C,SMALL($AA397:$CH397,5)))</f>
        <v>0</v>
      </c>
      <c r="M397" s="1" t="n">
        <f aca="false">IF(SMALL($AA397:$CH397,6)&gt;=9999,"",INDEX(Presupuesto!$C:$C,SMALL($AA397:$CH397,6)))</f>
        <v>0</v>
      </c>
      <c r="N397" s="1" t="n">
        <f aca="false">IF(SMALL($AA397:$CH397,7)&gt;=9999,"",INDEX(Presupuesto!$C:$C,SMALL($AA397:$CH397,7)))</f>
        <v>0</v>
      </c>
      <c r="O397" s="1" t="n">
        <f aca="false">IF(SMALL($AA397:$CH397,8)&gt;=9999,"",INDEX(Presupuesto!$C:$C,SMALL($AA397:$CH397,8)))</f>
        <v>0</v>
      </c>
      <c r="P397" s="1" t="n">
        <f aca="false">IF(SMALL($AA397:$CH397,9)&gt;=9999,"",INDEX(Presupuesto!$C:$C,SMALL($AA397:$CH397,9)))</f>
        <v>0</v>
      </c>
      <c r="Q397" s="1" t="n">
        <f aca="false">IF(SMALL($AA397:$CH397,10)&gt;=9999,"",INDEX(Presupuesto!$C:$C,SMALL($AA397:$CH397,10)))</f>
        <v>0</v>
      </c>
      <c r="AA397" s="0" t="n">
        <f aca="false">IF(Presupuesto!$B$7='Flujo de Pagos'!$E397,7,9999)</f>
        <v>9999</v>
      </c>
      <c r="AB397" s="0" t="n">
        <f aca="false">IF(Presupuesto!$B$8='Flujo de Pagos'!$E397,8,9999)</f>
        <v>9999</v>
      </c>
      <c r="AC397" s="0" t="n">
        <f aca="false">IF(Presupuesto!$B$9='Flujo de Pagos'!$E397,9,9999)</f>
        <v>9999</v>
      </c>
      <c r="AD397" s="0" t="n">
        <f aca="false">IF(Presupuesto!$B$10='Flujo de Pagos'!$E397,10,9999)</f>
        <v>9999</v>
      </c>
      <c r="AE397" s="0" t="n">
        <f aca="false">IF(Presupuesto!$B$11='Flujo de Pagos'!$E397,11,9999)</f>
        <v>9999</v>
      </c>
      <c r="AF397" s="0" t="n">
        <f aca="false">IF(Presupuesto!$B$12='Flujo de Pagos'!$E397,12,9999)</f>
        <v>12</v>
      </c>
      <c r="AG397" s="0" t="n">
        <f aca="false">IF(Presupuesto!$B$13='Flujo de Pagos'!$E397,13,9999)</f>
        <v>13</v>
      </c>
      <c r="AH397" s="0" t="n">
        <f aca="false">IF(Presupuesto!$B$14='Flujo de Pagos'!$E397,14,9999)</f>
        <v>14</v>
      </c>
      <c r="AI397" s="0" t="n">
        <f aca="false">IF(Presupuesto!$B$15='Flujo de Pagos'!$E397,15,9999)</f>
        <v>15</v>
      </c>
      <c r="AJ397" s="0" t="n">
        <f aca="false">IF(Presupuesto!$B$16='Flujo de Pagos'!$E397,16,9999)</f>
        <v>16</v>
      </c>
      <c r="AK397" s="0" t="n">
        <f aca="false">IF(Presupuesto!$B$17='Flujo de Pagos'!$E397,17,9999)</f>
        <v>17</v>
      </c>
      <c r="AL397" s="0" t="n">
        <f aca="false">IF(Presupuesto!$B$18='Flujo de Pagos'!$E397,18,9999)</f>
        <v>18</v>
      </c>
      <c r="AM397" s="0" t="n">
        <f aca="false">IF(Presupuesto!$B$19='Flujo de Pagos'!$E397,19,9999)</f>
        <v>19</v>
      </c>
      <c r="AN397" s="0" t="n">
        <f aca="false">IF(Presupuesto!$B$20='Flujo de Pagos'!$E397,20,9999)</f>
        <v>20</v>
      </c>
      <c r="AO397" s="0" t="n">
        <f aca="false">IF(Presupuesto!$B$21='Flujo de Pagos'!$E397,21,9999)</f>
        <v>21</v>
      </c>
      <c r="AP397" s="0" t="n">
        <f aca="false">IF(Presupuesto!$B$22='Flujo de Pagos'!$E397,22,9999)</f>
        <v>22</v>
      </c>
      <c r="AQ397" s="0" t="n">
        <f aca="false">IF(Presupuesto!$B$23='Flujo de Pagos'!$E397,23,9999)</f>
        <v>23</v>
      </c>
      <c r="AR397" s="0" t="n">
        <f aca="false">IF(Presupuesto!$B$24='Flujo de Pagos'!$E397,24,9999)</f>
        <v>24</v>
      </c>
      <c r="AS397" s="0" t="n">
        <f aca="false">IF(Presupuesto!$B$25='Flujo de Pagos'!$E397,25,9999)</f>
        <v>25</v>
      </c>
      <c r="AT397" s="0" t="n">
        <f aca="false">IF(Presupuesto!$B$26='Flujo de Pagos'!$E397,26,9999)</f>
        <v>26</v>
      </c>
      <c r="AU397" s="0" t="n">
        <f aca="false">IF(Presupuesto!$B$27='Flujo de Pagos'!$E397,27,9999)</f>
        <v>27</v>
      </c>
      <c r="AV397" s="0" t="n">
        <f aca="false">IF(Presupuesto!$B$28='Flujo de Pagos'!$E397,28,9999)</f>
        <v>28</v>
      </c>
      <c r="AW397" s="0" t="n">
        <f aca="false">IF(Presupuesto!$B$29='Flujo de Pagos'!$E397,29,9999)</f>
        <v>29</v>
      </c>
      <c r="AX397" s="0" t="n">
        <f aca="false">IF(Presupuesto!$B$30='Flujo de Pagos'!$E397,30,9999)</f>
        <v>30</v>
      </c>
      <c r="AY397" s="0" t="n">
        <f aca="false">IF(Presupuesto!$B$31='Flujo de Pagos'!$E397,31,9999)</f>
        <v>31</v>
      </c>
      <c r="AZ397" s="0" t="n">
        <f aca="false">IF(Presupuesto!$B$32='Flujo de Pagos'!$E397,32,9999)</f>
        <v>32</v>
      </c>
      <c r="BA397" s="0" t="n">
        <f aca="false">IF(Presupuesto!$B$33='Flujo de Pagos'!$E397,33,9999)</f>
        <v>33</v>
      </c>
      <c r="BB397" s="0" t="n">
        <f aca="false">IF(Presupuesto!$B$34='Flujo de Pagos'!$E397,34,9999)</f>
        <v>34</v>
      </c>
      <c r="BC397" s="0" t="n">
        <f aca="false">IF(Presupuesto!$B$35='Flujo de Pagos'!$E397,35,9999)</f>
        <v>35</v>
      </c>
      <c r="BD397" s="0" t="n">
        <f aca="false">IF(Presupuesto!$B$36='Flujo de Pagos'!$E397,36,9999)</f>
        <v>36</v>
      </c>
      <c r="BE397" s="0" t="n">
        <f aca="false">IF(Presupuesto!$B$37='Flujo de Pagos'!$E397,37,9999)</f>
        <v>37</v>
      </c>
      <c r="BF397" s="0" t="n">
        <f aca="false">IF(Presupuesto!$B$38='Flujo de Pagos'!$E397,38,9999)</f>
        <v>38</v>
      </c>
      <c r="BG397" s="0" t="n">
        <f aca="false">IF(Presupuesto!$B$39='Flujo de Pagos'!$E397,39,9999)</f>
        <v>39</v>
      </c>
      <c r="BH397" s="0" t="n">
        <f aca="false">IF(Presupuesto!$B$40='Flujo de Pagos'!$E397,40,9999)</f>
        <v>40</v>
      </c>
      <c r="BI397" s="0" t="n">
        <f aca="false">IF(Presupuesto!$B$41='Flujo de Pagos'!$E397,41,9999)</f>
        <v>41</v>
      </c>
      <c r="BJ397" s="0" t="n">
        <f aca="false">IF(Presupuesto!$B$42='Flujo de Pagos'!$E397,42,9999)</f>
        <v>42</v>
      </c>
      <c r="BK397" s="0" t="n">
        <f aca="false">IF(Presupuesto!$B$43='Flujo de Pagos'!$E397,43,9999)</f>
        <v>43</v>
      </c>
      <c r="BL397" s="0" t="n">
        <f aca="false">IF(Presupuesto!$B$44='Flujo de Pagos'!$E397,44,9999)</f>
        <v>44</v>
      </c>
      <c r="BM397" s="0" t="n">
        <f aca="false">IF(Presupuesto!$B$45='Flujo de Pagos'!$E397,45,9999)</f>
        <v>45</v>
      </c>
      <c r="BN397" s="0" t="n">
        <f aca="false">IF(Presupuesto!$B$46='Flujo de Pagos'!$E397,46,9999)</f>
        <v>46</v>
      </c>
      <c r="BO397" s="0" t="n">
        <f aca="false">IF(Presupuesto!$B$47='Flujo de Pagos'!$E397,47,9999)</f>
        <v>47</v>
      </c>
      <c r="BP397" s="0" t="n">
        <f aca="false">IF(Presupuesto!$B$48='Flujo de Pagos'!$E397,48,9999)</f>
        <v>48</v>
      </c>
      <c r="BQ397" s="0" t="n">
        <f aca="false">IF(Presupuesto!$B$49='Flujo de Pagos'!$E397,49,9999)</f>
        <v>49</v>
      </c>
      <c r="BR397" s="0" t="n">
        <f aca="false">IF(Presupuesto!$B$50='Flujo de Pagos'!$E397,50,9999)</f>
        <v>50</v>
      </c>
      <c r="BS397" s="0" t="n">
        <f aca="false">IF(Presupuesto!$B$51='Flujo de Pagos'!$E397,51,9999)</f>
        <v>51</v>
      </c>
      <c r="BT397" s="0" t="n">
        <f aca="false">IF(Presupuesto!$B$52='Flujo de Pagos'!$E397,52,9999)</f>
        <v>52</v>
      </c>
      <c r="BU397" s="0" t="n">
        <f aca="false">IF(Presupuesto!$B$53='Flujo de Pagos'!$E397,53,9999)</f>
        <v>53</v>
      </c>
      <c r="BV397" s="0" t="n">
        <f aca="false">IF(Presupuesto!$B$54='Flujo de Pagos'!$E397,54,9999)</f>
        <v>54</v>
      </c>
      <c r="BW397" s="0" t="n">
        <f aca="false">IF(Presupuesto!$B$55='Flujo de Pagos'!$E397,55,9999)</f>
        <v>55</v>
      </c>
      <c r="BX397" s="0" t="n">
        <f aca="false">IF(Presupuesto!$B$56='Flujo de Pagos'!$E397,56,9999)</f>
        <v>56</v>
      </c>
      <c r="BY397" s="0" t="n">
        <f aca="false">IF(Presupuesto!$B$57='Flujo de Pagos'!$E397,57,9999)</f>
        <v>57</v>
      </c>
      <c r="BZ397" s="0" t="n">
        <f aca="false">IF(Presupuesto!$B$58='Flujo de Pagos'!$E397,58,9999)</f>
        <v>58</v>
      </c>
      <c r="CA397" s="0" t="n">
        <f aca="false">IF(Presupuesto!$B$59='Flujo de Pagos'!$E397,59,9999)</f>
        <v>59</v>
      </c>
      <c r="CB397" s="0" t="n">
        <f aca="false">IF(Presupuesto!$B$60='Flujo de Pagos'!$E397,60,9999)</f>
        <v>60</v>
      </c>
      <c r="CC397" s="0" t="n">
        <f aca="false">IF(Presupuesto!$B$61='Flujo de Pagos'!$E397,61,9999)</f>
        <v>61</v>
      </c>
      <c r="CD397" s="0" t="n">
        <f aca="false">IF(Presupuesto!$B$62='Flujo de Pagos'!$E397,62,9999)</f>
        <v>62</v>
      </c>
      <c r="CE397" s="0" t="n">
        <f aca="false">IF(Presupuesto!$B$63='Flujo de Pagos'!$E397,63,9999)</f>
        <v>63</v>
      </c>
      <c r="CF397" s="0" t="n">
        <f aca="false">IF(Presupuesto!$B$64='Flujo de Pagos'!$E397,64,9999)</f>
        <v>64</v>
      </c>
      <c r="CG397" s="0" t="n">
        <f aca="false">IF(Presupuesto!$B$65='Flujo de Pagos'!$E397,65,9999)</f>
        <v>65</v>
      </c>
      <c r="CH397" s="0" t="n">
        <f aca="false">IF(Presupuesto!$B$66='Flujo de Pagos'!$E397,66,9999)</f>
        <v>66</v>
      </c>
    </row>
    <row r="398" customFormat="false" ht="15" hidden="false" customHeight="true" outlineLevel="0" collapsed="false">
      <c r="B398" s="1" t="n">
        <f aca="false">IF(AND('Flujo de Pagos'!E403=Carátula!$B$2,'Flujo de Pagos'!F403=Carátula!$B$4,'Flujo de Pagos'!H403&lt;&gt;""),403,99999)</f>
        <v>99999</v>
      </c>
      <c r="H398" s="1" t="n">
        <f aca="false">IF(SMALL($AA398:$CH398,1)&gt;=9999,"",INDEX(Presupuesto!$C:$C,SMALL($AA398:$CH398,1)))</f>
        <v>0</v>
      </c>
      <c r="I398" s="1" t="n">
        <f aca="false">IF(SMALL($AA398:$CH398,2)&gt;=9999,"",INDEX(Presupuesto!$C:$C,SMALL($AA398:$CH398,2)))</f>
        <v>0</v>
      </c>
      <c r="J398" s="1" t="n">
        <f aca="false">IF(SMALL($AA398:$CH398,3)&gt;=9999,"",INDEX(Presupuesto!$C:$C,SMALL($AA398:$CH398,3)))</f>
        <v>0</v>
      </c>
      <c r="K398" s="1" t="n">
        <f aca="false">IF(SMALL($AA398:$CH398,4)&gt;=9999,"",INDEX(Presupuesto!$C:$C,SMALL($AA398:$CH398,4)))</f>
        <v>0</v>
      </c>
      <c r="L398" s="1" t="n">
        <f aca="false">IF(SMALL($AA398:$CH398,5)&gt;=9999,"",INDEX(Presupuesto!$C:$C,SMALL($AA398:$CH398,5)))</f>
        <v>0</v>
      </c>
      <c r="M398" s="1" t="n">
        <f aca="false">IF(SMALL($AA398:$CH398,6)&gt;=9999,"",INDEX(Presupuesto!$C:$C,SMALL($AA398:$CH398,6)))</f>
        <v>0</v>
      </c>
      <c r="N398" s="1" t="n">
        <f aca="false">IF(SMALL($AA398:$CH398,7)&gt;=9999,"",INDEX(Presupuesto!$C:$C,SMALL($AA398:$CH398,7)))</f>
        <v>0</v>
      </c>
      <c r="O398" s="1" t="n">
        <f aca="false">IF(SMALL($AA398:$CH398,8)&gt;=9999,"",INDEX(Presupuesto!$C:$C,SMALL($AA398:$CH398,8)))</f>
        <v>0</v>
      </c>
      <c r="P398" s="1" t="n">
        <f aca="false">IF(SMALL($AA398:$CH398,9)&gt;=9999,"",INDEX(Presupuesto!$C:$C,SMALL($AA398:$CH398,9)))</f>
        <v>0</v>
      </c>
      <c r="Q398" s="1" t="n">
        <f aca="false">IF(SMALL($AA398:$CH398,10)&gt;=9999,"",INDEX(Presupuesto!$C:$C,SMALL($AA398:$CH398,10)))</f>
        <v>0</v>
      </c>
      <c r="AA398" s="0" t="n">
        <f aca="false">IF(Presupuesto!$B$7='Flujo de Pagos'!$E398,7,9999)</f>
        <v>9999</v>
      </c>
      <c r="AB398" s="0" t="n">
        <f aca="false">IF(Presupuesto!$B$8='Flujo de Pagos'!$E398,8,9999)</f>
        <v>9999</v>
      </c>
      <c r="AC398" s="0" t="n">
        <f aca="false">IF(Presupuesto!$B$9='Flujo de Pagos'!$E398,9,9999)</f>
        <v>9999</v>
      </c>
      <c r="AD398" s="0" t="n">
        <f aca="false">IF(Presupuesto!$B$10='Flujo de Pagos'!$E398,10,9999)</f>
        <v>9999</v>
      </c>
      <c r="AE398" s="0" t="n">
        <f aca="false">IF(Presupuesto!$B$11='Flujo de Pagos'!$E398,11,9999)</f>
        <v>9999</v>
      </c>
      <c r="AF398" s="0" t="n">
        <f aca="false">IF(Presupuesto!$B$12='Flujo de Pagos'!$E398,12,9999)</f>
        <v>12</v>
      </c>
      <c r="AG398" s="0" t="n">
        <f aca="false">IF(Presupuesto!$B$13='Flujo de Pagos'!$E398,13,9999)</f>
        <v>13</v>
      </c>
      <c r="AH398" s="0" t="n">
        <f aca="false">IF(Presupuesto!$B$14='Flujo de Pagos'!$E398,14,9999)</f>
        <v>14</v>
      </c>
      <c r="AI398" s="0" t="n">
        <f aca="false">IF(Presupuesto!$B$15='Flujo de Pagos'!$E398,15,9999)</f>
        <v>15</v>
      </c>
      <c r="AJ398" s="0" t="n">
        <f aca="false">IF(Presupuesto!$B$16='Flujo de Pagos'!$E398,16,9999)</f>
        <v>16</v>
      </c>
      <c r="AK398" s="0" t="n">
        <f aca="false">IF(Presupuesto!$B$17='Flujo de Pagos'!$E398,17,9999)</f>
        <v>17</v>
      </c>
      <c r="AL398" s="0" t="n">
        <f aca="false">IF(Presupuesto!$B$18='Flujo de Pagos'!$E398,18,9999)</f>
        <v>18</v>
      </c>
      <c r="AM398" s="0" t="n">
        <f aca="false">IF(Presupuesto!$B$19='Flujo de Pagos'!$E398,19,9999)</f>
        <v>19</v>
      </c>
      <c r="AN398" s="0" t="n">
        <f aca="false">IF(Presupuesto!$B$20='Flujo de Pagos'!$E398,20,9999)</f>
        <v>20</v>
      </c>
      <c r="AO398" s="0" t="n">
        <f aca="false">IF(Presupuesto!$B$21='Flujo de Pagos'!$E398,21,9999)</f>
        <v>21</v>
      </c>
      <c r="AP398" s="0" t="n">
        <f aca="false">IF(Presupuesto!$B$22='Flujo de Pagos'!$E398,22,9999)</f>
        <v>22</v>
      </c>
      <c r="AQ398" s="0" t="n">
        <f aca="false">IF(Presupuesto!$B$23='Flujo de Pagos'!$E398,23,9999)</f>
        <v>23</v>
      </c>
      <c r="AR398" s="0" t="n">
        <f aca="false">IF(Presupuesto!$B$24='Flujo de Pagos'!$E398,24,9999)</f>
        <v>24</v>
      </c>
      <c r="AS398" s="0" t="n">
        <f aca="false">IF(Presupuesto!$B$25='Flujo de Pagos'!$E398,25,9999)</f>
        <v>25</v>
      </c>
      <c r="AT398" s="0" t="n">
        <f aca="false">IF(Presupuesto!$B$26='Flujo de Pagos'!$E398,26,9999)</f>
        <v>26</v>
      </c>
      <c r="AU398" s="0" t="n">
        <f aca="false">IF(Presupuesto!$B$27='Flujo de Pagos'!$E398,27,9999)</f>
        <v>27</v>
      </c>
      <c r="AV398" s="0" t="n">
        <f aca="false">IF(Presupuesto!$B$28='Flujo de Pagos'!$E398,28,9999)</f>
        <v>28</v>
      </c>
      <c r="AW398" s="0" t="n">
        <f aca="false">IF(Presupuesto!$B$29='Flujo de Pagos'!$E398,29,9999)</f>
        <v>29</v>
      </c>
      <c r="AX398" s="0" t="n">
        <f aca="false">IF(Presupuesto!$B$30='Flujo de Pagos'!$E398,30,9999)</f>
        <v>30</v>
      </c>
      <c r="AY398" s="0" t="n">
        <f aca="false">IF(Presupuesto!$B$31='Flujo de Pagos'!$E398,31,9999)</f>
        <v>31</v>
      </c>
      <c r="AZ398" s="0" t="n">
        <f aca="false">IF(Presupuesto!$B$32='Flujo de Pagos'!$E398,32,9999)</f>
        <v>32</v>
      </c>
      <c r="BA398" s="0" t="n">
        <f aca="false">IF(Presupuesto!$B$33='Flujo de Pagos'!$E398,33,9999)</f>
        <v>33</v>
      </c>
      <c r="BB398" s="0" t="n">
        <f aca="false">IF(Presupuesto!$B$34='Flujo de Pagos'!$E398,34,9999)</f>
        <v>34</v>
      </c>
      <c r="BC398" s="0" t="n">
        <f aca="false">IF(Presupuesto!$B$35='Flujo de Pagos'!$E398,35,9999)</f>
        <v>35</v>
      </c>
      <c r="BD398" s="0" t="n">
        <f aca="false">IF(Presupuesto!$B$36='Flujo de Pagos'!$E398,36,9999)</f>
        <v>36</v>
      </c>
      <c r="BE398" s="0" t="n">
        <f aca="false">IF(Presupuesto!$B$37='Flujo de Pagos'!$E398,37,9999)</f>
        <v>37</v>
      </c>
      <c r="BF398" s="0" t="n">
        <f aca="false">IF(Presupuesto!$B$38='Flujo de Pagos'!$E398,38,9999)</f>
        <v>38</v>
      </c>
      <c r="BG398" s="0" t="n">
        <f aca="false">IF(Presupuesto!$B$39='Flujo de Pagos'!$E398,39,9999)</f>
        <v>39</v>
      </c>
      <c r="BH398" s="0" t="n">
        <f aca="false">IF(Presupuesto!$B$40='Flujo de Pagos'!$E398,40,9999)</f>
        <v>40</v>
      </c>
      <c r="BI398" s="0" t="n">
        <f aca="false">IF(Presupuesto!$B$41='Flujo de Pagos'!$E398,41,9999)</f>
        <v>41</v>
      </c>
      <c r="BJ398" s="0" t="n">
        <f aca="false">IF(Presupuesto!$B$42='Flujo de Pagos'!$E398,42,9999)</f>
        <v>42</v>
      </c>
      <c r="BK398" s="0" t="n">
        <f aca="false">IF(Presupuesto!$B$43='Flujo de Pagos'!$E398,43,9999)</f>
        <v>43</v>
      </c>
      <c r="BL398" s="0" t="n">
        <f aca="false">IF(Presupuesto!$B$44='Flujo de Pagos'!$E398,44,9999)</f>
        <v>44</v>
      </c>
      <c r="BM398" s="0" t="n">
        <f aca="false">IF(Presupuesto!$B$45='Flujo de Pagos'!$E398,45,9999)</f>
        <v>45</v>
      </c>
      <c r="BN398" s="0" t="n">
        <f aca="false">IF(Presupuesto!$B$46='Flujo de Pagos'!$E398,46,9999)</f>
        <v>46</v>
      </c>
      <c r="BO398" s="0" t="n">
        <f aca="false">IF(Presupuesto!$B$47='Flujo de Pagos'!$E398,47,9999)</f>
        <v>47</v>
      </c>
      <c r="BP398" s="0" t="n">
        <f aca="false">IF(Presupuesto!$B$48='Flujo de Pagos'!$E398,48,9999)</f>
        <v>48</v>
      </c>
      <c r="BQ398" s="0" t="n">
        <f aca="false">IF(Presupuesto!$B$49='Flujo de Pagos'!$E398,49,9999)</f>
        <v>49</v>
      </c>
      <c r="BR398" s="0" t="n">
        <f aca="false">IF(Presupuesto!$B$50='Flujo de Pagos'!$E398,50,9999)</f>
        <v>50</v>
      </c>
      <c r="BS398" s="0" t="n">
        <f aca="false">IF(Presupuesto!$B$51='Flujo de Pagos'!$E398,51,9999)</f>
        <v>51</v>
      </c>
      <c r="BT398" s="0" t="n">
        <f aca="false">IF(Presupuesto!$B$52='Flujo de Pagos'!$E398,52,9999)</f>
        <v>52</v>
      </c>
      <c r="BU398" s="0" t="n">
        <f aca="false">IF(Presupuesto!$B$53='Flujo de Pagos'!$E398,53,9999)</f>
        <v>53</v>
      </c>
      <c r="BV398" s="0" t="n">
        <f aca="false">IF(Presupuesto!$B$54='Flujo de Pagos'!$E398,54,9999)</f>
        <v>54</v>
      </c>
      <c r="BW398" s="0" t="n">
        <f aca="false">IF(Presupuesto!$B$55='Flujo de Pagos'!$E398,55,9999)</f>
        <v>55</v>
      </c>
      <c r="BX398" s="0" t="n">
        <f aca="false">IF(Presupuesto!$B$56='Flujo de Pagos'!$E398,56,9999)</f>
        <v>56</v>
      </c>
      <c r="BY398" s="0" t="n">
        <f aca="false">IF(Presupuesto!$B$57='Flujo de Pagos'!$E398,57,9999)</f>
        <v>57</v>
      </c>
      <c r="BZ398" s="0" t="n">
        <f aca="false">IF(Presupuesto!$B$58='Flujo de Pagos'!$E398,58,9999)</f>
        <v>58</v>
      </c>
      <c r="CA398" s="0" t="n">
        <f aca="false">IF(Presupuesto!$B$59='Flujo de Pagos'!$E398,59,9999)</f>
        <v>59</v>
      </c>
      <c r="CB398" s="0" t="n">
        <f aca="false">IF(Presupuesto!$B$60='Flujo de Pagos'!$E398,60,9999)</f>
        <v>60</v>
      </c>
      <c r="CC398" s="0" t="n">
        <f aca="false">IF(Presupuesto!$B$61='Flujo de Pagos'!$E398,61,9999)</f>
        <v>61</v>
      </c>
      <c r="CD398" s="0" t="n">
        <f aca="false">IF(Presupuesto!$B$62='Flujo de Pagos'!$E398,62,9999)</f>
        <v>62</v>
      </c>
      <c r="CE398" s="0" t="n">
        <f aca="false">IF(Presupuesto!$B$63='Flujo de Pagos'!$E398,63,9999)</f>
        <v>63</v>
      </c>
      <c r="CF398" s="0" t="n">
        <f aca="false">IF(Presupuesto!$B$64='Flujo de Pagos'!$E398,64,9999)</f>
        <v>64</v>
      </c>
      <c r="CG398" s="0" t="n">
        <f aca="false">IF(Presupuesto!$B$65='Flujo de Pagos'!$E398,65,9999)</f>
        <v>65</v>
      </c>
      <c r="CH398" s="0" t="n">
        <f aca="false">IF(Presupuesto!$B$66='Flujo de Pagos'!$E398,66,9999)</f>
        <v>66</v>
      </c>
    </row>
    <row r="399" customFormat="false" ht="15" hidden="false" customHeight="true" outlineLevel="0" collapsed="false">
      <c r="B399" s="1" t="n">
        <f aca="false">IF(AND('Flujo de Pagos'!E404=Carátula!$B$2,'Flujo de Pagos'!F404=Carátula!$B$4,'Flujo de Pagos'!H404&lt;&gt;""),404,99999)</f>
        <v>99999</v>
      </c>
      <c r="H399" s="1" t="n">
        <f aca="false">IF(SMALL($AA399:$CH399,1)&gt;=9999,"",INDEX(Presupuesto!$C:$C,SMALL($AA399:$CH399,1)))</f>
        <v>0</v>
      </c>
      <c r="I399" s="1" t="n">
        <f aca="false">IF(SMALL($AA399:$CH399,2)&gt;=9999,"",INDEX(Presupuesto!$C:$C,SMALL($AA399:$CH399,2)))</f>
        <v>0</v>
      </c>
      <c r="J399" s="1" t="n">
        <f aca="false">IF(SMALL($AA399:$CH399,3)&gt;=9999,"",INDEX(Presupuesto!$C:$C,SMALL($AA399:$CH399,3)))</f>
        <v>0</v>
      </c>
      <c r="K399" s="1" t="n">
        <f aca="false">IF(SMALL($AA399:$CH399,4)&gt;=9999,"",INDEX(Presupuesto!$C:$C,SMALL($AA399:$CH399,4)))</f>
        <v>0</v>
      </c>
      <c r="L399" s="1" t="n">
        <f aca="false">IF(SMALL($AA399:$CH399,5)&gt;=9999,"",INDEX(Presupuesto!$C:$C,SMALL($AA399:$CH399,5)))</f>
        <v>0</v>
      </c>
      <c r="M399" s="1" t="n">
        <f aca="false">IF(SMALL($AA399:$CH399,6)&gt;=9999,"",INDEX(Presupuesto!$C:$C,SMALL($AA399:$CH399,6)))</f>
        <v>0</v>
      </c>
      <c r="N399" s="1" t="n">
        <f aca="false">IF(SMALL($AA399:$CH399,7)&gt;=9999,"",INDEX(Presupuesto!$C:$C,SMALL($AA399:$CH399,7)))</f>
        <v>0</v>
      </c>
      <c r="O399" s="1" t="n">
        <f aca="false">IF(SMALL($AA399:$CH399,8)&gt;=9999,"",INDEX(Presupuesto!$C:$C,SMALL($AA399:$CH399,8)))</f>
        <v>0</v>
      </c>
      <c r="P399" s="1" t="n">
        <f aca="false">IF(SMALL($AA399:$CH399,9)&gt;=9999,"",INDEX(Presupuesto!$C:$C,SMALL($AA399:$CH399,9)))</f>
        <v>0</v>
      </c>
      <c r="Q399" s="1" t="n">
        <f aca="false">IF(SMALL($AA399:$CH399,10)&gt;=9999,"",INDEX(Presupuesto!$C:$C,SMALL($AA399:$CH399,10)))</f>
        <v>0</v>
      </c>
      <c r="AA399" s="0" t="n">
        <f aca="false">IF(Presupuesto!$B$7='Flujo de Pagos'!$E399,7,9999)</f>
        <v>9999</v>
      </c>
      <c r="AB399" s="0" t="n">
        <f aca="false">IF(Presupuesto!$B$8='Flujo de Pagos'!$E399,8,9999)</f>
        <v>9999</v>
      </c>
      <c r="AC399" s="0" t="n">
        <f aca="false">IF(Presupuesto!$B$9='Flujo de Pagos'!$E399,9,9999)</f>
        <v>9999</v>
      </c>
      <c r="AD399" s="0" t="n">
        <f aca="false">IF(Presupuesto!$B$10='Flujo de Pagos'!$E399,10,9999)</f>
        <v>9999</v>
      </c>
      <c r="AE399" s="0" t="n">
        <f aca="false">IF(Presupuesto!$B$11='Flujo de Pagos'!$E399,11,9999)</f>
        <v>9999</v>
      </c>
      <c r="AF399" s="0" t="n">
        <f aca="false">IF(Presupuesto!$B$12='Flujo de Pagos'!$E399,12,9999)</f>
        <v>12</v>
      </c>
      <c r="AG399" s="0" t="n">
        <f aca="false">IF(Presupuesto!$B$13='Flujo de Pagos'!$E399,13,9999)</f>
        <v>13</v>
      </c>
      <c r="AH399" s="0" t="n">
        <f aca="false">IF(Presupuesto!$B$14='Flujo de Pagos'!$E399,14,9999)</f>
        <v>14</v>
      </c>
      <c r="AI399" s="0" t="n">
        <f aca="false">IF(Presupuesto!$B$15='Flujo de Pagos'!$E399,15,9999)</f>
        <v>15</v>
      </c>
      <c r="AJ399" s="0" t="n">
        <f aca="false">IF(Presupuesto!$B$16='Flujo de Pagos'!$E399,16,9999)</f>
        <v>16</v>
      </c>
      <c r="AK399" s="0" t="n">
        <f aca="false">IF(Presupuesto!$B$17='Flujo de Pagos'!$E399,17,9999)</f>
        <v>17</v>
      </c>
      <c r="AL399" s="0" t="n">
        <f aca="false">IF(Presupuesto!$B$18='Flujo de Pagos'!$E399,18,9999)</f>
        <v>18</v>
      </c>
      <c r="AM399" s="0" t="n">
        <f aca="false">IF(Presupuesto!$B$19='Flujo de Pagos'!$E399,19,9999)</f>
        <v>19</v>
      </c>
      <c r="AN399" s="0" t="n">
        <f aca="false">IF(Presupuesto!$B$20='Flujo de Pagos'!$E399,20,9999)</f>
        <v>20</v>
      </c>
      <c r="AO399" s="0" t="n">
        <f aca="false">IF(Presupuesto!$B$21='Flujo de Pagos'!$E399,21,9999)</f>
        <v>21</v>
      </c>
      <c r="AP399" s="0" t="n">
        <f aca="false">IF(Presupuesto!$B$22='Flujo de Pagos'!$E399,22,9999)</f>
        <v>22</v>
      </c>
      <c r="AQ399" s="0" t="n">
        <f aca="false">IF(Presupuesto!$B$23='Flujo de Pagos'!$E399,23,9999)</f>
        <v>23</v>
      </c>
      <c r="AR399" s="0" t="n">
        <f aca="false">IF(Presupuesto!$B$24='Flujo de Pagos'!$E399,24,9999)</f>
        <v>24</v>
      </c>
      <c r="AS399" s="0" t="n">
        <f aca="false">IF(Presupuesto!$B$25='Flujo de Pagos'!$E399,25,9999)</f>
        <v>25</v>
      </c>
      <c r="AT399" s="0" t="n">
        <f aca="false">IF(Presupuesto!$B$26='Flujo de Pagos'!$E399,26,9999)</f>
        <v>26</v>
      </c>
      <c r="AU399" s="0" t="n">
        <f aca="false">IF(Presupuesto!$B$27='Flujo de Pagos'!$E399,27,9999)</f>
        <v>27</v>
      </c>
      <c r="AV399" s="0" t="n">
        <f aca="false">IF(Presupuesto!$B$28='Flujo de Pagos'!$E399,28,9999)</f>
        <v>28</v>
      </c>
      <c r="AW399" s="0" t="n">
        <f aca="false">IF(Presupuesto!$B$29='Flujo de Pagos'!$E399,29,9999)</f>
        <v>29</v>
      </c>
      <c r="AX399" s="0" t="n">
        <f aca="false">IF(Presupuesto!$B$30='Flujo de Pagos'!$E399,30,9999)</f>
        <v>30</v>
      </c>
      <c r="AY399" s="0" t="n">
        <f aca="false">IF(Presupuesto!$B$31='Flujo de Pagos'!$E399,31,9999)</f>
        <v>31</v>
      </c>
      <c r="AZ399" s="0" t="n">
        <f aca="false">IF(Presupuesto!$B$32='Flujo de Pagos'!$E399,32,9999)</f>
        <v>32</v>
      </c>
      <c r="BA399" s="0" t="n">
        <f aca="false">IF(Presupuesto!$B$33='Flujo de Pagos'!$E399,33,9999)</f>
        <v>33</v>
      </c>
      <c r="BB399" s="0" t="n">
        <f aca="false">IF(Presupuesto!$B$34='Flujo de Pagos'!$E399,34,9999)</f>
        <v>34</v>
      </c>
      <c r="BC399" s="0" t="n">
        <f aca="false">IF(Presupuesto!$B$35='Flujo de Pagos'!$E399,35,9999)</f>
        <v>35</v>
      </c>
      <c r="BD399" s="0" t="n">
        <f aca="false">IF(Presupuesto!$B$36='Flujo de Pagos'!$E399,36,9999)</f>
        <v>36</v>
      </c>
      <c r="BE399" s="0" t="n">
        <f aca="false">IF(Presupuesto!$B$37='Flujo de Pagos'!$E399,37,9999)</f>
        <v>37</v>
      </c>
      <c r="BF399" s="0" t="n">
        <f aca="false">IF(Presupuesto!$B$38='Flujo de Pagos'!$E399,38,9999)</f>
        <v>38</v>
      </c>
      <c r="BG399" s="0" t="n">
        <f aca="false">IF(Presupuesto!$B$39='Flujo de Pagos'!$E399,39,9999)</f>
        <v>39</v>
      </c>
      <c r="BH399" s="0" t="n">
        <f aca="false">IF(Presupuesto!$B$40='Flujo de Pagos'!$E399,40,9999)</f>
        <v>40</v>
      </c>
      <c r="BI399" s="0" t="n">
        <f aca="false">IF(Presupuesto!$B$41='Flujo de Pagos'!$E399,41,9999)</f>
        <v>41</v>
      </c>
      <c r="BJ399" s="0" t="n">
        <f aca="false">IF(Presupuesto!$B$42='Flujo de Pagos'!$E399,42,9999)</f>
        <v>42</v>
      </c>
      <c r="BK399" s="0" t="n">
        <f aca="false">IF(Presupuesto!$B$43='Flujo de Pagos'!$E399,43,9999)</f>
        <v>43</v>
      </c>
      <c r="BL399" s="0" t="n">
        <f aca="false">IF(Presupuesto!$B$44='Flujo de Pagos'!$E399,44,9999)</f>
        <v>44</v>
      </c>
      <c r="BM399" s="0" t="n">
        <f aca="false">IF(Presupuesto!$B$45='Flujo de Pagos'!$E399,45,9999)</f>
        <v>45</v>
      </c>
      <c r="BN399" s="0" t="n">
        <f aca="false">IF(Presupuesto!$B$46='Flujo de Pagos'!$E399,46,9999)</f>
        <v>46</v>
      </c>
      <c r="BO399" s="0" t="n">
        <f aca="false">IF(Presupuesto!$B$47='Flujo de Pagos'!$E399,47,9999)</f>
        <v>47</v>
      </c>
      <c r="BP399" s="0" t="n">
        <f aca="false">IF(Presupuesto!$B$48='Flujo de Pagos'!$E399,48,9999)</f>
        <v>48</v>
      </c>
      <c r="BQ399" s="0" t="n">
        <f aca="false">IF(Presupuesto!$B$49='Flujo de Pagos'!$E399,49,9999)</f>
        <v>49</v>
      </c>
      <c r="BR399" s="0" t="n">
        <f aca="false">IF(Presupuesto!$B$50='Flujo de Pagos'!$E399,50,9999)</f>
        <v>50</v>
      </c>
      <c r="BS399" s="0" t="n">
        <f aca="false">IF(Presupuesto!$B$51='Flujo de Pagos'!$E399,51,9999)</f>
        <v>51</v>
      </c>
      <c r="BT399" s="0" t="n">
        <f aca="false">IF(Presupuesto!$B$52='Flujo de Pagos'!$E399,52,9999)</f>
        <v>52</v>
      </c>
      <c r="BU399" s="0" t="n">
        <f aca="false">IF(Presupuesto!$B$53='Flujo de Pagos'!$E399,53,9999)</f>
        <v>53</v>
      </c>
      <c r="BV399" s="0" t="n">
        <f aca="false">IF(Presupuesto!$B$54='Flujo de Pagos'!$E399,54,9999)</f>
        <v>54</v>
      </c>
      <c r="BW399" s="0" t="n">
        <f aca="false">IF(Presupuesto!$B$55='Flujo de Pagos'!$E399,55,9999)</f>
        <v>55</v>
      </c>
      <c r="BX399" s="0" t="n">
        <f aca="false">IF(Presupuesto!$B$56='Flujo de Pagos'!$E399,56,9999)</f>
        <v>56</v>
      </c>
      <c r="BY399" s="0" t="n">
        <f aca="false">IF(Presupuesto!$B$57='Flujo de Pagos'!$E399,57,9999)</f>
        <v>57</v>
      </c>
      <c r="BZ399" s="0" t="n">
        <f aca="false">IF(Presupuesto!$B$58='Flujo de Pagos'!$E399,58,9999)</f>
        <v>58</v>
      </c>
      <c r="CA399" s="0" t="n">
        <f aca="false">IF(Presupuesto!$B$59='Flujo de Pagos'!$E399,59,9999)</f>
        <v>59</v>
      </c>
      <c r="CB399" s="0" t="n">
        <f aca="false">IF(Presupuesto!$B$60='Flujo de Pagos'!$E399,60,9999)</f>
        <v>60</v>
      </c>
      <c r="CC399" s="0" t="n">
        <f aca="false">IF(Presupuesto!$B$61='Flujo de Pagos'!$E399,61,9999)</f>
        <v>61</v>
      </c>
      <c r="CD399" s="0" t="n">
        <f aca="false">IF(Presupuesto!$B$62='Flujo de Pagos'!$E399,62,9999)</f>
        <v>62</v>
      </c>
      <c r="CE399" s="0" t="n">
        <f aca="false">IF(Presupuesto!$B$63='Flujo de Pagos'!$E399,63,9999)</f>
        <v>63</v>
      </c>
      <c r="CF399" s="0" t="n">
        <f aca="false">IF(Presupuesto!$B$64='Flujo de Pagos'!$E399,64,9999)</f>
        <v>64</v>
      </c>
      <c r="CG399" s="0" t="n">
        <f aca="false">IF(Presupuesto!$B$65='Flujo de Pagos'!$E399,65,9999)</f>
        <v>65</v>
      </c>
      <c r="CH399" s="0" t="n">
        <f aca="false">IF(Presupuesto!$B$66='Flujo de Pagos'!$E399,66,9999)</f>
        <v>66</v>
      </c>
    </row>
    <row r="400" customFormat="false" ht="15" hidden="false" customHeight="true" outlineLevel="0" collapsed="false">
      <c r="B400" s="1" t="n">
        <f aca="false">IF(AND('Flujo de Pagos'!E405=Carátula!$B$2,'Flujo de Pagos'!F405=Carátula!$B$4,'Flujo de Pagos'!H405&lt;&gt;""),405,99999)</f>
        <v>99999</v>
      </c>
      <c r="H400" s="1" t="n">
        <f aca="false">IF(SMALL($AA400:$CH400,1)&gt;=9999,"",INDEX(Presupuesto!$C:$C,SMALL($AA400:$CH400,1)))</f>
        <v>0</v>
      </c>
      <c r="I400" s="1" t="n">
        <f aca="false">IF(SMALL($AA400:$CH400,2)&gt;=9999,"",INDEX(Presupuesto!$C:$C,SMALL($AA400:$CH400,2)))</f>
        <v>0</v>
      </c>
      <c r="J400" s="1" t="n">
        <f aca="false">IF(SMALL($AA400:$CH400,3)&gt;=9999,"",INDEX(Presupuesto!$C:$C,SMALL($AA400:$CH400,3)))</f>
        <v>0</v>
      </c>
      <c r="K400" s="1" t="n">
        <f aca="false">IF(SMALL($AA400:$CH400,4)&gt;=9999,"",INDEX(Presupuesto!$C:$C,SMALL($AA400:$CH400,4)))</f>
        <v>0</v>
      </c>
      <c r="L400" s="1" t="n">
        <f aca="false">IF(SMALL($AA400:$CH400,5)&gt;=9999,"",INDEX(Presupuesto!$C:$C,SMALL($AA400:$CH400,5)))</f>
        <v>0</v>
      </c>
      <c r="M400" s="1" t="n">
        <f aca="false">IF(SMALL($AA400:$CH400,6)&gt;=9999,"",INDEX(Presupuesto!$C:$C,SMALL($AA400:$CH400,6)))</f>
        <v>0</v>
      </c>
      <c r="N400" s="1" t="n">
        <f aca="false">IF(SMALL($AA400:$CH400,7)&gt;=9999,"",INDEX(Presupuesto!$C:$C,SMALL($AA400:$CH400,7)))</f>
        <v>0</v>
      </c>
      <c r="O400" s="1" t="n">
        <f aca="false">IF(SMALL($AA400:$CH400,8)&gt;=9999,"",INDEX(Presupuesto!$C:$C,SMALL($AA400:$CH400,8)))</f>
        <v>0</v>
      </c>
      <c r="P400" s="1" t="n">
        <f aca="false">IF(SMALL($AA400:$CH400,9)&gt;=9999,"",INDEX(Presupuesto!$C:$C,SMALL($AA400:$CH400,9)))</f>
        <v>0</v>
      </c>
      <c r="Q400" s="1" t="n">
        <f aca="false">IF(SMALL($AA400:$CH400,10)&gt;=9999,"",INDEX(Presupuesto!$C:$C,SMALL($AA400:$CH400,10)))</f>
        <v>0</v>
      </c>
      <c r="AA400" s="0" t="n">
        <f aca="false">IF(Presupuesto!$B$7='Flujo de Pagos'!$E400,7,9999)</f>
        <v>9999</v>
      </c>
      <c r="AB400" s="0" t="n">
        <f aca="false">IF(Presupuesto!$B$8='Flujo de Pagos'!$E400,8,9999)</f>
        <v>9999</v>
      </c>
      <c r="AC400" s="0" t="n">
        <f aca="false">IF(Presupuesto!$B$9='Flujo de Pagos'!$E400,9,9999)</f>
        <v>9999</v>
      </c>
      <c r="AD400" s="0" t="n">
        <f aca="false">IF(Presupuesto!$B$10='Flujo de Pagos'!$E400,10,9999)</f>
        <v>9999</v>
      </c>
      <c r="AE400" s="0" t="n">
        <f aca="false">IF(Presupuesto!$B$11='Flujo de Pagos'!$E400,11,9999)</f>
        <v>9999</v>
      </c>
      <c r="AF400" s="0" t="n">
        <f aca="false">IF(Presupuesto!$B$12='Flujo de Pagos'!$E400,12,9999)</f>
        <v>12</v>
      </c>
      <c r="AG400" s="0" t="n">
        <f aca="false">IF(Presupuesto!$B$13='Flujo de Pagos'!$E400,13,9999)</f>
        <v>13</v>
      </c>
      <c r="AH400" s="0" t="n">
        <f aca="false">IF(Presupuesto!$B$14='Flujo de Pagos'!$E400,14,9999)</f>
        <v>14</v>
      </c>
      <c r="AI400" s="0" t="n">
        <f aca="false">IF(Presupuesto!$B$15='Flujo de Pagos'!$E400,15,9999)</f>
        <v>15</v>
      </c>
      <c r="AJ400" s="0" t="n">
        <f aca="false">IF(Presupuesto!$B$16='Flujo de Pagos'!$E400,16,9999)</f>
        <v>16</v>
      </c>
      <c r="AK400" s="0" t="n">
        <f aca="false">IF(Presupuesto!$B$17='Flujo de Pagos'!$E400,17,9999)</f>
        <v>17</v>
      </c>
      <c r="AL400" s="0" t="n">
        <f aca="false">IF(Presupuesto!$B$18='Flujo de Pagos'!$E400,18,9999)</f>
        <v>18</v>
      </c>
      <c r="AM400" s="0" t="n">
        <f aca="false">IF(Presupuesto!$B$19='Flujo de Pagos'!$E400,19,9999)</f>
        <v>19</v>
      </c>
      <c r="AN400" s="0" t="n">
        <f aca="false">IF(Presupuesto!$B$20='Flujo de Pagos'!$E400,20,9999)</f>
        <v>20</v>
      </c>
      <c r="AO400" s="0" t="n">
        <f aca="false">IF(Presupuesto!$B$21='Flujo de Pagos'!$E400,21,9999)</f>
        <v>21</v>
      </c>
      <c r="AP400" s="0" t="n">
        <f aca="false">IF(Presupuesto!$B$22='Flujo de Pagos'!$E400,22,9999)</f>
        <v>22</v>
      </c>
      <c r="AQ400" s="0" t="n">
        <f aca="false">IF(Presupuesto!$B$23='Flujo de Pagos'!$E400,23,9999)</f>
        <v>23</v>
      </c>
      <c r="AR400" s="0" t="n">
        <f aca="false">IF(Presupuesto!$B$24='Flujo de Pagos'!$E400,24,9999)</f>
        <v>24</v>
      </c>
      <c r="AS400" s="0" t="n">
        <f aca="false">IF(Presupuesto!$B$25='Flujo de Pagos'!$E400,25,9999)</f>
        <v>25</v>
      </c>
      <c r="AT400" s="0" t="n">
        <f aca="false">IF(Presupuesto!$B$26='Flujo de Pagos'!$E400,26,9999)</f>
        <v>26</v>
      </c>
      <c r="AU400" s="0" t="n">
        <f aca="false">IF(Presupuesto!$B$27='Flujo de Pagos'!$E400,27,9999)</f>
        <v>27</v>
      </c>
      <c r="AV400" s="0" t="n">
        <f aca="false">IF(Presupuesto!$B$28='Flujo de Pagos'!$E400,28,9999)</f>
        <v>28</v>
      </c>
      <c r="AW400" s="0" t="n">
        <f aca="false">IF(Presupuesto!$B$29='Flujo de Pagos'!$E400,29,9999)</f>
        <v>29</v>
      </c>
      <c r="AX400" s="0" t="n">
        <f aca="false">IF(Presupuesto!$B$30='Flujo de Pagos'!$E400,30,9999)</f>
        <v>30</v>
      </c>
      <c r="AY400" s="0" t="n">
        <f aca="false">IF(Presupuesto!$B$31='Flujo de Pagos'!$E400,31,9999)</f>
        <v>31</v>
      </c>
      <c r="AZ400" s="0" t="n">
        <f aca="false">IF(Presupuesto!$B$32='Flujo de Pagos'!$E400,32,9999)</f>
        <v>32</v>
      </c>
      <c r="BA400" s="0" t="n">
        <f aca="false">IF(Presupuesto!$B$33='Flujo de Pagos'!$E400,33,9999)</f>
        <v>33</v>
      </c>
      <c r="BB400" s="0" t="n">
        <f aca="false">IF(Presupuesto!$B$34='Flujo de Pagos'!$E400,34,9999)</f>
        <v>34</v>
      </c>
      <c r="BC400" s="0" t="n">
        <f aca="false">IF(Presupuesto!$B$35='Flujo de Pagos'!$E400,35,9999)</f>
        <v>35</v>
      </c>
      <c r="BD400" s="0" t="n">
        <f aca="false">IF(Presupuesto!$B$36='Flujo de Pagos'!$E400,36,9999)</f>
        <v>36</v>
      </c>
      <c r="BE400" s="0" t="n">
        <f aca="false">IF(Presupuesto!$B$37='Flujo de Pagos'!$E400,37,9999)</f>
        <v>37</v>
      </c>
      <c r="BF400" s="0" t="n">
        <f aca="false">IF(Presupuesto!$B$38='Flujo de Pagos'!$E400,38,9999)</f>
        <v>38</v>
      </c>
      <c r="BG400" s="0" t="n">
        <f aca="false">IF(Presupuesto!$B$39='Flujo de Pagos'!$E400,39,9999)</f>
        <v>39</v>
      </c>
      <c r="BH400" s="0" t="n">
        <f aca="false">IF(Presupuesto!$B$40='Flujo de Pagos'!$E400,40,9999)</f>
        <v>40</v>
      </c>
      <c r="BI400" s="0" t="n">
        <f aca="false">IF(Presupuesto!$B$41='Flujo de Pagos'!$E400,41,9999)</f>
        <v>41</v>
      </c>
      <c r="BJ400" s="0" t="n">
        <f aca="false">IF(Presupuesto!$B$42='Flujo de Pagos'!$E400,42,9999)</f>
        <v>42</v>
      </c>
      <c r="BK400" s="0" t="n">
        <f aca="false">IF(Presupuesto!$B$43='Flujo de Pagos'!$E400,43,9999)</f>
        <v>43</v>
      </c>
      <c r="BL400" s="0" t="n">
        <f aca="false">IF(Presupuesto!$B$44='Flujo de Pagos'!$E400,44,9999)</f>
        <v>44</v>
      </c>
      <c r="BM400" s="0" t="n">
        <f aca="false">IF(Presupuesto!$B$45='Flujo de Pagos'!$E400,45,9999)</f>
        <v>45</v>
      </c>
      <c r="BN400" s="0" t="n">
        <f aca="false">IF(Presupuesto!$B$46='Flujo de Pagos'!$E400,46,9999)</f>
        <v>46</v>
      </c>
      <c r="BO400" s="0" t="n">
        <f aca="false">IF(Presupuesto!$B$47='Flujo de Pagos'!$E400,47,9999)</f>
        <v>47</v>
      </c>
      <c r="BP400" s="0" t="n">
        <f aca="false">IF(Presupuesto!$B$48='Flujo de Pagos'!$E400,48,9999)</f>
        <v>48</v>
      </c>
      <c r="BQ400" s="0" t="n">
        <f aca="false">IF(Presupuesto!$B$49='Flujo de Pagos'!$E400,49,9999)</f>
        <v>49</v>
      </c>
      <c r="BR400" s="0" t="n">
        <f aca="false">IF(Presupuesto!$B$50='Flujo de Pagos'!$E400,50,9999)</f>
        <v>50</v>
      </c>
      <c r="BS400" s="0" t="n">
        <f aca="false">IF(Presupuesto!$B$51='Flujo de Pagos'!$E400,51,9999)</f>
        <v>51</v>
      </c>
      <c r="BT400" s="0" t="n">
        <f aca="false">IF(Presupuesto!$B$52='Flujo de Pagos'!$E400,52,9999)</f>
        <v>52</v>
      </c>
      <c r="BU400" s="0" t="n">
        <f aca="false">IF(Presupuesto!$B$53='Flujo de Pagos'!$E400,53,9999)</f>
        <v>53</v>
      </c>
      <c r="BV400" s="0" t="n">
        <f aca="false">IF(Presupuesto!$B$54='Flujo de Pagos'!$E400,54,9999)</f>
        <v>54</v>
      </c>
      <c r="BW400" s="0" t="n">
        <f aca="false">IF(Presupuesto!$B$55='Flujo de Pagos'!$E400,55,9999)</f>
        <v>55</v>
      </c>
      <c r="BX400" s="0" t="n">
        <f aca="false">IF(Presupuesto!$B$56='Flujo de Pagos'!$E400,56,9999)</f>
        <v>56</v>
      </c>
      <c r="BY400" s="0" t="n">
        <f aca="false">IF(Presupuesto!$B$57='Flujo de Pagos'!$E400,57,9999)</f>
        <v>57</v>
      </c>
      <c r="BZ400" s="0" t="n">
        <f aca="false">IF(Presupuesto!$B$58='Flujo de Pagos'!$E400,58,9999)</f>
        <v>58</v>
      </c>
      <c r="CA400" s="0" t="n">
        <f aca="false">IF(Presupuesto!$B$59='Flujo de Pagos'!$E400,59,9999)</f>
        <v>59</v>
      </c>
      <c r="CB400" s="0" t="n">
        <f aca="false">IF(Presupuesto!$B$60='Flujo de Pagos'!$E400,60,9999)</f>
        <v>60</v>
      </c>
      <c r="CC400" s="0" t="n">
        <f aca="false">IF(Presupuesto!$B$61='Flujo de Pagos'!$E400,61,9999)</f>
        <v>61</v>
      </c>
      <c r="CD400" s="0" t="n">
        <f aca="false">IF(Presupuesto!$B$62='Flujo de Pagos'!$E400,62,9999)</f>
        <v>62</v>
      </c>
      <c r="CE400" s="0" t="n">
        <f aca="false">IF(Presupuesto!$B$63='Flujo de Pagos'!$E400,63,9999)</f>
        <v>63</v>
      </c>
      <c r="CF400" s="0" t="n">
        <f aca="false">IF(Presupuesto!$B$64='Flujo de Pagos'!$E400,64,9999)</f>
        <v>64</v>
      </c>
      <c r="CG400" s="0" t="n">
        <f aca="false">IF(Presupuesto!$B$65='Flujo de Pagos'!$E400,65,9999)</f>
        <v>65</v>
      </c>
      <c r="CH400" s="0" t="n">
        <f aca="false">IF(Presupuesto!$B$66='Flujo de Pagos'!$E400,66,9999)</f>
        <v>66</v>
      </c>
    </row>
    <row r="401" customFormat="false" ht="15" hidden="false" customHeight="true" outlineLevel="0" collapsed="false">
      <c r="B401" s="1" t="n">
        <f aca="false">IF(AND('Flujo de Pagos'!E406=Carátula!$B$2,'Flujo de Pagos'!F406=Carátula!$B$4,'Flujo de Pagos'!H406&lt;&gt;""),406,99999)</f>
        <v>99999</v>
      </c>
      <c r="H401" s="1" t="n">
        <f aca="false">IF(SMALL($AA401:$CH401,1)&gt;=9999,"",INDEX(Presupuesto!$C:$C,SMALL($AA401:$CH401,1)))</f>
        <v>0</v>
      </c>
      <c r="I401" s="1" t="n">
        <f aca="false">IF(SMALL($AA401:$CH401,2)&gt;=9999,"",INDEX(Presupuesto!$C:$C,SMALL($AA401:$CH401,2)))</f>
        <v>0</v>
      </c>
      <c r="J401" s="1" t="n">
        <f aca="false">IF(SMALL($AA401:$CH401,3)&gt;=9999,"",INDEX(Presupuesto!$C:$C,SMALL($AA401:$CH401,3)))</f>
        <v>0</v>
      </c>
      <c r="K401" s="1" t="n">
        <f aca="false">IF(SMALL($AA401:$CH401,4)&gt;=9999,"",INDEX(Presupuesto!$C:$C,SMALL($AA401:$CH401,4)))</f>
        <v>0</v>
      </c>
      <c r="L401" s="1" t="n">
        <f aca="false">IF(SMALL($AA401:$CH401,5)&gt;=9999,"",INDEX(Presupuesto!$C:$C,SMALL($AA401:$CH401,5)))</f>
        <v>0</v>
      </c>
      <c r="M401" s="1" t="n">
        <f aca="false">IF(SMALL($AA401:$CH401,6)&gt;=9999,"",INDEX(Presupuesto!$C:$C,SMALL($AA401:$CH401,6)))</f>
        <v>0</v>
      </c>
      <c r="N401" s="1" t="n">
        <f aca="false">IF(SMALL($AA401:$CH401,7)&gt;=9999,"",INDEX(Presupuesto!$C:$C,SMALL($AA401:$CH401,7)))</f>
        <v>0</v>
      </c>
      <c r="O401" s="1" t="n">
        <f aca="false">IF(SMALL($AA401:$CH401,8)&gt;=9999,"",INDEX(Presupuesto!$C:$C,SMALL($AA401:$CH401,8)))</f>
        <v>0</v>
      </c>
      <c r="P401" s="1" t="n">
        <f aca="false">IF(SMALL($AA401:$CH401,9)&gt;=9999,"",INDEX(Presupuesto!$C:$C,SMALL($AA401:$CH401,9)))</f>
        <v>0</v>
      </c>
      <c r="Q401" s="1" t="n">
        <f aca="false">IF(SMALL($AA401:$CH401,10)&gt;=9999,"",INDEX(Presupuesto!$C:$C,SMALL($AA401:$CH401,10)))</f>
        <v>0</v>
      </c>
      <c r="AA401" s="0" t="n">
        <f aca="false">IF(Presupuesto!$B$7='Flujo de Pagos'!$E401,7,9999)</f>
        <v>9999</v>
      </c>
      <c r="AB401" s="0" t="n">
        <f aca="false">IF(Presupuesto!$B$8='Flujo de Pagos'!$E401,8,9999)</f>
        <v>9999</v>
      </c>
      <c r="AC401" s="0" t="n">
        <f aca="false">IF(Presupuesto!$B$9='Flujo de Pagos'!$E401,9,9999)</f>
        <v>9999</v>
      </c>
      <c r="AD401" s="0" t="n">
        <f aca="false">IF(Presupuesto!$B$10='Flujo de Pagos'!$E401,10,9999)</f>
        <v>9999</v>
      </c>
      <c r="AE401" s="0" t="n">
        <f aca="false">IF(Presupuesto!$B$11='Flujo de Pagos'!$E401,11,9999)</f>
        <v>9999</v>
      </c>
      <c r="AF401" s="0" t="n">
        <f aca="false">IF(Presupuesto!$B$12='Flujo de Pagos'!$E401,12,9999)</f>
        <v>12</v>
      </c>
      <c r="AG401" s="0" t="n">
        <f aca="false">IF(Presupuesto!$B$13='Flujo de Pagos'!$E401,13,9999)</f>
        <v>13</v>
      </c>
      <c r="AH401" s="0" t="n">
        <f aca="false">IF(Presupuesto!$B$14='Flujo de Pagos'!$E401,14,9999)</f>
        <v>14</v>
      </c>
      <c r="AI401" s="0" t="n">
        <f aca="false">IF(Presupuesto!$B$15='Flujo de Pagos'!$E401,15,9999)</f>
        <v>15</v>
      </c>
      <c r="AJ401" s="0" t="n">
        <f aca="false">IF(Presupuesto!$B$16='Flujo de Pagos'!$E401,16,9999)</f>
        <v>16</v>
      </c>
      <c r="AK401" s="0" t="n">
        <f aca="false">IF(Presupuesto!$B$17='Flujo de Pagos'!$E401,17,9999)</f>
        <v>17</v>
      </c>
      <c r="AL401" s="0" t="n">
        <f aca="false">IF(Presupuesto!$B$18='Flujo de Pagos'!$E401,18,9999)</f>
        <v>18</v>
      </c>
      <c r="AM401" s="0" t="n">
        <f aca="false">IF(Presupuesto!$B$19='Flujo de Pagos'!$E401,19,9999)</f>
        <v>19</v>
      </c>
      <c r="AN401" s="0" t="n">
        <f aca="false">IF(Presupuesto!$B$20='Flujo de Pagos'!$E401,20,9999)</f>
        <v>20</v>
      </c>
      <c r="AO401" s="0" t="n">
        <f aca="false">IF(Presupuesto!$B$21='Flujo de Pagos'!$E401,21,9999)</f>
        <v>21</v>
      </c>
      <c r="AP401" s="0" t="n">
        <f aca="false">IF(Presupuesto!$B$22='Flujo de Pagos'!$E401,22,9999)</f>
        <v>22</v>
      </c>
      <c r="AQ401" s="0" t="n">
        <f aca="false">IF(Presupuesto!$B$23='Flujo de Pagos'!$E401,23,9999)</f>
        <v>23</v>
      </c>
      <c r="AR401" s="0" t="n">
        <f aca="false">IF(Presupuesto!$B$24='Flujo de Pagos'!$E401,24,9999)</f>
        <v>24</v>
      </c>
      <c r="AS401" s="0" t="n">
        <f aca="false">IF(Presupuesto!$B$25='Flujo de Pagos'!$E401,25,9999)</f>
        <v>25</v>
      </c>
      <c r="AT401" s="0" t="n">
        <f aca="false">IF(Presupuesto!$B$26='Flujo de Pagos'!$E401,26,9999)</f>
        <v>26</v>
      </c>
      <c r="AU401" s="0" t="n">
        <f aca="false">IF(Presupuesto!$B$27='Flujo de Pagos'!$E401,27,9999)</f>
        <v>27</v>
      </c>
      <c r="AV401" s="0" t="n">
        <f aca="false">IF(Presupuesto!$B$28='Flujo de Pagos'!$E401,28,9999)</f>
        <v>28</v>
      </c>
      <c r="AW401" s="0" t="n">
        <f aca="false">IF(Presupuesto!$B$29='Flujo de Pagos'!$E401,29,9999)</f>
        <v>29</v>
      </c>
      <c r="AX401" s="0" t="n">
        <f aca="false">IF(Presupuesto!$B$30='Flujo de Pagos'!$E401,30,9999)</f>
        <v>30</v>
      </c>
      <c r="AY401" s="0" t="n">
        <f aca="false">IF(Presupuesto!$B$31='Flujo de Pagos'!$E401,31,9999)</f>
        <v>31</v>
      </c>
      <c r="AZ401" s="0" t="n">
        <f aca="false">IF(Presupuesto!$B$32='Flujo de Pagos'!$E401,32,9999)</f>
        <v>32</v>
      </c>
      <c r="BA401" s="0" t="n">
        <f aca="false">IF(Presupuesto!$B$33='Flujo de Pagos'!$E401,33,9999)</f>
        <v>33</v>
      </c>
      <c r="BB401" s="0" t="n">
        <f aca="false">IF(Presupuesto!$B$34='Flujo de Pagos'!$E401,34,9999)</f>
        <v>34</v>
      </c>
      <c r="BC401" s="0" t="n">
        <f aca="false">IF(Presupuesto!$B$35='Flujo de Pagos'!$E401,35,9999)</f>
        <v>35</v>
      </c>
      <c r="BD401" s="0" t="n">
        <f aca="false">IF(Presupuesto!$B$36='Flujo de Pagos'!$E401,36,9999)</f>
        <v>36</v>
      </c>
      <c r="BE401" s="0" t="n">
        <f aca="false">IF(Presupuesto!$B$37='Flujo de Pagos'!$E401,37,9999)</f>
        <v>37</v>
      </c>
      <c r="BF401" s="0" t="n">
        <f aca="false">IF(Presupuesto!$B$38='Flujo de Pagos'!$E401,38,9999)</f>
        <v>38</v>
      </c>
      <c r="BG401" s="0" t="n">
        <f aca="false">IF(Presupuesto!$B$39='Flujo de Pagos'!$E401,39,9999)</f>
        <v>39</v>
      </c>
      <c r="BH401" s="0" t="n">
        <f aca="false">IF(Presupuesto!$B$40='Flujo de Pagos'!$E401,40,9999)</f>
        <v>40</v>
      </c>
      <c r="BI401" s="0" t="n">
        <f aca="false">IF(Presupuesto!$B$41='Flujo de Pagos'!$E401,41,9999)</f>
        <v>41</v>
      </c>
      <c r="BJ401" s="0" t="n">
        <f aca="false">IF(Presupuesto!$B$42='Flujo de Pagos'!$E401,42,9999)</f>
        <v>42</v>
      </c>
      <c r="BK401" s="0" t="n">
        <f aca="false">IF(Presupuesto!$B$43='Flujo de Pagos'!$E401,43,9999)</f>
        <v>43</v>
      </c>
      <c r="BL401" s="0" t="n">
        <f aca="false">IF(Presupuesto!$B$44='Flujo de Pagos'!$E401,44,9999)</f>
        <v>44</v>
      </c>
      <c r="BM401" s="0" t="n">
        <f aca="false">IF(Presupuesto!$B$45='Flujo de Pagos'!$E401,45,9999)</f>
        <v>45</v>
      </c>
      <c r="BN401" s="0" t="n">
        <f aca="false">IF(Presupuesto!$B$46='Flujo de Pagos'!$E401,46,9999)</f>
        <v>46</v>
      </c>
      <c r="BO401" s="0" t="n">
        <f aca="false">IF(Presupuesto!$B$47='Flujo de Pagos'!$E401,47,9999)</f>
        <v>47</v>
      </c>
      <c r="BP401" s="0" t="n">
        <f aca="false">IF(Presupuesto!$B$48='Flujo de Pagos'!$E401,48,9999)</f>
        <v>48</v>
      </c>
      <c r="BQ401" s="0" t="n">
        <f aca="false">IF(Presupuesto!$B$49='Flujo de Pagos'!$E401,49,9999)</f>
        <v>49</v>
      </c>
      <c r="BR401" s="0" t="n">
        <f aca="false">IF(Presupuesto!$B$50='Flujo de Pagos'!$E401,50,9999)</f>
        <v>50</v>
      </c>
      <c r="BS401" s="0" t="n">
        <f aca="false">IF(Presupuesto!$B$51='Flujo de Pagos'!$E401,51,9999)</f>
        <v>51</v>
      </c>
      <c r="BT401" s="0" t="n">
        <f aca="false">IF(Presupuesto!$B$52='Flujo de Pagos'!$E401,52,9999)</f>
        <v>52</v>
      </c>
      <c r="BU401" s="0" t="n">
        <f aca="false">IF(Presupuesto!$B$53='Flujo de Pagos'!$E401,53,9999)</f>
        <v>53</v>
      </c>
      <c r="BV401" s="0" t="n">
        <f aca="false">IF(Presupuesto!$B$54='Flujo de Pagos'!$E401,54,9999)</f>
        <v>54</v>
      </c>
      <c r="BW401" s="0" t="n">
        <f aca="false">IF(Presupuesto!$B$55='Flujo de Pagos'!$E401,55,9999)</f>
        <v>55</v>
      </c>
      <c r="BX401" s="0" t="n">
        <f aca="false">IF(Presupuesto!$B$56='Flujo de Pagos'!$E401,56,9999)</f>
        <v>56</v>
      </c>
      <c r="BY401" s="0" t="n">
        <f aca="false">IF(Presupuesto!$B$57='Flujo de Pagos'!$E401,57,9999)</f>
        <v>57</v>
      </c>
      <c r="BZ401" s="0" t="n">
        <f aca="false">IF(Presupuesto!$B$58='Flujo de Pagos'!$E401,58,9999)</f>
        <v>58</v>
      </c>
      <c r="CA401" s="0" t="n">
        <f aca="false">IF(Presupuesto!$B$59='Flujo de Pagos'!$E401,59,9999)</f>
        <v>59</v>
      </c>
      <c r="CB401" s="0" t="n">
        <f aca="false">IF(Presupuesto!$B$60='Flujo de Pagos'!$E401,60,9999)</f>
        <v>60</v>
      </c>
      <c r="CC401" s="0" t="n">
        <f aca="false">IF(Presupuesto!$B$61='Flujo de Pagos'!$E401,61,9999)</f>
        <v>61</v>
      </c>
      <c r="CD401" s="0" t="n">
        <f aca="false">IF(Presupuesto!$B$62='Flujo de Pagos'!$E401,62,9999)</f>
        <v>62</v>
      </c>
      <c r="CE401" s="0" t="n">
        <f aca="false">IF(Presupuesto!$B$63='Flujo de Pagos'!$E401,63,9999)</f>
        <v>63</v>
      </c>
      <c r="CF401" s="0" t="n">
        <f aca="false">IF(Presupuesto!$B$64='Flujo de Pagos'!$E401,64,9999)</f>
        <v>64</v>
      </c>
      <c r="CG401" s="0" t="n">
        <f aca="false">IF(Presupuesto!$B$65='Flujo de Pagos'!$E401,65,9999)</f>
        <v>65</v>
      </c>
      <c r="CH401" s="0" t="n">
        <f aca="false">IF(Presupuesto!$B$66='Flujo de Pagos'!$E401,66,9999)</f>
        <v>66</v>
      </c>
    </row>
    <row r="402" customFormat="false" ht="15" hidden="false" customHeight="true" outlineLevel="0" collapsed="false">
      <c r="B402" s="1" t="n">
        <f aca="false">IF(AND('Flujo de Pagos'!E407=Carátula!$B$2,'Flujo de Pagos'!F407=Carátula!$B$4,'Flujo de Pagos'!H407&lt;&gt;""),407,99999)</f>
        <v>99999</v>
      </c>
      <c r="H402" s="1" t="n">
        <f aca="false">IF(SMALL($AA402:$CH402,1)&gt;=9999,"",INDEX(Presupuesto!$C:$C,SMALL($AA402:$CH402,1)))</f>
        <v>0</v>
      </c>
      <c r="I402" s="1" t="n">
        <f aca="false">IF(SMALL($AA402:$CH402,2)&gt;=9999,"",INDEX(Presupuesto!$C:$C,SMALL($AA402:$CH402,2)))</f>
        <v>0</v>
      </c>
      <c r="J402" s="1" t="n">
        <f aca="false">IF(SMALL($AA402:$CH402,3)&gt;=9999,"",INDEX(Presupuesto!$C:$C,SMALL($AA402:$CH402,3)))</f>
        <v>0</v>
      </c>
      <c r="K402" s="1" t="n">
        <f aca="false">IF(SMALL($AA402:$CH402,4)&gt;=9999,"",INDEX(Presupuesto!$C:$C,SMALL($AA402:$CH402,4)))</f>
        <v>0</v>
      </c>
      <c r="L402" s="1" t="n">
        <f aca="false">IF(SMALL($AA402:$CH402,5)&gt;=9999,"",INDEX(Presupuesto!$C:$C,SMALL($AA402:$CH402,5)))</f>
        <v>0</v>
      </c>
      <c r="M402" s="1" t="n">
        <f aca="false">IF(SMALL($AA402:$CH402,6)&gt;=9999,"",INDEX(Presupuesto!$C:$C,SMALL($AA402:$CH402,6)))</f>
        <v>0</v>
      </c>
      <c r="N402" s="1" t="n">
        <f aca="false">IF(SMALL($AA402:$CH402,7)&gt;=9999,"",INDEX(Presupuesto!$C:$C,SMALL($AA402:$CH402,7)))</f>
        <v>0</v>
      </c>
      <c r="O402" s="1" t="n">
        <f aca="false">IF(SMALL($AA402:$CH402,8)&gt;=9999,"",INDEX(Presupuesto!$C:$C,SMALL($AA402:$CH402,8)))</f>
        <v>0</v>
      </c>
      <c r="P402" s="1" t="n">
        <f aca="false">IF(SMALL($AA402:$CH402,9)&gt;=9999,"",INDEX(Presupuesto!$C:$C,SMALL($AA402:$CH402,9)))</f>
        <v>0</v>
      </c>
      <c r="Q402" s="1" t="n">
        <f aca="false">IF(SMALL($AA402:$CH402,10)&gt;=9999,"",INDEX(Presupuesto!$C:$C,SMALL($AA402:$CH402,10)))</f>
        <v>0</v>
      </c>
      <c r="AA402" s="0" t="n">
        <f aca="false">IF(Presupuesto!$B$7='Flujo de Pagos'!$E402,7,9999)</f>
        <v>9999</v>
      </c>
      <c r="AB402" s="0" t="n">
        <f aca="false">IF(Presupuesto!$B$8='Flujo de Pagos'!$E402,8,9999)</f>
        <v>9999</v>
      </c>
      <c r="AC402" s="0" t="n">
        <f aca="false">IF(Presupuesto!$B$9='Flujo de Pagos'!$E402,9,9999)</f>
        <v>9999</v>
      </c>
      <c r="AD402" s="0" t="n">
        <f aca="false">IF(Presupuesto!$B$10='Flujo de Pagos'!$E402,10,9999)</f>
        <v>9999</v>
      </c>
      <c r="AE402" s="0" t="n">
        <f aca="false">IF(Presupuesto!$B$11='Flujo de Pagos'!$E402,11,9999)</f>
        <v>9999</v>
      </c>
      <c r="AF402" s="0" t="n">
        <f aca="false">IF(Presupuesto!$B$12='Flujo de Pagos'!$E402,12,9999)</f>
        <v>12</v>
      </c>
      <c r="AG402" s="0" t="n">
        <f aca="false">IF(Presupuesto!$B$13='Flujo de Pagos'!$E402,13,9999)</f>
        <v>13</v>
      </c>
      <c r="AH402" s="0" t="n">
        <f aca="false">IF(Presupuesto!$B$14='Flujo de Pagos'!$E402,14,9999)</f>
        <v>14</v>
      </c>
      <c r="AI402" s="0" t="n">
        <f aca="false">IF(Presupuesto!$B$15='Flujo de Pagos'!$E402,15,9999)</f>
        <v>15</v>
      </c>
      <c r="AJ402" s="0" t="n">
        <f aca="false">IF(Presupuesto!$B$16='Flujo de Pagos'!$E402,16,9999)</f>
        <v>16</v>
      </c>
      <c r="AK402" s="0" t="n">
        <f aca="false">IF(Presupuesto!$B$17='Flujo de Pagos'!$E402,17,9999)</f>
        <v>17</v>
      </c>
      <c r="AL402" s="0" t="n">
        <f aca="false">IF(Presupuesto!$B$18='Flujo de Pagos'!$E402,18,9999)</f>
        <v>18</v>
      </c>
      <c r="AM402" s="0" t="n">
        <f aca="false">IF(Presupuesto!$B$19='Flujo de Pagos'!$E402,19,9999)</f>
        <v>19</v>
      </c>
      <c r="AN402" s="0" t="n">
        <f aca="false">IF(Presupuesto!$B$20='Flujo de Pagos'!$E402,20,9999)</f>
        <v>20</v>
      </c>
      <c r="AO402" s="0" t="n">
        <f aca="false">IF(Presupuesto!$B$21='Flujo de Pagos'!$E402,21,9999)</f>
        <v>21</v>
      </c>
      <c r="AP402" s="0" t="n">
        <f aca="false">IF(Presupuesto!$B$22='Flujo de Pagos'!$E402,22,9999)</f>
        <v>22</v>
      </c>
      <c r="AQ402" s="0" t="n">
        <f aca="false">IF(Presupuesto!$B$23='Flujo de Pagos'!$E402,23,9999)</f>
        <v>23</v>
      </c>
      <c r="AR402" s="0" t="n">
        <f aca="false">IF(Presupuesto!$B$24='Flujo de Pagos'!$E402,24,9999)</f>
        <v>24</v>
      </c>
      <c r="AS402" s="0" t="n">
        <f aca="false">IF(Presupuesto!$B$25='Flujo de Pagos'!$E402,25,9999)</f>
        <v>25</v>
      </c>
      <c r="AT402" s="0" t="n">
        <f aca="false">IF(Presupuesto!$B$26='Flujo de Pagos'!$E402,26,9999)</f>
        <v>26</v>
      </c>
      <c r="AU402" s="0" t="n">
        <f aca="false">IF(Presupuesto!$B$27='Flujo de Pagos'!$E402,27,9999)</f>
        <v>27</v>
      </c>
      <c r="AV402" s="0" t="n">
        <f aca="false">IF(Presupuesto!$B$28='Flujo de Pagos'!$E402,28,9999)</f>
        <v>28</v>
      </c>
      <c r="AW402" s="0" t="n">
        <f aca="false">IF(Presupuesto!$B$29='Flujo de Pagos'!$E402,29,9999)</f>
        <v>29</v>
      </c>
      <c r="AX402" s="0" t="n">
        <f aca="false">IF(Presupuesto!$B$30='Flujo de Pagos'!$E402,30,9999)</f>
        <v>30</v>
      </c>
      <c r="AY402" s="0" t="n">
        <f aca="false">IF(Presupuesto!$B$31='Flujo de Pagos'!$E402,31,9999)</f>
        <v>31</v>
      </c>
      <c r="AZ402" s="0" t="n">
        <f aca="false">IF(Presupuesto!$B$32='Flujo de Pagos'!$E402,32,9999)</f>
        <v>32</v>
      </c>
      <c r="BA402" s="0" t="n">
        <f aca="false">IF(Presupuesto!$B$33='Flujo de Pagos'!$E402,33,9999)</f>
        <v>33</v>
      </c>
      <c r="BB402" s="0" t="n">
        <f aca="false">IF(Presupuesto!$B$34='Flujo de Pagos'!$E402,34,9999)</f>
        <v>34</v>
      </c>
      <c r="BC402" s="0" t="n">
        <f aca="false">IF(Presupuesto!$B$35='Flujo de Pagos'!$E402,35,9999)</f>
        <v>35</v>
      </c>
      <c r="BD402" s="0" t="n">
        <f aca="false">IF(Presupuesto!$B$36='Flujo de Pagos'!$E402,36,9999)</f>
        <v>36</v>
      </c>
      <c r="BE402" s="0" t="n">
        <f aca="false">IF(Presupuesto!$B$37='Flujo de Pagos'!$E402,37,9999)</f>
        <v>37</v>
      </c>
      <c r="BF402" s="0" t="n">
        <f aca="false">IF(Presupuesto!$B$38='Flujo de Pagos'!$E402,38,9999)</f>
        <v>38</v>
      </c>
      <c r="BG402" s="0" t="n">
        <f aca="false">IF(Presupuesto!$B$39='Flujo de Pagos'!$E402,39,9999)</f>
        <v>39</v>
      </c>
      <c r="BH402" s="0" t="n">
        <f aca="false">IF(Presupuesto!$B$40='Flujo de Pagos'!$E402,40,9999)</f>
        <v>40</v>
      </c>
      <c r="BI402" s="0" t="n">
        <f aca="false">IF(Presupuesto!$B$41='Flujo de Pagos'!$E402,41,9999)</f>
        <v>41</v>
      </c>
      <c r="BJ402" s="0" t="n">
        <f aca="false">IF(Presupuesto!$B$42='Flujo de Pagos'!$E402,42,9999)</f>
        <v>42</v>
      </c>
      <c r="BK402" s="0" t="n">
        <f aca="false">IF(Presupuesto!$B$43='Flujo de Pagos'!$E402,43,9999)</f>
        <v>43</v>
      </c>
      <c r="BL402" s="0" t="n">
        <f aca="false">IF(Presupuesto!$B$44='Flujo de Pagos'!$E402,44,9999)</f>
        <v>44</v>
      </c>
      <c r="BM402" s="0" t="n">
        <f aca="false">IF(Presupuesto!$B$45='Flujo de Pagos'!$E402,45,9999)</f>
        <v>45</v>
      </c>
      <c r="BN402" s="0" t="n">
        <f aca="false">IF(Presupuesto!$B$46='Flujo de Pagos'!$E402,46,9999)</f>
        <v>46</v>
      </c>
      <c r="BO402" s="0" t="n">
        <f aca="false">IF(Presupuesto!$B$47='Flujo de Pagos'!$E402,47,9999)</f>
        <v>47</v>
      </c>
      <c r="BP402" s="0" t="n">
        <f aca="false">IF(Presupuesto!$B$48='Flujo de Pagos'!$E402,48,9999)</f>
        <v>48</v>
      </c>
      <c r="BQ402" s="0" t="n">
        <f aca="false">IF(Presupuesto!$B$49='Flujo de Pagos'!$E402,49,9999)</f>
        <v>49</v>
      </c>
      <c r="BR402" s="0" t="n">
        <f aca="false">IF(Presupuesto!$B$50='Flujo de Pagos'!$E402,50,9999)</f>
        <v>50</v>
      </c>
      <c r="BS402" s="0" t="n">
        <f aca="false">IF(Presupuesto!$B$51='Flujo de Pagos'!$E402,51,9999)</f>
        <v>51</v>
      </c>
      <c r="BT402" s="0" t="n">
        <f aca="false">IF(Presupuesto!$B$52='Flujo de Pagos'!$E402,52,9999)</f>
        <v>52</v>
      </c>
      <c r="BU402" s="0" t="n">
        <f aca="false">IF(Presupuesto!$B$53='Flujo de Pagos'!$E402,53,9999)</f>
        <v>53</v>
      </c>
      <c r="BV402" s="0" t="n">
        <f aca="false">IF(Presupuesto!$B$54='Flujo de Pagos'!$E402,54,9999)</f>
        <v>54</v>
      </c>
      <c r="BW402" s="0" t="n">
        <f aca="false">IF(Presupuesto!$B$55='Flujo de Pagos'!$E402,55,9999)</f>
        <v>55</v>
      </c>
      <c r="BX402" s="0" t="n">
        <f aca="false">IF(Presupuesto!$B$56='Flujo de Pagos'!$E402,56,9999)</f>
        <v>56</v>
      </c>
      <c r="BY402" s="0" t="n">
        <f aca="false">IF(Presupuesto!$B$57='Flujo de Pagos'!$E402,57,9999)</f>
        <v>57</v>
      </c>
      <c r="BZ402" s="0" t="n">
        <f aca="false">IF(Presupuesto!$B$58='Flujo de Pagos'!$E402,58,9999)</f>
        <v>58</v>
      </c>
      <c r="CA402" s="0" t="n">
        <f aca="false">IF(Presupuesto!$B$59='Flujo de Pagos'!$E402,59,9999)</f>
        <v>59</v>
      </c>
      <c r="CB402" s="0" t="n">
        <f aca="false">IF(Presupuesto!$B$60='Flujo de Pagos'!$E402,60,9999)</f>
        <v>60</v>
      </c>
      <c r="CC402" s="0" t="n">
        <f aca="false">IF(Presupuesto!$B$61='Flujo de Pagos'!$E402,61,9999)</f>
        <v>61</v>
      </c>
      <c r="CD402" s="0" t="n">
        <f aca="false">IF(Presupuesto!$B$62='Flujo de Pagos'!$E402,62,9999)</f>
        <v>62</v>
      </c>
      <c r="CE402" s="0" t="n">
        <f aca="false">IF(Presupuesto!$B$63='Flujo de Pagos'!$E402,63,9999)</f>
        <v>63</v>
      </c>
      <c r="CF402" s="0" t="n">
        <f aca="false">IF(Presupuesto!$B$64='Flujo de Pagos'!$E402,64,9999)</f>
        <v>64</v>
      </c>
      <c r="CG402" s="0" t="n">
        <f aca="false">IF(Presupuesto!$B$65='Flujo de Pagos'!$E402,65,9999)</f>
        <v>65</v>
      </c>
      <c r="CH402" s="0" t="n">
        <f aca="false">IF(Presupuesto!$B$66='Flujo de Pagos'!$E402,66,9999)</f>
        <v>66</v>
      </c>
    </row>
    <row r="403" customFormat="false" ht="15" hidden="false" customHeight="true" outlineLevel="0" collapsed="false">
      <c r="B403" s="1" t="n">
        <f aca="false">IF(AND('Flujo de Pagos'!E408=Carátula!$B$2,'Flujo de Pagos'!F408=Carátula!$B$4,'Flujo de Pagos'!H408&lt;&gt;""),408,99999)</f>
        <v>99999</v>
      </c>
      <c r="H403" s="1" t="n">
        <f aca="false">IF(SMALL($AA403:$CH403,1)&gt;=9999,"",INDEX(Presupuesto!$C:$C,SMALL($AA403:$CH403,1)))</f>
        <v>0</v>
      </c>
      <c r="I403" s="1" t="n">
        <f aca="false">IF(SMALL($AA403:$CH403,2)&gt;=9999,"",INDEX(Presupuesto!$C:$C,SMALL($AA403:$CH403,2)))</f>
        <v>0</v>
      </c>
      <c r="J403" s="1" t="n">
        <f aca="false">IF(SMALL($AA403:$CH403,3)&gt;=9999,"",INDEX(Presupuesto!$C:$C,SMALL($AA403:$CH403,3)))</f>
        <v>0</v>
      </c>
      <c r="K403" s="1" t="n">
        <f aca="false">IF(SMALL($AA403:$CH403,4)&gt;=9999,"",INDEX(Presupuesto!$C:$C,SMALL($AA403:$CH403,4)))</f>
        <v>0</v>
      </c>
      <c r="L403" s="1" t="n">
        <f aca="false">IF(SMALL($AA403:$CH403,5)&gt;=9999,"",INDEX(Presupuesto!$C:$C,SMALL($AA403:$CH403,5)))</f>
        <v>0</v>
      </c>
      <c r="M403" s="1" t="n">
        <f aca="false">IF(SMALL($AA403:$CH403,6)&gt;=9999,"",INDEX(Presupuesto!$C:$C,SMALL($AA403:$CH403,6)))</f>
        <v>0</v>
      </c>
      <c r="N403" s="1" t="n">
        <f aca="false">IF(SMALL($AA403:$CH403,7)&gt;=9999,"",INDEX(Presupuesto!$C:$C,SMALL($AA403:$CH403,7)))</f>
        <v>0</v>
      </c>
      <c r="O403" s="1" t="n">
        <f aca="false">IF(SMALL($AA403:$CH403,8)&gt;=9999,"",INDEX(Presupuesto!$C:$C,SMALL($AA403:$CH403,8)))</f>
        <v>0</v>
      </c>
      <c r="P403" s="1" t="n">
        <f aca="false">IF(SMALL($AA403:$CH403,9)&gt;=9999,"",INDEX(Presupuesto!$C:$C,SMALL($AA403:$CH403,9)))</f>
        <v>0</v>
      </c>
      <c r="Q403" s="1" t="n">
        <f aca="false">IF(SMALL($AA403:$CH403,10)&gt;=9999,"",INDEX(Presupuesto!$C:$C,SMALL($AA403:$CH403,10)))</f>
        <v>0</v>
      </c>
      <c r="AA403" s="0" t="n">
        <f aca="false">IF(Presupuesto!$B$7='Flujo de Pagos'!$E403,7,9999)</f>
        <v>9999</v>
      </c>
      <c r="AB403" s="0" t="n">
        <f aca="false">IF(Presupuesto!$B$8='Flujo de Pagos'!$E403,8,9999)</f>
        <v>9999</v>
      </c>
      <c r="AC403" s="0" t="n">
        <f aca="false">IF(Presupuesto!$B$9='Flujo de Pagos'!$E403,9,9999)</f>
        <v>9999</v>
      </c>
      <c r="AD403" s="0" t="n">
        <f aca="false">IF(Presupuesto!$B$10='Flujo de Pagos'!$E403,10,9999)</f>
        <v>9999</v>
      </c>
      <c r="AE403" s="0" t="n">
        <f aca="false">IF(Presupuesto!$B$11='Flujo de Pagos'!$E403,11,9999)</f>
        <v>9999</v>
      </c>
      <c r="AF403" s="0" t="n">
        <f aca="false">IF(Presupuesto!$B$12='Flujo de Pagos'!$E403,12,9999)</f>
        <v>12</v>
      </c>
      <c r="AG403" s="0" t="n">
        <f aca="false">IF(Presupuesto!$B$13='Flujo de Pagos'!$E403,13,9999)</f>
        <v>13</v>
      </c>
      <c r="AH403" s="0" t="n">
        <f aca="false">IF(Presupuesto!$B$14='Flujo de Pagos'!$E403,14,9999)</f>
        <v>14</v>
      </c>
      <c r="AI403" s="0" t="n">
        <f aca="false">IF(Presupuesto!$B$15='Flujo de Pagos'!$E403,15,9999)</f>
        <v>15</v>
      </c>
      <c r="AJ403" s="0" t="n">
        <f aca="false">IF(Presupuesto!$B$16='Flujo de Pagos'!$E403,16,9999)</f>
        <v>16</v>
      </c>
      <c r="AK403" s="0" t="n">
        <f aca="false">IF(Presupuesto!$B$17='Flujo de Pagos'!$E403,17,9999)</f>
        <v>17</v>
      </c>
      <c r="AL403" s="0" t="n">
        <f aca="false">IF(Presupuesto!$B$18='Flujo de Pagos'!$E403,18,9999)</f>
        <v>18</v>
      </c>
      <c r="AM403" s="0" t="n">
        <f aca="false">IF(Presupuesto!$B$19='Flujo de Pagos'!$E403,19,9999)</f>
        <v>19</v>
      </c>
      <c r="AN403" s="0" t="n">
        <f aca="false">IF(Presupuesto!$B$20='Flujo de Pagos'!$E403,20,9999)</f>
        <v>20</v>
      </c>
      <c r="AO403" s="0" t="n">
        <f aca="false">IF(Presupuesto!$B$21='Flujo de Pagos'!$E403,21,9999)</f>
        <v>21</v>
      </c>
      <c r="AP403" s="0" t="n">
        <f aca="false">IF(Presupuesto!$B$22='Flujo de Pagos'!$E403,22,9999)</f>
        <v>22</v>
      </c>
      <c r="AQ403" s="0" t="n">
        <f aca="false">IF(Presupuesto!$B$23='Flujo de Pagos'!$E403,23,9999)</f>
        <v>23</v>
      </c>
      <c r="AR403" s="0" t="n">
        <f aca="false">IF(Presupuesto!$B$24='Flujo de Pagos'!$E403,24,9999)</f>
        <v>24</v>
      </c>
      <c r="AS403" s="0" t="n">
        <f aca="false">IF(Presupuesto!$B$25='Flujo de Pagos'!$E403,25,9999)</f>
        <v>25</v>
      </c>
      <c r="AT403" s="0" t="n">
        <f aca="false">IF(Presupuesto!$B$26='Flujo de Pagos'!$E403,26,9999)</f>
        <v>26</v>
      </c>
      <c r="AU403" s="0" t="n">
        <f aca="false">IF(Presupuesto!$B$27='Flujo de Pagos'!$E403,27,9999)</f>
        <v>27</v>
      </c>
      <c r="AV403" s="0" t="n">
        <f aca="false">IF(Presupuesto!$B$28='Flujo de Pagos'!$E403,28,9999)</f>
        <v>28</v>
      </c>
      <c r="AW403" s="0" t="n">
        <f aca="false">IF(Presupuesto!$B$29='Flujo de Pagos'!$E403,29,9999)</f>
        <v>29</v>
      </c>
      <c r="AX403" s="0" t="n">
        <f aca="false">IF(Presupuesto!$B$30='Flujo de Pagos'!$E403,30,9999)</f>
        <v>30</v>
      </c>
      <c r="AY403" s="0" t="n">
        <f aca="false">IF(Presupuesto!$B$31='Flujo de Pagos'!$E403,31,9999)</f>
        <v>31</v>
      </c>
      <c r="AZ403" s="0" t="n">
        <f aca="false">IF(Presupuesto!$B$32='Flujo de Pagos'!$E403,32,9999)</f>
        <v>32</v>
      </c>
      <c r="BA403" s="0" t="n">
        <f aca="false">IF(Presupuesto!$B$33='Flujo de Pagos'!$E403,33,9999)</f>
        <v>33</v>
      </c>
      <c r="BB403" s="0" t="n">
        <f aca="false">IF(Presupuesto!$B$34='Flujo de Pagos'!$E403,34,9999)</f>
        <v>34</v>
      </c>
      <c r="BC403" s="0" t="n">
        <f aca="false">IF(Presupuesto!$B$35='Flujo de Pagos'!$E403,35,9999)</f>
        <v>35</v>
      </c>
      <c r="BD403" s="0" t="n">
        <f aca="false">IF(Presupuesto!$B$36='Flujo de Pagos'!$E403,36,9999)</f>
        <v>36</v>
      </c>
      <c r="BE403" s="0" t="n">
        <f aca="false">IF(Presupuesto!$B$37='Flujo de Pagos'!$E403,37,9999)</f>
        <v>37</v>
      </c>
      <c r="BF403" s="0" t="n">
        <f aca="false">IF(Presupuesto!$B$38='Flujo de Pagos'!$E403,38,9999)</f>
        <v>38</v>
      </c>
      <c r="BG403" s="0" t="n">
        <f aca="false">IF(Presupuesto!$B$39='Flujo de Pagos'!$E403,39,9999)</f>
        <v>39</v>
      </c>
      <c r="BH403" s="0" t="n">
        <f aca="false">IF(Presupuesto!$B$40='Flujo de Pagos'!$E403,40,9999)</f>
        <v>40</v>
      </c>
      <c r="BI403" s="0" t="n">
        <f aca="false">IF(Presupuesto!$B$41='Flujo de Pagos'!$E403,41,9999)</f>
        <v>41</v>
      </c>
      <c r="BJ403" s="0" t="n">
        <f aca="false">IF(Presupuesto!$B$42='Flujo de Pagos'!$E403,42,9999)</f>
        <v>42</v>
      </c>
      <c r="BK403" s="0" t="n">
        <f aca="false">IF(Presupuesto!$B$43='Flujo de Pagos'!$E403,43,9999)</f>
        <v>43</v>
      </c>
      <c r="BL403" s="0" t="n">
        <f aca="false">IF(Presupuesto!$B$44='Flujo de Pagos'!$E403,44,9999)</f>
        <v>44</v>
      </c>
      <c r="BM403" s="0" t="n">
        <f aca="false">IF(Presupuesto!$B$45='Flujo de Pagos'!$E403,45,9999)</f>
        <v>45</v>
      </c>
      <c r="BN403" s="0" t="n">
        <f aca="false">IF(Presupuesto!$B$46='Flujo de Pagos'!$E403,46,9999)</f>
        <v>46</v>
      </c>
      <c r="BO403" s="0" t="n">
        <f aca="false">IF(Presupuesto!$B$47='Flujo de Pagos'!$E403,47,9999)</f>
        <v>47</v>
      </c>
      <c r="BP403" s="0" t="n">
        <f aca="false">IF(Presupuesto!$B$48='Flujo de Pagos'!$E403,48,9999)</f>
        <v>48</v>
      </c>
      <c r="BQ403" s="0" t="n">
        <f aca="false">IF(Presupuesto!$B$49='Flujo de Pagos'!$E403,49,9999)</f>
        <v>49</v>
      </c>
      <c r="BR403" s="0" t="n">
        <f aca="false">IF(Presupuesto!$B$50='Flujo de Pagos'!$E403,50,9999)</f>
        <v>50</v>
      </c>
      <c r="BS403" s="0" t="n">
        <f aca="false">IF(Presupuesto!$B$51='Flujo de Pagos'!$E403,51,9999)</f>
        <v>51</v>
      </c>
      <c r="BT403" s="0" t="n">
        <f aca="false">IF(Presupuesto!$B$52='Flujo de Pagos'!$E403,52,9999)</f>
        <v>52</v>
      </c>
      <c r="BU403" s="0" t="n">
        <f aca="false">IF(Presupuesto!$B$53='Flujo de Pagos'!$E403,53,9999)</f>
        <v>53</v>
      </c>
      <c r="BV403" s="0" t="n">
        <f aca="false">IF(Presupuesto!$B$54='Flujo de Pagos'!$E403,54,9999)</f>
        <v>54</v>
      </c>
      <c r="BW403" s="0" t="n">
        <f aca="false">IF(Presupuesto!$B$55='Flujo de Pagos'!$E403,55,9999)</f>
        <v>55</v>
      </c>
      <c r="BX403" s="0" t="n">
        <f aca="false">IF(Presupuesto!$B$56='Flujo de Pagos'!$E403,56,9999)</f>
        <v>56</v>
      </c>
      <c r="BY403" s="0" t="n">
        <f aca="false">IF(Presupuesto!$B$57='Flujo de Pagos'!$E403,57,9999)</f>
        <v>57</v>
      </c>
      <c r="BZ403" s="0" t="n">
        <f aca="false">IF(Presupuesto!$B$58='Flujo de Pagos'!$E403,58,9999)</f>
        <v>58</v>
      </c>
      <c r="CA403" s="0" t="n">
        <f aca="false">IF(Presupuesto!$B$59='Flujo de Pagos'!$E403,59,9999)</f>
        <v>59</v>
      </c>
      <c r="CB403" s="0" t="n">
        <f aca="false">IF(Presupuesto!$B$60='Flujo de Pagos'!$E403,60,9999)</f>
        <v>60</v>
      </c>
      <c r="CC403" s="0" t="n">
        <f aca="false">IF(Presupuesto!$B$61='Flujo de Pagos'!$E403,61,9999)</f>
        <v>61</v>
      </c>
      <c r="CD403" s="0" t="n">
        <f aca="false">IF(Presupuesto!$B$62='Flujo de Pagos'!$E403,62,9999)</f>
        <v>62</v>
      </c>
      <c r="CE403" s="0" t="n">
        <f aca="false">IF(Presupuesto!$B$63='Flujo de Pagos'!$E403,63,9999)</f>
        <v>63</v>
      </c>
      <c r="CF403" s="0" t="n">
        <f aca="false">IF(Presupuesto!$B$64='Flujo de Pagos'!$E403,64,9999)</f>
        <v>64</v>
      </c>
      <c r="CG403" s="0" t="n">
        <f aca="false">IF(Presupuesto!$B$65='Flujo de Pagos'!$E403,65,9999)</f>
        <v>65</v>
      </c>
      <c r="CH403" s="0" t="n">
        <f aca="false">IF(Presupuesto!$B$66='Flujo de Pagos'!$E403,66,9999)</f>
        <v>66</v>
      </c>
    </row>
    <row r="404" customFormat="false" ht="15" hidden="false" customHeight="true" outlineLevel="0" collapsed="false">
      <c r="B404" s="1" t="n">
        <f aca="false">IF(AND('Flujo de Pagos'!E409=Carátula!$B$2,'Flujo de Pagos'!F409=Carátula!$B$4,'Flujo de Pagos'!H409&lt;&gt;""),409,99999)</f>
        <v>99999</v>
      </c>
      <c r="H404" s="1" t="n">
        <f aca="false">IF(SMALL($AA404:$CH404,1)&gt;=9999,"",INDEX(Presupuesto!$C:$C,SMALL($AA404:$CH404,1)))</f>
        <v>0</v>
      </c>
      <c r="I404" s="1" t="n">
        <f aca="false">IF(SMALL($AA404:$CH404,2)&gt;=9999,"",INDEX(Presupuesto!$C:$C,SMALL($AA404:$CH404,2)))</f>
        <v>0</v>
      </c>
      <c r="J404" s="1" t="n">
        <f aca="false">IF(SMALL($AA404:$CH404,3)&gt;=9999,"",INDEX(Presupuesto!$C:$C,SMALL($AA404:$CH404,3)))</f>
        <v>0</v>
      </c>
      <c r="K404" s="1" t="n">
        <f aca="false">IF(SMALL($AA404:$CH404,4)&gt;=9999,"",INDEX(Presupuesto!$C:$C,SMALL($AA404:$CH404,4)))</f>
        <v>0</v>
      </c>
      <c r="L404" s="1" t="n">
        <f aca="false">IF(SMALL($AA404:$CH404,5)&gt;=9999,"",INDEX(Presupuesto!$C:$C,SMALL($AA404:$CH404,5)))</f>
        <v>0</v>
      </c>
      <c r="M404" s="1" t="n">
        <f aca="false">IF(SMALL($AA404:$CH404,6)&gt;=9999,"",INDEX(Presupuesto!$C:$C,SMALL($AA404:$CH404,6)))</f>
        <v>0</v>
      </c>
      <c r="N404" s="1" t="n">
        <f aca="false">IF(SMALL($AA404:$CH404,7)&gt;=9999,"",INDEX(Presupuesto!$C:$C,SMALL($AA404:$CH404,7)))</f>
        <v>0</v>
      </c>
      <c r="O404" s="1" t="n">
        <f aca="false">IF(SMALL($AA404:$CH404,8)&gt;=9999,"",INDEX(Presupuesto!$C:$C,SMALL($AA404:$CH404,8)))</f>
        <v>0</v>
      </c>
      <c r="P404" s="1" t="n">
        <f aca="false">IF(SMALL($AA404:$CH404,9)&gt;=9999,"",INDEX(Presupuesto!$C:$C,SMALL($AA404:$CH404,9)))</f>
        <v>0</v>
      </c>
      <c r="Q404" s="1" t="n">
        <f aca="false">IF(SMALL($AA404:$CH404,10)&gt;=9999,"",INDEX(Presupuesto!$C:$C,SMALL($AA404:$CH404,10)))</f>
        <v>0</v>
      </c>
      <c r="AA404" s="0" t="n">
        <f aca="false">IF(Presupuesto!$B$7='Flujo de Pagos'!$E404,7,9999)</f>
        <v>9999</v>
      </c>
      <c r="AB404" s="0" t="n">
        <f aca="false">IF(Presupuesto!$B$8='Flujo de Pagos'!$E404,8,9999)</f>
        <v>9999</v>
      </c>
      <c r="AC404" s="0" t="n">
        <f aca="false">IF(Presupuesto!$B$9='Flujo de Pagos'!$E404,9,9999)</f>
        <v>9999</v>
      </c>
      <c r="AD404" s="0" t="n">
        <f aca="false">IF(Presupuesto!$B$10='Flujo de Pagos'!$E404,10,9999)</f>
        <v>9999</v>
      </c>
      <c r="AE404" s="0" t="n">
        <f aca="false">IF(Presupuesto!$B$11='Flujo de Pagos'!$E404,11,9999)</f>
        <v>9999</v>
      </c>
      <c r="AF404" s="0" t="n">
        <f aca="false">IF(Presupuesto!$B$12='Flujo de Pagos'!$E404,12,9999)</f>
        <v>12</v>
      </c>
      <c r="AG404" s="0" t="n">
        <f aca="false">IF(Presupuesto!$B$13='Flujo de Pagos'!$E404,13,9999)</f>
        <v>13</v>
      </c>
      <c r="AH404" s="0" t="n">
        <f aca="false">IF(Presupuesto!$B$14='Flujo de Pagos'!$E404,14,9999)</f>
        <v>14</v>
      </c>
      <c r="AI404" s="0" t="n">
        <f aca="false">IF(Presupuesto!$B$15='Flujo de Pagos'!$E404,15,9999)</f>
        <v>15</v>
      </c>
      <c r="AJ404" s="0" t="n">
        <f aca="false">IF(Presupuesto!$B$16='Flujo de Pagos'!$E404,16,9999)</f>
        <v>16</v>
      </c>
      <c r="AK404" s="0" t="n">
        <f aca="false">IF(Presupuesto!$B$17='Flujo de Pagos'!$E404,17,9999)</f>
        <v>17</v>
      </c>
      <c r="AL404" s="0" t="n">
        <f aca="false">IF(Presupuesto!$B$18='Flujo de Pagos'!$E404,18,9999)</f>
        <v>18</v>
      </c>
      <c r="AM404" s="0" t="n">
        <f aca="false">IF(Presupuesto!$B$19='Flujo de Pagos'!$E404,19,9999)</f>
        <v>19</v>
      </c>
      <c r="AN404" s="0" t="n">
        <f aca="false">IF(Presupuesto!$B$20='Flujo de Pagos'!$E404,20,9999)</f>
        <v>20</v>
      </c>
      <c r="AO404" s="0" t="n">
        <f aca="false">IF(Presupuesto!$B$21='Flujo de Pagos'!$E404,21,9999)</f>
        <v>21</v>
      </c>
      <c r="AP404" s="0" t="n">
        <f aca="false">IF(Presupuesto!$B$22='Flujo de Pagos'!$E404,22,9999)</f>
        <v>22</v>
      </c>
      <c r="AQ404" s="0" t="n">
        <f aca="false">IF(Presupuesto!$B$23='Flujo de Pagos'!$E404,23,9999)</f>
        <v>23</v>
      </c>
      <c r="AR404" s="0" t="n">
        <f aca="false">IF(Presupuesto!$B$24='Flujo de Pagos'!$E404,24,9999)</f>
        <v>24</v>
      </c>
      <c r="AS404" s="0" t="n">
        <f aca="false">IF(Presupuesto!$B$25='Flujo de Pagos'!$E404,25,9999)</f>
        <v>25</v>
      </c>
      <c r="AT404" s="0" t="n">
        <f aca="false">IF(Presupuesto!$B$26='Flujo de Pagos'!$E404,26,9999)</f>
        <v>26</v>
      </c>
      <c r="AU404" s="0" t="n">
        <f aca="false">IF(Presupuesto!$B$27='Flujo de Pagos'!$E404,27,9999)</f>
        <v>27</v>
      </c>
      <c r="AV404" s="0" t="n">
        <f aca="false">IF(Presupuesto!$B$28='Flujo de Pagos'!$E404,28,9999)</f>
        <v>28</v>
      </c>
      <c r="AW404" s="0" t="n">
        <f aca="false">IF(Presupuesto!$B$29='Flujo de Pagos'!$E404,29,9999)</f>
        <v>29</v>
      </c>
      <c r="AX404" s="0" t="n">
        <f aca="false">IF(Presupuesto!$B$30='Flujo de Pagos'!$E404,30,9999)</f>
        <v>30</v>
      </c>
      <c r="AY404" s="0" t="n">
        <f aca="false">IF(Presupuesto!$B$31='Flujo de Pagos'!$E404,31,9999)</f>
        <v>31</v>
      </c>
      <c r="AZ404" s="0" t="n">
        <f aca="false">IF(Presupuesto!$B$32='Flujo de Pagos'!$E404,32,9999)</f>
        <v>32</v>
      </c>
      <c r="BA404" s="0" t="n">
        <f aca="false">IF(Presupuesto!$B$33='Flujo de Pagos'!$E404,33,9999)</f>
        <v>33</v>
      </c>
      <c r="BB404" s="0" t="n">
        <f aca="false">IF(Presupuesto!$B$34='Flujo de Pagos'!$E404,34,9999)</f>
        <v>34</v>
      </c>
      <c r="BC404" s="0" t="n">
        <f aca="false">IF(Presupuesto!$B$35='Flujo de Pagos'!$E404,35,9999)</f>
        <v>35</v>
      </c>
      <c r="BD404" s="0" t="n">
        <f aca="false">IF(Presupuesto!$B$36='Flujo de Pagos'!$E404,36,9999)</f>
        <v>36</v>
      </c>
      <c r="BE404" s="0" t="n">
        <f aca="false">IF(Presupuesto!$B$37='Flujo de Pagos'!$E404,37,9999)</f>
        <v>37</v>
      </c>
      <c r="BF404" s="0" t="n">
        <f aca="false">IF(Presupuesto!$B$38='Flujo de Pagos'!$E404,38,9999)</f>
        <v>38</v>
      </c>
      <c r="BG404" s="0" t="n">
        <f aca="false">IF(Presupuesto!$B$39='Flujo de Pagos'!$E404,39,9999)</f>
        <v>39</v>
      </c>
      <c r="BH404" s="0" t="n">
        <f aca="false">IF(Presupuesto!$B$40='Flujo de Pagos'!$E404,40,9999)</f>
        <v>40</v>
      </c>
      <c r="BI404" s="0" t="n">
        <f aca="false">IF(Presupuesto!$B$41='Flujo de Pagos'!$E404,41,9999)</f>
        <v>41</v>
      </c>
      <c r="BJ404" s="0" t="n">
        <f aca="false">IF(Presupuesto!$B$42='Flujo de Pagos'!$E404,42,9999)</f>
        <v>42</v>
      </c>
      <c r="BK404" s="0" t="n">
        <f aca="false">IF(Presupuesto!$B$43='Flujo de Pagos'!$E404,43,9999)</f>
        <v>43</v>
      </c>
      <c r="BL404" s="0" t="n">
        <f aca="false">IF(Presupuesto!$B$44='Flujo de Pagos'!$E404,44,9999)</f>
        <v>44</v>
      </c>
      <c r="BM404" s="0" t="n">
        <f aca="false">IF(Presupuesto!$B$45='Flujo de Pagos'!$E404,45,9999)</f>
        <v>45</v>
      </c>
      <c r="BN404" s="0" t="n">
        <f aca="false">IF(Presupuesto!$B$46='Flujo de Pagos'!$E404,46,9999)</f>
        <v>46</v>
      </c>
      <c r="BO404" s="0" t="n">
        <f aca="false">IF(Presupuesto!$B$47='Flujo de Pagos'!$E404,47,9999)</f>
        <v>47</v>
      </c>
      <c r="BP404" s="0" t="n">
        <f aca="false">IF(Presupuesto!$B$48='Flujo de Pagos'!$E404,48,9999)</f>
        <v>48</v>
      </c>
      <c r="BQ404" s="0" t="n">
        <f aca="false">IF(Presupuesto!$B$49='Flujo de Pagos'!$E404,49,9999)</f>
        <v>49</v>
      </c>
      <c r="BR404" s="0" t="n">
        <f aca="false">IF(Presupuesto!$B$50='Flujo de Pagos'!$E404,50,9999)</f>
        <v>50</v>
      </c>
      <c r="BS404" s="0" t="n">
        <f aca="false">IF(Presupuesto!$B$51='Flujo de Pagos'!$E404,51,9999)</f>
        <v>51</v>
      </c>
      <c r="BT404" s="0" t="n">
        <f aca="false">IF(Presupuesto!$B$52='Flujo de Pagos'!$E404,52,9999)</f>
        <v>52</v>
      </c>
      <c r="BU404" s="0" t="n">
        <f aca="false">IF(Presupuesto!$B$53='Flujo de Pagos'!$E404,53,9999)</f>
        <v>53</v>
      </c>
      <c r="BV404" s="0" t="n">
        <f aca="false">IF(Presupuesto!$B$54='Flujo de Pagos'!$E404,54,9999)</f>
        <v>54</v>
      </c>
      <c r="BW404" s="0" t="n">
        <f aca="false">IF(Presupuesto!$B$55='Flujo de Pagos'!$E404,55,9999)</f>
        <v>55</v>
      </c>
      <c r="BX404" s="0" t="n">
        <f aca="false">IF(Presupuesto!$B$56='Flujo de Pagos'!$E404,56,9999)</f>
        <v>56</v>
      </c>
      <c r="BY404" s="0" t="n">
        <f aca="false">IF(Presupuesto!$B$57='Flujo de Pagos'!$E404,57,9999)</f>
        <v>57</v>
      </c>
      <c r="BZ404" s="0" t="n">
        <f aca="false">IF(Presupuesto!$B$58='Flujo de Pagos'!$E404,58,9999)</f>
        <v>58</v>
      </c>
      <c r="CA404" s="0" t="n">
        <f aca="false">IF(Presupuesto!$B$59='Flujo de Pagos'!$E404,59,9999)</f>
        <v>59</v>
      </c>
      <c r="CB404" s="0" t="n">
        <f aca="false">IF(Presupuesto!$B$60='Flujo de Pagos'!$E404,60,9999)</f>
        <v>60</v>
      </c>
      <c r="CC404" s="0" t="n">
        <f aca="false">IF(Presupuesto!$B$61='Flujo de Pagos'!$E404,61,9999)</f>
        <v>61</v>
      </c>
      <c r="CD404" s="0" t="n">
        <f aca="false">IF(Presupuesto!$B$62='Flujo de Pagos'!$E404,62,9999)</f>
        <v>62</v>
      </c>
      <c r="CE404" s="0" t="n">
        <f aca="false">IF(Presupuesto!$B$63='Flujo de Pagos'!$E404,63,9999)</f>
        <v>63</v>
      </c>
      <c r="CF404" s="0" t="n">
        <f aca="false">IF(Presupuesto!$B$64='Flujo de Pagos'!$E404,64,9999)</f>
        <v>64</v>
      </c>
      <c r="CG404" s="0" t="n">
        <f aca="false">IF(Presupuesto!$B$65='Flujo de Pagos'!$E404,65,9999)</f>
        <v>65</v>
      </c>
      <c r="CH404" s="0" t="n">
        <f aca="false">IF(Presupuesto!$B$66='Flujo de Pagos'!$E404,66,9999)</f>
        <v>66</v>
      </c>
    </row>
    <row r="405" customFormat="false" ht="15" hidden="false" customHeight="true" outlineLevel="0" collapsed="false">
      <c r="B405" s="1" t="n">
        <f aca="false">IF(AND('Flujo de Pagos'!E410=Carátula!$B$2,'Flujo de Pagos'!F410=Carátula!$B$4,'Flujo de Pagos'!H410&lt;&gt;""),410,99999)</f>
        <v>99999</v>
      </c>
      <c r="H405" s="1" t="n">
        <f aca="false">IF(SMALL($AA405:$CH405,1)&gt;=9999,"",INDEX(Presupuesto!$C:$C,SMALL($AA405:$CH405,1)))</f>
        <v>0</v>
      </c>
      <c r="I405" s="1" t="n">
        <f aca="false">IF(SMALL($AA405:$CH405,2)&gt;=9999,"",INDEX(Presupuesto!$C:$C,SMALL($AA405:$CH405,2)))</f>
        <v>0</v>
      </c>
      <c r="J405" s="1" t="n">
        <f aca="false">IF(SMALL($AA405:$CH405,3)&gt;=9999,"",INDEX(Presupuesto!$C:$C,SMALL($AA405:$CH405,3)))</f>
        <v>0</v>
      </c>
      <c r="K405" s="1" t="n">
        <f aca="false">IF(SMALL($AA405:$CH405,4)&gt;=9999,"",INDEX(Presupuesto!$C:$C,SMALL($AA405:$CH405,4)))</f>
        <v>0</v>
      </c>
      <c r="L405" s="1" t="n">
        <f aca="false">IF(SMALL($AA405:$CH405,5)&gt;=9999,"",INDEX(Presupuesto!$C:$C,SMALL($AA405:$CH405,5)))</f>
        <v>0</v>
      </c>
      <c r="M405" s="1" t="n">
        <f aca="false">IF(SMALL($AA405:$CH405,6)&gt;=9999,"",INDEX(Presupuesto!$C:$C,SMALL($AA405:$CH405,6)))</f>
        <v>0</v>
      </c>
      <c r="N405" s="1" t="n">
        <f aca="false">IF(SMALL($AA405:$CH405,7)&gt;=9999,"",INDEX(Presupuesto!$C:$C,SMALL($AA405:$CH405,7)))</f>
        <v>0</v>
      </c>
      <c r="O405" s="1" t="n">
        <f aca="false">IF(SMALL($AA405:$CH405,8)&gt;=9999,"",INDEX(Presupuesto!$C:$C,SMALL($AA405:$CH405,8)))</f>
        <v>0</v>
      </c>
      <c r="P405" s="1" t="n">
        <f aca="false">IF(SMALL($AA405:$CH405,9)&gt;=9999,"",INDEX(Presupuesto!$C:$C,SMALL($AA405:$CH405,9)))</f>
        <v>0</v>
      </c>
      <c r="Q405" s="1" t="n">
        <f aca="false">IF(SMALL($AA405:$CH405,10)&gt;=9999,"",INDEX(Presupuesto!$C:$C,SMALL($AA405:$CH405,10)))</f>
        <v>0</v>
      </c>
      <c r="AA405" s="0" t="n">
        <f aca="false">IF(Presupuesto!$B$7='Flujo de Pagos'!$E405,7,9999)</f>
        <v>9999</v>
      </c>
      <c r="AB405" s="0" t="n">
        <f aca="false">IF(Presupuesto!$B$8='Flujo de Pagos'!$E405,8,9999)</f>
        <v>9999</v>
      </c>
      <c r="AC405" s="0" t="n">
        <f aca="false">IF(Presupuesto!$B$9='Flujo de Pagos'!$E405,9,9999)</f>
        <v>9999</v>
      </c>
      <c r="AD405" s="0" t="n">
        <f aca="false">IF(Presupuesto!$B$10='Flujo de Pagos'!$E405,10,9999)</f>
        <v>9999</v>
      </c>
      <c r="AE405" s="0" t="n">
        <f aca="false">IF(Presupuesto!$B$11='Flujo de Pagos'!$E405,11,9999)</f>
        <v>9999</v>
      </c>
      <c r="AF405" s="0" t="n">
        <f aca="false">IF(Presupuesto!$B$12='Flujo de Pagos'!$E405,12,9999)</f>
        <v>12</v>
      </c>
      <c r="AG405" s="0" t="n">
        <f aca="false">IF(Presupuesto!$B$13='Flujo de Pagos'!$E405,13,9999)</f>
        <v>13</v>
      </c>
      <c r="AH405" s="0" t="n">
        <f aca="false">IF(Presupuesto!$B$14='Flujo de Pagos'!$E405,14,9999)</f>
        <v>14</v>
      </c>
      <c r="AI405" s="0" t="n">
        <f aca="false">IF(Presupuesto!$B$15='Flujo de Pagos'!$E405,15,9999)</f>
        <v>15</v>
      </c>
      <c r="AJ405" s="0" t="n">
        <f aca="false">IF(Presupuesto!$B$16='Flujo de Pagos'!$E405,16,9999)</f>
        <v>16</v>
      </c>
      <c r="AK405" s="0" t="n">
        <f aca="false">IF(Presupuesto!$B$17='Flujo de Pagos'!$E405,17,9999)</f>
        <v>17</v>
      </c>
      <c r="AL405" s="0" t="n">
        <f aca="false">IF(Presupuesto!$B$18='Flujo de Pagos'!$E405,18,9999)</f>
        <v>18</v>
      </c>
      <c r="AM405" s="0" t="n">
        <f aca="false">IF(Presupuesto!$B$19='Flujo de Pagos'!$E405,19,9999)</f>
        <v>19</v>
      </c>
      <c r="AN405" s="0" t="n">
        <f aca="false">IF(Presupuesto!$B$20='Flujo de Pagos'!$E405,20,9999)</f>
        <v>20</v>
      </c>
      <c r="AO405" s="0" t="n">
        <f aca="false">IF(Presupuesto!$B$21='Flujo de Pagos'!$E405,21,9999)</f>
        <v>21</v>
      </c>
      <c r="AP405" s="0" t="n">
        <f aca="false">IF(Presupuesto!$B$22='Flujo de Pagos'!$E405,22,9999)</f>
        <v>22</v>
      </c>
      <c r="AQ405" s="0" t="n">
        <f aca="false">IF(Presupuesto!$B$23='Flujo de Pagos'!$E405,23,9999)</f>
        <v>23</v>
      </c>
      <c r="AR405" s="0" t="n">
        <f aca="false">IF(Presupuesto!$B$24='Flujo de Pagos'!$E405,24,9999)</f>
        <v>24</v>
      </c>
      <c r="AS405" s="0" t="n">
        <f aca="false">IF(Presupuesto!$B$25='Flujo de Pagos'!$E405,25,9999)</f>
        <v>25</v>
      </c>
      <c r="AT405" s="0" t="n">
        <f aca="false">IF(Presupuesto!$B$26='Flujo de Pagos'!$E405,26,9999)</f>
        <v>26</v>
      </c>
      <c r="AU405" s="0" t="n">
        <f aca="false">IF(Presupuesto!$B$27='Flujo de Pagos'!$E405,27,9999)</f>
        <v>27</v>
      </c>
      <c r="AV405" s="0" t="n">
        <f aca="false">IF(Presupuesto!$B$28='Flujo de Pagos'!$E405,28,9999)</f>
        <v>28</v>
      </c>
      <c r="AW405" s="0" t="n">
        <f aca="false">IF(Presupuesto!$B$29='Flujo de Pagos'!$E405,29,9999)</f>
        <v>29</v>
      </c>
      <c r="AX405" s="0" t="n">
        <f aca="false">IF(Presupuesto!$B$30='Flujo de Pagos'!$E405,30,9999)</f>
        <v>30</v>
      </c>
      <c r="AY405" s="0" t="n">
        <f aca="false">IF(Presupuesto!$B$31='Flujo de Pagos'!$E405,31,9999)</f>
        <v>31</v>
      </c>
      <c r="AZ405" s="0" t="n">
        <f aca="false">IF(Presupuesto!$B$32='Flujo de Pagos'!$E405,32,9999)</f>
        <v>32</v>
      </c>
      <c r="BA405" s="0" t="n">
        <f aca="false">IF(Presupuesto!$B$33='Flujo de Pagos'!$E405,33,9999)</f>
        <v>33</v>
      </c>
      <c r="BB405" s="0" t="n">
        <f aca="false">IF(Presupuesto!$B$34='Flujo de Pagos'!$E405,34,9999)</f>
        <v>34</v>
      </c>
      <c r="BC405" s="0" t="n">
        <f aca="false">IF(Presupuesto!$B$35='Flujo de Pagos'!$E405,35,9999)</f>
        <v>35</v>
      </c>
      <c r="BD405" s="0" t="n">
        <f aca="false">IF(Presupuesto!$B$36='Flujo de Pagos'!$E405,36,9999)</f>
        <v>36</v>
      </c>
      <c r="BE405" s="0" t="n">
        <f aca="false">IF(Presupuesto!$B$37='Flujo de Pagos'!$E405,37,9999)</f>
        <v>37</v>
      </c>
      <c r="BF405" s="0" t="n">
        <f aca="false">IF(Presupuesto!$B$38='Flujo de Pagos'!$E405,38,9999)</f>
        <v>38</v>
      </c>
      <c r="BG405" s="0" t="n">
        <f aca="false">IF(Presupuesto!$B$39='Flujo de Pagos'!$E405,39,9999)</f>
        <v>39</v>
      </c>
      <c r="BH405" s="0" t="n">
        <f aca="false">IF(Presupuesto!$B$40='Flujo de Pagos'!$E405,40,9999)</f>
        <v>40</v>
      </c>
      <c r="BI405" s="0" t="n">
        <f aca="false">IF(Presupuesto!$B$41='Flujo de Pagos'!$E405,41,9999)</f>
        <v>41</v>
      </c>
      <c r="BJ405" s="0" t="n">
        <f aca="false">IF(Presupuesto!$B$42='Flujo de Pagos'!$E405,42,9999)</f>
        <v>42</v>
      </c>
      <c r="BK405" s="0" t="n">
        <f aca="false">IF(Presupuesto!$B$43='Flujo de Pagos'!$E405,43,9999)</f>
        <v>43</v>
      </c>
      <c r="BL405" s="0" t="n">
        <f aca="false">IF(Presupuesto!$B$44='Flujo de Pagos'!$E405,44,9999)</f>
        <v>44</v>
      </c>
      <c r="BM405" s="0" t="n">
        <f aca="false">IF(Presupuesto!$B$45='Flujo de Pagos'!$E405,45,9999)</f>
        <v>45</v>
      </c>
      <c r="BN405" s="0" t="n">
        <f aca="false">IF(Presupuesto!$B$46='Flujo de Pagos'!$E405,46,9999)</f>
        <v>46</v>
      </c>
      <c r="BO405" s="0" t="n">
        <f aca="false">IF(Presupuesto!$B$47='Flujo de Pagos'!$E405,47,9999)</f>
        <v>47</v>
      </c>
      <c r="BP405" s="0" t="n">
        <f aca="false">IF(Presupuesto!$B$48='Flujo de Pagos'!$E405,48,9999)</f>
        <v>48</v>
      </c>
      <c r="BQ405" s="0" t="n">
        <f aca="false">IF(Presupuesto!$B$49='Flujo de Pagos'!$E405,49,9999)</f>
        <v>49</v>
      </c>
      <c r="BR405" s="0" t="n">
        <f aca="false">IF(Presupuesto!$B$50='Flujo de Pagos'!$E405,50,9999)</f>
        <v>50</v>
      </c>
      <c r="BS405" s="0" t="n">
        <f aca="false">IF(Presupuesto!$B$51='Flujo de Pagos'!$E405,51,9999)</f>
        <v>51</v>
      </c>
      <c r="BT405" s="0" t="n">
        <f aca="false">IF(Presupuesto!$B$52='Flujo de Pagos'!$E405,52,9999)</f>
        <v>52</v>
      </c>
      <c r="BU405" s="0" t="n">
        <f aca="false">IF(Presupuesto!$B$53='Flujo de Pagos'!$E405,53,9999)</f>
        <v>53</v>
      </c>
      <c r="BV405" s="0" t="n">
        <f aca="false">IF(Presupuesto!$B$54='Flujo de Pagos'!$E405,54,9999)</f>
        <v>54</v>
      </c>
      <c r="BW405" s="0" t="n">
        <f aca="false">IF(Presupuesto!$B$55='Flujo de Pagos'!$E405,55,9999)</f>
        <v>55</v>
      </c>
      <c r="BX405" s="0" t="n">
        <f aca="false">IF(Presupuesto!$B$56='Flujo de Pagos'!$E405,56,9999)</f>
        <v>56</v>
      </c>
      <c r="BY405" s="0" t="n">
        <f aca="false">IF(Presupuesto!$B$57='Flujo de Pagos'!$E405,57,9999)</f>
        <v>57</v>
      </c>
      <c r="BZ405" s="0" t="n">
        <f aca="false">IF(Presupuesto!$B$58='Flujo de Pagos'!$E405,58,9999)</f>
        <v>58</v>
      </c>
      <c r="CA405" s="0" t="n">
        <f aca="false">IF(Presupuesto!$B$59='Flujo de Pagos'!$E405,59,9999)</f>
        <v>59</v>
      </c>
      <c r="CB405" s="0" t="n">
        <f aca="false">IF(Presupuesto!$B$60='Flujo de Pagos'!$E405,60,9999)</f>
        <v>60</v>
      </c>
      <c r="CC405" s="0" t="n">
        <f aca="false">IF(Presupuesto!$B$61='Flujo de Pagos'!$E405,61,9999)</f>
        <v>61</v>
      </c>
      <c r="CD405" s="0" t="n">
        <f aca="false">IF(Presupuesto!$B$62='Flujo de Pagos'!$E405,62,9999)</f>
        <v>62</v>
      </c>
      <c r="CE405" s="0" t="n">
        <f aca="false">IF(Presupuesto!$B$63='Flujo de Pagos'!$E405,63,9999)</f>
        <v>63</v>
      </c>
      <c r="CF405" s="0" t="n">
        <f aca="false">IF(Presupuesto!$B$64='Flujo de Pagos'!$E405,64,9999)</f>
        <v>64</v>
      </c>
      <c r="CG405" s="0" t="n">
        <f aca="false">IF(Presupuesto!$B$65='Flujo de Pagos'!$E405,65,9999)</f>
        <v>65</v>
      </c>
      <c r="CH405" s="0" t="n">
        <f aca="false">IF(Presupuesto!$B$66='Flujo de Pagos'!$E405,66,9999)</f>
        <v>66</v>
      </c>
    </row>
    <row r="406" customFormat="false" ht="15" hidden="false" customHeight="true" outlineLevel="0" collapsed="false">
      <c r="B406" s="1" t="n">
        <f aca="false">IF(AND('Flujo de Pagos'!E411=Carátula!$B$2,'Flujo de Pagos'!F411=Carátula!$B$4,'Flujo de Pagos'!H411&lt;&gt;""),411,99999)</f>
        <v>99999</v>
      </c>
      <c r="H406" s="1" t="n">
        <f aca="false">IF(SMALL($AA406:$CH406,1)&gt;=9999,"",INDEX(Presupuesto!$C:$C,SMALL($AA406:$CH406,1)))</f>
        <v>0</v>
      </c>
      <c r="I406" s="1" t="n">
        <f aca="false">IF(SMALL($AA406:$CH406,2)&gt;=9999,"",INDEX(Presupuesto!$C:$C,SMALL($AA406:$CH406,2)))</f>
        <v>0</v>
      </c>
      <c r="J406" s="1" t="n">
        <f aca="false">IF(SMALL($AA406:$CH406,3)&gt;=9999,"",INDEX(Presupuesto!$C:$C,SMALL($AA406:$CH406,3)))</f>
        <v>0</v>
      </c>
      <c r="K406" s="1" t="n">
        <f aca="false">IF(SMALL($AA406:$CH406,4)&gt;=9999,"",INDEX(Presupuesto!$C:$C,SMALL($AA406:$CH406,4)))</f>
        <v>0</v>
      </c>
      <c r="L406" s="1" t="n">
        <f aca="false">IF(SMALL($AA406:$CH406,5)&gt;=9999,"",INDEX(Presupuesto!$C:$C,SMALL($AA406:$CH406,5)))</f>
        <v>0</v>
      </c>
      <c r="M406" s="1" t="n">
        <f aca="false">IF(SMALL($AA406:$CH406,6)&gt;=9999,"",INDEX(Presupuesto!$C:$C,SMALL($AA406:$CH406,6)))</f>
        <v>0</v>
      </c>
      <c r="N406" s="1" t="n">
        <f aca="false">IF(SMALL($AA406:$CH406,7)&gt;=9999,"",INDEX(Presupuesto!$C:$C,SMALL($AA406:$CH406,7)))</f>
        <v>0</v>
      </c>
      <c r="O406" s="1" t="n">
        <f aca="false">IF(SMALL($AA406:$CH406,8)&gt;=9999,"",INDEX(Presupuesto!$C:$C,SMALL($AA406:$CH406,8)))</f>
        <v>0</v>
      </c>
      <c r="P406" s="1" t="n">
        <f aca="false">IF(SMALL($AA406:$CH406,9)&gt;=9999,"",INDEX(Presupuesto!$C:$C,SMALL($AA406:$CH406,9)))</f>
        <v>0</v>
      </c>
      <c r="Q406" s="1" t="n">
        <f aca="false">IF(SMALL($AA406:$CH406,10)&gt;=9999,"",INDEX(Presupuesto!$C:$C,SMALL($AA406:$CH406,10)))</f>
        <v>0</v>
      </c>
      <c r="AA406" s="0" t="n">
        <f aca="false">IF(Presupuesto!$B$7='Flujo de Pagos'!$E406,7,9999)</f>
        <v>9999</v>
      </c>
      <c r="AB406" s="0" t="n">
        <f aca="false">IF(Presupuesto!$B$8='Flujo de Pagos'!$E406,8,9999)</f>
        <v>9999</v>
      </c>
      <c r="AC406" s="0" t="n">
        <f aca="false">IF(Presupuesto!$B$9='Flujo de Pagos'!$E406,9,9999)</f>
        <v>9999</v>
      </c>
      <c r="AD406" s="0" t="n">
        <f aca="false">IF(Presupuesto!$B$10='Flujo de Pagos'!$E406,10,9999)</f>
        <v>9999</v>
      </c>
      <c r="AE406" s="0" t="n">
        <f aca="false">IF(Presupuesto!$B$11='Flujo de Pagos'!$E406,11,9999)</f>
        <v>9999</v>
      </c>
      <c r="AF406" s="0" t="n">
        <f aca="false">IF(Presupuesto!$B$12='Flujo de Pagos'!$E406,12,9999)</f>
        <v>12</v>
      </c>
      <c r="AG406" s="0" t="n">
        <f aca="false">IF(Presupuesto!$B$13='Flujo de Pagos'!$E406,13,9999)</f>
        <v>13</v>
      </c>
      <c r="AH406" s="0" t="n">
        <f aca="false">IF(Presupuesto!$B$14='Flujo de Pagos'!$E406,14,9999)</f>
        <v>14</v>
      </c>
      <c r="AI406" s="0" t="n">
        <f aca="false">IF(Presupuesto!$B$15='Flujo de Pagos'!$E406,15,9999)</f>
        <v>15</v>
      </c>
      <c r="AJ406" s="0" t="n">
        <f aca="false">IF(Presupuesto!$B$16='Flujo de Pagos'!$E406,16,9999)</f>
        <v>16</v>
      </c>
      <c r="AK406" s="0" t="n">
        <f aca="false">IF(Presupuesto!$B$17='Flujo de Pagos'!$E406,17,9999)</f>
        <v>17</v>
      </c>
      <c r="AL406" s="0" t="n">
        <f aca="false">IF(Presupuesto!$B$18='Flujo de Pagos'!$E406,18,9999)</f>
        <v>18</v>
      </c>
      <c r="AM406" s="0" t="n">
        <f aca="false">IF(Presupuesto!$B$19='Flujo de Pagos'!$E406,19,9999)</f>
        <v>19</v>
      </c>
      <c r="AN406" s="0" t="n">
        <f aca="false">IF(Presupuesto!$B$20='Flujo de Pagos'!$E406,20,9999)</f>
        <v>20</v>
      </c>
      <c r="AO406" s="0" t="n">
        <f aca="false">IF(Presupuesto!$B$21='Flujo de Pagos'!$E406,21,9999)</f>
        <v>21</v>
      </c>
      <c r="AP406" s="0" t="n">
        <f aca="false">IF(Presupuesto!$B$22='Flujo de Pagos'!$E406,22,9999)</f>
        <v>22</v>
      </c>
      <c r="AQ406" s="0" t="n">
        <f aca="false">IF(Presupuesto!$B$23='Flujo de Pagos'!$E406,23,9999)</f>
        <v>23</v>
      </c>
      <c r="AR406" s="0" t="n">
        <f aca="false">IF(Presupuesto!$B$24='Flujo de Pagos'!$E406,24,9999)</f>
        <v>24</v>
      </c>
      <c r="AS406" s="0" t="n">
        <f aca="false">IF(Presupuesto!$B$25='Flujo de Pagos'!$E406,25,9999)</f>
        <v>25</v>
      </c>
      <c r="AT406" s="0" t="n">
        <f aca="false">IF(Presupuesto!$B$26='Flujo de Pagos'!$E406,26,9999)</f>
        <v>26</v>
      </c>
      <c r="AU406" s="0" t="n">
        <f aca="false">IF(Presupuesto!$B$27='Flujo de Pagos'!$E406,27,9999)</f>
        <v>27</v>
      </c>
      <c r="AV406" s="0" t="n">
        <f aca="false">IF(Presupuesto!$B$28='Flujo de Pagos'!$E406,28,9999)</f>
        <v>28</v>
      </c>
      <c r="AW406" s="0" t="n">
        <f aca="false">IF(Presupuesto!$B$29='Flujo de Pagos'!$E406,29,9999)</f>
        <v>29</v>
      </c>
      <c r="AX406" s="0" t="n">
        <f aca="false">IF(Presupuesto!$B$30='Flujo de Pagos'!$E406,30,9999)</f>
        <v>30</v>
      </c>
      <c r="AY406" s="0" t="n">
        <f aca="false">IF(Presupuesto!$B$31='Flujo de Pagos'!$E406,31,9999)</f>
        <v>31</v>
      </c>
      <c r="AZ406" s="0" t="n">
        <f aca="false">IF(Presupuesto!$B$32='Flujo de Pagos'!$E406,32,9999)</f>
        <v>32</v>
      </c>
      <c r="BA406" s="0" t="n">
        <f aca="false">IF(Presupuesto!$B$33='Flujo de Pagos'!$E406,33,9999)</f>
        <v>33</v>
      </c>
      <c r="BB406" s="0" t="n">
        <f aca="false">IF(Presupuesto!$B$34='Flujo de Pagos'!$E406,34,9999)</f>
        <v>34</v>
      </c>
      <c r="BC406" s="0" t="n">
        <f aca="false">IF(Presupuesto!$B$35='Flujo de Pagos'!$E406,35,9999)</f>
        <v>35</v>
      </c>
      <c r="BD406" s="0" t="n">
        <f aca="false">IF(Presupuesto!$B$36='Flujo de Pagos'!$E406,36,9999)</f>
        <v>36</v>
      </c>
      <c r="BE406" s="0" t="n">
        <f aca="false">IF(Presupuesto!$B$37='Flujo de Pagos'!$E406,37,9999)</f>
        <v>37</v>
      </c>
      <c r="BF406" s="0" t="n">
        <f aca="false">IF(Presupuesto!$B$38='Flujo de Pagos'!$E406,38,9999)</f>
        <v>38</v>
      </c>
      <c r="BG406" s="0" t="n">
        <f aca="false">IF(Presupuesto!$B$39='Flujo de Pagos'!$E406,39,9999)</f>
        <v>39</v>
      </c>
      <c r="BH406" s="0" t="n">
        <f aca="false">IF(Presupuesto!$B$40='Flujo de Pagos'!$E406,40,9999)</f>
        <v>40</v>
      </c>
      <c r="BI406" s="0" t="n">
        <f aca="false">IF(Presupuesto!$B$41='Flujo de Pagos'!$E406,41,9999)</f>
        <v>41</v>
      </c>
      <c r="BJ406" s="0" t="n">
        <f aca="false">IF(Presupuesto!$B$42='Flujo de Pagos'!$E406,42,9999)</f>
        <v>42</v>
      </c>
      <c r="BK406" s="0" t="n">
        <f aca="false">IF(Presupuesto!$B$43='Flujo de Pagos'!$E406,43,9999)</f>
        <v>43</v>
      </c>
      <c r="BL406" s="0" t="n">
        <f aca="false">IF(Presupuesto!$B$44='Flujo de Pagos'!$E406,44,9999)</f>
        <v>44</v>
      </c>
      <c r="BM406" s="0" t="n">
        <f aca="false">IF(Presupuesto!$B$45='Flujo de Pagos'!$E406,45,9999)</f>
        <v>45</v>
      </c>
      <c r="BN406" s="0" t="n">
        <f aca="false">IF(Presupuesto!$B$46='Flujo de Pagos'!$E406,46,9999)</f>
        <v>46</v>
      </c>
      <c r="BO406" s="0" t="n">
        <f aca="false">IF(Presupuesto!$B$47='Flujo de Pagos'!$E406,47,9999)</f>
        <v>47</v>
      </c>
      <c r="BP406" s="0" t="n">
        <f aca="false">IF(Presupuesto!$B$48='Flujo de Pagos'!$E406,48,9999)</f>
        <v>48</v>
      </c>
      <c r="BQ406" s="0" t="n">
        <f aca="false">IF(Presupuesto!$B$49='Flujo de Pagos'!$E406,49,9999)</f>
        <v>49</v>
      </c>
      <c r="BR406" s="0" t="n">
        <f aca="false">IF(Presupuesto!$B$50='Flujo de Pagos'!$E406,50,9999)</f>
        <v>50</v>
      </c>
      <c r="BS406" s="0" t="n">
        <f aca="false">IF(Presupuesto!$B$51='Flujo de Pagos'!$E406,51,9999)</f>
        <v>51</v>
      </c>
      <c r="BT406" s="0" t="n">
        <f aca="false">IF(Presupuesto!$B$52='Flujo de Pagos'!$E406,52,9999)</f>
        <v>52</v>
      </c>
      <c r="BU406" s="0" t="n">
        <f aca="false">IF(Presupuesto!$B$53='Flujo de Pagos'!$E406,53,9999)</f>
        <v>53</v>
      </c>
      <c r="BV406" s="0" t="n">
        <f aca="false">IF(Presupuesto!$B$54='Flujo de Pagos'!$E406,54,9999)</f>
        <v>54</v>
      </c>
      <c r="BW406" s="0" t="n">
        <f aca="false">IF(Presupuesto!$B$55='Flujo de Pagos'!$E406,55,9999)</f>
        <v>55</v>
      </c>
      <c r="BX406" s="0" t="n">
        <f aca="false">IF(Presupuesto!$B$56='Flujo de Pagos'!$E406,56,9999)</f>
        <v>56</v>
      </c>
      <c r="BY406" s="0" t="n">
        <f aca="false">IF(Presupuesto!$B$57='Flujo de Pagos'!$E406,57,9999)</f>
        <v>57</v>
      </c>
      <c r="BZ406" s="0" t="n">
        <f aca="false">IF(Presupuesto!$B$58='Flujo de Pagos'!$E406,58,9999)</f>
        <v>58</v>
      </c>
      <c r="CA406" s="0" t="n">
        <f aca="false">IF(Presupuesto!$B$59='Flujo de Pagos'!$E406,59,9999)</f>
        <v>59</v>
      </c>
      <c r="CB406" s="0" t="n">
        <f aca="false">IF(Presupuesto!$B$60='Flujo de Pagos'!$E406,60,9999)</f>
        <v>60</v>
      </c>
      <c r="CC406" s="0" t="n">
        <f aca="false">IF(Presupuesto!$B$61='Flujo de Pagos'!$E406,61,9999)</f>
        <v>61</v>
      </c>
      <c r="CD406" s="0" t="n">
        <f aca="false">IF(Presupuesto!$B$62='Flujo de Pagos'!$E406,62,9999)</f>
        <v>62</v>
      </c>
      <c r="CE406" s="0" t="n">
        <f aca="false">IF(Presupuesto!$B$63='Flujo de Pagos'!$E406,63,9999)</f>
        <v>63</v>
      </c>
      <c r="CF406" s="0" t="n">
        <f aca="false">IF(Presupuesto!$B$64='Flujo de Pagos'!$E406,64,9999)</f>
        <v>64</v>
      </c>
      <c r="CG406" s="0" t="n">
        <f aca="false">IF(Presupuesto!$B$65='Flujo de Pagos'!$E406,65,9999)</f>
        <v>65</v>
      </c>
      <c r="CH406" s="0" t="n">
        <f aca="false">IF(Presupuesto!$B$66='Flujo de Pagos'!$E406,66,9999)</f>
        <v>66</v>
      </c>
    </row>
    <row r="407" customFormat="false" ht="15" hidden="false" customHeight="true" outlineLevel="0" collapsed="false">
      <c r="B407" s="1" t="n">
        <f aca="false">IF(AND('Flujo de Pagos'!E412=Carátula!$B$2,'Flujo de Pagos'!F412=Carátula!$B$4,'Flujo de Pagos'!H412&lt;&gt;""),412,99999)</f>
        <v>99999</v>
      </c>
      <c r="H407" s="1" t="n">
        <f aca="false">IF(SMALL($AA407:$CH407,1)&gt;=9999,"",INDEX(Presupuesto!$C:$C,SMALL($AA407:$CH407,1)))</f>
        <v>0</v>
      </c>
      <c r="I407" s="1" t="n">
        <f aca="false">IF(SMALL($AA407:$CH407,2)&gt;=9999,"",INDEX(Presupuesto!$C:$C,SMALL($AA407:$CH407,2)))</f>
        <v>0</v>
      </c>
      <c r="J407" s="1" t="n">
        <f aca="false">IF(SMALL($AA407:$CH407,3)&gt;=9999,"",INDEX(Presupuesto!$C:$C,SMALL($AA407:$CH407,3)))</f>
        <v>0</v>
      </c>
      <c r="K407" s="1" t="n">
        <f aca="false">IF(SMALL($AA407:$CH407,4)&gt;=9999,"",INDEX(Presupuesto!$C:$C,SMALL($AA407:$CH407,4)))</f>
        <v>0</v>
      </c>
      <c r="L407" s="1" t="n">
        <f aca="false">IF(SMALL($AA407:$CH407,5)&gt;=9999,"",INDEX(Presupuesto!$C:$C,SMALL($AA407:$CH407,5)))</f>
        <v>0</v>
      </c>
      <c r="M407" s="1" t="n">
        <f aca="false">IF(SMALL($AA407:$CH407,6)&gt;=9999,"",INDEX(Presupuesto!$C:$C,SMALL($AA407:$CH407,6)))</f>
        <v>0</v>
      </c>
      <c r="N407" s="1" t="n">
        <f aca="false">IF(SMALL($AA407:$CH407,7)&gt;=9999,"",INDEX(Presupuesto!$C:$C,SMALL($AA407:$CH407,7)))</f>
        <v>0</v>
      </c>
      <c r="O407" s="1" t="n">
        <f aca="false">IF(SMALL($AA407:$CH407,8)&gt;=9999,"",INDEX(Presupuesto!$C:$C,SMALL($AA407:$CH407,8)))</f>
        <v>0</v>
      </c>
      <c r="P407" s="1" t="n">
        <f aca="false">IF(SMALL($AA407:$CH407,9)&gt;=9999,"",INDEX(Presupuesto!$C:$C,SMALL($AA407:$CH407,9)))</f>
        <v>0</v>
      </c>
      <c r="Q407" s="1" t="n">
        <f aca="false">IF(SMALL($AA407:$CH407,10)&gt;=9999,"",INDEX(Presupuesto!$C:$C,SMALL($AA407:$CH407,10)))</f>
        <v>0</v>
      </c>
      <c r="AA407" s="0" t="n">
        <f aca="false">IF(Presupuesto!$B$7='Flujo de Pagos'!$E407,7,9999)</f>
        <v>9999</v>
      </c>
      <c r="AB407" s="0" t="n">
        <f aca="false">IF(Presupuesto!$B$8='Flujo de Pagos'!$E407,8,9999)</f>
        <v>9999</v>
      </c>
      <c r="AC407" s="0" t="n">
        <f aca="false">IF(Presupuesto!$B$9='Flujo de Pagos'!$E407,9,9999)</f>
        <v>9999</v>
      </c>
      <c r="AD407" s="0" t="n">
        <f aca="false">IF(Presupuesto!$B$10='Flujo de Pagos'!$E407,10,9999)</f>
        <v>9999</v>
      </c>
      <c r="AE407" s="0" t="n">
        <f aca="false">IF(Presupuesto!$B$11='Flujo de Pagos'!$E407,11,9999)</f>
        <v>9999</v>
      </c>
      <c r="AF407" s="0" t="n">
        <f aca="false">IF(Presupuesto!$B$12='Flujo de Pagos'!$E407,12,9999)</f>
        <v>12</v>
      </c>
      <c r="AG407" s="0" t="n">
        <f aca="false">IF(Presupuesto!$B$13='Flujo de Pagos'!$E407,13,9999)</f>
        <v>13</v>
      </c>
      <c r="AH407" s="0" t="n">
        <f aca="false">IF(Presupuesto!$B$14='Flujo de Pagos'!$E407,14,9999)</f>
        <v>14</v>
      </c>
      <c r="AI407" s="0" t="n">
        <f aca="false">IF(Presupuesto!$B$15='Flujo de Pagos'!$E407,15,9999)</f>
        <v>15</v>
      </c>
      <c r="AJ407" s="0" t="n">
        <f aca="false">IF(Presupuesto!$B$16='Flujo de Pagos'!$E407,16,9999)</f>
        <v>16</v>
      </c>
      <c r="AK407" s="0" t="n">
        <f aca="false">IF(Presupuesto!$B$17='Flujo de Pagos'!$E407,17,9999)</f>
        <v>17</v>
      </c>
      <c r="AL407" s="0" t="n">
        <f aca="false">IF(Presupuesto!$B$18='Flujo de Pagos'!$E407,18,9999)</f>
        <v>18</v>
      </c>
      <c r="AM407" s="0" t="n">
        <f aca="false">IF(Presupuesto!$B$19='Flujo de Pagos'!$E407,19,9999)</f>
        <v>19</v>
      </c>
      <c r="AN407" s="0" t="n">
        <f aca="false">IF(Presupuesto!$B$20='Flujo de Pagos'!$E407,20,9999)</f>
        <v>20</v>
      </c>
      <c r="AO407" s="0" t="n">
        <f aca="false">IF(Presupuesto!$B$21='Flujo de Pagos'!$E407,21,9999)</f>
        <v>21</v>
      </c>
      <c r="AP407" s="0" t="n">
        <f aca="false">IF(Presupuesto!$B$22='Flujo de Pagos'!$E407,22,9999)</f>
        <v>22</v>
      </c>
      <c r="AQ407" s="0" t="n">
        <f aca="false">IF(Presupuesto!$B$23='Flujo de Pagos'!$E407,23,9999)</f>
        <v>23</v>
      </c>
      <c r="AR407" s="0" t="n">
        <f aca="false">IF(Presupuesto!$B$24='Flujo de Pagos'!$E407,24,9999)</f>
        <v>24</v>
      </c>
      <c r="AS407" s="0" t="n">
        <f aca="false">IF(Presupuesto!$B$25='Flujo de Pagos'!$E407,25,9999)</f>
        <v>25</v>
      </c>
      <c r="AT407" s="0" t="n">
        <f aca="false">IF(Presupuesto!$B$26='Flujo de Pagos'!$E407,26,9999)</f>
        <v>26</v>
      </c>
      <c r="AU407" s="0" t="n">
        <f aca="false">IF(Presupuesto!$B$27='Flujo de Pagos'!$E407,27,9999)</f>
        <v>27</v>
      </c>
      <c r="AV407" s="0" t="n">
        <f aca="false">IF(Presupuesto!$B$28='Flujo de Pagos'!$E407,28,9999)</f>
        <v>28</v>
      </c>
      <c r="AW407" s="0" t="n">
        <f aca="false">IF(Presupuesto!$B$29='Flujo de Pagos'!$E407,29,9999)</f>
        <v>29</v>
      </c>
      <c r="AX407" s="0" t="n">
        <f aca="false">IF(Presupuesto!$B$30='Flujo de Pagos'!$E407,30,9999)</f>
        <v>30</v>
      </c>
      <c r="AY407" s="0" t="n">
        <f aca="false">IF(Presupuesto!$B$31='Flujo de Pagos'!$E407,31,9999)</f>
        <v>31</v>
      </c>
      <c r="AZ407" s="0" t="n">
        <f aca="false">IF(Presupuesto!$B$32='Flujo de Pagos'!$E407,32,9999)</f>
        <v>32</v>
      </c>
      <c r="BA407" s="0" t="n">
        <f aca="false">IF(Presupuesto!$B$33='Flujo de Pagos'!$E407,33,9999)</f>
        <v>33</v>
      </c>
      <c r="BB407" s="0" t="n">
        <f aca="false">IF(Presupuesto!$B$34='Flujo de Pagos'!$E407,34,9999)</f>
        <v>34</v>
      </c>
      <c r="BC407" s="0" t="n">
        <f aca="false">IF(Presupuesto!$B$35='Flujo de Pagos'!$E407,35,9999)</f>
        <v>35</v>
      </c>
      <c r="BD407" s="0" t="n">
        <f aca="false">IF(Presupuesto!$B$36='Flujo de Pagos'!$E407,36,9999)</f>
        <v>36</v>
      </c>
      <c r="BE407" s="0" t="n">
        <f aca="false">IF(Presupuesto!$B$37='Flujo de Pagos'!$E407,37,9999)</f>
        <v>37</v>
      </c>
      <c r="BF407" s="0" t="n">
        <f aca="false">IF(Presupuesto!$B$38='Flujo de Pagos'!$E407,38,9999)</f>
        <v>38</v>
      </c>
      <c r="BG407" s="0" t="n">
        <f aca="false">IF(Presupuesto!$B$39='Flujo de Pagos'!$E407,39,9999)</f>
        <v>39</v>
      </c>
      <c r="BH407" s="0" t="n">
        <f aca="false">IF(Presupuesto!$B$40='Flujo de Pagos'!$E407,40,9999)</f>
        <v>40</v>
      </c>
      <c r="BI407" s="0" t="n">
        <f aca="false">IF(Presupuesto!$B$41='Flujo de Pagos'!$E407,41,9999)</f>
        <v>41</v>
      </c>
      <c r="BJ407" s="0" t="n">
        <f aca="false">IF(Presupuesto!$B$42='Flujo de Pagos'!$E407,42,9999)</f>
        <v>42</v>
      </c>
      <c r="BK407" s="0" t="n">
        <f aca="false">IF(Presupuesto!$B$43='Flujo de Pagos'!$E407,43,9999)</f>
        <v>43</v>
      </c>
      <c r="BL407" s="0" t="n">
        <f aca="false">IF(Presupuesto!$B$44='Flujo de Pagos'!$E407,44,9999)</f>
        <v>44</v>
      </c>
      <c r="BM407" s="0" t="n">
        <f aca="false">IF(Presupuesto!$B$45='Flujo de Pagos'!$E407,45,9999)</f>
        <v>45</v>
      </c>
      <c r="BN407" s="0" t="n">
        <f aca="false">IF(Presupuesto!$B$46='Flujo de Pagos'!$E407,46,9999)</f>
        <v>46</v>
      </c>
      <c r="BO407" s="0" t="n">
        <f aca="false">IF(Presupuesto!$B$47='Flujo de Pagos'!$E407,47,9999)</f>
        <v>47</v>
      </c>
      <c r="BP407" s="0" t="n">
        <f aca="false">IF(Presupuesto!$B$48='Flujo de Pagos'!$E407,48,9999)</f>
        <v>48</v>
      </c>
      <c r="BQ407" s="0" t="n">
        <f aca="false">IF(Presupuesto!$B$49='Flujo de Pagos'!$E407,49,9999)</f>
        <v>49</v>
      </c>
      <c r="BR407" s="0" t="n">
        <f aca="false">IF(Presupuesto!$B$50='Flujo de Pagos'!$E407,50,9999)</f>
        <v>50</v>
      </c>
      <c r="BS407" s="0" t="n">
        <f aca="false">IF(Presupuesto!$B$51='Flujo de Pagos'!$E407,51,9999)</f>
        <v>51</v>
      </c>
      <c r="BT407" s="0" t="n">
        <f aca="false">IF(Presupuesto!$B$52='Flujo de Pagos'!$E407,52,9999)</f>
        <v>52</v>
      </c>
      <c r="BU407" s="0" t="n">
        <f aca="false">IF(Presupuesto!$B$53='Flujo de Pagos'!$E407,53,9999)</f>
        <v>53</v>
      </c>
      <c r="BV407" s="0" t="n">
        <f aca="false">IF(Presupuesto!$B$54='Flujo de Pagos'!$E407,54,9999)</f>
        <v>54</v>
      </c>
      <c r="BW407" s="0" t="n">
        <f aca="false">IF(Presupuesto!$B$55='Flujo de Pagos'!$E407,55,9999)</f>
        <v>55</v>
      </c>
      <c r="BX407" s="0" t="n">
        <f aca="false">IF(Presupuesto!$B$56='Flujo de Pagos'!$E407,56,9999)</f>
        <v>56</v>
      </c>
      <c r="BY407" s="0" t="n">
        <f aca="false">IF(Presupuesto!$B$57='Flujo de Pagos'!$E407,57,9999)</f>
        <v>57</v>
      </c>
      <c r="BZ407" s="0" t="n">
        <f aca="false">IF(Presupuesto!$B$58='Flujo de Pagos'!$E407,58,9999)</f>
        <v>58</v>
      </c>
      <c r="CA407" s="0" t="n">
        <f aca="false">IF(Presupuesto!$B$59='Flujo de Pagos'!$E407,59,9999)</f>
        <v>59</v>
      </c>
      <c r="CB407" s="0" t="n">
        <f aca="false">IF(Presupuesto!$B$60='Flujo de Pagos'!$E407,60,9999)</f>
        <v>60</v>
      </c>
      <c r="CC407" s="0" t="n">
        <f aca="false">IF(Presupuesto!$B$61='Flujo de Pagos'!$E407,61,9999)</f>
        <v>61</v>
      </c>
      <c r="CD407" s="0" t="n">
        <f aca="false">IF(Presupuesto!$B$62='Flujo de Pagos'!$E407,62,9999)</f>
        <v>62</v>
      </c>
      <c r="CE407" s="0" t="n">
        <f aca="false">IF(Presupuesto!$B$63='Flujo de Pagos'!$E407,63,9999)</f>
        <v>63</v>
      </c>
      <c r="CF407" s="0" t="n">
        <f aca="false">IF(Presupuesto!$B$64='Flujo de Pagos'!$E407,64,9999)</f>
        <v>64</v>
      </c>
      <c r="CG407" s="0" t="n">
        <f aca="false">IF(Presupuesto!$B$65='Flujo de Pagos'!$E407,65,9999)</f>
        <v>65</v>
      </c>
      <c r="CH407" s="0" t="n">
        <f aca="false">IF(Presupuesto!$B$66='Flujo de Pagos'!$E407,66,9999)</f>
        <v>66</v>
      </c>
    </row>
    <row r="408" customFormat="false" ht="15" hidden="false" customHeight="true" outlineLevel="0" collapsed="false">
      <c r="B408" s="1" t="n">
        <f aca="false">IF(AND('Flujo de Pagos'!E413=Carátula!$B$2,'Flujo de Pagos'!F413=Carátula!$B$4,'Flujo de Pagos'!H413&lt;&gt;""),413,99999)</f>
        <v>99999</v>
      </c>
      <c r="H408" s="1" t="n">
        <f aca="false">IF(SMALL($AA408:$CH408,1)&gt;=9999,"",INDEX(Presupuesto!$C:$C,SMALL($AA408:$CH408,1)))</f>
        <v>0</v>
      </c>
      <c r="I408" s="1" t="n">
        <f aca="false">IF(SMALL($AA408:$CH408,2)&gt;=9999,"",INDEX(Presupuesto!$C:$C,SMALL($AA408:$CH408,2)))</f>
        <v>0</v>
      </c>
      <c r="J408" s="1" t="n">
        <f aca="false">IF(SMALL($AA408:$CH408,3)&gt;=9999,"",INDEX(Presupuesto!$C:$C,SMALL($AA408:$CH408,3)))</f>
        <v>0</v>
      </c>
      <c r="K408" s="1" t="n">
        <f aca="false">IF(SMALL($AA408:$CH408,4)&gt;=9999,"",INDEX(Presupuesto!$C:$C,SMALL($AA408:$CH408,4)))</f>
        <v>0</v>
      </c>
      <c r="L408" s="1" t="n">
        <f aca="false">IF(SMALL($AA408:$CH408,5)&gt;=9999,"",INDEX(Presupuesto!$C:$C,SMALL($AA408:$CH408,5)))</f>
        <v>0</v>
      </c>
      <c r="M408" s="1" t="n">
        <f aca="false">IF(SMALL($AA408:$CH408,6)&gt;=9999,"",INDEX(Presupuesto!$C:$C,SMALL($AA408:$CH408,6)))</f>
        <v>0</v>
      </c>
      <c r="N408" s="1" t="n">
        <f aca="false">IF(SMALL($AA408:$CH408,7)&gt;=9999,"",INDEX(Presupuesto!$C:$C,SMALL($AA408:$CH408,7)))</f>
        <v>0</v>
      </c>
      <c r="O408" s="1" t="n">
        <f aca="false">IF(SMALL($AA408:$CH408,8)&gt;=9999,"",INDEX(Presupuesto!$C:$C,SMALL($AA408:$CH408,8)))</f>
        <v>0</v>
      </c>
      <c r="P408" s="1" t="n">
        <f aca="false">IF(SMALL($AA408:$CH408,9)&gt;=9999,"",INDEX(Presupuesto!$C:$C,SMALL($AA408:$CH408,9)))</f>
        <v>0</v>
      </c>
      <c r="Q408" s="1" t="n">
        <f aca="false">IF(SMALL($AA408:$CH408,10)&gt;=9999,"",INDEX(Presupuesto!$C:$C,SMALL($AA408:$CH408,10)))</f>
        <v>0</v>
      </c>
      <c r="AA408" s="0" t="n">
        <f aca="false">IF(Presupuesto!$B$7='Flujo de Pagos'!$E408,7,9999)</f>
        <v>9999</v>
      </c>
      <c r="AB408" s="0" t="n">
        <f aca="false">IF(Presupuesto!$B$8='Flujo de Pagos'!$E408,8,9999)</f>
        <v>9999</v>
      </c>
      <c r="AC408" s="0" t="n">
        <f aca="false">IF(Presupuesto!$B$9='Flujo de Pagos'!$E408,9,9999)</f>
        <v>9999</v>
      </c>
      <c r="AD408" s="0" t="n">
        <f aca="false">IF(Presupuesto!$B$10='Flujo de Pagos'!$E408,10,9999)</f>
        <v>9999</v>
      </c>
      <c r="AE408" s="0" t="n">
        <f aca="false">IF(Presupuesto!$B$11='Flujo de Pagos'!$E408,11,9999)</f>
        <v>9999</v>
      </c>
      <c r="AF408" s="0" t="n">
        <f aca="false">IF(Presupuesto!$B$12='Flujo de Pagos'!$E408,12,9999)</f>
        <v>12</v>
      </c>
      <c r="AG408" s="0" t="n">
        <f aca="false">IF(Presupuesto!$B$13='Flujo de Pagos'!$E408,13,9999)</f>
        <v>13</v>
      </c>
      <c r="AH408" s="0" t="n">
        <f aca="false">IF(Presupuesto!$B$14='Flujo de Pagos'!$E408,14,9999)</f>
        <v>14</v>
      </c>
      <c r="AI408" s="0" t="n">
        <f aca="false">IF(Presupuesto!$B$15='Flujo de Pagos'!$E408,15,9999)</f>
        <v>15</v>
      </c>
      <c r="AJ408" s="0" t="n">
        <f aca="false">IF(Presupuesto!$B$16='Flujo de Pagos'!$E408,16,9999)</f>
        <v>16</v>
      </c>
      <c r="AK408" s="0" t="n">
        <f aca="false">IF(Presupuesto!$B$17='Flujo de Pagos'!$E408,17,9999)</f>
        <v>17</v>
      </c>
      <c r="AL408" s="0" t="n">
        <f aca="false">IF(Presupuesto!$B$18='Flujo de Pagos'!$E408,18,9999)</f>
        <v>18</v>
      </c>
      <c r="AM408" s="0" t="n">
        <f aca="false">IF(Presupuesto!$B$19='Flujo de Pagos'!$E408,19,9999)</f>
        <v>19</v>
      </c>
      <c r="AN408" s="0" t="n">
        <f aca="false">IF(Presupuesto!$B$20='Flujo de Pagos'!$E408,20,9999)</f>
        <v>20</v>
      </c>
      <c r="AO408" s="0" t="n">
        <f aca="false">IF(Presupuesto!$B$21='Flujo de Pagos'!$E408,21,9999)</f>
        <v>21</v>
      </c>
      <c r="AP408" s="0" t="n">
        <f aca="false">IF(Presupuesto!$B$22='Flujo de Pagos'!$E408,22,9999)</f>
        <v>22</v>
      </c>
      <c r="AQ408" s="0" t="n">
        <f aca="false">IF(Presupuesto!$B$23='Flujo de Pagos'!$E408,23,9999)</f>
        <v>23</v>
      </c>
      <c r="AR408" s="0" t="n">
        <f aca="false">IF(Presupuesto!$B$24='Flujo de Pagos'!$E408,24,9999)</f>
        <v>24</v>
      </c>
      <c r="AS408" s="0" t="n">
        <f aca="false">IF(Presupuesto!$B$25='Flujo de Pagos'!$E408,25,9999)</f>
        <v>25</v>
      </c>
      <c r="AT408" s="0" t="n">
        <f aca="false">IF(Presupuesto!$B$26='Flujo de Pagos'!$E408,26,9999)</f>
        <v>26</v>
      </c>
      <c r="AU408" s="0" t="n">
        <f aca="false">IF(Presupuesto!$B$27='Flujo de Pagos'!$E408,27,9999)</f>
        <v>27</v>
      </c>
      <c r="AV408" s="0" t="n">
        <f aca="false">IF(Presupuesto!$B$28='Flujo de Pagos'!$E408,28,9999)</f>
        <v>28</v>
      </c>
      <c r="AW408" s="0" t="n">
        <f aca="false">IF(Presupuesto!$B$29='Flujo de Pagos'!$E408,29,9999)</f>
        <v>29</v>
      </c>
      <c r="AX408" s="0" t="n">
        <f aca="false">IF(Presupuesto!$B$30='Flujo de Pagos'!$E408,30,9999)</f>
        <v>30</v>
      </c>
      <c r="AY408" s="0" t="n">
        <f aca="false">IF(Presupuesto!$B$31='Flujo de Pagos'!$E408,31,9999)</f>
        <v>31</v>
      </c>
      <c r="AZ408" s="0" t="n">
        <f aca="false">IF(Presupuesto!$B$32='Flujo de Pagos'!$E408,32,9999)</f>
        <v>32</v>
      </c>
      <c r="BA408" s="0" t="n">
        <f aca="false">IF(Presupuesto!$B$33='Flujo de Pagos'!$E408,33,9999)</f>
        <v>33</v>
      </c>
      <c r="BB408" s="0" t="n">
        <f aca="false">IF(Presupuesto!$B$34='Flujo de Pagos'!$E408,34,9999)</f>
        <v>34</v>
      </c>
      <c r="BC408" s="0" t="n">
        <f aca="false">IF(Presupuesto!$B$35='Flujo de Pagos'!$E408,35,9999)</f>
        <v>35</v>
      </c>
      <c r="BD408" s="0" t="n">
        <f aca="false">IF(Presupuesto!$B$36='Flujo de Pagos'!$E408,36,9999)</f>
        <v>36</v>
      </c>
      <c r="BE408" s="0" t="n">
        <f aca="false">IF(Presupuesto!$B$37='Flujo de Pagos'!$E408,37,9999)</f>
        <v>37</v>
      </c>
      <c r="BF408" s="0" t="n">
        <f aca="false">IF(Presupuesto!$B$38='Flujo de Pagos'!$E408,38,9999)</f>
        <v>38</v>
      </c>
      <c r="BG408" s="0" t="n">
        <f aca="false">IF(Presupuesto!$B$39='Flujo de Pagos'!$E408,39,9999)</f>
        <v>39</v>
      </c>
      <c r="BH408" s="0" t="n">
        <f aca="false">IF(Presupuesto!$B$40='Flujo de Pagos'!$E408,40,9999)</f>
        <v>40</v>
      </c>
      <c r="BI408" s="0" t="n">
        <f aca="false">IF(Presupuesto!$B$41='Flujo de Pagos'!$E408,41,9999)</f>
        <v>41</v>
      </c>
      <c r="BJ408" s="0" t="n">
        <f aca="false">IF(Presupuesto!$B$42='Flujo de Pagos'!$E408,42,9999)</f>
        <v>42</v>
      </c>
      <c r="BK408" s="0" t="n">
        <f aca="false">IF(Presupuesto!$B$43='Flujo de Pagos'!$E408,43,9999)</f>
        <v>43</v>
      </c>
      <c r="BL408" s="0" t="n">
        <f aca="false">IF(Presupuesto!$B$44='Flujo de Pagos'!$E408,44,9999)</f>
        <v>44</v>
      </c>
      <c r="BM408" s="0" t="n">
        <f aca="false">IF(Presupuesto!$B$45='Flujo de Pagos'!$E408,45,9999)</f>
        <v>45</v>
      </c>
      <c r="BN408" s="0" t="n">
        <f aca="false">IF(Presupuesto!$B$46='Flujo de Pagos'!$E408,46,9999)</f>
        <v>46</v>
      </c>
      <c r="BO408" s="0" t="n">
        <f aca="false">IF(Presupuesto!$B$47='Flujo de Pagos'!$E408,47,9999)</f>
        <v>47</v>
      </c>
      <c r="BP408" s="0" t="n">
        <f aca="false">IF(Presupuesto!$B$48='Flujo de Pagos'!$E408,48,9999)</f>
        <v>48</v>
      </c>
      <c r="BQ408" s="0" t="n">
        <f aca="false">IF(Presupuesto!$B$49='Flujo de Pagos'!$E408,49,9999)</f>
        <v>49</v>
      </c>
      <c r="BR408" s="0" t="n">
        <f aca="false">IF(Presupuesto!$B$50='Flujo de Pagos'!$E408,50,9999)</f>
        <v>50</v>
      </c>
      <c r="BS408" s="0" t="n">
        <f aca="false">IF(Presupuesto!$B$51='Flujo de Pagos'!$E408,51,9999)</f>
        <v>51</v>
      </c>
      <c r="BT408" s="0" t="n">
        <f aca="false">IF(Presupuesto!$B$52='Flujo de Pagos'!$E408,52,9999)</f>
        <v>52</v>
      </c>
      <c r="BU408" s="0" t="n">
        <f aca="false">IF(Presupuesto!$B$53='Flujo de Pagos'!$E408,53,9999)</f>
        <v>53</v>
      </c>
      <c r="BV408" s="0" t="n">
        <f aca="false">IF(Presupuesto!$B$54='Flujo de Pagos'!$E408,54,9999)</f>
        <v>54</v>
      </c>
      <c r="BW408" s="0" t="n">
        <f aca="false">IF(Presupuesto!$B$55='Flujo de Pagos'!$E408,55,9999)</f>
        <v>55</v>
      </c>
      <c r="BX408" s="0" t="n">
        <f aca="false">IF(Presupuesto!$B$56='Flujo de Pagos'!$E408,56,9999)</f>
        <v>56</v>
      </c>
      <c r="BY408" s="0" t="n">
        <f aca="false">IF(Presupuesto!$B$57='Flujo de Pagos'!$E408,57,9999)</f>
        <v>57</v>
      </c>
      <c r="BZ408" s="0" t="n">
        <f aca="false">IF(Presupuesto!$B$58='Flujo de Pagos'!$E408,58,9999)</f>
        <v>58</v>
      </c>
      <c r="CA408" s="0" t="n">
        <f aca="false">IF(Presupuesto!$B$59='Flujo de Pagos'!$E408,59,9999)</f>
        <v>59</v>
      </c>
      <c r="CB408" s="0" t="n">
        <f aca="false">IF(Presupuesto!$B$60='Flujo de Pagos'!$E408,60,9999)</f>
        <v>60</v>
      </c>
      <c r="CC408" s="0" t="n">
        <f aca="false">IF(Presupuesto!$B$61='Flujo de Pagos'!$E408,61,9999)</f>
        <v>61</v>
      </c>
      <c r="CD408" s="0" t="n">
        <f aca="false">IF(Presupuesto!$B$62='Flujo de Pagos'!$E408,62,9999)</f>
        <v>62</v>
      </c>
      <c r="CE408" s="0" t="n">
        <f aca="false">IF(Presupuesto!$B$63='Flujo de Pagos'!$E408,63,9999)</f>
        <v>63</v>
      </c>
      <c r="CF408" s="0" t="n">
        <f aca="false">IF(Presupuesto!$B$64='Flujo de Pagos'!$E408,64,9999)</f>
        <v>64</v>
      </c>
      <c r="CG408" s="0" t="n">
        <f aca="false">IF(Presupuesto!$B$65='Flujo de Pagos'!$E408,65,9999)</f>
        <v>65</v>
      </c>
      <c r="CH408" s="0" t="n">
        <f aca="false">IF(Presupuesto!$B$66='Flujo de Pagos'!$E408,66,9999)</f>
        <v>66</v>
      </c>
    </row>
    <row r="409" customFormat="false" ht="15" hidden="false" customHeight="true" outlineLevel="0" collapsed="false">
      <c r="B409" s="1" t="n">
        <f aca="false">IF(AND('Flujo de Pagos'!E414=Carátula!$B$2,'Flujo de Pagos'!F414=Carátula!$B$4,'Flujo de Pagos'!H414&lt;&gt;""),414,99999)</f>
        <v>99999</v>
      </c>
      <c r="H409" s="1" t="n">
        <f aca="false">IF(SMALL($AA409:$CH409,1)&gt;=9999,"",INDEX(Presupuesto!$C:$C,SMALL($AA409:$CH409,1)))</f>
        <v>0</v>
      </c>
      <c r="I409" s="1" t="n">
        <f aca="false">IF(SMALL($AA409:$CH409,2)&gt;=9999,"",INDEX(Presupuesto!$C:$C,SMALL($AA409:$CH409,2)))</f>
        <v>0</v>
      </c>
      <c r="J409" s="1" t="n">
        <f aca="false">IF(SMALL($AA409:$CH409,3)&gt;=9999,"",INDEX(Presupuesto!$C:$C,SMALL($AA409:$CH409,3)))</f>
        <v>0</v>
      </c>
      <c r="K409" s="1" t="n">
        <f aca="false">IF(SMALL($AA409:$CH409,4)&gt;=9999,"",INDEX(Presupuesto!$C:$C,SMALL($AA409:$CH409,4)))</f>
        <v>0</v>
      </c>
      <c r="L409" s="1" t="n">
        <f aca="false">IF(SMALL($AA409:$CH409,5)&gt;=9999,"",INDEX(Presupuesto!$C:$C,SMALL($AA409:$CH409,5)))</f>
        <v>0</v>
      </c>
      <c r="M409" s="1" t="n">
        <f aca="false">IF(SMALL($AA409:$CH409,6)&gt;=9999,"",INDEX(Presupuesto!$C:$C,SMALL($AA409:$CH409,6)))</f>
        <v>0</v>
      </c>
      <c r="N409" s="1" t="n">
        <f aca="false">IF(SMALL($AA409:$CH409,7)&gt;=9999,"",INDEX(Presupuesto!$C:$C,SMALL($AA409:$CH409,7)))</f>
        <v>0</v>
      </c>
      <c r="O409" s="1" t="n">
        <f aca="false">IF(SMALL($AA409:$CH409,8)&gt;=9999,"",INDEX(Presupuesto!$C:$C,SMALL($AA409:$CH409,8)))</f>
        <v>0</v>
      </c>
      <c r="P409" s="1" t="n">
        <f aca="false">IF(SMALL($AA409:$CH409,9)&gt;=9999,"",INDEX(Presupuesto!$C:$C,SMALL($AA409:$CH409,9)))</f>
        <v>0</v>
      </c>
      <c r="Q409" s="1" t="n">
        <f aca="false">IF(SMALL($AA409:$CH409,10)&gt;=9999,"",INDEX(Presupuesto!$C:$C,SMALL($AA409:$CH409,10)))</f>
        <v>0</v>
      </c>
      <c r="AA409" s="0" t="n">
        <f aca="false">IF(Presupuesto!$B$7='Flujo de Pagos'!$E409,7,9999)</f>
        <v>9999</v>
      </c>
      <c r="AB409" s="0" t="n">
        <f aca="false">IF(Presupuesto!$B$8='Flujo de Pagos'!$E409,8,9999)</f>
        <v>9999</v>
      </c>
      <c r="AC409" s="0" t="n">
        <f aca="false">IF(Presupuesto!$B$9='Flujo de Pagos'!$E409,9,9999)</f>
        <v>9999</v>
      </c>
      <c r="AD409" s="0" t="n">
        <f aca="false">IF(Presupuesto!$B$10='Flujo de Pagos'!$E409,10,9999)</f>
        <v>9999</v>
      </c>
      <c r="AE409" s="0" t="n">
        <f aca="false">IF(Presupuesto!$B$11='Flujo de Pagos'!$E409,11,9999)</f>
        <v>9999</v>
      </c>
      <c r="AF409" s="0" t="n">
        <f aca="false">IF(Presupuesto!$B$12='Flujo de Pagos'!$E409,12,9999)</f>
        <v>12</v>
      </c>
      <c r="AG409" s="0" t="n">
        <f aca="false">IF(Presupuesto!$B$13='Flujo de Pagos'!$E409,13,9999)</f>
        <v>13</v>
      </c>
      <c r="AH409" s="0" t="n">
        <f aca="false">IF(Presupuesto!$B$14='Flujo de Pagos'!$E409,14,9999)</f>
        <v>14</v>
      </c>
      <c r="AI409" s="0" t="n">
        <f aca="false">IF(Presupuesto!$B$15='Flujo de Pagos'!$E409,15,9999)</f>
        <v>15</v>
      </c>
      <c r="AJ409" s="0" t="n">
        <f aca="false">IF(Presupuesto!$B$16='Flujo de Pagos'!$E409,16,9999)</f>
        <v>16</v>
      </c>
      <c r="AK409" s="0" t="n">
        <f aca="false">IF(Presupuesto!$B$17='Flujo de Pagos'!$E409,17,9999)</f>
        <v>17</v>
      </c>
      <c r="AL409" s="0" t="n">
        <f aca="false">IF(Presupuesto!$B$18='Flujo de Pagos'!$E409,18,9999)</f>
        <v>18</v>
      </c>
      <c r="AM409" s="0" t="n">
        <f aca="false">IF(Presupuesto!$B$19='Flujo de Pagos'!$E409,19,9999)</f>
        <v>19</v>
      </c>
      <c r="AN409" s="0" t="n">
        <f aca="false">IF(Presupuesto!$B$20='Flujo de Pagos'!$E409,20,9999)</f>
        <v>20</v>
      </c>
      <c r="AO409" s="0" t="n">
        <f aca="false">IF(Presupuesto!$B$21='Flujo de Pagos'!$E409,21,9999)</f>
        <v>21</v>
      </c>
      <c r="AP409" s="0" t="n">
        <f aca="false">IF(Presupuesto!$B$22='Flujo de Pagos'!$E409,22,9999)</f>
        <v>22</v>
      </c>
      <c r="AQ409" s="0" t="n">
        <f aca="false">IF(Presupuesto!$B$23='Flujo de Pagos'!$E409,23,9999)</f>
        <v>23</v>
      </c>
      <c r="AR409" s="0" t="n">
        <f aca="false">IF(Presupuesto!$B$24='Flujo de Pagos'!$E409,24,9999)</f>
        <v>24</v>
      </c>
      <c r="AS409" s="0" t="n">
        <f aca="false">IF(Presupuesto!$B$25='Flujo de Pagos'!$E409,25,9999)</f>
        <v>25</v>
      </c>
      <c r="AT409" s="0" t="n">
        <f aca="false">IF(Presupuesto!$B$26='Flujo de Pagos'!$E409,26,9999)</f>
        <v>26</v>
      </c>
      <c r="AU409" s="0" t="n">
        <f aca="false">IF(Presupuesto!$B$27='Flujo de Pagos'!$E409,27,9999)</f>
        <v>27</v>
      </c>
      <c r="AV409" s="0" t="n">
        <f aca="false">IF(Presupuesto!$B$28='Flujo de Pagos'!$E409,28,9999)</f>
        <v>28</v>
      </c>
      <c r="AW409" s="0" t="n">
        <f aca="false">IF(Presupuesto!$B$29='Flujo de Pagos'!$E409,29,9999)</f>
        <v>29</v>
      </c>
      <c r="AX409" s="0" t="n">
        <f aca="false">IF(Presupuesto!$B$30='Flujo de Pagos'!$E409,30,9999)</f>
        <v>30</v>
      </c>
      <c r="AY409" s="0" t="n">
        <f aca="false">IF(Presupuesto!$B$31='Flujo de Pagos'!$E409,31,9999)</f>
        <v>31</v>
      </c>
      <c r="AZ409" s="0" t="n">
        <f aca="false">IF(Presupuesto!$B$32='Flujo de Pagos'!$E409,32,9999)</f>
        <v>32</v>
      </c>
      <c r="BA409" s="0" t="n">
        <f aca="false">IF(Presupuesto!$B$33='Flujo de Pagos'!$E409,33,9999)</f>
        <v>33</v>
      </c>
      <c r="BB409" s="0" t="n">
        <f aca="false">IF(Presupuesto!$B$34='Flujo de Pagos'!$E409,34,9999)</f>
        <v>34</v>
      </c>
      <c r="BC409" s="0" t="n">
        <f aca="false">IF(Presupuesto!$B$35='Flujo de Pagos'!$E409,35,9999)</f>
        <v>35</v>
      </c>
      <c r="BD409" s="0" t="n">
        <f aca="false">IF(Presupuesto!$B$36='Flujo de Pagos'!$E409,36,9999)</f>
        <v>36</v>
      </c>
      <c r="BE409" s="0" t="n">
        <f aca="false">IF(Presupuesto!$B$37='Flujo de Pagos'!$E409,37,9999)</f>
        <v>37</v>
      </c>
      <c r="BF409" s="0" t="n">
        <f aca="false">IF(Presupuesto!$B$38='Flujo de Pagos'!$E409,38,9999)</f>
        <v>38</v>
      </c>
      <c r="BG409" s="0" t="n">
        <f aca="false">IF(Presupuesto!$B$39='Flujo de Pagos'!$E409,39,9999)</f>
        <v>39</v>
      </c>
      <c r="BH409" s="0" t="n">
        <f aca="false">IF(Presupuesto!$B$40='Flujo de Pagos'!$E409,40,9999)</f>
        <v>40</v>
      </c>
      <c r="BI409" s="0" t="n">
        <f aca="false">IF(Presupuesto!$B$41='Flujo de Pagos'!$E409,41,9999)</f>
        <v>41</v>
      </c>
      <c r="BJ409" s="0" t="n">
        <f aca="false">IF(Presupuesto!$B$42='Flujo de Pagos'!$E409,42,9999)</f>
        <v>42</v>
      </c>
      <c r="BK409" s="0" t="n">
        <f aca="false">IF(Presupuesto!$B$43='Flujo de Pagos'!$E409,43,9999)</f>
        <v>43</v>
      </c>
      <c r="BL409" s="0" t="n">
        <f aca="false">IF(Presupuesto!$B$44='Flujo de Pagos'!$E409,44,9999)</f>
        <v>44</v>
      </c>
      <c r="BM409" s="0" t="n">
        <f aca="false">IF(Presupuesto!$B$45='Flujo de Pagos'!$E409,45,9999)</f>
        <v>45</v>
      </c>
      <c r="BN409" s="0" t="n">
        <f aca="false">IF(Presupuesto!$B$46='Flujo de Pagos'!$E409,46,9999)</f>
        <v>46</v>
      </c>
      <c r="BO409" s="0" t="n">
        <f aca="false">IF(Presupuesto!$B$47='Flujo de Pagos'!$E409,47,9999)</f>
        <v>47</v>
      </c>
      <c r="BP409" s="0" t="n">
        <f aca="false">IF(Presupuesto!$B$48='Flujo de Pagos'!$E409,48,9999)</f>
        <v>48</v>
      </c>
      <c r="BQ409" s="0" t="n">
        <f aca="false">IF(Presupuesto!$B$49='Flujo de Pagos'!$E409,49,9999)</f>
        <v>49</v>
      </c>
      <c r="BR409" s="0" t="n">
        <f aca="false">IF(Presupuesto!$B$50='Flujo de Pagos'!$E409,50,9999)</f>
        <v>50</v>
      </c>
      <c r="BS409" s="0" t="n">
        <f aca="false">IF(Presupuesto!$B$51='Flujo de Pagos'!$E409,51,9999)</f>
        <v>51</v>
      </c>
      <c r="BT409" s="0" t="n">
        <f aca="false">IF(Presupuesto!$B$52='Flujo de Pagos'!$E409,52,9999)</f>
        <v>52</v>
      </c>
      <c r="BU409" s="0" t="n">
        <f aca="false">IF(Presupuesto!$B$53='Flujo de Pagos'!$E409,53,9999)</f>
        <v>53</v>
      </c>
      <c r="BV409" s="0" t="n">
        <f aca="false">IF(Presupuesto!$B$54='Flujo de Pagos'!$E409,54,9999)</f>
        <v>54</v>
      </c>
      <c r="BW409" s="0" t="n">
        <f aca="false">IF(Presupuesto!$B$55='Flujo de Pagos'!$E409,55,9999)</f>
        <v>55</v>
      </c>
      <c r="BX409" s="0" t="n">
        <f aca="false">IF(Presupuesto!$B$56='Flujo de Pagos'!$E409,56,9999)</f>
        <v>56</v>
      </c>
      <c r="BY409" s="0" t="n">
        <f aca="false">IF(Presupuesto!$B$57='Flujo de Pagos'!$E409,57,9999)</f>
        <v>57</v>
      </c>
      <c r="BZ409" s="0" t="n">
        <f aca="false">IF(Presupuesto!$B$58='Flujo de Pagos'!$E409,58,9999)</f>
        <v>58</v>
      </c>
      <c r="CA409" s="0" t="n">
        <f aca="false">IF(Presupuesto!$B$59='Flujo de Pagos'!$E409,59,9999)</f>
        <v>59</v>
      </c>
      <c r="CB409" s="0" t="n">
        <f aca="false">IF(Presupuesto!$B$60='Flujo de Pagos'!$E409,60,9999)</f>
        <v>60</v>
      </c>
      <c r="CC409" s="0" t="n">
        <f aca="false">IF(Presupuesto!$B$61='Flujo de Pagos'!$E409,61,9999)</f>
        <v>61</v>
      </c>
      <c r="CD409" s="0" t="n">
        <f aca="false">IF(Presupuesto!$B$62='Flujo de Pagos'!$E409,62,9999)</f>
        <v>62</v>
      </c>
      <c r="CE409" s="0" t="n">
        <f aca="false">IF(Presupuesto!$B$63='Flujo de Pagos'!$E409,63,9999)</f>
        <v>63</v>
      </c>
      <c r="CF409" s="0" t="n">
        <f aca="false">IF(Presupuesto!$B$64='Flujo de Pagos'!$E409,64,9999)</f>
        <v>64</v>
      </c>
      <c r="CG409" s="0" t="n">
        <f aca="false">IF(Presupuesto!$B$65='Flujo de Pagos'!$E409,65,9999)</f>
        <v>65</v>
      </c>
      <c r="CH409" s="0" t="n">
        <f aca="false">IF(Presupuesto!$B$66='Flujo de Pagos'!$E409,66,9999)</f>
        <v>66</v>
      </c>
    </row>
    <row r="410" customFormat="false" ht="15" hidden="false" customHeight="true" outlineLevel="0" collapsed="false">
      <c r="B410" s="1" t="n">
        <f aca="false">IF(AND('Flujo de Pagos'!E415=Carátula!$B$2,'Flujo de Pagos'!F415=Carátula!$B$4,'Flujo de Pagos'!H415&lt;&gt;""),415,99999)</f>
        <v>99999</v>
      </c>
      <c r="H410" s="1" t="n">
        <f aca="false">IF(SMALL($AA410:$CH410,1)&gt;=9999,"",INDEX(Presupuesto!$C:$C,SMALL($AA410:$CH410,1)))</f>
        <v>0</v>
      </c>
      <c r="I410" s="1" t="n">
        <f aca="false">IF(SMALL($AA410:$CH410,2)&gt;=9999,"",INDEX(Presupuesto!$C:$C,SMALL($AA410:$CH410,2)))</f>
        <v>0</v>
      </c>
      <c r="J410" s="1" t="n">
        <f aca="false">IF(SMALL($AA410:$CH410,3)&gt;=9999,"",INDEX(Presupuesto!$C:$C,SMALL($AA410:$CH410,3)))</f>
        <v>0</v>
      </c>
      <c r="K410" s="1" t="n">
        <f aca="false">IF(SMALL($AA410:$CH410,4)&gt;=9999,"",INDEX(Presupuesto!$C:$C,SMALL($AA410:$CH410,4)))</f>
        <v>0</v>
      </c>
      <c r="L410" s="1" t="n">
        <f aca="false">IF(SMALL($AA410:$CH410,5)&gt;=9999,"",INDEX(Presupuesto!$C:$C,SMALL($AA410:$CH410,5)))</f>
        <v>0</v>
      </c>
      <c r="M410" s="1" t="n">
        <f aca="false">IF(SMALL($AA410:$CH410,6)&gt;=9999,"",INDEX(Presupuesto!$C:$C,SMALL($AA410:$CH410,6)))</f>
        <v>0</v>
      </c>
      <c r="N410" s="1" t="n">
        <f aca="false">IF(SMALL($AA410:$CH410,7)&gt;=9999,"",INDEX(Presupuesto!$C:$C,SMALL($AA410:$CH410,7)))</f>
        <v>0</v>
      </c>
      <c r="O410" s="1" t="n">
        <f aca="false">IF(SMALL($AA410:$CH410,8)&gt;=9999,"",INDEX(Presupuesto!$C:$C,SMALL($AA410:$CH410,8)))</f>
        <v>0</v>
      </c>
      <c r="P410" s="1" t="n">
        <f aca="false">IF(SMALL($AA410:$CH410,9)&gt;=9999,"",INDEX(Presupuesto!$C:$C,SMALL($AA410:$CH410,9)))</f>
        <v>0</v>
      </c>
      <c r="Q410" s="1" t="n">
        <f aca="false">IF(SMALL($AA410:$CH410,10)&gt;=9999,"",INDEX(Presupuesto!$C:$C,SMALL($AA410:$CH410,10)))</f>
        <v>0</v>
      </c>
      <c r="AA410" s="0" t="n">
        <f aca="false">IF(Presupuesto!$B$7='Flujo de Pagos'!$E410,7,9999)</f>
        <v>9999</v>
      </c>
      <c r="AB410" s="0" t="n">
        <f aca="false">IF(Presupuesto!$B$8='Flujo de Pagos'!$E410,8,9999)</f>
        <v>9999</v>
      </c>
      <c r="AC410" s="0" t="n">
        <f aca="false">IF(Presupuesto!$B$9='Flujo de Pagos'!$E410,9,9999)</f>
        <v>9999</v>
      </c>
      <c r="AD410" s="0" t="n">
        <f aca="false">IF(Presupuesto!$B$10='Flujo de Pagos'!$E410,10,9999)</f>
        <v>9999</v>
      </c>
      <c r="AE410" s="0" t="n">
        <f aca="false">IF(Presupuesto!$B$11='Flujo de Pagos'!$E410,11,9999)</f>
        <v>9999</v>
      </c>
      <c r="AF410" s="0" t="n">
        <f aca="false">IF(Presupuesto!$B$12='Flujo de Pagos'!$E410,12,9999)</f>
        <v>12</v>
      </c>
      <c r="AG410" s="0" t="n">
        <f aca="false">IF(Presupuesto!$B$13='Flujo de Pagos'!$E410,13,9999)</f>
        <v>13</v>
      </c>
      <c r="AH410" s="0" t="n">
        <f aca="false">IF(Presupuesto!$B$14='Flujo de Pagos'!$E410,14,9999)</f>
        <v>14</v>
      </c>
      <c r="AI410" s="0" t="n">
        <f aca="false">IF(Presupuesto!$B$15='Flujo de Pagos'!$E410,15,9999)</f>
        <v>15</v>
      </c>
      <c r="AJ410" s="0" t="n">
        <f aca="false">IF(Presupuesto!$B$16='Flujo de Pagos'!$E410,16,9999)</f>
        <v>16</v>
      </c>
      <c r="AK410" s="0" t="n">
        <f aca="false">IF(Presupuesto!$B$17='Flujo de Pagos'!$E410,17,9999)</f>
        <v>17</v>
      </c>
      <c r="AL410" s="0" t="n">
        <f aca="false">IF(Presupuesto!$B$18='Flujo de Pagos'!$E410,18,9999)</f>
        <v>18</v>
      </c>
      <c r="AM410" s="0" t="n">
        <f aca="false">IF(Presupuesto!$B$19='Flujo de Pagos'!$E410,19,9999)</f>
        <v>19</v>
      </c>
      <c r="AN410" s="0" t="n">
        <f aca="false">IF(Presupuesto!$B$20='Flujo de Pagos'!$E410,20,9999)</f>
        <v>20</v>
      </c>
      <c r="AO410" s="0" t="n">
        <f aca="false">IF(Presupuesto!$B$21='Flujo de Pagos'!$E410,21,9999)</f>
        <v>21</v>
      </c>
      <c r="AP410" s="0" t="n">
        <f aca="false">IF(Presupuesto!$B$22='Flujo de Pagos'!$E410,22,9999)</f>
        <v>22</v>
      </c>
      <c r="AQ410" s="0" t="n">
        <f aca="false">IF(Presupuesto!$B$23='Flujo de Pagos'!$E410,23,9999)</f>
        <v>23</v>
      </c>
      <c r="AR410" s="0" t="n">
        <f aca="false">IF(Presupuesto!$B$24='Flujo de Pagos'!$E410,24,9999)</f>
        <v>24</v>
      </c>
      <c r="AS410" s="0" t="n">
        <f aca="false">IF(Presupuesto!$B$25='Flujo de Pagos'!$E410,25,9999)</f>
        <v>25</v>
      </c>
      <c r="AT410" s="0" t="n">
        <f aca="false">IF(Presupuesto!$B$26='Flujo de Pagos'!$E410,26,9999)</f>
        <v>26</v>
      </c>
      <c r="AU410" s="0" t="n">
        <f aca="false">IF(Presupuesto!$B$27='Flujo de Pagos'!$E410,27,9999)</f>
        <v>27</v>
      </c>
      <c r="AV410" s="0" t="n">
        <f aca="false">IF(Presupuesto!$B$28='Flujo de Pagos'!$E410,28,9999)</f>
        <v>28</v>
      </c>
      <c r="AW410" s="0" t="n">
        <f aca="false">IF(Presupuesto!$B$29='Flujo de Pagos'!$E410,29,9999)</f>
        <v>29</v>
      </c>
      <c r="AX410" s="0" t="n">
        <f aca="false">IF(Presupuesto!$B$30='Flujo de Pagos'!$E410,30,9999)</f>
        <v>30</v>
      </c>
      <c r="AY410" s="0" t="n">
        <f aca="false">IF(Presupuesto!$B$31='Flujo de Pagos'!$E410,31,9999)</f>
        <v>31</v>
      </c>
      <c r="AZ410" s="0" t="n">
        <f aca="false">IF(Presupuesto!$B$32='Flujo de Pagos'!$E410,32,9999)</f>
        <v>32</v>
      </c>
      <c r="BA410" s="0" t="n">
        <f aca="false">IF(Presupuesto!$B$33='Flujo de Pagos'!$E410,33,9999)</f>
        <v>33</v>
      </c>
      <c r="BB410" s="0" t="n">
        <f aca="false">IF(Presupuesto!$B$34='Flujo de Pagos'!$E410,34,9999)</f>
        <v>34</v>
      </c>
      <c r="BC410" s="0" t="n">
        <f aca="false">IF(Presupuesto!$B$35='Flujo de Pagos'!$E410,35,9999)</f>
        <v>35</v>
      </c>
      <c r="BD410" s="0" t="n">
        <f aca="false">IF(Presupuesto!$B$36='Flujo de Pagos'!$E410,36,9999)</f>
        <v>36</v>
      </c>
      <c r="BE410" s="0" t="n">
        <f aca="false">IF(Presupuesto!$B$37='Flujo de Pagos'!$E410,37,9999)</f>
        <v>37</v>
      </c>
      <c r="BF410" s="0" t="n">
        <f aca="false">IF(Presupuesto!$B$38='Flujo de Pagos'!$E410,38,9999)</f>
        <v>38</v>
      </c>
      <c r="BG410" s="0" t="n">
        <f aca="false">IF(Presupuesto!$B$39='Flujo de Pagos'!$E410,39,9999)</f>
        <v>39</v>
      </c>
      <c r="BH410" s="0" t="n">
        <f aca="false">IF(Presupuesto!$B$40='Flujo de Pagos'!$E410,40,9999)</f>
        <v>40</v>
      </c>
      <c r="BI410" s="0" t="n">
        <f aca="false">IF(Presupuesto!$B$41='Flujo de Pagos'!$E410,41,9999)</f>
        <v>41</v>
      </c>
      <c r="BJ410" s="0" t="n">
        <f aca="false">IF(Presupuesto!$B$42='Flujo de Pagos'!$E410,42,9999)</f>
        <v>42</v>
      </c>
      <c r="BK410" s="0" t="n">
        <f aca="false">IF(Presupuesto!$B$43='Flujo de Pagos'!$E410,43,9999)</f>
        <v>43</v>
      </c>
      <c r="BL410" s="0" t="n">
        <f aca="false">IF(Presupuesto!$B$44='Flujo de Pagos'!$E410,44,9999)</f>
        <v>44</v>
      </c>
      <c r="BM410" s="0" t="n">
        <f aca="false">IF(Presupuesto!$B$45='Flujo de Pagos'!$E410,45,9999)</f>
        <v>45</v>
      </c>
      <c r="BN410" s="0" t="n">
        <f aca="false">IF(Presupuesto!$B$46='Flujo de Pagos'!$E410,46,9999)</f>
        <v>46</v>
      </c>
      <c r="BO410" s="0" t="n">
        <f aca="false">IF(Presupuesto!$B$47='Flujo de Pagos'!$E410,47,9999)</f>
        <v>47</v>
      </c>
      <c r="BP410" s="0" t="n">
        <f aca="false">IF(Presupuesto!$B$48='Flujo de Pagos'!$E410,48,9999)</f>
        <v>48</v>
      </c>
      <c r="BQ410" s="0" t="n">
        <f aca="false">IF(Presupuesto!$B$49='Flujo de Pagos'!$E410,49,9999)</f>
        <v>49</v>
      </c>
      <c r="BR410" s="0" t="n">
        <f aca="false">IF(Presupuesto!$B$50='Flujo de Pagos'!$E410,50,9999)</f>
        <v>50</v>
      </c>
      <c r="BS410" s="0" t="n">
        <f aca="false">IF(Presupuesto!$B$51='Flujo de Pagos'!$E410,51,9999)</f>
        <v>51</v>
      </c>
      <c r="BT410" s="0" t="n">
        <f aca="false">IF(Presupuesto!$B$52='Flujo de Pagos'!$E410,52,9999)</f>
        <v>52</v>
      </c>
      <c r="BU410" s="0" t="n">
        <f aca="false">IF(Presupuesto!$B$53='Flujo de Pagos'!$E410,53,9999)</f>
        <v>53</v>
      </c>
      <c r="BV410" s="0" t="n">
        <f aca="false">IF(Presupuesto!$B$54='Flujo de Pagos'!$E410,54,9999)</f>
        <v>54</v>
      </c>
      <c r="BW410" s="0" t="n">
        <f aca="false">IF(Presupuesto!$B$55='Flujo de Pagos'!$E410,55,9999)</f>
        <v>55</v>
      </c>
      <c r="BX410" s="0" t="n">
        <f aca="false">IF(Presupuesto!$B$56='Flujo de Pagos'!$E410,56,9999)</f>
        <v>56</v>
      </c>
      <c r="BY410" s="0" t="n">
        <f aca="false">IF(Presupuesto!$B$57='Flujo de Pagos'!$E410,57,9999)</f>
        <v>57</v>
      </c>
      <c r="BZ410" s="0" t="n">
        <f aca="false">IF(Presupuesto!$B$58='Flujo de Pagos'!$E410,58,9999)</f>
        <v>58</v>
      </c>
      <c r="CA410" s="0" t="n">
        <f aca="false">IF(Presupuesto!$B$59='Flujo de Pagos'!$E410,59,9999)</f>
        <v>59</v>
      </c>
      <c r="CB410" s="0" t="n">
        <f aca="false">IF(Presupuesto!$B$60='Flujo de Pagos'!$E410,60,9999)</f>
        <v>60</v>
      </c>
      <c r="CC410" s="0" t="n">
        <f aca="false">IF(Presupuesto!$B$61='Flujo de Pagos'!$E410,61,9999)</f>
        <v>61</v>
      </c>
      <c r="CD410" s="0" t="n">
        <f aca="false">IF(Presupuesto!$B$62='Flujo de Pagos'!$E410,62,9999)</f>
        <v>62</v>
      </c>
      <c r="CE410" s="0" t="n">
        <f aca="false">IF(Presupuesto!$B$63='Flujo de Pagos'!$E410,63,9999)</f>
        <v>63</v>
      </c>
      <c r="CF410" s="0" t="n">
        <f aca="false">IF(Presupuesto!$B$64='Flujo de Pagos'!$E410,64,9999)</f>
        <v>64</v>
      </c>
      <c r="CG410" s="0" t="n">
        <f aca="false">IF(Presupuesto!$B$65='Flujo de Pagos'!$E410,65,9999)</f>
        <v>65</v>
      </c>
      <c r="CH410" s="0" t="n">
        <f aca="false">IF(Presupuesto!$B$66='Flujo de Pagos'!$E410,66,9999)</f>
        <v>66</v>
      </c>
    </row>
    <row r="411" customFormat="false" ht="15" hidden="false" customHeight="true" outlineLevel="0" collapsed="false">
      <c r="B411" s="1" t="n">
        <f aca="false">IF(AND('Flujo de Pagos'!E416=Carátula!$B$2,'Flujo de Pagos'!F416=Carátula!$B$4,'Flujo de Pagos'!H416&lt;&gt;""),416,99999)</f>
        <v>99999</v>
      </c>
      <c r="H411" s="1" t="n">
        <f aca="false">IF(SMALL($AA411:$CH411,1)&gt;=9999,"",INDEX(Presupuesto!$C:$C,SMALL($AA411:$CH411,1)))</f>
        <v>0</v>
      </c>
      <c r="I411" s="1" t="n">
        <f aca="false">IF(SMALL($AA411:$CH411,2)&gt;=9999,"",INDEX(Presupuesto!$C:$C,SMALL($AA411:$CH411,2)))</f>
        <v>0</v>
      </c>
      <c r="J411" s="1" t="n">
        <f aca="false">IF(SMALL($AA411:$CH411,3)&gt;=9999,"",INDEX(Presupuesto!$C:$C,SMALL($AA411:$CH411,3)))</f>
        <v>0</v>
      </c>
      <c r="K411" s="1" t="n">
        <f aca="false">IF(SMALL($AA411:$CH411,4)&gt;=9999,"",INDEX(Presupuesto!$C:$C,SMALL($AA411:$CH411,4)))</f>
        <v>0</v>
      </c>
      <c r="L411" s="1" t="n">
        <f aca="false">IF(SMALL($AA411:$CH411,5)&gt;=9999,"",INDEX(Presupuesto!$C:$C,SMALL($AA411:$CH411,5)))</f>
        <v>0</v>
      </c>
      <c r="M411" s="1" t="n">
        <f aca="false">IF(SMALL($AA411:$CH411,6)&gt;=9999,"",INDEX(Presupuesto!$C:$C,SMALL($AA411:$CH411,6)))</f>
        <v>0</v>
      </c>
      <c r="N411" s="1" t="n">
        <f aca="false">IF(SMALL($AA411:$CH411,7)&gt;=9999,"",INDEX(Presupuesto!$C:$C,SMALL($AA411:$CH411,7)))</f>
        <v>0</v>
      </c>
      <c r="O411" s="1" t="n">
        <f aca="false">IF(SMALL($AA411:$CH411,8)&gt;=9999,"",INDEX(Presupuesto!$C:$C,SMALL($AA411:$CH411,8)))</f>
        <v>0</v>
      </c>
      <c r="P411" s="1" t="n">
        <f aca="false">IF(SMALL($AA411:$CH411,9)&gt;=9999,"",INDEX(Presupuesto!$C:$C,SMALL($AA411:$CH411,9)))</f>
        <v>0</v>
      </c>
      <c r="Q411" s="1" t="n">
        <f aca="false">IF(SMALL($AA411:$CH411,10)&gt;=9999,"",INDEX(Presupuesto!$C:$C,SMALL($AA411:$CH411,10)))</f>
        <v>0</v>
      </c>
      <c r="AA411" s="0" t="n">
        <f aca="false">IF(Presupuesto!$B$7='Flujo de Pagos'!$E411,7,9999)</f>
        <v>9999</v>
      </c>
      <c r="AB411" s="0" t="n">
        <f aca="false">IF(Presupuesto!$B$8='Flujo de Pagos'!$E411,8,9999)</f>
        <v>9999</v>
      </c>
      <c r="AC411" s="0" t="n">
        <f aca="false">IF(Presupuesto!$B$9='Flujo de Pagos'!$E411,9,9999)</f>
        <v>9999</v>
      </c>
      <c r="AD411" s="0" t="n">
        <f aca="false">IF(Presupuesto!$B$10='Flujo de Pagos'!$E411,10,9999)</f>
        <v>9999</v>
      </c>
      <c r="AE411" s="0" t="n">
        <f aca="false">IF(Presupuesto!$B$11='Flujo de Pagos'!$E411,11,9999)</f>
        <v>9999</v>
      </c>
      <c r="AF411" s="0" t="n">
        <f aca="false">IF(Presupuesto!$B$12='Flujo de Pagos'!$E411,12,9999)</f>
        <v>12</v>
      </c>
      <c r="AG411" s="0" t="n">
        <f aca="false">IF(Presupuesto!$B$13='Flujo de Pagos'!$E411,13,9999)</f>
        <v>13</v>
      </c>
      <c r="AH411" s="0" t="n">
        <f aca="false">IF(Presupuesto!$B$14='Flujo de Pagos'!$E411,14,9999)</f>
        <v>14</v>
      </c>
      <c r="AI411" s="0" t="n">
        <f aca="false">IF(Presupuesto!$B$15='Flujo de Pagos'!$E411,15,9999)</f>
        <v>15</v>
      </c>
      <c r="AJ411" s="0" t="n">
        <f aca="false">IF(Presupuesto!$B$16='Flujo de Pagos'!$E411,16,9999)</f>
        <v>16</v>
      </c>
      <c r="AK411" s="0" t="n">
        <f aca="false">IF(Presupuesto!$B$17='Flujo de Pagos'!$E411,17,9999)</f>
        <v>17</v>
      </c>
      <c r="AL411" s="0" t="n">
        <f aca="false">IF(Presupuesto!$B$18='Flujo de Pagos'!$E411,18,9999)</f>
        <v>18</v>
      </c>
      <c r="AM411" s="0" t="n">
        <f aca="false">IF(Presupuesto!$B$19='Flujo de Pagos'!$E411,19,9999)</f>
        <v>19</v>
      </c>
      <c r="AN411" s="0" t="n">
        <f aca="false">IF(Presupuesto!$B$20='Flujo de Pagos'!$E411,20,9999)</f>
        <v>20</v>
      </c>
      <c r="AO411" s="0" t="n">
        <f aca="false">IF(Presupuesto!$B$21='Flujo de Pagos'!$E411,21,9999)</f>
        <v>21</v>
      </c>
      <c r="AP411" s="0" t="n">
        <f aca="false">IF(Presupuesto!$B$22='Flujo de Pagos'!$E411,22,9999)</f>
        <v>22</v>
      </c>
      <c r="AQ411" s="0" t="n">
        <f aca="false">IF(Presupuesto!$B$23='Flujo de Pagos'!$E411,23,9999)</f>
        <v>23</v>
      </c>
      <c r="AR411" s="0" t="n">
        <f aca="false">IF(Presupuesto!$B$24='Flujo de Pagos'!$E411,24,9999)</f>
        <v>24</v>
      </c>
      <c r="AS411" s="0" t="n">
        <f aca="false">IF(Presupuesto!$B$25='Flujo de Pagos'!$E411,25,9999)</f>
        <v>25</v>
      </c>
      <c r="AT411" s="0" t="n">
        <f aca="false">IF(Presupuesto!$B$26='Flujo de Pagos'!$E411,26,9999)</f>
        <v>26</v>
      </c>
      <c r="AU411" s="0" t="n">
        <f aca="false">IF(Presupuesto!$B$27='Flujo de Pagos'!$E411,27,9999)</f>
        <v>27</v>
      </c>
      <c r="AV411" s="0" t="n">
        <f aca="false">IF(Presupuesto!$B$28='Flujo de Pagos'!$E411,28,9999)</f>
        <v>28</v>
      </c>
      <c r="AW411" s="0" t="n">
        <f aca="false">IF(Presupuesto!$B$29='Flujo de Pagos'!$E411,29,9999)</f>
        <v>29</v>
      </c>
      <c r="AX411" s="0" t="n">
        <f aca="false">IF(Presupuesto!$B$30='Flujo de Pagos'!$E411,30,9999)</f>
        <v>30</v>
      </c>
      <c r="AY411" s="0" t="n">
        <f aca="false">IF(Presupuesto!$B$31='Flujo de Pagos'!$E411,31,9999)</f>
        <v>31</v>
      </c>
      <c r="AZ411" s="0" t="n">
        <f aca="false">IF(Presupuesto!$B$32='Flujo de Pagos'!$E411,32,9999)</f>
        <v>32</v>
      </c>
      <c r="BA411" s="0" t="n">
        <f aca="false">IF(Presupuesto!$B$33='Flujo de Pagos'!$E411,33,9999)</f>
        <v>33</v>
      </c>
      <c r="BB411" s="0" t="n">
        <f aca="false">IF(Presupuesto!$B$34='Flujo de Pagos'!$E411,34,9999)</f>
        <v>34</v>
      </c>
      <c r="BC411" s="0" t="n">
        <f aca="false">IF(Presupuesto!$B$35='Flujo de Pagos'!$E411,35,9999)</f>
        <v>35</v>
      </c>
      <c r="BD411" s="0" t="n">
        <f aca="false">IF(Presupuesto!$B$36='Flujo de Pagos'!$E411,36,9999)</f>
        <v>36</v>
      </c>
      <c r="BE411" s="0" t="n">
        <f aca="false">IF(Presupuesto!$B$37='Flujo de Pagos'!$E411,37,9999)</f>
        <v>37</v>
      </c>
      <c r="BF411" s="0" t="n">
        <f aca="false">IF(Presupuesto!$B$38='Flujo de Pagos'!$E411,38,9999)</f>
        <v>38</v>
      </c>
      <c r="BG411" s="0" t="n">
        <f aca="false">IF(Presupuesto!$B$39='Flujo de Pagos'!$E411,39,9999)</f>
        <v>39</v>
      </c>
      <c r="BH411" s="0" t="n">
        <f aca="false">IF(Presupuesto!$B$40='Flujo de Pagos'!$E411,40,9999)</f>
        <v>40</v>
      </c>
      <c r="BI411" s="0" t="n">
        <f aca="false">IF(Presupuesto!$B$41='Flujo de Pagos'!$E411,41,9999)</f>
        <v>41</v>
      </c>
      <c r="BJ411" s="0" t="n">
        <f aca="false">IF(Presupuesto!$B$42='Flujo de Pagos'!$E411,42,9999)</f>
        <v>42</v>
      </c>
      <c r="BK411" s="0" t="n">
        <f aca="false">IF(Presupuesto!$B$43='Flujo de Pagos'!$E411,43,9999)</f>
        <v>43</v>
      </c>
      <c r="BL411" s="0" t="n">
        <f aca="false">IF(Presupuesto!$B$44='Flujo de Pagos'!$E411,44,9999)</f>
        <v>44</v>
      </c>
      <c r="BM411" s="0" t="n">
        <f aca="false">IF(Presupuesto!$B$45='Flujo de Pagos'!$E411,45,9999)</f>
        <v>45</v>
      </c>
      <c r="BN411" s="0" t="n">
        <f aca="false">IF(Presupuesto!$B$46='Flujo de Pagos'!$E411,46,9999)</f>
        <v>46</v>
      </c>
      <c r="BO411" s="0" t="n">
        <f aca="false">IF(Presupuesto!$B$47='Flujo de Pagos'!$E411,47,9999)</f>
        <v>47</v>
      </c>
      <c r="BP411" s="0" t="n">
        <f aca="false">IF(Presupuesto!$B$48='Flujo de Pagos'!$E411,48,9999)</f>
        <v>48</v>
      </c>
      <c r="BQ411" s="0" t="n">
        <f aca="false">IF(Presupuesto!$B$49='Flujo de Pagos'!$E411,49,9999)</f>
        <v>49</v>
      </c>
      <c r="BR411" s="0" t="n">
        <f aca="false">IF(Presupuesto!$B$50='Flujo de Pagos'!$E411,50,9999)</f>
        <v>50</v>
      </c>
      <c r="BS411" s="0" t="n">
        <f aca="false">IF(Presupuesto!$B$51='Flujo de Pagos'!$E411,51,9999)</f>
        <v>51</v>
      </c>
      <c r="BT411" s="0" t="n">
        <f aca="false">IF(Presupuesto!$B$52='Flujo de Pagos'!$E411,52,9999)</f>
        <v>52</v>
      </c>
      <c r="BU411" s="0" t="n">
        <f aca="false">IF(Presupuesto!$B$53='Flujo de Pagos'!$E411,53,9999)</f>
        <v>53</v>
      </c>
      <c r="BV411" s="0" t="n">
        <f aca="false">IF(Presupuesto!$B$54='Flujo de Pagos'!$E411,54,9999)</f>
        <v>54</v>
      </c>
      <c r="BW411" s="0" t="n">
        <f aca="false">IF(Presupuesto!$B$55='Flujo de Pagos'!$E411,55,9999)</f>
        <v>55</v>
      </c>
      <c r="BX411" s="0" t="n">
        <f aca="false">IF(Presupuesto!$B$56='Flujo de Pagos'!$E411,56,9999)</f>
        <v>56</v>
      </c>
      <c r="BY411" s="0" t="n">
        <f aca="false">IF(Presupuesto!$B$57='Flujo de Pagos'!$E411,57,9999)</f>
        <v>57</v>
      </c>
      <c r="BZ411" s="0" t="n">
        <f aca="false">IF(Presupuesto!$B$58='Flujo de Pagos'!$E411,58,9999)</f>
        <v>58</v>
      </c>
      <c r="CA411" s="0" t="n">
        <f aca="false">IF(Presupuesto!$B$59='Flujo de Pagos'!$E411,59,9999)</f>
        <v>59</v>
      </c>
      <c r="CB411" s="0" t="n">
        <f aca="false">IF(Presupuesto!$B$60='Flujo de Pagos'!$E411,60,9999)</f>
        <v>60</v>
      </c>
      <c r="CC411" s="0" t="n">
        <f aca="false">IF(Presupuesto!$B$61='Flujo de Pagos'!$E411,61,9999)</f>
        <v>61</v>
      </c>
      <c r="CD411" s="0" t="n">
        <f aca="false">IF(Presupuesto!$B$62='Flujo de Pagos'!$E411,62,9999)</f>
        <v>62</v>
      </c>
      <c r="CE411" s="0" t="n">
        <f aca="false">IF(Presupuesto!$B$63='Flujo de Pagos'!$E411,63,9999)</f>
        <v>63</v>
      </c>
      <c r="CF411" s="0" t="n">
        <f aca="false">IF(Presupuesto!$B$64='Flujo de Pagos'!$E411,64,9999)</f>
        <v>64</v>
      </c>
      <c r="CG411" s="0" t="n">
        <f aca="false">IF(Presupuesto!$B$65='Flujo de Pagos'!$E411,65,9999)</f>
        <v>65</v>
      </c>
      <c r="CH411" s="0" t="n">
        <f aca="false">IF(Presupuesto!$B$66='Flujo de Pagos'!$E411,66,9999)</f>
        <v>66</v>
      </c>
    </row>
    <row r="412" customFormat="false" ht="15" hidden="false" customHeight="true" outlineLevel="0" collapsed="false">
      <c r="B412" s="1" t="n">
        <f aca="false">IF(AND('Flujo de Pagos'!E417=Carátula!$B$2,'Flujo de Pagos'!F417=Carátula!$B$4,'Flujo de Pagos'!H417&lt;&gt;""),417,99999)</f>
        <v>99999</v>
      </c>
      <c r="H412" s="1" t="n">
        <f aca="false">IF(SMALL($AA412:$CH412,1)&gt;=9999,"",INDEX(Presupuesto!$C:$C,SMALL($AA412:$CH412,1)))</f>
        <v>0</v>
      </c>
      <c r="I412" s="1" t="n">
        <f aca="false">IF(SMALL($AA412:$CH412,2)&gt;=9999,"",INDEX(Presupuesto!$C:$C,SMALL($AA412:$CH412,2)))</f>
        <v>0</v>
      </c>
      <c r="J412" s="1" t="n">
        <f aca="false">IF(SMALL($AA412:$CH412,3)&gt;=9999,"",INDEX(Presupuesto!$C:$C,SMALL($AA412:$CH412,3)))</f>
        <v>0</v>
      </c>
      <c r="K412" s="1" t="n">
        <f aca="false">IF(SMALL($AA412:$CH412,4)&gt;=9999,"",INDEX(Presupuesto!$C:$C,SMALL($AA412:$CH412,4)))</f>
        <v>0</v>
      </c>
      <c r="L412" s="1" t="n">
        <f aca="false">IF(SMALL($AA412:$CH412,5)&gt;=9999,"",INDEX(Presupuesto!$C:$C,SMALL($AA412:$CH412,5)))</f>
        <v>0</v>
      </c>
      <c r="M412" s="1" t="n">
        <f aca="false">IF(SMALL($AA412:$CH412,6)&gt;=9999,"",INDEX(Presupuesto!$C:$C,SMALL($AA412:$CH412,6)))</f>
        <v>0</v>
      </c>
      <c r="N412" s="1" t="n">
        <f aca="false">IF(SMALL($AA412:$CH412,7)&gt;=9999,"",INDEX(Presupuesto!$C:$C,SMALL($AA412:$CH412,7)))</f>
        <v>0</v>
      </c>
      <c r="O412" s="1" t="n">
        <f aca="false">IF(SMALL($AA412:$CH412,8)&gt;=9999,"",INDEX(Presupuesto!$C:$C,SMALL($AA412:$CH412,8)))</f>
        <v>0</v>
      </c>
      <c r="P412" s="1" t="n">
        <f aca="false">IF(SMALL($AA412:$CH412,9)&gt;=9999,"",INDEX(Presupuesto!$C:$C,SMALL($AA412:$CH412,9)))</f>
        <v>0</v>
      </c>
      <c r="Q412" s="1" t="n">
        <f aca="false">IF(SMALL($AA412:$CH412,10)&gt;=9999,"",INDEX(Presupuesto!$C:$C,SMALL($AA412:$CH412,10)))</f>
        <v>0</v>
      </c>
      <c r="AA412" s="0" t="n">
        <f aca="false">IF(Presupuesto!$B$7='Flujo de Pagos'!$E412,7,9999)</f>
        <v>9999</v>
      </c>
      <c r="AB412" s="0" t="n">
        <f aca="false">IF(Presupuesto!$B$8='Flujo de Pagos'!$E412,8,9999)</f>
        <v>9999</v>
      </c>
      <c r="AC412" s="0" t="n">
        <f aca="false">IF(Presupuesto!$B$9='Flujo de Pagos'!$E412,9,9999)</f>
        <v>9999</v>
      </c>
      <c r="AD412" s="0" t="n">
        <f aca="false">IF(Presupuesto!$B$10='Flujo de Pagos'!$E412,10,9999)</f>
        <v>9999</v>
      </c>
      <c r="AE412" s="0" t="n">
        <f aca="false">IF(Presupuesto!$B$11='Flujo de Pagos'!$E412,11,9999)</f>
        <v>9999</v>
      </c>
      <c r="AF412" s="0" t="n">
        <f aca="false">IF(Presupuesto!$B$12='Flujo de Pagos'!$E412,12,9999)</f>
        <v>12</v>
      </c>
      <c r="AG412" s="0" t="n">
        <f aca="false">IF(Presupuesto!$B$13='Flujo de Pagos'!$E412,13,9999)</f>
        <v>13</v>
      </c>
      <c r="AH412" s="0" t="n">
        <f aca="false">IF(Presupuesto!$B$14='Flujo de Pagos'!$E412,14,9999)</f>
        <v>14</v>
      </c>
      <c r="AI412" s="0" t="n">
        <f aca="false">IF(Presupuesto!$B$15='Flujo de Pagos'!$E412,15,9999)</f>
        <v>15</v>
      </c>
      <c r="AJ412" s="0" t="n">
        <f aca="false">IF(Presupuesto!$B$16='Flujo de Pagos'!$E412,16,9999)</f>
        <v>16</v>
      </c>
      <c r="AK412" s="0" t="n">
        <f aca="false">IF(Presupuesto!$B$17='Flujo de Pagos'!$E412,17,9999)</f>
        <v>17</v>
      </c>
      <c r="AL412" s="0" t="n">
        <f aca="false">IF(Presupuesto!$B$18='Flujo de Pagos'!$E412,18,9999)</f>
        <v>18</v>
      </c>
      <c r="AM412" s="0" t="n">
        <f aca="false">IF(Presupuesto!$B$19='Flujo de Pagos'!$E412,19,9999)</f>
        <v>19</v>
      </c>
      <c r="AN412" s="0" t="n">
        <f aca="false">IF(Presupuesto!$B$20='Flujo de Pagos'!$E412,20,9999)</f>
        <v>20</v>
      </c>
      <c r="AO412" s="0" t="n">
        <f aca="false">IF(Presupuesto!$B$21='Flujo de Pagos'!$E412,21,9999)</f>
        <v>21</v>
      </c>
      <c r="AP412" s="0" t="n">
        <f aca="false">IF(Presupuesto!$B$22='Flujo de Pagos'!$E412,22,9999)</f>
        <v>22</v>
      </c>
      <c r="AQ412" s="0" t="n">
        <f aca="false">IF(Presupuesto!$B$23='Flujo de Pagos'!$E412,23,9999)</f>
        <v>23</v>
      </c>
      <c r="AR412" s="0" t="n">
        <f aca="false">IF(Presupuesto!$B$24='Flujo de Pagos'!$E412,24,9999)</f>
        <v>24</v>
      </c>
      <c r="AS412" s="0" t="n">
        <f aca="false">IF(Presupuesto!$B$25='Flujo de Pagos'!$E412,25,9999)</f>
        <v>25</v>
      </c>
      <c r="AT412" s="0" t="n">
        <f aca="false">IF(Presupuesto!$B$26='Flujo de Pagos'!$E412,26,9999)</f>
        <v>26</v>
      </c>
      <c r="AU412" s="0" t="n">
        <f aca="false">IF(Presupuesto!$B$27='Flujo de Pagos'!$E412,27,9999)</f>
        <v>27</v>
      </c>
      <c r="AV412" s="0" t="n">
        <f aca="false">IF(Presupuesto!$B$28='Flujo de Pagos'!$E412,28,9999)</f>
        <v>28</v>
      </c>
      <c r="AW412" s="0" t="n">
        <f aca="false">IF(Presupuesto!$B$29='Flujo de Pagos'!$E412,29,9999)</f>
        <v>29</v>
      </c>
      <c r="AX412" s="0" t="n">
        <f aca="false">IF(Presupuesto!$B$30='Flujo de Pagos'!$E412,30,9999)</f>
        <v>30</v>
      </c>
      <c r="AY412" s="0" t="n">
        <f aca="false">IF(Presupuesto!$B$31='Flujo de Pagos'!$E412,31,9999)</f>
        <v>31</v>
      </c>
      <c r="AZ412" s="0" t="n">
        <f aca="false">IF(Presupuesto!$B$32='Flujo de Pagos'!$E412,32,9999)</f>
        <v>32</v>
      </c>
      <c r="BA412" s="0" t="n">
        <f aca="false">IF(Presupuesto!$B$33='Flujo de Pagos'!$E412,33,9999)</f>
        <v>33</v>
      </c>
      <c r="BB412" s="0" t="n">
        <f aca="false">IF(Presupuesto!$B$34='Flujo de Pagos'!$E412,34,9999)</f>
        <v>34</v>
      </c>
      <c r="BC412" s="0" t="n">
        <f aca="false">IF(Presupuesto!$B$35='Flujo de Pagos'!$E412,35,9999)</f>
        <v>35</v>
      </c>
      <c r="BD412" s="0" t="n">
        <f aca="false">IF(Presupuesto!$B$36='Flujo de Pagos'!$E412,36,9999)</f>
        <v>36</v>
      </c>
      <c r="BE412" s="0" t="n">
        <f aca="false">IF(Presupuesto!$B$37='Flujo de Pagos'!$E412,37,9999)</f>
        <v>37</v>
      </c>
      <c r="BF412" s="0" t="n">
        <f aca="false">IF(Presupuesto!$B$38='Flujo de Pagos'!$E412,38,9999)</f>
        <v>38</v>
      </c>
      <c r="BG412" s="0" t="n">
        <f aca="false">IF(Presupuesto!$B$39='Flujo de Pagos'!$E412,39,9999)</f>
        <v>39</v>
      </c>
      <c r="BH412" s="0" t="n">
        <f aca="false">IF(Presupuesto!$B$40='Flujo de Pagos'!$E412,40,9999)</f>
        <v>40</v>
      </c>
      <c r="BI412" s="0" t="n">
        <f aca="false">IF(Presupuesto!$B$41='Flujo de Pagos'!$E412,41,9999)</f>
        <v>41</v>
      </c>
      <c r="BJ412" s="0" t="n">
        <f aca="false">IF(Presupuesto!$B$42='Flujo de Pagos'!$E412,42,9999)</f>
        <v>42</v>
      </c>
      <c r="BK412" s="0" t="n">
        <f aca="false">IF(Presupuesto!$B$43='Flujo de Pagos'!$E412,43,9999)</f>
        <v>43</v>
      </c>
      <c r="BL412" s="0" t="n">
        <f aca="false">IF(Presupuesto!$B$44='Flujo de Pagos'!$E412,44,9999)</f>
        <v>44</v>
      </c>
      <c r="BM412" s="0" t="n">
        <f aca="false">IF(Presupuesto!$B$45='Flujo de Pagos'!$E412,45,9999)</f>
        <v>45</v>
      </c>
      <c r="BN412" s="0" t="n">
        <f aca="false">IF(Presupuesto!$B$46='Flujo de Pagos'!$E412,46,9999)</f>
        <v>46</v>
      </c>
      <c r="BO412" s="0" t="n">
        <f aca="false">IF(Presupuesto!$B$47='Flujo de Pagos'!$E412,47,9999)</f>
        <v>47</v>
      </c>
      <c r="BP412" s="0" t="n">
        <f aca="false">IF(Presupuesto!$B$48='Flujo de Pagos'!$E412,48,9999)</f>
        <v>48</v>
      </c>
      <c r="BQ412" s="0" t="n">
        <f aca="false">IF(Presupuesto!$B$49='Flujo de Pagos'!$E412,49,9999)</f>
        <v>49</v>
      </c>
      <c r="BR412" s="0" t="n">
        <f aca="false">IF(Presupuesto!$B$50='Flujo de Pagos'!$E412,50,9999)</f>
        <v>50</v>
      </c>
      <c r="BS412" s="0" t="n">
        <f aca="false">IF(Presupuesto!$B$51='Flujo de Pagos'!$E412,51,9999)</f>
        <v>51</v>
      </c>
      <c r="BT412" s="0" t="n">
        <f aca="false">IF(Presupuesto!$B$52='Flujo de Pagos'!$E412,52,9999)</f>
        <v>52</v>
      </c>
      <c r="BU412" s="0" t="n">
        <f aca="false">IF(Presupuesto!$B$53='Flujo de Pagos'!$E412,53,9999)</f>
        <v>53</v>
      </c>
      <c r="BV412" s="0" t="n">
        <f aca="false">IF(Presupuesto!$B$54='Flujo de Pagos'!$E412,54,9999)</f>
        <v>54</v>
      </c>
      <c r="BW412" s="0" t="n">
        <f aca="false">IF(Presupuesto!$B$55='Flujo de Pagos'!$E412,55,9999)</f>
        <v>55</v>
      </c>
      <c r="BX412" s="0" t="n">
        <f aca="false">IF(Presupuesto!$B$56='Flujo de Pagos'!$E412,56,9999)</f>
        <v>56</v>
      </c>
      <c r="BY412" s="0" t="n">
        <f aca="false">IF(Presupuesto!$B$57='Flujo de Pagos'!$E412,57,9999)</f>
        <v>57</v>
      </c>
      <c r="BZ412" s="0" t="n">
        <f aca="false">IF(Presupuesto!$B$58='Flujo de Pagos'!$E412,58,9999)</f>
        <v>58</v>
      </c>
      <c r="CA412" s="0" t="n">
        <f aca="false">IF(Presupuesto!$B$59='Flujo de Pagos'!$E412,59,9999)</f>
        <v>59</v>
      </c>
      <c r="CB412" s="0" t="n">
        <f aca="false">IF(Presupuesto!$B$60='Flujo de Pagos'!$E412,60,9999)</f>
        <v>60</v>
      </c>
      <c r="CC412" s="0" t="n">
        <f aca="false">IF(Presupuesto!$B$61='Flujo de Pagos'!$E412,61,9999)</f>
        <v>61</v>
      </c>
      <c r="CD412" s="0" t="n">
        <f aca="false">IF(Presupuesto!$B$62='Flujo de Pagos'!$E412,62,9999)</f>
        <v>62</v>
      </c>
      <c r="CE412" s="0" t="n">
        <f aca="false">IF(Presupuesto!$B$63='Flujo de Pagos'!$E412,63,9999)</f>
        <v>63</v>
      </c>
      <c r="CF412" s="0" t="n">
        <f aca="false">IF(Presupuesto!$B$64='Flujo de Pagos'!$E412,64,9999)</f>
        <v>64</v>
      </c>
      <c r="CG412" s="0" t="n">
        <f aca="false">IF(Presupuesto!$B$65='Flujo de Pagos'!$E412,65,9999)</f>
        <v>65</v>
      </c>
      <c r="CH412" s="0" t="n">
        <f aca="false">IF(Presupuesto!$B$66='Flujo de Pagos'!$E412,66,9999)</f>
        <v>66</v>
      </c>
    </row>
    <row r="413" customFormat="false" ht="15" hidden="false" customHeight="true" outlineLevel="0" collapsed="false">
      <c r="B413" s="1" t="n">
        <f aca="false">IF(AND('Flujo de Pagos'!E418=Carátula!$B$2,'Flujo de Pagos'!F418=Carátula!$B$4,'Flujo de Pagos'!H418&lt;&gt;""),418,99999)</f>
        <v>99999</v>
      </c>
      <c r="H413" s="1" t="n">
        <f aca="false">IF(SMALL($AA413:$CH413,1)&gt;=9999,"",INDEX(Presupuesto!$C:$C,SMALL($AA413:$CH413,1)))</f>
        <v>0</v>
      </c>
      <c r="I413" s="1" t="n">
        <f aca="false">IF(SMALL($AA413:$CH413,2)&gt;=9999,"",INDEX(Presupuesto!$C:$C,SMALL($AA413:$CH413,2)))</f>
        <v>0</v>
      </c>
      <c r="J413" s="1" t="n">
        <f aca="false">IF(SMALL($AA413:$CH413,3)&gt;=9999,"",INDEX(Presupuesto!$C:$C,SMALL($AA413:$CH413,3)))</f>
        <v>0</v>
      </c>
      <c r="K413" s="1" t="n">
        <f aca="false">IF(SMALL($AA413:$CH413,4)&gt;=9999,"",INDEX(Presupuesto!$C:$C,SMALL($AA413:$CH413,4)))</f>
        <v>0</v>
      </c>
      <c r="L413" s="1" t="n">
        <f aca="false">IF(SMALL($AA413:$CH413,5)&gt;=9999,"",INDEX(Presupuesto!$C:$C,SMALL($AA413:$CH413,5)))</f>
        <v>0</v>
      </c>
      <c r="M413" s="1" t="n">
        <f aca="false">IF(SMALL($AA413:$CH413,6)&gt;=9999,"",INDEX(Presupuesto!$C:$C,SMALL($AA413:$CH413,6)))</f>
        <v>0</v>
      </c>
      <c r="N413" s="1" t="n">
        <f aca="false">IF(SMALL($AA413:$CH413,7)&gt;=9999,"",INDEX(Presupuesto!$C:$C,SMALL($AA413:$CH413,7)))</f>
        <v>0</v>
      </c>
      <c r="O413" s="1" t="n">
        <f aca="false">IF(SMALL($AA413:$CH413,8)&gt;=9999,"",INDEX(Presupuesto!$C:$C,SMALL($AA413:$CH413,8)))</f>
        <v>0</v>
      </c>
      <c r="P413" s="1" t="n">
        <f aca="false">IF(SMALL($AA413:$CH413,9)&gt;=9999,"",INDEX(Presupuesto!$C:$C,SMALL($AA413:$CH413,9)))</f>
        <v>0</v>
      </c>
      <c r="Q413" s="1" t="n">
        <f aca="false">IF(SMALL($AA413:$CH413,10)&gt;=9999,"",INDEX(Presupuesto!$C:$C,SMALL($AA413:$CH413,10)))</f>
        <v>0</v>
      </c>
      <c r="AA413" s="0" t="n">
        <f aca="false">IF(Presupuesto!$B$7='Flujo de Pagos'!$E413,7,9999)</f>
        <v>9999</v>
      </c>
      <c r="AB413" s="0" t="n">
        <f aca="false">IF(Presupuesto!$B$8='Flujo de Pagos'!$E413,8,9999)</f>
        <v>9999</v>
      </c>
      <c r="AC413" s="0" t="n">
        <f aca="false">IF(Presupuesto!$B$9='Flujo de Pagos'!$E413,9,9999)</f>
        <v>9999</v>
      </c>
      <c r="AD413" s="0" t="n">
        <f aca="false">IF(Presupuesto!$B$10='Flujo de Pagos'!$E413,10,9999)</f>
        <v>9999</v>
      </c>
      <c r="AE413" s="0" t="n">
        <f aca="false">IF(Presupuesto!$B$11='Flujo de Pagos'!$E413,11,9999)</f>
        <v>9999</v>
      </c>
      <c r="AF413" s="0" t="n">
        <f aca="false">IF(Presupuesto!$B$12='Flujo de Pagos'!$E413,12,9999)</f>
        <v>12</v>
      </c>
      <c r="AG413" s="0" t="n">
        <f aca="false">IF(Presupuesto!$B$13='Flujo de Pagos'!$E413,13,9999)</f>
        <v>13</v>
      </c>
      <c r="AH413" s="0" t="n">
        <f aca="false">IF(Presupuesto!$B$14='Flujo de Pagos'!$E413,14,9999)</f>
        <v>14</v>
      </c>
      <c r="AI413" s="0" t="n">
        <f aca="false">IF(Presupuesto!$B$15='Flujo de Pagos'!$E413,15,9999)</f>
        <v>15</v>
      </c>
      <c r="AJ413" s="0" t="n">
        <f aca="false">IF(Presupuesto!$B$16='Flujo de Pagos'!$E413,16,9999)</f>
        <v>16</v>
      </c>
      <c r="AK413" s="0" t="n">
        <f aca="false">IF(Presupuesto!$B$17='Flujo de Pagos'!$E413,17,9999)</f>
        <v>17</v>
      </c>
      <c r="AL413" s="0" t="n">
        <f aca="false">IF(Presupuesto!$B$18='Flujo de Pagos'!$E413,18,9999)</f>
        <v>18</v>
      </c>
      <c r="AM413" s="0" t="n">
        <f aca="false">IF(Presupuesto!$B$19='Flujo de Pagos'!$E413,19,9999)</f>
        <v>19</v>
      </c>
      <c r="AN413" s="0" t="n">
        <f aca="false">IF(Presupuesto!$B$20='Flujo de Pagos'!$E413,20,9999)</f>
        <v>20</v>
      </c>
      <c r="AO413" s="0" t="n">
        <f aca="false">IF(Presupuesto!$B$21='Flujo de Pagos'!$E413,21,9999)</f>
        <v>21</v>
      </c>
      <c r="AP413" s="0" t="n">
        <f aca="false">IF(Presupuesto!$B$22='Flujo de Pagos'!$E413,22,9999)</f>
        <v>22</v>
      </c>
      <c r="AQ413" s="0" t="n">
        <f aca="false">IF(Presupuesto!$B$23='Flujo de Pagos'!$E413,23,9999)</f>
        <v>23</v>
      </c>
      <c r="AR413" s="0" t="n">
        <f aca="false">IF(Presupuesto!$B$24='Flujo de Pagos'!$E413,24,9999)</f>
        <v>24</v>
      </c>
      <c r="AS413" s="0" t="n">
        <f aca="false">IF(Presupuesto!$B$25='Flujo de Pagos'!$E413,25,9999)</f>
        <v>25</v>
      </c>
      <c r="AT413" s="0" t="n">
        <f aca="false">IF(Presupuesto!$B$26='Flujo de Pagos'!$E413,26,9999)</f>
        <v>26</v>
      </c>
      <c r="AU413" s="0" t="n">
        <f aca="false">IF(Presupuesto!$B$27='Flujo de Pagos'!$E413,27,9999)</f>
        <v>27</v>
      </c>
      <c r="AV413" s="0" t="n">
        <f aca="false">IF(Presupuesto!$B$28='Flujo de Pagos'!$E413,28,9999)</f>
        <v>28</v>
      </c>
      <c r="AW413" s="0" t="n">
        <f aca="false">IF(Presupuesto!$B$29='Flujo de Pagos'!$E413,29,9999)</f>
        <v>29</v>
      </c>
      <c r="AX413" s="0" t="n">
        <f aca="false">IF(Presupuesto!$B$30='Flujo de Pagos'!$E413,30,9999)</f>
        <v>30</v>
      </c>
      <c r="AY413" s="0" t="n">
        <f aca="false">IF(Presupuesto!$B$31='Flujo de Pagos'!$E413,31,9999)</f>
        <v>31</v>
      </c>
      <c r="AZ413" s="0" t="n">
        <f aca="false">IF(Presupuesto!$B$32='Flujo de Pagos'!$E413,32,9999)</f>
        <v>32</v>
      </c>
      <c r="BA413" s="0" t="n">
        <f aca="false">IF(Presupuesto!$B$33='Flujo de Pagos'!$E413,33,9999)</f>
        <v>33</v>
      </c>
      <c r="BB413" s="0" t="n">
        <f aca="false">IF(Presupuesto!$B$34='Flujo de Pagos'!$E413,34,9999)</f>
        <v>34</v>
      </c>
      <c r="BC413" s="0" t="n">
        <f aca="false">IF(Presupuesto!$B$35='Flujo de Pagos'!$E413,35,9999)</f>
        <v>35</v>
      </c>
      <c r="BD413" s="0" t="n">
        <f aca="false">IF(Presupuesto!$B$36='Flujo de Pagos'!$E413,36,9999)</f>
        <v>36</v>
      </c>
      <c r="BE413" s="0" t="n">
        <f aca="false">IF(Presupuesto!$B$37='Flujo de Pagos'!$E413,37,9999)</f>
        <v>37</v>
      </c>
      <c r="BF413" s="0" t="n">
        <f aca="false">IF(Presupuesto!$B$38='Flujo de Pagos'!$E413,38,9999)</f>
        <v>38</v>
      </c>
      <c r="BG413" s="0" t="n">
        <f aca="false">IF(Presupuesto!$B$39='Flujo de Pagos'!$E413,39,9999)</f>
        <v>39</v>
      </c>
      <c r="BH413" s="0" t="n">
        <f aca="false">IF(Presupuesto!$B$40='Flujo de Pagos'!$E413,40,9999)</f>
        <v>40</v>
      </c>
      <c r="BI413" s="0" t="n">
        <f aca="false">IF(Presupuesto!$B$41='Flujo de Pagos'!$E413,41,9999)</f>
        <v>41</v>
      </c>
      <c r="BJ413" s="0" t="n">
        <f aca="false">IF(Presupuesto!$B$42='Flujo de Pagos'!$E413,42,9999)</f>
        <v>42</v>
      </c>
      <c r="BK413" s="0" t="n">
        <f aca="false">IF(Presupuesto!$B$43='Flujo de Pagos'!$E413,43,9999)</f>
        <v>43</v>
      </c>
      <c r="BL413" s="0" t="n">
        <f aca="false">IF(Presupuesto!$B$44='Flujo de Pagos'!$E413,44,9999)</f>
        <v>44</v>
      </c>
      <c r="BM413" s="0" t="n">
        <f aca="false">IF(Presupuesto!$B$45='Flujo de Pagos'!$E413,45,9999)</f>
        <v>45</v>
      </c>
      <c r="BN413" s="0" t="n">
        <f aca="false">IF(Presupuesto!$B$46='Flujo de Pagos'!$E413,46,9999)</f>
        <v>46</v>
      </c>
      <c r="BO413" s="0" t="n">
        <f aca="false">IF(Presupuesto!$B$47='Flujo de Pagos'!$E413,47,9999)</f>
        <v>47</v>
      </c>
      <c r="BP413" s="0" t="n">
        <f aca="false">IF(Presupuesto!$B$48='Flujo de Pagos'!$E413,48,9999)</f>
        <v>48</v>
      </c>
      <c r="BQ413" s="0" t="n">
        <f aca="false">IF(Presupuesto!$B$49='Flujo de Pagos'!$E413,49,9999)</f>
        <v>49</v>
      </c>
      <c r="BR413" s="0" t="n">
        <f aca="false">IF(Presupuesto!$B$50='Flujo de Pagos'!$E413,50,9999)</f>
        <v>50</v>
      </c>
      <c r="BS413" s="0" t="n">
        <f aca="false">IF(Presupuesto!$B$51='Flujo de Pagos'!$E413,51,9999)</f>
        <v>51</v>
      </c>
      <c r="BT413" s="0" t="n">
        <f aca="false">IF(Presupuesto!$B$52='Flujo de Pagos'!$E413,52,9999)</f>
        <v>52</v>
      </c>
      <c r="BU413" s="0" t="n">
        <f aca="false">IF(Presupuesto!$B$53='Flujo de Pagos'!$E413,53,9999)</f>
        <v>53</v>
      </c>
      <c r="BV413" s="0" t="n">
        <f aca="false">IF(Presupuesto!$B$54='Flujo de Pagos'!$E413,54,9999)</f>
        <v>54</v>
      </c>
      <c r="BW413" s="0" t="n">
        <f aca="false">IF(Presupuesto!$B$55='Flujo de Pagos'!$E413,55,9999)</f>
        <v>55</v>
      </c>
      <c r="BX413" s="0" t="n">
        <f aca="false">IF(Presupuesto!$B$56='Flujo de Pagos'!$E413,56,9999)</f>
        <v>56</v>
      </c>
      <c r="BY413" s="0" t="n">
        <f aca="false">IF(Presupuesto!$B$57='Flujo de Pagos'!$E413,57,9999)</f>
        <v>57</v>
      </c>
      <c r="BZ413" s="0" t="n">
        <f aca="false">IF(Presupuesto!$B$58='Flujo de Pagos'!$E413,58,9999)</f>
        <v>58</v>
      </c>
      <c r="CA413" s="0" t="n">
        <f aca="false">IF(Presupuesto!$B$59='Flujo de Pagos'!$E413,59,9999)</f>
        <v>59</v>
      </c>
      <c r="CB413" s="0" t="n">
        <f aca="false">IF(Presupuesto!$B$60='Flujo de Pagos'!$E413,60,9999)</f>
        <v>60</v>
      </c>
      <c r="CC413" s="0" t="n">
        <f aca="false">IF(Presupuesto!$B$61='Flujo de Pagos'!$E413,61,9999)</f>
        <v>61</v>
      </c>
      <c r="CD413" s="0" t="n">
        <f aca="false">IF(Presupuesto!$B$62='Flujo de Pagos'!$E413,62,9999)</f>
        <v>62</v>
      </c>
      <c r="CE413" s="0" t="n">
        <f aca="false">IF(Presupuesto!$B$63='Flujo de Pagos'!$E413,63,9999)</f>
        <v>63</v>
      </c>
      <c r="CF413" s="0" t="n">
        <f aca="false">IF(Presupuesto!$B$64='Flujo de Pagos'!$E413,64,9999)</f>
        <v>64</v>
      </c>
      <c r="CG413" s="0" t="n">
        <f aca="false">IF(Presupuesto!$B$65='Flujo de Pagos'!$E413,65,9999)</f>
        <v>65</v>
      </c>
      <c r="CH413" s="0" t="n">
        <f aca="false">IF(Presupuesto!$B$66='Flujo de Pagos'!$E413,66,9999)</f>
        <v>66</v>
      </c>
    </row>
    <row r="414" customFormat="false" ht="15" hidden="false" customHeight="true" outlineLevel="0" collapsed="false">
      <c r="B414" s="1" t="n">
        <f aca="false">IF(AND('Flujo de Pagos'!E419=Carátula!$B$2,'Flujo de Pagos'!F419=Carátula!$B$4,'Flujo de Pagos'!H419&lt;&gt;""),419,99999)</f>
        <v>99999</v>
      </c>
      <c r="H414" s="1" t="n">
        <f aca="false">IF(SMALL($AA414:$CH414,1)&gt;=9999,"",INDEX(Presupuesto!$C:$C,SMALL($AA414:$CH414,1)))</f>
        <v>0</v>
      </c>
      <c r="I414" s="1" t="n">
        <f aca="false">IF(SMALL($AA414:$CH414,2)&gt;=9999,"",INDEX(Presupuesto!$C:$C,SMALL($AA414:$CH414,2)))</f>
        <v>0</v>
      </c>
      <c r="J414" s="1" t="n">
        <f aca="false">IF(SMALL($AA414:$CH414,3)&gt;=9999,"",INDEX(Presupuesto!$C:$C,SMALL($AA414:$CH414,3)))</f>
        <v>0</v>
      </c>
      <c r="K414" s="1" t="n">
        <f aca="false">IF(SMALL($AA414:$CH414,4)&gt;=9999,"",INDEX(Presupuesto!$C:$C,SMALL($AA414:$CH414,4)))</f>
        <v>0</v>
      </c>
      <c r="L414" s="1" t="n">
        <f aca="false">IF(SMALL($AA414:$CH414,5)&gt;=9999,"",INDEX(Presupuesto!$C:$C,SMALL($AA414:$CH414,5)))</f>
        <v>0</v>
      </c>
      <c r="M414" s="1" t="n">
        <f aca="false">IF(SMALL($AA414:$CH414,6)&gt;=9999,"",INDEX(Presupuesto!$C:$C,SMALL($AA414:$CH414,6)))</f>
        <v>0</v>
      </c>
      <c r="N414" s="1" t="n">
        <f aca="false">IF(SMALL($AA414:$CH414,7)&gt;=9999,"",INDEX(Presupuesto!$C:$C,SMALL($AA414:$CH414,7)))</f>
        <v>0</v>
      </c>
      <c r="O414" s="1" t="n">
        <f aca="false">IF(SMALL($AA414:$CH414,8)&gt;=9999,"",INDEX(Presupuesto!$C:$C,SMALL($AA414:$CH414,8)))</f>
        <v>0</v>
      </c>
      <c r="P414" s="1" t="n">
        <f aca="false">IF(SMALL($AA414:$CH414,9)&gt;=9999,"",INDEX(Presupuesto!$C:$C,SMALL($AA414:$CH414,9)))</f>
        <v>0</v>
      </c>
      <c r="Q414" s="1" t="n">
        <f aca="false">IF(SMALL($AA414:$CH414,10)&gt;=9999,"",INDEX(Presupuesto!$C:$C,SMALL($AA414:$CH414,10)))</f>
        <v>0</v>
      </c>
      <c r="AA414" s="0" t="n">
        <f aca="false">IF(Presupuesto!$B$7='Flujo de Pagos'!$E414,7,9999)</f>
        <v>9999</v>
      </c>
      <c r="AB414" s="0" t="n">
        <f aca="false">IF(Presupuesto!$B$8='Flujo de Pagos'!$E414,8,9999)</f>
        <v>9999</v>
      </c>
      <c r="AC414" s="0" t="n">
        <f aca="false">IF(Presupuesto!$B$9='Flujo de Pagos'!$E414,9,9999)</f>
        <v>9999</v>
      </c>
      <c r="AD414" s="0" t="n">
        <f aca="false">IF(Presupuesto!$B$10='Flujo de Pagos'!$E414,10,9999)</f>
        <v>9999</v>
      </c>
      <c r="AE414" s="0" t="n">
        <f aca="false">IF(Presupuesto!$B$11='Flujo de Pagos'!$E414,11,9999)</f>
        <v>9999</v>
      </c>
      <c r="AF414" s="0" t="n">
        <f aca="false">IF(Presupuesto!$B$12='Flujo de Pagos'!$E414,12,9999)</f>
        <v>12</v>
      </c>
      <c r="AG414" s="0" t="n">
        <f aca="false">IF(Presupuesto!$B$13='Flujo de Pagos'!$E414,13,9999)</f>
        <v>13</v>
      </c>
      <c r="AH414" s="0" t="n">
        <f aca="false">IF(Presupuesto!$B$14='Flujo de Pagos'!$E414,14,9999)</f>
        <v>14</v>
      </c>
      <c r="AI414" s="0" t="n">
        <f aca="false">IF(Presupuesto!$B$15='Flujo de Pagos'!$E414,15,9999)</f>
        <v>15</v>
      </c>
      <c r="AJ414" s="0" t="n">
        <f aca="false">IF(Presupuesto!$B$16='Flujo de Pagos'!$E414,16,9999)</f>
        <v>16</v>
      </c>
      <c r="AK414" s="0" t="n">
        <f aca="false">IF(Presupuesto!$B$17='Flujo de Pagos'!$E414,17,9999)</f>
        <v>17</v>
      </c>
      <c r="AL414" s="0" t="n">
        <f aca="false">IF(Presupuesto!$B$18='Flujo de Pagos'!$E414,18,9999)</f>
        <v>18</v>
      </c>
      <c r="AM414" s="0" t="n">
        <f aca="false">IF(Presupuesto!$B$19='Flujo de Pagos'!$E414,19,9999)</f>
        <v>19</v>
      </c>
      <c r="AN414" s="0" t="n">
        <f aca="false">IF(Presupuesto!$B$20='Flujo de Pagos'!$E414,20,9999)</f>
        <v>20</v>
      </c>
      <c r="AO414" s="0" t="n">
        <f aca="false">IF(Presupuesto!$B$21='Flujo de Pagos'!$E414,21,9999)</f>
        <v>21</v>
      </c>
      <c r="AP414" s="0" t="n">
        <f aca="false">IF(Presupuesto!$B$22='Flujo de Pagos'!$E414,22,9999)</f>
        <v>22</v>
      </c>
      <c r="AQ414" s="0" t="n">
        <f aca="false">IF(Presupuesto!$B$23='Flujo de Pagos'!$E414,23,9999)</f>
        <v>23</v>
      </c>
      <c r="AR414" s="0" t="n">
        <f aca="false">IF(Presupuesto!$B$24='Flujo de Pagos'!$E414,24,9999)</f>
        <v>24</v>
      </c>
      <c r="AS414" s="0" t="n">
        <f aca="false">IF(Presupuesto!$B$25='Flujo de Pagos'!$E414,25,9999)</f>
        <v>25</v>
      </c>
      <c r="AT414" s="0" t="n">
        <f aca="false">IF(Presupuesto!$B$26='Flujo de Pagos'!$E414,26,9999)</f>
        <v>26</v>
      </c>
      <c r="AU414" s="0" t="n">
        <f aca="false">IF(Presupuesto!$B$27='Flujo de Pagos'!$E414,27,9999)</f>
        <v>27</v>
      </c>
      <c r="AV414" s="0" t="n">
        <f aca="false">IF(Presupuesto!$B$28='Flujo de Pagos'!$E414,28,9999)</f>
        <v>28</v>
      </c>
      <c r="AW414" s="0" t="n">
        <f aca="false">IF(Presupuesto!$B$29='Flujo de Pagos'!$E414,29,9999)</f>
        <v>29</v>
      </c>
      <c r="AX414" s="0" t="n">
        <f aca="false">IF(Presupuesto!$B$30='Flujo de Pagos'!$E414,30,9999)</f>
        <v>30</v>
      </c>
      <c r="AY414" s="0" t="n">
        <f aca="false">IF(Presupuesto!$B$31='Flujo de Pagos'!$E414,31,9999)</f>
        <v>31</v>
      </c>
      <c r="AZ414" s="0" t="n">
        <f aca="false">IF(Presupuesto!$B$32='Flujo de Pagos'!$E414,32,9999)</f>
        <v>32</v>
      </c>
      <c r="BA414" s="0" t="n">
        <f aca="false">IF(Presupuesto!$B$33='Flujo de Pagos'!$E414,33,9999)</f>
        <v>33</v>
      </c>
      <c r="BB414" s="0" t="n">
        <f aca="false">IF(Presupuesto!$B$34='Flujo de Pagos'!$E414,34,9999)</f>
        <v>34</v>
      </c>
      <c r="BC414" s="0" t="n">
        <f aca="false">IF(Presupuesto!$B$35='Flujo de Pagos'!$E414,35,9999)</f>
        <v>35</v>
      </c>
      <c r="BD414" s="0" t="n">
        <f aca="false">IF(Presupuesto!$B$36='Flujo de Pagos'!$E414,36,9999)</f>
        <v>36</v>
      </c>
      <c r="BE414" s="0" t="n">
        <f aca="false">IF(Presupuesto!$B$37='Flujo de Pagos'!$E414,37,9999)</f>
        <v>37</v>
      </c>
      <c r="BF414" s="0" t="n">
        <f aca="false">IF(Presupuesto!$B$38='Flujo de Pagos'!$E414,38,9999)</f>
        <v>38</v>
      </c>
      <c r="BG414" s="0" t="n">
        <f aca="false">IF(Presupuesto!$B$39='Flujo de Pagos'!$E414,39,9999)</f>
        <v>39</v>
      </c>
      <c r="BH414" s="0" t="n">
        <f aca="false">IF(Presupuesto!$B$40='Flujo de Pagos'!$E414,40,9999)</f>
        <v>40</v>
      </c>
      <c r="BI414" s="0" t="n">
        <f aca="false">IF(Presupuesto!$B$41='Flujo de Pagos'!$E414,41,9999)</f>
        <v>41</v>
      </c>
      <c r="BJ414" s="0" t="n">
        <f aca="false">IF(Presupuesto!$B$42='Flujo de Pagos'!$E414,42,9999)</f>
        <v>42</v>
      </c>
      <c r="BK414" s="0" t="n">
        <f aca="false">IF(Presupuesto!$B$43='Flujo de Pagos'!$E414,43,9999)</f>
        <v>43</v>
      </c>
      <c r="BL414" s="0" t="n">
        <f aca="false">IF(Presupuesto!$B$44='Flujo de Pagos'!$E414,44,9999)</f>
        <v>44</v>
      </c>
      <c r="BM414" s="0" t="n">
        <f aca="false">IF(Presupuesto!$B$45='Flujo de Pagos'!$E414,45,9999)</f>
        <v>45</v>
      </c>
      <c r="BN414" s="0" t="n">
        <f aca="false">IF(Presupuesto!$B$46='Flujo de Pagos'!$E414,46,9999)</f>
        <v>46</v>
      </c>
      <c r="BO414" s="0" t="n">
        <f aca="false">IF(Presupuesto!$B$47='Flujo de Pagos'!$E414,47,9999)</f>
        <v>47</v>
      </c>
      <c r="BP414" s="0" t="n">
        <f aca="false">IF(Presupuesto!$B$48='Flujo de Pagos'!$E414,48,9999)</f>
        <v>48</v>
      </c>
      <c r="BQ414" s="0" t="n">
        <f aca="false">IF(Presupuesto!$B$49='Flujo de Pagos'!$E414,49,9999)</f>
        <v>49</v>
      </c>
      <c r="BR414" s="0" t="n">
        <f aca="false">IF(Presupuesto!$B$50='Flujo de Pagos'!$E414,50,9999)</f>
        <v>50</v>
      </c>
      <c r="BS414" s="0" t="n">
        <f aca="false">IF(Presupuesto!$B$51='Flujo de Pagos'!$E414,51,9999)</f>
        <v>51</v>
      </c>
      <c r="BT414" s="0" t="n">
        <f aca="false">IF(Presupuesto!$B$52='Flujo de Pagos'!$E414,52,9999)</f>
        <v>52</v>
      </c>
      <c r="BU414" s="0" t="n">
        <f aca="false">IF(Presupuesto!$B$53='Flujo de Pagos'!$E414,53,9999)</f>
        <v>53</v>
      </c>
      <c r="BV414" s="0" t="n">
        <f aca="false">IF(Presupuesto!$B$54='Flujo de Pagos'!$E414,54,9999)</f>
        <v>54</v>
      </c>
      <c r="BW414" s="0" t="n">
        <f aca="false">IF(Presupuesto!$B$55='Flujo de Pagos'!$E414,55,9999)</f>
        <v>55</v>
      </c>
      <c r="BX414" s="0" t="n">
        <f aca="false">IF(Presupuesto!$B$56='Flujo de Pagos'!$E414,56,9999)</f>
        <v>56</v>
      </c>
      <c r="BY414" s="0" t="n">
        <f aca="false">IF(Presupuesto!$B$57='Flujo de Pagos'!$E414,57,9999)</f>
        <v>57</v>
      </c>
      <c r="BZ414" s="0" t="n">
        <f aca="false">IF(Presupuesto!$B$58='Flujo de Pagos'!$E414,58,9999)</f>
        <v>58</v>
      </c>
      <c r="CA414" s="0" t="n">
        <f aca="false">IF(Presupuesto!$B$59='Flujo de Pagos'!$E414,59,9999)</f>
        <v>59</v>
      </c>
      <c r="CB414" s="0" t="n">
        <f aca="false">IF(Presupuesto!$B$60='Flujo de Pagos'!$E414,60,9999)</f>
        <v>60</v>
      </c>
      <c r="CC414" s="0" t="n">
        <f aca="false">IF(Presupuesto!$B$61='Flujo de Pagos'!$E414,61,9999)</f>
        <v>61</v>
      </c>
      <c r="CD414" s="0" t="n">
        <f aca="false">IF(Presupuesto!$B$62='Flujo de Pagos'!$E414,62,9999)</f>
        <v>62</v>
      </c>
      <c r="CE414" s="0" t="n">
        <f aca="false">IF(Presupuesto!$B$63='Flujo de Pagos'!$E414,63,9999)</f>
        <v>63</v>
      </c>
      <c r="CF414" s="0" t="n">
        <f aca="false">IF(Presupuesto!$B$64='Flujo de Pagos'!$E414,64,9999)</f>
        <v>64</v>
      </c>
      <c r="CG414" s="0" t="n">
        <f aca="false">IF(Presupuesto!$B$65='Flujo de Pagos'!$E414,65,9999)</f>
        <v>65</v>
      </c>
      <c r="CH414" s="0" t="n">
        <f aca="false">IF(Presupuesto!$B$66='Flujo de Pagos'!$E414,66,9999)</f>
        <v>66</v>
      </c>
    </row>
    <row r="415" customFormat="false" ht="15" hidden="false" customHeight="true" outlineLevel="0" collapsed="false">
      <c r="B415" s="1" t="n">
        <f aca="false">IF(AND('Flujo de Pagos'!E420=Carátula!$B$2,'Flujo de Pagos'!F420=Carátula!$B$4,'Flujo de Pagos'!H420&lt;&gt;""),420,99999)</f>
        <v>99999</v>
      </c>
      <c r="H415" s="1" t="n">
        <f aca="false">IF(SMALL($AA415:$CH415,1)&gt;=9999,"",INDEX(Presupuesto!$C:$C,SMALL($AA415:$CH415,1)))</f>
        <v>0</v>
      </c>
      <c r="I415" s="1" t="n">
        <f aca="false">IF(SMALL($AA415:$CH415,2)&gt;=9999,"",INDEX(Presupuesto!$C:$C,SMALL($AA415:$CH415,2)))</f>
        <v>0</v>
      </c>
      <c r="J415" s="1" t="n">
        <f aca="false">IF(SMALL($AA415:$CH415,3)&gt;=9999,"",INDEX(Presupuesto!$C:$C,SMALL($AA415:$CH415,3)))</f>
        <v>0</v>
      </c>
      <c r="K415" s="1" t="n">
        <f aca="false">IF(SMALL($AA415:$CH415,4)&gt;=9999,"",INDEX(Presupuesto!$C:$C,SMALL($AA415:$CH415,4)))</f>
        <v>0</v>
      </c>
      <c r="L415" s="1" t="n">
        <f aca="false">IF(SMALL($AA415:$CH415,5)&gt;=9999,"",INDEX(Presupuesto!$C:$C,SMALL($AA415:$CH415,5)))</f>
        <v>0</v>
      </c>
      <c r="M415" s="1" t="n">
        <f aca="false">IF(SMALL($AA415:$CH415,6)&gt;=9999,"",INDEX(Presupuesto!$C:$C,SMALL($AA415:$CH415,6)))</f>
        <v>0</v>
      </c>
      <c r="N415" s="1" t="n">
        <f aca="false">IF(SMALL($AA415:$CH415,7)&gt;=9999,"",INDEX(Presupuesto!$C:$C,SMALL($AA415:$CH415,7)))</f>
        <v>0</v>
      </c>
      <c r="O415" s="1" t="n">
        <f aca="false">IF(SMALL($AA415:$CH415,8)&gt;=9999,"",INDEX(Presupuesto!$C:$C,SMALL($AA415:$CH415,8)))</f>
        <v>0</v>
      </c>
      <c r="P415" s="1" t="n">
        <f aca="false">IF(SMALL($AA415:$CH415,9)&gt;=9999,"",INDEX(Presupuesto!$C:$C,SMALL($AA415:$CH415,9)))</f>
        <v>0</v>
      </c>
      <c r="Q415" s="1" t="n">
        <f aca="false">IF(SMALL($AA415:$CH415,10)&gt;=9999,"",INDEX(Presupuesto!$C:$C,SMALL($AA415:$CH415,10)))</f>
        <v>0</v>
      </c>
      <c r="AA415" s="0" t="n">
        <f aca="false">IF(Presupuesto!$B$7='Flujo de Pagos'!$E415,7,9999)</f>
        <v>9999</v>
      </c>
      <c r="AB415" s="0" t="n">
        <f aca="false">IF(Presupuesto!$B$8='Flujo de Pagos'!$E415,8,9999)</f>
        <v>9999</v>
      </c>
      <c r="AC415" s="0" t="n">
        <f aca="false">IF(Presupuesto!$B$9='Flujo de Pagos'!$E415,9,9999)</f>
        <v>9999</v>
      </c>
      <c r="AD415" s="0" t="n">
        <f aca="false">IF(Presupuesto!$B$10='Flujo de Pagos'!$E415,10,9999)</f>
        <v>9999</v>
      </c>
      <c r="AE415" s="0" t="n">
        <f aca="false">IF(Presupuesto!$B$11='Flujo de Pagos'!$E415,11,9999)</f>
        <v>9999</v>
      </c>
      <c r="AF415" s="0" t="n">
        <f aca="false">IF(Presupuesto!$B$12='Flujo de Pagos'!$E415,12,9999)</f>
        <v>12</v>
      </c>
      <c r="AG415" s="0" t="n">
        <f aca="false">IF(Presupuesto!$B$13='Flujo de Pagos'!$E415,13,9999)</f>
        <v>13</v>
      </c>
      <c r="AH415" s="0" t="n">
        <f aca="false">IF(Presupuesto!$B$14='Flujo de Pagos'!$E415,14,9999)</f>
        <v>14</v>
      </c>
      <c r="AI415" s="0" t="n">
        <f aca="false">IF(Presupuesto!$B$15='Flujo de Pagos'!$E415,15,9999)</f>
        <v>15</v>
      </c>
      <c r="AJ415" s="0" t="n">
        <f aca="false">IF(Presupuesto!$B$16='Flujo de Pagos'!$E415,16,9999)</f>
        <v>16</v>
      </c>
      <c r="AK415" s="0" t="n">
        <f aca="false">IF(Presupuesto!$B$17='Flujo de Pagos'!$E415,17,9999)</f>
        <v>17</v>
      </c>
      <c r="AL415" s="0" t="n">
        <f aca="false">IF(Presupuesto!$B$18='Flujo de Pagos'!$E415,18,9999)</f>
        <v>18</v>
      </c>
      <c r="AM415" s="0" t="n">
        <f aca="false">IF(Presupuesto!$B$19='Flujo de Pagos'!$E415,19,9999)</f>
        <v>19</v>
      </c>
      <c r="AN415" s="0" t="n">
        <f aca="false">IF(Presupuesto!$B$20='Flujo de Pagos'!$E415,20,9999)</f>
        <v>20</v>
      </c>
      <c r="AO415" s="0" t="n">
        <f aca="false">IF(Presupuesto!$B$21='Flujo de Pagos'!$E415,21,9999)</f>
        <v>21</v>
      </c>
      <c r="AP415" s="0" t="n">
        <f aca="false">IF(Presupuesto!$B$22='Flujo de Pagos'!$E415,22,9999)</f>
        <v>22</v>
      </c>
      <c r="AQ415" s="0" t="n">
        <f aca="false">IF(Presupuesto!$B$23='Flujo de Pagos'!$E415,23,9999)</f>
        <v>23</v>
      </c>
      <c r="AR415" s="0" t="n">
        <f aca="false">IF(Presupuesto!$B$24='Flujo de Pagos'!$E415,24,9999)</f>
        <v>24</v>
      </c>
      <c r="AS415" s="0" t="n">
        <f aca="false">IF(Presupuesto!$B$25='Flujo de Pagos'!$E415,25,9999)</f>
        <v>25</v>
      </c>
      <c r="AT415" s="0" t="n">
        <f aca="false">IF(Presupuesto!$B$26='Flujo de Pagos'!$E415,26,9999)</f>
        <v>26</v>
      </c>
      <c r="AU415" s="0" t="n">
        <f aca="false">IF(Presupuesto!$B$27='Flujo de Pagos'!$E415,27,9999)</f>
        <v>27</v>
      </c>
      <c r="AV415" s="0" t="n">
        <f aca="false">IF(Presupuesto!$B$28='Flujo de Pagos'!$E415,28,9999)</f>
        <v>28</v>
      </c>
      <c r="AW415" s="0" t="n">
        <f aca="false">IF(Presupuesto!$B$29='Flujo de Pagos'!$E415,29,9999)</f>
        <v>29</v>
      </c>
      <c r="AX415" s="0" t="n">
        <f aca="false">IF(Presupuesto!$B$30='Flujo de Pagos'!$E415,30,9999)</f>
        <v>30</v>
      </c>
      <c r="AY415" s="0" t="n">
        <f aca="false">IF(Presupuesto!$B$31='Flujo de Pagos'!$E415,31,9999)</f>
        <v>31</v>
      </c>
      <c r="AZ415" s="0" t="n">
        <f aca="false">IF(Presupuesto!$B$32='Flujo de Pagos'!$E415,32,9999)</f>
        <v>32</v>
      </c>
      <c r="BA415" s="0" t="n">
        <f aca="false">IF(Presupuesto!$B$33='Flujo de Pagos'!$E415,33,9999)</f>
        <v>33</v>
      </c>
      <c r="BB415" s="0" t="n">
        <f aca="false">IF(Presupuesto!$B$34='Flujo de Pagos'!$E415,34,9999)</f>
        <v>34</v>
      </c>
      <c r="BC415" s="0" t="n">
        <f aca="false">IF(Presupuesto!$B$35='Flujo de Pagos'!$E415,35,9999)</f>
        <v>35</v>
      </c>
      <c r="BD415" s="0" t="n">
        <f aca="false">IF(Presupuesto!$B$36='Flujo de Pagos'!$E415,36,9999)</f>
        <v>36</v>
      </c>
      <c r="BE415" s="0" t="n">
        <f aca="false">IF(Presupuesto!$B$37='Flujo de Pagos'!$E415,37,9999)</f>
        <v>37</v>
      </c>
      <c r="BF415" s="0" t="n">
        <f aca="false">IF(Presupuesto!$B$38='Flujo de Pagos'!$E415,38,9999)</f>
        <v>38</v>
      </c>
      <c r="BG415" s="0" t="n">
        <f aca="false">IF(Presupuesto!$B$39='Flujo de Pagos'!$E415,39,9999)</f>
        <v>39</v>
      </c>
      <c r="BH415" s="0" t="n">
        <f aca="false">IF(Presupuesto!$B$40='Flujo de Pagos'!$E415,40,9999)</f>
        <v>40</v>
      </c>
      <c r="BI415" s="0" t="n">
        <f aca="false">IF(Presupuesto!$B$41='Flujo de Pagos'!$E415,41,9999)</f>
        <v>41</v>
      </c>
      <c r="BJ415" s="0" t="n">
        <f aca="false">IF(Presupuesto!$B$42='Flujo de Pagos'!$E415,42,9999)</f>
        <v>42</v>
      </c>
      <c r="BK415" s="0" t="n">
        <f aca="false">IF(Presupuesto!$B$43='Flujo de Pagos'!$E415,43,9999)</f>
        <v>43</v>
      </c>
      <c r="BL415" s="0" t="n">
        <f aca="false">IF(Presupuesto!$B$44='Flujo de Pagos'!$E415,44,9999)</f>
        <v>44</v>
      </c>
      <c r="BM415" s="0" t="n">
        <f aca="false">IF(Presupuesto!$B$45='Flujo de Pagos'!$E415,45,9999)</f>
        <v>45</v>
      </c>
      <c r="BN415" s="0" t="n">
        <f aca="false">IF(Presupuesto!$B$46='Flujo de Pagos'!$E415,46,9999)</f>
        <v>46</v>
      </c>
      <c r="BO415" s="0" t="n">
        <f aca="false">IF(Presupuesto!$B$47='Flujo de Pagos'!$E415,47,9999)</f>
        <v>47</v>
      </c>
      <c r="BP415" s="0" t="n">
        <f aca="false">IF(Presupuesto!$B$48='Flujo de Pagos'!$E415,48,9999)</f>
        <v>48</v>
      </c>
      <c r="BQ415" s="0" t="n">
        <f aca="false">IF(Presupuesto!$B$49='Flujo de Pagos'!$E415,49,9999)</f>
        <v>49</v>
      </c>
      <c r="BR415" s="0" t="n">
        <f aca="false">IF(Presupuesto!$B$50='Flujo de Pagos'!$E415,50,9999)</f>
        <v>50</v>
      </c>
      <c r="BS415" s="0" t="n">
        <f aca="false">IF(Presupuesto!$B$51='Flujo de Pagos'!$E415,51,9999)</f>
        <v>51</v>
      </c>
      <c r="BT415" s="0" t="n">
        <f aca="false">IF(Presupuesto!$B$52='Flujo de Pagos'!$E415,52,9999)</f>
        <v>52</v>
      </c>
      <c r="BU415" s="0" t="n">
        <f aca="false">IF(Presupuesto!$B$53='Flujo de Pagos'!$E415,53,9999)</f>
        <v>53</v>
      </c>
      <c r="BV415" s="0" t="n">
        <f aca="false">IF(Presupuesto!$B$54='Flujo de Pagos'!$E415,54,9999)</f>
        <v>54</v>
      </c>
      <c r="BW415" s="0" t="n">
        <f aca="false">IF(Presupuesto!$B$55='Flujo de Pagos'!$E415,55,9999)</f>
        <v>55</v>
      </c>
      <c r="BX415" s="0" t="n">
        <f aca="false">IF(Presupuesto!$B$56='Flujo de Pagos'!$E415,56,9999)</f>
        <v>56</v>
      </c>
      <c r="BY415" s="0" t="n">
        <f aca="false">IF(Presupuesto!$B$57='Flujo de Pagos'!$E415,57,9999)</f>
        <v>57</v>
      </c>
      <c r="BZ415" s="0" t="n">
        <f aca="false">IF(Presupuesto!$B$58='Flujo de Pagos'!$E415,58,9999)</f>
        <v>58</v>
      </c>
      <c r="CA415" s="0" t="n">
        <f aca="false">IF(Presupuesto!$B$59='Flujo de Pagos'!$E415,59,9999)</f>
        <v>59</v>
      </c>
      <c r="CB415" s="0" t="n">
        <f aca="false">IF(Presupuesto!$B$60='Flujo de Pagos'!$E415,60,9999)</f>
        <v>60</v>
      </c>
      <c r="CC415" s="0" t="n">
        <f aca="false">IF(Presupuesto!$B$61='Flujo de Pagos'!$E415,61,9999)</f>
        <v>61</v>
      </c>
      <c r="CD415" s="0" t="n">
        <f aca="false">IF(Presupuesto!$B$62='Flujo de Pagos'!$E415,62,9999)</f>
        <v>62</v>
      </c>
      <c r="CE415" s="0" t="n">
        <f aca="false">IF(Presupuesto!$B$63='Flujo de Pagos'!$E415,63,9999)</f>
        <v>63</v>
      </c>
      <c r="CF415" s="0" t="n">
        <f aca="false">IF(Presupuesto!$B$64='Flujo de Pagos'!$E415,64,9999)</f>
        <v>64</v>
      </c>
      <c r="CG415" s="0" t="n">
        <f aca="false">IF(Presupuesto!$B$65='Flujo de Pagos'!$E415,65,9999)</f>
        <v>65</v>
      </c>
      <c r="CH415" s="0" t="n">
        <f aca="false">IF(Presupuesto!$B$66='Flujo de Pagos'!$E415,66,9999)</f>
        <v>66</v>
      </c>
    </row>
    <row r="416" customFormat="false" ht="15" hidden="false" customHeight="true" outlineLevel="0" collapsed="false">
      <c r="B416" s="1" t="n">
        <f aca="false">IF(AND('Flujo de Pagos'!E421=Carátula!$B$2,'Flujo de Pagos'!F421=Carátula!$B$4,'Flujo de Pagos'!H421&lt;&gt;""),421,99999)</f>
        <v>99999</v>
      </c>
      <c r="H416" s="1" t="n">
        <f aca="false">IF(SMALL($AA416:$CH416,1)&gt;=9999,"",INDEX(Presupuesto!$C:$C,SMALL($AA416:$CH416,1)))</f>
        <v>0</v>
      </c>
      <c r="I416" s="1" t="n">
        <f aca="false">IF(SMALL($AA416:$CH416,2)&gt;=9999,"",INDEX(Presupuesto!$C:$C,SMALL($AA416:$CH416,2)))</f>
        <v>0</v>
      </c>
      <c r="J416" s="1" t="n">
        <f aca="false">IF(SMALL($AA416:$CH416,3)&gt;=9999,"",INDEX(Presupuesto!$C:$C,SMALL($AA416:$CH416,3)))</f>
        <v>0</v>
      </c>
      <c r="K416" s="1" t="n">
        <f aca="false">IF(SMALL($AA416:$CH416,4)&gt;=9999,"",INDEX(Presupuesto!$C:$C,SMALL($AA416:$CH416,4)))</f>
        <v>0</v>
      </c>
      <c r="L416" s="1" t="n">
        <f aca="false">IF(SMALL($AA416:$CH416,5)&gt;=9999,"",INDEX(Presupuesto!$C:$C,SMALL($AA416:$CH416,5)))</f>
        <v>0</v>
      </c>
      <c r="M416" s="1" t="n">
        <f aca="false">IF(SMALL($AA416:$CH416,6)&gt;=9999,"",INDEX(Presupuesto!$C:$C,SMALL($AA416:$CH416,6)))</f>
        <v>0</v>
      </c>
      <c r="N416" s="1" t="n">
        <f aca="false">IF(SMALL($AA416:$CH416,7)&gt;=9999,"",INDEX(Presupuesto!$C:$C,SMALL($AA416:$CH416,7)))</f>
        <v>0</v>
      </c>
      <c r="O416" s="1" t="n">
        <f aca="false">IF(SMALL($AA416:$CH416,8)&gt;=9999,"",INDEX(Presupuesto!$C:$C,SMALL($AA416:$CH416,8)))</f>
        <v>0</v>
      </c>
      <c r="P416" s="1" t="n">
        <f aca="false">IF(SMALL($AA416:$CH416,9)&gt;=9999,"",INDEX(Presupuesto!$C:$C,SMALL($AA416:$CH416,9)))</f>
        <v>0</v>
      </c>
      <c r="Q416" s="1" t="n">
        <f aca="false">IF(SMALL($AA416:$CH416,10)&gt;=9999,"",INDEX(Presupuesto!$C:$C,SMALL($AA416:$CH416,10)))</f>
        <v>0</v>
      </c>
      <c r="AA416" s="0" t="n">
        <f aca="false">IF(Presupuesto!$B$7='Flujo de Pagos'!$E416,7,9999)</f>
        <v>9999</v>
      </c>
      <c r="AB416" s="0" t="n">
        <f aca="false">IF(Presupuesto!$B$8='Flujo de Pagos'!$E416,8,9999)</f>
        <v>9999</v>
      </c>
      <c r="AC416" s="0" t="n">
        <f aca="false">IF(Presupuesto!$B$9='Flujo de Pagos'!$E416,9,9999)</f>
        <v>9999</v>
      </c>
      <c r="AD416" s="0" t="n">
        <f aca="false">IF(Presupuesto!$B$10='Flujo de Pagos'!$E416,10,9999)</f>
        <v>9999</v>
      </c>
      <c r="AE416" s="0" t="n">
        <f aca="false">IF(Presupuesto!$B$11='Flujo de Pagos'!$E416,11,9999)</f>
        <v>9999</v>
      </c>
      <c r="AF416" s="0" t="n">
        <f aca="false">IF(Presupuesto!$B$12='Flujo de Pagos'!$E416,12,9999)</f>
        <v>12</v>
      </c>
      <c r="AG416" s="0" t="n">
        <f aca="false">IF(Presupuesto!$B$13='Flujo de Pagos'!$E416,13,9999)</f>
        <v>13</v>
      </c>
      <c r="AH416" s="0" t="n">
        <f aca="false">IF(Presupuesto!$B$14='Flujo de Pagos'!$E416,14,9999)</f>
        <v>14</v>
      </c>
      <c r="AI416" s="0" t="n">
        <f aca="false">IF(Presupuesto!$B$15='Flujo de Pagos'!$E416,15,9999)</f>
        <v>15</v>
      </c>
      <c r="AJ416" s="0" t="n">
        <f aca="false">IF(Presupuesto!$B$16='Flujo de Pagos'!$E416,16,9999)</f>
        <v>16</v>
      </c>
      <c r="AK416" s="0" t="n">
        <f aca="false">IF(Presupuesto!$B$17='Flujo de Pagos'!$E416,17,9999)</f>
        <v>17</v>
      </c>
      <c r="AL416" s="0" t="n">
        <f aca="false">IF(Presupuesto!$B$18='Flujo de Pagos'!$E416,18,9999)</f>
        <v>18</v>
      </c>
      <c r="AM416" s="0" t="n">
        <f aca="false">IF(Presupuesto!$B$19='Flujo de Pagos'!$E416,19,9999)</f>
        <v>19</v>
      </c>
      <c r="AN416" s="0" t="n">
        <f aca="false">IF(Presupuesto!$B$20='Flujo de Pagos'!$E416,20,9999)</f>
        <v>20</v>
      </c>
      <c r="AO416" s="0" t="n">
        <f aca="false">IF(Presupuesto!$B$21='Flujo de Pagos'!$E416,21,9999)</f>
        <v>21</v>
      </c>
      <c r="AP416" s="0" t="n">
        <f aca="false">IF(Presupuesto!$B$22='Flujo de Pagos'!$E416,22,9999)</f>
        <v>22</v>
      </c>
      <c r="AQ416" s="0" t="n">
        <f aca="false">IF(Presupuesto!$B$23='Flujo de Pagos'!$E416,23,9999)</f>
        <v>23</v>
      </c>
      <c r="AR416" s="0" t="n">
        <f aca="false">IF(Presupuesto!$B$24='Flujo de Pagos'!$E416,24,9999)</f>
        <v>24</v>
      </c>
      <c r="AS416" s="0" t="n">
        <f aca="false">IF(Presupuesto!$B$25='Flujo de Pagos'!$E416,25,9999)</f>
        <v>25</v>
      </c>
      <c r="AT416" s="0" t="n">
        <f aca="false">IF(Presupuesto!$B$26='Flujo de Pagos'!$E416,26,9999)</f>
        <v>26</v>
      </c>
      <c r="AU416" s="0" t="n">
        <f aca="false">IF(Presupuesto!$B$27='Flujo de Pagos'!$E416,27,9999)</f>
        <v>27</v>
      </c>
      <c r="AV416" s="0" t="n">
        <f aca="false">IF(Presupuesto!$B$28='Flujo de Pagos'!$E416,28,9999)</f>
        <v>28</v>
      </c>
      <c r="AW416" s="0" t="n">
        <f aca="false">IF(Presupuesto!$B$29='Flujo de Pagos'!$E416,29,9999)</f>
        <v>29</v>
      </c>
      <c r="AX416" s="0" t="n">
        <f aca="false">IF(Presupuesto!$B$30='Flujo de Pagos'!$E416,30,9999)</f>
        <v>30</v>
      </c>
      <c r="AY416" s="0" t="n">
        <f aca="false">IF(Presupuesto!$B$31='Flujo de Pagos'!$E416,31,9999)</f>
        <v>31</v>
      </c>
      <c r="AZ416" s="0" t="n">
        <f aca="false">IF(Presupuesto!$B$32='Flujo de Pagos'!$E416,32,9999)</f>
        <v>32</v>
      </c>
      <c r="BA416" s="0" t="n">
        <f aca="false">IF(Presupuesto!$B$33='Flujo de Pagos'!$E416,33,9999)</f>
        <v>33</v>
      </c>
      <c r="BB416" s="0" t="n">
        <f aca="false">IF(Presupuesto!$B$34='Flujo de Pagos'!$E416,34,9999)</f>
        <v>34</v>
      </c>
      <c r="BC416" s="0" t="n">
        <f aca="false">IF(Presupuesto!$B$35='Flujo de Pagos'!$E416,35,9999)</f>
        <v>35</v>
      </c>
      <c r="BD416" s="0" t="n">
        <f aca="false">IF(Presupuesto!$B$36='Flujo de Pagos'!$E416,36,9999)</f>
        <v>36</v>
      </c>
      <c r="BE416" s="0" t="n">
        <f aca="false">IF(Presupuesto!$B$37='Flujo de Pagos'!$E416,37,9999)</f>
        <v>37</v>
      </c>
      <c r="BF416" s="0" t="n">
        <f aca="false">IF(Presupuesto!$B$38='Flujo de Pagos'!$E416,38,9999)</f>
        <v>38</v>
      </c>
      <c r="BG416" s="0" t="n">
        <f aca="false">IF(Presupuesto!$B$39='Flujo de Pagos'!$E416,39,9999)</f>
        <v>39</v>
      </c>
      <c r="BH416" s="0" t="n">
        <f aca="false">IF(Presupuesto!$B$40='Flujo de Pagos'!$E416,40,9999)</f>
        <v>40</v>
      </c>
      <c r="BI416" s="0" t="n">
        <f aca="false">IF(Presupuesto!$B$41='Flujo de Pagos'!$E416,41,9999)</f>
        <v>41</v>
      </c>
      <c r="BJ416" s="0" t="n">
        <f aca="false">IF(Presupuesto!$B$42='Flujo de Pagos'!$E416,42,9999)</f>
        <v>42</v>
      </c>
      <c r="BK416" s="0" t="n">
        <f aca="false">IF(Presupuesto!$B$43='Flujo de Pagos'!$E416,43,9999)</f>
        <v>43</v>
      </c>
      <c r="BL416" s="0" t="n">
        <f aca="false">IF(Presupuesto!$B$44='Flujo de Pagos'!$E416,44,9999)</f>
        <v>44</v>
      </c>
      <c r="BM416" s="0" t="n">
        <f aca="false">IF(Presupuesto!$B$45='Flujo de Pagos'!$E416,45,9999)</f>
        <v>45</v>
      </c>
      <c r="BN416" s="0" t="n">
        <f aca="false">IF(Presupuesto!$B$46='Flujo de Pagos'!$E416,46,9999)</f>
        <v>46</v>
      </c>
      <c r="BO416" s="0" t="n">
        <f aca="false">IF(Presupuesto!$B$47='Flujo de Pagos'!$E416,47,9999)</f>
        <v>47</v>
      </c>
      <c r="BP416" s="0" t="n">
        <f aca="false">IF(Presupuesto!$B$48='Flujo de Pagos'!$E416,48,9999)</f>
        <v>48</v>
      </c>
      <c r="BQ416" s="0" t="n">
        <f aca="false">IF(Presupuesto!$B$49='Flujo de Pagos'!$E416,49,9999)</f>
        <v>49</v>
      </c>
      <c r="BR416" s="0" t="n">
        <f aca="false">IF(Presupuesto!$B$50='Flujo de Pagos'!$E416,50,9999)</f>
        <v>50</v>
      </c>
      <c r="BS416" s="0" t="n">
        <f aca="false">IF(Presupuesto!$B$51='Flujo de Pagos'!$E416,51,9999)</f>
        <v>51</v>
      </c>
      <c r="BT416" s="0" t="n">
        <f aca="false">IF(Presupuesto!$B$52='Flujo de Pagos'!$E416,52,9999)</f>
        <v>52</v>
      </c>
      <c r="BU416" s="0" t="n">
        <f aca="false">IF(Presupuesto!$B$53='Flujo de Pagos'!$E416,53,9999)</f>
        <v>53</v>
      </c>
      <c r="BV416" s="0" t="n">
        <f aca="false">IF(Presupuesto!$B$54='Flujo de Pagos'!$E416,54,9999)</f>
        <v>54</v>
      </c>
      <c r="BW416" s="0" t="n">
        <f aca="false">IF(Presupuesto!$B$55='Flujo de Pagos'!$E416,55,9999)</f>
        <v>55</v>
      </c>
      <c r="BX416" s="0" t="n">
        <f aca="false">IF(Presupuesto!$B$56='Flujo de Pagos'!$E416,56,9999)</f>
        <v>56</v>
      </c>
      <c r="BY416" s="0" t="n">
        <f aca="false">IF(Presupuesto!$B$57='Flujo de Pagos'!$E416,57,9999)</f>
        <v>57</v>
      </c>
      <c r="BZ416" s="0" t="n">
        <f aca="false">IF(Presupuesto!$B$58='Flujo de Pagos'!$E416,58,9999)</f>
        <v>58</v>
      </c>
      <c r="CA416" s="0" t="n">
        <f aca="false">IF(Presupuesto!$B$59='Flujo de Pagos'!$E416,59,9999)</f>
        <v>59</v>
      </c>
      <c r="CB416" s="0" t="n">
        <f aca="false">IF(Presupuesto!$B$60='Flujo de Pagos'!$E416,60,9999)</f>
        <v>60</v>
      </c>
      <c r="CC416" s="0" t="n">
        <f aca="false">IF(Presupuesto!$B$61='Flujo de Pagos'!$E416,61,9999)</f>
        <v>61</v>
      </c>
      <c r="CD416" s="0" t="n">
        <f aca="false">IF(Presupuesto!$B$62='Flujo de Pagos'!$E416,62,9999)</f>
        <v>62</v>
      </c>
      <c r="CE416" s="0" t="n">
        <f aca="false">IF(Presupuesto!$B$63='Flujo de Pagos'!$E416,63,9999)</f>
        <v>63</v>
      </c>
      <c r="CF416" s="0" t="n">
        <f aca="false">IF(Presupuesto!$B$64='Flujo de Pagos'!$E416,64,9999)</f>
        <v>64</v>
      </c>
      <c r="CG416" s="0" t="n">
        <f aca="false">IF(Presupuesto!$B$65='Flujo de Pagos'!$E416,65,9999)</f>
        <v>65</v>
      </c>
      <c r="CH416" s="0" t="n">
        <f aca="false">IF(Presupuesto!$B$66='Flujo de Pagos'!$E416,66,9999)</f>
        <v>66</v>
      </c>
    </row>
    <row r="417" customFormat="false" ht="15" hidden="false" customHeight="true" outlineLevel="0" collapsed="false">
      <c r="B417" s="1" t="n">
        <f aca="false">IF(AND('Flujo de Pagos'!E422=Carátula!$B$2,'Flujo de Pagos'!F422=Carátula!$B$4,'Flujo de Pagos'!H422&lt;&gt;""),422,99999)</f>
        <v>99999</v>
      </c>
      <c r="H417" s="1" t="n">
        <f aca="false">IF(SMALL($AA417:$CH417,1)&gt;=9999,"",INDEX(Presupuesto!$C:$C,SMALL($AA417:$CH417,1)))</f>
        <v>0</v>
      </c>
      <c r="I417" s="1" t="n">
        <f aca="false">IF(SMALL($AA417:$CH417,2)&gt;=9999,"",INDEX(Presupuesto!$C:$C,SMALL($AA417:$CH417,2)))</f>
        <v>0</v>
      </c>
      <c r="J417" s="1" t="n">
        <f aca="false">IF(SMALL($AA417:$CH417,3)&gt;=9999,"",INDEX(Presupuesto!$C:$C,SMALL($AA417:$CH417,3)))</f>
        <v>0</v>
      </c>
      <c r="K417" s="1" t="n">
        <f aca="false">IF(SMALL($AA417:$CH417,4)&gt;=9999,"",INDEX(Presupuesto!$C:$C,SMALL($AA417:$CH417,4)))</f>
        <v>0</v>
      </c>
      <c r="L417" s="1" t="n">
        <f aca="false">IF(SMALL($AA417:$CH417,5)&gt;=9999,"",INDEX(Presupuesto!$C:$C,SMALL($AA417:$CH417,5)))</f>
        <v>0</v>
      </c>
      <c r="M417" s="1" t="n">
        <f aca="false">IF(SMALL($AA417:$CH417,6)&gt;=9999,"",INDEX(Presupuesto!$C:$C,SMALL($AA417:$CH417,6)))</f>
        <v>0</v>
      </c>
      <c r="N417" s="1" t="n">
        <f aca="false">IF(SMALL($AA417:$CH417,7)&gt;=9999,"",INDEX(Presupuesto!$C:$C,SMALL($AA417:$CH417,7)))</f>
        <v>0</v>
      </c>
      <c r="O417" s="1" t="n">
        <f aca="false">IF(SMALL($AA417:$CH417,8)&gt;=9999,"",INDEX(Presupuesto!$C:$C,SMALL($AA417:$CH417,8)))</f>
        <v>0</v>
      </c>
      <c r="P417" s="1" t="n">
        <f aca="false">IF(SMALL($AA417:$CH417,9)&gt;=9999,"",INDEX(Presupuesto!$C:$C,SMALL($AA417:$CH417,9)))</f>
        <v>0</v>
      </c>
      <c r="Q417" s="1" t="n">
        <f aca="false">IF(SMALL($AA417:$CH417,10)&gt;=9999,"",INDEX(Presupuesto!$C:$C,SMALL($AA417:$CH417,10)))</f>
        <v>0</v>
      </c>
      <c r="AA417" s="0" t="n">
        <f aca="false">IF(Presupuesto!$B$7='Flujo de Pagos'!$E417,7,9999)</f>
        <v>9999</v>
      </c>
      <c r="AB417" s="0" t="n">
        <f aca="false">IF(Presupuesto!$B$8='Flujo de Pagos'!$E417,8,9999)</f>
        <v>9999</v>
      </c>
      <c r="AC417" s="0" t="n">
        <f aca="false">IF(Presupuesto!$B$9='Flujo de Pagos'!$E417,9,9999)</f>
        <v>9999</v>
      </c>
      <c r="AD417" s="0" t="n">
        <f aca="false">IF(Presupuesto!$B$10='Flujo de Pagos'!$E417,10,9999)</f>
        <v>9999</v>
      </c>
      <c r="AE417" s="0" t="n">
        <f aca="false">IF(Presupuesto!$B$11='Flujo de Pagos'!$E417,11,9999)</f>
        <v>9999</v>
      </c>
      <c r="AF417" s="0" t="n">
        <f aca="false">IF(Presupuesto!$B$12='Flujo de Pagos'!$E417,12,9999)</f>
        <v>12</v>
      </c>
      <c r="AG417" s="0" t="n">
        <f aca="false">IF(Presupuesto!$B$13='Flujo de Pagos'!$E417,13,9999)</f>
        <v>13</v>
      </c>
      <c r="AH417" s="0" t="n">
        <f aca="false">IF(Presupuesto!$B$14='Flujo de Pagos'!$E417,14,9999)</f>
        <v>14</v>
      </c>
      <c r="AI417" s="0" t="n">
        <f aca="false">IF(Presupuesto!$B$15='Flujo de Pagos'!$E417,15,9999)</f>
        <v>15</v>
      </c>
      <c r="AJ417" s="0" t="n">
        <f aca="false">IF(Presupuesto!$B$16='Flujo de Pagos'!$E417,16,9999)</f>
        <v>16</v>
      </c>
      <c r="AK417" s="0" t="n">
        <f aca="false">IF(Presupuesto!$B$17='Flujo de Pagos'!$E417,17,9999)</f>
        <v>17</v>
      </c>
      <c r="AL417" s="0" t="n">
        <f aca="false">IF(Presupuesto!$B$18='Flujo de Pagos'!$E417,18,9999)</f>
        <v>18</v>
      </c>
      <c r="AM417" s="0" t="n">
        <f aca="false">IF(Presupuesto!$B$19='Flujo de Pagos'!$E417,19,9999)</f>
        <v>19</v>
      </c>
      <c r="AN417" s="0" t="n">
        <f aca="false">IF(Presupuesto!$B$20='Flujo de Pagos'!$E417,20,9999)</f>
        <v>20</v>
      </c>
      <c r="AO417" s="0" t="n">
        <f aca="false">IF(Presupuesto!$B$21='Flujo de Pagos'!$E417,21,9999)</f>
        <v>21</v>
      </c>
      <c r="AP417" s="0" t="n">
        <f aca="false">IF(Presupuesto!$B$22='Flujo de Pagos'!$E417,22,9999)</f>
        <v>22</v>
      </c>
      <c r="AQ417" s="0" t="n">
        <f aca="false">IF(Presupuesto!$B$23='Flujo de Pagos'!$E417,23,9999)</f>
        <v>23</v>
      </c>
      <c r="AR417" s="0" t="n">
        <f aca="false">IF(Presupuesto!$B$24='Flujo de Pagos'!$E417,24,9999)</f>
        <v>24</v>
      </c>
      <c r="AS417" s="0" t="n">
        <f aca="false">IF(Presupuesto!$B$25='Flujo de Pagos'!$E417,25,9999)</f>
        <v>25</v>
      </c>
      <c r="AT417" s="0" t="n">
        <f aca="false">IF(Presupuesto!$B$26='Flujo de Pagos'!$E417,26,9999)</f>
        <v>26</v>
      </c>
      <c r="AU417" s="0" t="n">
        <f aca="false">IF(Presupuesto!$B$27='Flujo de Pagos'!$E417,27,9999)</f>
        <v>27</v>
      </c>
      <c r="AV417" s="0" t="n">
        <f aca="false">IF(Presupuesto!$B$28='Flujo de Pagos'!$E417,28,9999)</f>
        <v>28</v>
      </c>
      <c r="AW417" s="0" t="n">
        <f aca="false">IF(Presupuesto!$B$29='Flujo de Pagos'!$E417,29,9999)</f>
        <v>29</v>
      </c>
      <c r="AX417" s="0" t="n">
        <f aca="false">IF(Presupuesto!$B$30='Flujo de Pagos'!$E417,30,9999)</f>
        <v>30</v>
      </c>
      <c r="AY417" s="0" t="n">
        <f aca="false">IF(Presupuesto!$B$31='Flujo de Pagos'!$E417,31,9999)</f>
        <v>31</v>
      </c>
      <c r="AZ417" s="0" t="n">
        <f aca="false">IF(Presupuesto!$B$32='Flujo de Pagos'!$E417,32,9999)</f>
        <v>32</v>
      </c>
      <c r="BA417" s="0" t="n">
        <f aca="false">IF(Presupuesto!$B$33='Flujo de Pagos'!$E417,33,9999)</f>
        <v>33</v>
      </c>
      <c r="BB417" s="0" t="n">
        <f aca="false">IF(Presupuesto!$B$34='Flujo de Pagos'!$E417,34,9999)</f>
        <v>34</v>
      </c>
      <c r="BC417" s="0" t="n">
        <f aca="false">IF(Presupuesto!$B$35='Flujo de Pagos'!$E417,35,9999)</f>
        <v>35</v>
      </c>
      <c r="BD417" s="0" t="n">
        <f aca="false">IF(Presupuesto!$B$36='Flujo de Pagos'!$E417,36,9999)</f>
        <v>36</v>
      </c>
      <c r="BE417" s="0" t="n">
        <f aca="false">IF(Presupuesto!$B$37='Flujo de Pagos'!$E417,37,9999)</f>
        <v>37</v>
      </c>
      <c r="BF417" s="0" t="n">
        <f aca="false">IF(Presupuesto!$B$38='Flujo de Pagos'!$E417,38,9999)</f>
        <v>38</v>
      </c>
      <c r="BG417" s="0" t="n">
        <f aca="false">IF(Presupuesto!$B$39='Flujo de Pagos'!$E417,39,9999)</f>
        <v>39</v>
      </c>
      <c r="BH417" s="0" t="n">
        <f aca="false">IF(Presupuesto!$B$40='Flujo de Pagos'!$E417,40,9999)</f>
        <v>40</v>
      </c>
      <c r="BI417" s="0" t="n">
        <f aca="false">IF(Presupuesto!$B$41='Flujo de Pagos'!$E417,41,9999)</f>
        <v>41</v>
      </c>
      <c r="BJ417" s="0" t="n">
        <f aca="false">IF(Presupuesto!$B$42='Flujo de Pagos'!$E417,42,9999)</f>
        <v>42</v>
      </c>
      <c r="BK417" s="0" t="n">
        <f aca="false">IF(Presupuesto!$B$43='Flujo de Pagos'!$E417,43,9999)</f>
        <v>43</v>
      </c>
      <c r="BL417" s="0" t="n">
        <f aca="false">IF(Presupuesto!$B$44='Flujo de Pagos'!$E417,44,9999)</f>
        <v>44</v>
      </c>
      <c r="BM417" s="0" t="n">
        <f aca="false">IF(Presupuesto!$B$45='Flujo de Pagos'!$E417,45,9999)</f>
        <v>45</v>
      </c>
      <c r="BN417" s="0" t="n">
        <f aca="false">IF(Presupuesto!$B$46='Flujo de Pagos'!$E417,46,9999)</f>
        <v>46</v>
      </c>
      <c r="BO417" s="0" t="n">
        <f aca="false">IF(Presupuesto!$B$47='Flujo de Pagos'!$E417,47,9999)</f>
        <v>47</v>
      </c>
      <c r="BP417" s="0" t="n">
        <f aca="false">IF(Presupuesto!$B$48='Flujo de Pagos'!$E417,48,9999)</f>
        <v>48</v>
      </c>
      <c r="BQ417" s="0" t="n">
        <f aca="false">IF(Presupuesto!$B$49='Flujo de Pagos'!$E417,49,9999)</f>
        <v>49</v>
      </c>
      <c r="BR417" s="0" t="n">
        <f aca="false">IF(Presupuesto!$B$50='Flujo de Pagos'!$E417,50,9999)</f>
        <v>50</v>
      </c>
      <c r="BS417" s="0" t="n">
        <f aca="false">IF(Presupuesto!$B$51='Flujo de Pagos'!$E417,51,9999)</f>
        <v>51</v>
      </c>
      <c r="BT417" s="0" t="n">
        <f aca="false">IF(Presupuesto!$B$52='Flujo de Pagos'!$E417,52,9999)</f>
        <v>52</v>
      </c>
      <c r="BU417" s="0" t="n">
        <f aca="false">IF(Presupuesto!$B$53='Flujo de Pagos'!$E417,53,9999)</f>
        <v>53</v>
      </c>
      <c r="BV417" s="0" t="n">
        <f aca="false">IF(Presupuesto!$B$54='Flujo de Pagos'!$E417,54,9999)</f>
        <v>54</v>
      </c>
      <c r="BW417" s="0" t="n">
        <f aca="false">IF(Presupuesto!$B$55='Flujo de Pagos'!$E417,55,9999)</f>
        <v>55</v>
      </c>
      <c r="BX417" s="0" t="n">
        <f aca="false">IF(Presupuesto!$B$56='Flujo de Pagos'!$E417,56,9999)</f>
        <v>56</v>
      </c>
      <c r="BY417" s="0" t="n">
        <f aca="false">IF(Presupuesto!$B$57='Flujo de Pagos'!$E417,57,9999)</f>
        <v>57</v>
      </c>
      <c r="BZ417" s="0" t="n">
        <f aca="false">IF(Presupuesto!$B$58='Flujo de Pagos'!$E417,58,9999)</f>
        <v>58</v>
      </c>
      <c r="CA417" s="0" t="n">
        <f aca="false">IF(Presupuesto!$B$59='Flujo de Pagos'!$E417,59,9999)</f>
        <v>59</v>
      </c>
      <c r="CB417" s="0" t="n">
        <f aca="false">IF(Presupuesto!$B$60='Flujo de Pagos'!$E417,60,9999)</f>
        <v>60</v>
      </c>
      <c r="CC417" s="0" t="n">
        <f aca="false">IF(Presupuesto!$B$61='Flujo de Pagos'!$E417,61,9999)</f>
        <v>61</v>
      </c>
      <c r="CD417" s="0" t="n">
        <f aca="false">IF(Presupuesto!$B$62='Flujo de Pagos'!$E417,62,9999)</f>
        <v>62</v>
      </c>
      <c r="CE417" s="0" t="n">
        <f aca="false">IF(Presupuesto!$B$63='Flujo de Pagos'!$E417,63,9999)</f>
        <v>63</v>
      </c>
      <c r="CF417" s="0" t="n">
        <f aca="false">IF(Presupuesto!$B$64='Flujo de Pagos'!$E417,64,9999)</f>
        <v>64</v>
      </c>
      <c r="CG417" s="0" t="n">
        <f aca="false">IF(Presupuesto!$B$65='Flujo de Pagos'!$E417,65,9999)</f>
        <v>65</v>
      </c>
      <c r="CH417" s="0" t="n">
        <f aca="false">IF(Presupuesto!$B$66='Flujo de Pagos'!$E417,66,9999)</f>
        <v>66</v>
      </c>
    </row>
    <row r="418" customFormat="false" ht="15" hidden="false" customHeight="true" outlineLevel="0" collapsed="false">
      <c r="B418" s="1" t="n">
        <f aca="false">IF(AND('Flujo de Pagos'!E423=Carátula!$B$2,'Flujo de Pagos'!F423=Carátula!$B$4,'Flujo de Pagos'!H423&lt;&gt;""),423,99999)</f>
        <v>99999</v>
      </c>
      <c r="H418" s="1" t="n">
        <f aca="false">IF(SMALL($AA418:$CH418,1)&gt;=9999,"",INDEX(Presupuesto!$C:$C,SMALL($AA418:$CH418,1)))</f>
        <v>0</v>
      </c>
      <c r="I418" s="1" t="n">
        <f aca="false">IF(SMALL($AA418:$CH418,2)&gt;=9999,"",INDEX(Presupuesto!$C:$C,SMALL($AA418:$CH418,2)))</f>
        <v>0</v>
      </c>
      <c r="J418" s="1" t="n">
        <f aca="false">IF(SMALL($AA418:$CH418,3)&gt;=9999,"",INDEX(Presupuesto!$C:$C,SMALL($AA418:$CH418,3)))</f>
        <v>0</v>
      </c>
      <c r="K418" s="1" t="n">
        <f aca="false">IF(SMALL($AA418:$CH418,4)&gt;=9999,"",INDEX(Presupuesto!$C:$C,SMALL($AA418:$CH418,4)))</f>
        <v>0</v>
      </c>
      <c r="L418" s="1" t="n">
        <f aca="false">IF(SMALL($AA418:$CH418,5)&gt;=9999,"",INDEX(Presupuesto!$C:$C,SMALL($AA418:$CH418,5)))</f>
        <v>0</v>
      </c>
      <c r="M418" s="1" t="n">
        <f aca="false">IF(SMALL($AA418:$CH418,6)&gt;=9999,"",INDEX(Presupuesto!$C:$C,SMALL($AA418:$CH418,6)))</f>
        <v>0</v>
      </c>
      <c r="N418" s="1" t="n">
        <f aca="false">IF(SMALL($AA418:$CH418,7)&gt;=9999,"",INDEX(Presupuesto!$C:$C,SMALL($AA418:$CH418,7)))</f>
        <v>0</v>
      </c>
      <c r="O418" s="1" t="n">
        <f aca="false">IF(SMALL($AA418:$CH418,8)&gt;=9999,"",INDEX(Presupuesto!$C:$C,SMALL($AA418:$CH418,8)))</f>
        <v>0</v>
      </c>
      <c r="P418" s="1" t="n">
        <f aca="false">IF(SMALL($AA418:$CH418,9)&gt;=9999,"",INDEX(Presupuesto!$C:$C,SMALL($AA418:$CH418,9)))</f>
        <v>0</v>
      </c>
      <c r="Q418" s="1" t="n">
        <f aca="false">IF(SMALL($AA418:$CH418,10)&gt;=9999,"",INDEX(Presupuesto!$C:$C,SMALL($AA418:$CH418,10)))</f>
        <v>0</v>
      </c>
      <c r="AA418" s="0" t="n">
        <f aca="false">IF(Presupuesto!$B$7='Flujo de Pagos'!$E418,7,9999)</f>
        <v>9999</v>
      </c>
      <c r="AB418" s="0" t="n">
        <f aca="false">IF(Presupuesto!$B$8='Flujo de Pagos'!$E418,8,9999)</f>
        <v>9999</v>
      </c>
      <c r="AC418" s="0" t="n">
        <f aca="false">IF(Presupuesto!$B$9='Flujo de Pagos'!$E418,9,9999)</f>
        <v>9999</v>
      </c>
      <c r="AD418" s="0" t="n">
        <f aca="false">IF(Presupuesto!$B$10='Flujo de Pagos'!$E418,10,9999)</f>
        <v>9999</v>
      </c>
      <c r="AE418" s="0" t="n">
        <f aca="false">IF(Presupuesto!$B$11='Flujo de Pagos'!$E418,11,9999)</f>
        <v>9999</v>
      </c>
      <c r="AF418" s="0" t="n">
        <f aca="false">IF(Presupuesto!$B$12='Flujo de Pagos'!$E418,12,9999)</f>
        <v>12</v>
      </c>
      <c r="AG418" s="0" t="n">
        <f aca="false">IF(Presupuesto!$B$13='Flujo de Pagos'!$E418,13,9999)</f>
        <v>13</v>
      </c>
      <c r="AH418" s="0" t="n">
        <f aca="false">IF(Presupuesto!$B$14='Flujo de Pagos'!$E418,14,9999)</f>
        <v>14</v>
      </c>
      <c r="AI418" s="0" t="n">
        <f aca="false">IF(Presupuesto!$B$15='Flujo de Pagos'!$E418,15,9999)</f>
        <v>15</v>
      </c>
      <c r="AJ418" s="0" t="n">
        <f aca="false">IF(Presupuesto!$B$16='Flujo de Pagos'!$E418,16,9999)</f>
        <v>16</v>
      </c>
      <c r="AK418" s="0" t="n">
        <f aca="false">IF(Presupuesto!$B$17='Flujo de Pagos'!$E418,17,9999)</f>
        <v>17</v>
      </c>
      <c r="AL418" s="0" t="n">
        <f aca="false">IF(Presupuesto!$B$18='Flujo de Pagos'!$E418,18,9999)</f>
        <v>18</v>
      </c>
      <c r="AM418" s="0" t="n">
        <f aca="false">IF(Presupuesto!$B$19='Flujo de Pagos'!$E418,19,9999)</f>
        <v>19</v>
      </c>
      <c r="AN418" s="0" t="n">
        <f aca="false">IF(Presupuesto!$B$20='Flujo de Pagos'!$E418,20,9999)</f>
        <v>20</v>
      </c>
      <c r="AO418" s="0" t="n">
        <f aca="false">IF(Presupuesto!$B$21='Flujo de Pagos'!$E418,21,9999)</f>
        <v>21</v>
      </c>
      <c r="AP418" s="0" t="n">
        <f aca="false">IF(Presupuesto!$B$22='Flujo de Pagos'!$E418,22,9999)</f>
        <v>22</v>
      </c>
      <c r="AQ418" s="0" t="n">
        <f aca="false">IF(Presupuesto!$B$23='Flujo de Pagos'!$E418,23,9999)</f>
        <v>23</v>
      </c>
      <c r="AR418" s="0" t="n">
        <f aca="false">IF(Presupuesto!$B$24='Flujo de Pagos'!$E418,24,9999)</f>
        <v>24</v>
      </c>
      <c r="AS418" s="0" t="n">
        <f aca="false">IF(Presupuesto!$B$25='Flujo de Pagos'!$E418,25,9999)</f>
        <v>25</v>
      </c>
      <c r="AT418" s="0" t="n">
        <f aca="false">IF(Presupuesto!$B$26='Flujo de Pagos'!$E418,26,9999)</f>
        <v>26</v>
      </c>
      <c r="AU418" s="0" t="n">
        <f aca="false">IF(Presupuesto!$B$27='Flujo de Pagos'!$E418,27,9999)</f>
        <v>27</v>
      </c>
      <c r="AV418" s="0" t="n">
        <f aca="false">IF(Presupuesto!$B$28='Flujo de Pagos'!$E418,28,9999)</f>
        <v>28</v>
      </c>
      <c r="AW418" s="0" t="n">
        <f aca="false">IF(Presupuesto!$B$29='Flujo de Pagos'!$E418,29,9999)</f>
        <v>29</v>
      </c>
      <c r="AX418" s="0" t="n">
        <f aca="false">IF(Presupuesto!$B$30='Flujo de Pagos'!$E418,30,9999)</f>
        <v>30</v>
      </c>
      <c r="AY418" s="0" t="n">
        <f aca="false">IF(Presupuesto!$B$31='Flujo de Pagos'!$E418,31,9999)</f>
        <v>31</v>
      </c>
      <c r="AZ418" s="0" t="n">
        <f aca="false">IF(Presupuesto!$B$32='Flujo de Pagos'!$E418,32,9999)</f>
        <v>32</v>
      </c>
      <c r="BA418" s="0" t="n">
        <f aca="false">IF(Presupuesto!$B$33='Flujo de Pagos'!$E418,33,9999)</f>
        <v>33</v>
      </c>
      <c r="BB418" s="0" t="n">
        <f aca="false">IF(Presupuesto!$B$34='Flujo de Pagos'!$E418,34,9999)</f>
        <v>34</v>
      </c>
      <c r="BC418" s="0" t="n">
        <f aca="false">IF(Presupuesto!$B$35='Flujo de Pagos'!$E418,35,9999)</f>
        <v>35</v>
      </c>
      <c r="BD418" s="0" t="n">
        <f aca="false">IF(Presupuesto!$B$36='Flujo de Pagos'!$E418,36,9999)</f>
        <v>36</v>
      </c>
      <c r="BE418" s="0" t="n">
        <f aca="false">IF(Presupuesto!$B$37='Flujo de Pagos'!$E418,37,9999)</f>
        <v>37</v>
      </c>
      <c r="BF418" s="0" t="n">
        <f aca="false">IF(Presupuesto!$B$38='Flujo de Pagos'!$E418,38,9999)</f>
        <v>38</v>
      </c>
      <c r="BG418" s="0" t="n">
        <f aca="false">IF(Presupuesto!$B$39='Flujo de Pagos'!$E418,39,9999)</f>
        <v>39</v>
      </c>
      <c r="BH418" s="0" t="n">
        <f aca="false">IF(Presupuesto!$B$40='Flujo de Pagos'!$E418,40,9999)</f>
        <v>40</v>
      </c>
      <c r="BI418" s="0" t="n">
        <f aca="false">IF(Presupuesto!$B$41='Flujo de Pagos'!$E418,41,9999)</f>
        <v>41</v>
      </c>
      <c r="BJ418" s="0" t="n">
        <f aca="false">IF(Presupuesto!$B$42='Flujo de Pagos'!$E418,42,9999)</f>
        <v>42</v>
      </c>
      <c r="BK418" s="0" t="n">
        <f aca="false">IF(Presupuesto!$B$43='Flujo de Pagos'!$E418,43,9999)</f>
        <v>43</v>
      </c>
      <c r="BL418" s="0" t="n">
        <f aca="false">IF(Presupuesto!$B$44='Flujo de Pagos'!$E418,44,9999)</f>
        <v>44</v>
      </c>
      <c r="BM418" s="0" t="n">
        <f aca="false">IF(Presupuesto!$B$45='Flujo de Pagos'!$E418,45,9999)</f>
        <v>45</v>
      </c>
      <c r="BN418" s="0" t="n">
        <f aca="false">IF(Presupuesto!$B$46='Flujo de Pagos'!$E418,46,9999)</f>
        <v>46</v>
      </c>
      <c r="BO418" s="0" t="n">
        <f aca="false">IF(Presupuesto!$B$47='Flujo de Pagos'!$E418,47,9999)</f>
        <v>47</v>
      </c>
      <c r="BP418" s="0" t="n">
        <f aca="false">IF(Presupuesto!$B$48='Flujo de Pagos'!$E418,48,9999)</f>
        <v>48</v>
      </c>
      <c r="BQ418" s="0" t="n">
        <f aca="false">IF(Presupuesto!$B$49='Flujo de Pagos'!$E418,49,9999)</f>
        <v>49</v>
      </c>
      <c r="BR418" s="0" t="n">
        <f aca="false">IF(Presupuesto!$B$50='Flujo de Pagos'!$E418,50,9999)</f>
        <v>50</v>
      </c>
      <c r="BS418" s="0" t="n">
        <f aca="false">IF(Presupuesto!$B$51='Flujo de Pagos'!$E418,51,9999)</f>
        <v>51</v>
      </c>
      <c r="BT418" s="0" t="n">
        <f aca="false">IF(Presupuesto!$B$52='Flujo de Pagos'!$E418,52,9999)</f>
        <v>52</v>
      </c>
      <c r="BU418" s="0" t="n">
        <f aca="false">IF(Presupuesto!$B$53='Flujo de Pagos'!$E418,53,9999)</f>
        <v>53</v>
      </c>
      <c r="BV418" s="0" t="n">
        <f aca="false">IF(Presupuesto!$B$54='Flujo de Pagos'!$E418,54,9999)</f>
        <v>54</v>
      </c>
      <c r="BW418" s="0" t="n">
        <f aca="false">IF(Presupuesto!$B$55='Flujo de Pagos'!$E418,55,9999)</f>
        <v>55</v>
      </c>
      <c r="BX418" s="0" t="n">
        <f aca="false">IF(Presupuesto!$B$56='Flujo de Pagos'!$E418,56,9999)</f>
        <v>56</v>
      </c>
      <c r="BY418" s="0" t="n">
        <f aca="false">IF(Presupuesto!$B$57='Flujo de Pagos'!$E418,57,9999)</f>
        <v>57</v>
      </c>
      <c r="BZ418" s="0" t="n">
        <f aca="false">IF(Presupuesto!$B$58='Flujo de Pagos'!$E418,58,9999)</f>
        <v>58</v>
      </c>
      <c r="CA418" s="0" t="n">
        <f aca="false">IF(Presupuesto!$B$59='Flujo de Pagos'!$E418,59,9999)</f>
        <v>59</v>
      </c>
      <c r="CB418" s="0" t="n">
        <f aca="false">IF(Presupuesto!$B$60='Flujo de Pagos'!$E418,60,9999)</f>
        <v>60</v>
      </c>
      <c r="CC418" s="0" t="n">
        <f aca="false">IF(Presupuesto!$B$61='Flujo de Pagos'!$E418,61,9999)</f>
        <v>61</v>
      </c>
      <c r="CD418" s="0" t="n">
        <f aca="false">IF(Presupuesto!$B$62='Flujo de Pagos'!$E418,62,9999)</f>
        <v>62</v>
      </c>
      <c r="CE418" s="0" t="n">
        <f aca="false">IF(Presupuesto!$B$63='Flujo de Pagos'!$E418,63,9999)</f>
        <v>63</v>
      </c>
      <c r="CF418" s="0" t="n">
        <f aca="false">IF(Presupuesto!$B$64='Flujo de Pagos'!$E418,64,9999)</f>
        <v>64</v>
      </c>
      <c r="CG418" s="0" t="n">
        <f aca="false">IF(Presupuesto!$B$65='Flujo de Pagos'!$E418,65,9999)</f>
        <v>65</v>
      </c>
      <c r="CH418" s="0" t="n">
        <f aca="false">IF(Presupuesto!$B$66='Flujo de Pagos'!$E418,66,9999)</f>
        <v>66</v>
      </c>
    </row>
    <row r="419" customFormat="false" ht="15" hidden="false" customHeight="true" outlineLevel="0" collapsed="false">
      <c r="B419" s="1" t="n">
        <f aca="false">IF(AND('Flujo de Pagos'!E424=Carátula!$B$2,'Flujo de Pagos'!F424=Carátula!$B$4,'Flujo de Pagos'!H424&lt;&gt;""),424,99999)</f>
        <v>99999</v>
      </c>
      <c r="H419" s="1" t="n">
        <f aca="false">IF(SMALL($AA419:$CH419,1)&gt;=9999,"",INDEX(Presupuesto!$C:$C,SMALL($AA419:$CH419,1)))</f>
        <v>0</v>
      </c>
      <c r="I419" s="1" t="n">
        <f aca="false">IF(SMALL($AA419:$CH419,2)&gt;=9999,"",INDEX(Presupuesto!$C:$C,SMALL($AA419:$CH419,2)))</f>
        <v>0</v>
      </c>
      <c r="J419" s="1" t="n">
        <f aca="false">IF(SMALL($AA419:$CH419,3)&gt;=9999,"",INDEX(Presupuesto!$C:$C,SMALL($AA419:$CH419,3)))</f>
        <v>0</v>
      </c>
      <c r="K419" s="1" t="n">
        <f aca="false">IF(SMALL($AA419:$CH419,4)&gt;=9999,"",INDEX(Presupuesto!$C:$C,SMALL($AA419:$CH419,4)))</f>
        <v>0</v>
      </c>
      <c r="L419" s="1" t="n">
        <f aca="false">IF(SMALL($AA419:$CH419,5)&gt;=9999,"",INDEX(Presupuesto!$C:$C,SMALL($AA419:$CH419,5)))</f>
        <v>0</v>
      </c>
      <c r="M419" s="1" t="n">
        <f aca="false">IF(SMALL($AA419:$CH419,6)&gt;=9999,"",INDEX(Presupuesto!$C:$C,SMALL($AA419:$CH419,6)))</f>
        <v>0</v>
      </c>
      <c r="N419" s="1" t="n">
        <f aca="false">IF(SMALL($AA419:$CH419,7)&gt;=9999,"",INDEX(Presupuesto!$C:$C,SMALL($AA419:$CH419,7)))</f>
        <v>0</v>
      </c>
      <c r="O419" s="1" t="n">
        <f aca="false">IF(SMALL($AA419:$CH419,8)&gt;=9999,"",INDEX(Presupuesto!$C:$C,SMALL($AA419:$CH419,8)))</f>
        <v>0</v>
      </c>
      <c r="P419" s="1" t="n">
        <f aca="false">IF(SMALL($AA419:$CH419,9)&gt;=9999,"",INDEX(Presupuesto!$C:$C,SMALL($AA419:$CH419,9)))</f>
        <v>0</v>
      </c>
      <c r="Q419" s="1" t="n">
        <f aca="false">IF(SMALL($AA419:$CH419,10)&gt;=9999,"",INDEX(Presupuesto!$C:$C,SMALL($AA419:$CH419,10)))</f>
        <v>0</v>
      </c>
      <c r="AA419" s="0" t="n">
        <f aca="false">IF(Presupuesto!$B$7='Flujo de Pagos'!$E419,7,9999)</f>
        <v>9999</v>
      </c>
      <c r="AB419" s="0" t="n">
        <f aca="false">IF(Presupuesto!$B$8='Flujo de Pagos'!$E419,8,9999)</f>
        <v>9999</v>
      </c>
      <c r="AC419" s="0" t="n">
        <f aca="false">IF(Presupuesto!$B$9='Flujo de Pagos'!$E419,9,9999)</f>
        <v>9999</v>
      </c>
      <c r="AD419" s="0" t="n">
        <f aca="false">IF(Presupuesto!$B$10='Flujo de Pagos'!$E419,10,9999)</f>
        <v>9999</v>
      </c>
      <c r="AE419" s="0" t="n">
        <f aca="false">IF(Presupuesto!$B$11='Flujo de Pagos'!$E419,11,9999)</f>
        <v>9999</v>
      </c>
      <c r="AF419" s="0" t="n">
        <f aca="false">IF(Presupuesto!$B$12='Flujo de Pagos'!$E419,12,9999)</f>
        <v>12</v>
      </c>
      <c r="AG419" s="0" t="n">
        <f aca="false">IF(Presupuesto!$B$13='Flujo de Pagos'!$E419,13,9999)</f>
        <v>13</v>
      </c>
      <c r="AH419" s="0" t="n">
        <f aca="false">IF(Presupuesto!$B$14='Flujo de Pagos'!$E419,14,9999)</f>
        <v>14</v>
      </c>
      <c r="AI419" s="0" t="n">
        <f aca="false">IF(Presupuesto!$B$15='Flujo de Pagos'!$E419,15,9999)</f>
        <v>15</v>
      </c>
      <c r="AJ419" s="0" t="n">
        <f aca="false">IF(Presupuesto!$B$16='Flujo de Pagos'!$E419,16,9999)</f>
        <v>16</v>
      </c>
      <c r="AK419" s="0" t="n">
        <f aca="false">IF(Presupuesto!$B$17='Flujo de Pagos'!$E419,17,9999)</f>
        <v>17</v>
      </c>
      <c r="AL419" s="0" t="n">
        <f aca="false">IF(Presupuesto!$B$18='Flujo de Pagos'!$E419,18,9999)</f>
        <v>18</v>
      </c>
      <c r="AM419" s="0" t="n">
        <f aca="false">IF(Presupuesto!$B$19='Flujo de Pagos'!$E419,19,9999)</f>
        <v>19</v>
      </c>
      <c r="AN419" s="0" t="n">
        <f aca="false">IF(Presupuesto!$B$20='Flujo de Pagos'!$E419,20,9999)</f>
        <v>20</v>
      </c>
      <c r="AO419" s="0" t="n">
        <f aca="false">IF(Presupuesto!$B$21='Flujo de Pagos'!$E419,21,9999)</f>
        <v>21</v>
      </c>
      <c r="AP419" s="0" t="n">
        <f aca="false">IF(Presupuesto!$B$22='Flujo de Pagos'!$E419,22,9999)</f>
        <v>22</v>
      </c>
      <c r="AQ419" s="0" t="n">
        <f aca="false">IF(Presupuesto!$B$23='Flujo de Pagos'!$E419,23,9999)</f>
        <v>23</v>
      </c>
      <c r="AR419" s="0" t="n">
        <f aca="false">IF(Presupuesto!$B$24='Flujo de Pagos'!$E419,24,9999)</f>
        <v>24</v>
      </c>
      <c r="AS419" s="0" t="n">
        <f aca="false">IF(Presupuesto!$B$25='Flujo de Pagos'!$E419,25,9999)</f>
        <v>25</v>
      </c>
      <c r="AT419" s="0" t="n">
        <f aca="false">IF(Presupuesto!$B$26='Flujo de Pagos'!$E419,26,9999)</f>
        <v>26</v>
      </c>
      <c r="AU419" s="0" t="n">
        <f aca="false">IF(Presupuesto!$B$27='Flujo de Pagos'!$E419,27,9999)</f>
        <v>27</v>
      </c>
      <c r="AV419" s="0" t="n">
        <f aca="false">IF(Presupuesto!$B$28='Flujo de Pagos'!$E419,28,9999)</f>
        <v>28</v>
      </c>
      <c r="AW419" s="0" t="n">
        <f aca="false">IF(Presupuesto!$B$29='Flujo de Pagos'!$E419,29,9999)</f>
        <v>29</v>
      </c>
      <c r="AX419" s="0" t="n">
        <f aca="false">IF(Presupuesto!$B$30='Flujo de Pagos'!$E419,30,9999)</f>
        <v>30</v>
      </c>
      <c r="AY419" s="0" t="n">
        <f aca="false">IF(Presupuesto!$B$31='Flujo de Pagos'!$E419,31,9999)</f>
        <v>31</v>
      </c>
      <c r="AZ419" s="0" t="n">
        <f aca="false">IF(Presupuesto!$B$32='Flujo de Pagos'!$E419,32,9999)</f>
        <v>32</v>
      </c>
      <c r="BA419" s="0" t="n">
        <f aca="false">IF(Presupuesto!$B$33='Flujo de Pagos'!$E419,33,9999)</f>
        <v>33</v>
      </c>
      <c r="BB419" s="0" t="n">
        <f aca="false">IF(Presupuesto!$B$34='Flujo de Pagos'!$E419,34,9999)</f>
        <v>34</v>
      </c>
      <c r="BC419" s="0" t="n">
        <f aca="false">IF(Presupuesto!$B$35='Flujo de Pagos'!$E419,35,9999)</f>
        <v>35</v>
      </c>
      <c r="BD419" s="0" t="n">
        <f aca="false">IF(Presupuesto!$B$36='Flujo de Pagos'!$E419,36,9999)</f>
        <v>36</v>
      </c>
      <c r="BE419" s="0" t="n">
        <f aca="false">IF(Presupuesto!$B$37='Flujo de Pagos'!$E419,37,9999)</f>
        <v>37</v>
      </c>
      <c r="BF419" s="0" t="n">
        <f aca="false">IF(Presupuesto!$B$38='Flujo de Pagos'!$E419,38,9999)</f>
        <v>38</v>
      </c>
      <c r="BG419" s="0" t="n">
        <f aca="false">IF(Presupuesto!$B$39='Flujo de Pagos'!$E419,39,9999)</f>
        <v>39</v>
      </c>
      <c r="BH419" s="0" t="n">
        <f aca="false">IF(Presupuesto!$B$40='Flujo de Pagos'!$E419,40,9999)</f>
        <v>40</v>
      </c>
      <c r="BI419" s="0" t="n">
        <f aca="false">IF(Presupuesto!$B$41='Flujo de Pagos'!$E419,41,9999)</f>
        <v>41</v>
      </c>
      <c r="BJ419" s="0" t="n">
        <f aca="false">IF(Presupuesto!$B$42='Flujo de Pagos'!$E419,42,9999)</f>
        <v>42</v>
      </c>
      <c r="BK419" s="0" t="n">
        <f aca="false">IF(Presupuesto!$B$43='Flujo de Pagos'!$E419,43,9999)</f>
        <v>43</v>
      </c>
      <c r="BL419" s="0" t="n">
        <f aca="false">IF(Presupuesto!$B$44='Flujo de Pagos'!$E419,44,9999)</f>
        <v>44</v>
      </c>
      <c r="BM419" s="0" t="n">
        <f aca="false">IF(Presupuesto!$B$45='Flujo de Pagos'!$E419,45,9999)</f>
        <v>45</v>
      </c>
      <c r="BN419" s="0" t="n">
        <f aca="false">IF(Presupuesto!$B$46='Flujo de Pagos'!$E419,46,9999)</f>
        <v>46</v>
      </c>
      <c r="BO419" s="0" t="n">
        <f aca="false">IF(Presupuesto!$B$47='Flujo de Pagos'!$E419,47,9999)</f>
        <v>47</v>
      </c>
      <c r="BP419" s="0" t="n">
        <f aca="false">IF(Presupuesto!$B$48='Flujo de Pagos'!$E419,48,9999)</f>
        <v>48</v>
      </c>
      <c r="BQ419" s="0" t="n">
        <f aca="false">IF(Presupuesto!$B$49='Flujo de Pagos'!$E419,49,9999)</f>
        <v>49</v>
      </c>
      <c r="BR419" s="0" t="n">
        <f aca="false">IF(Presupuesto!$B$50='Flujo de Pagos'!$E419,50,9999)</f>
        <v>50</v>
      </c>
      <c r="BS419" s="0" t="n">
        <f aca="false">IF(Presupuesto!$B$51='Flujo de Pagos'!$E419,51,9999)</f>
        <v>51</v>
      </c>
      <c r="BT419" s="0" t="n">
        <f aca="false">IF(Presupuesto!$B$52='Flujo de Pagos'!$E419,52,9999)</f>
        <v>52</v>
      </c>
      <c r="BU419" s="0" t="n">
        <f aca="false">IF(Presupuesto!$B$53='Flujo de Pagos'!$E419,53,9999)</f>
        <v>53</v>
      </c>
      <c r="BV419" s="0" t="n">
        <f aca="false">IF(Presupuesto!$B$54='Flujo de Pagos'!$E419,54,9999)</f>
        <v>54</v>
      </c>
      <c r="BW419" s="0" t="n">
        <f aca="false">IF(Presupuesto!$B$55='Flujo de Pagos'!$E419,55,9999)</f>
        <v>55</v>
      </c>
      <c r="BX419" s="0" t="n">
        <f aca="false">IF(Presupuesto!$B$56='Flujo de Pagos'!$E419,56,9999)</f>
        <v>56</v>
      </c>
      <c r="BY419" s="0" t="n">
        <f aca="false">IF(Presupuesto!$B$57='Flujo de Pagos'!$E419,57,9999)</f>
        <v>57</v>
      </c>
      <c r="BZ419" s="0" t="n">
        <f aca="false">IF(Presupuesto!$B$58='Flujo de Pagos'!$E419,58,9999)</f>
        <v>58</v>
      </c>
      <c r="CA419" s="0" t="n">
        <f aca="false">IF(Presupuesto!$B$59='Flujo de Pagos'!$E419,59,9999)</f>
        <v>59</v>
      </c>
      <c r="CB419" s="0" t="n">
        <f aca="false">IF(Presupuesto!$B$60='Flujo de Pagos'!$E419,60,9999)</f>
        <v>60</v>
      </c>
      <c r="CC419" s="0" t="n">
        <f aca="false">IF(Presupuesto!$B$61='Flujo de Pagos'!$E419,61,9999)</f>
        <v>61</v>
      </c>
      <c r="CD419" s="0" t="n">
        <f aca="false">IF(Presupuesto!$B$62='Flujo de Pagos'!$E419,62,9999)</f>
        <v>62</v>
      </c>
      <c r="CE419" s="0" t="n">
        <f aca="false">IF(Presupuesto!$B$63='Flujo de Pagos'!$E419,63,9999)</f>
        <v>63</v>
      </c>
      <c r="CF419" s="0" t="n">
        <f aca="false">IF(Presupuesto!$B$64='Flujo de Pagos'!$E419,64,9999)</f>
        <v>64</v>
      </c>
      <c r="CG419" s="0" t="n">
        <f aca="false">IF(Presupuesto!$B$65='Flujo de Pagos'!$E419,65,9999)</f>
        <v>65</v>
      </c>
      <c r="CH419" s="0" t="n">
        <f aca="false">IF(Presupuesto!$B$66='Flujo de Pagos'!$E419,66,9999)</f>
        <v>66</v>
      </c>
    </row>
    <row r="420" customFormat="false" ht="15" hidden="false" customHeight="true" outlineLevel="0" collapsed="false">
      <c r="B420" s="1" t="n">
        <f aca="false">IF(AND('Flujo de Pagos'!E425=Carátula!$B$2,'Flujo de Pagos'!F425=Carátula!$B$4,'Flujo de Pagos'!H425&lt;&gt;""),425,99999)</f>
        <v>99999</v>
      </c>
      <c r="H420" s="1" t="n">
        <f aca="false">IF(SMALL($AA420:$CH420,1)&gt;=9999,"",INDEX(Presupuesto!$C:$C,SMALL($AA420:$CH420,1)))</f>
        <v>0</v>
      </c>
      <c r="I420" s="1" t="n">
        <f aca="false">IF(SMALL($AA420:$CH420,2)&gt;=9999,"",INDEX(Presupuesto!$C:$C,SMALL($AA420:$CH420,2)))</f>
        <v>0</v>
      </c>
      <c r="J420" s="1" t="n">
        <f aca="false">IF(SMALL($AA420:$CH420,3)&gt;=9999,"",INDEX(Presupuesto!$C:$C,SMALL($AA420:$CH420,3)))</f>
        <v>0</v>
      </c>
      <c r="K420" s="1" t="n">
        <f aca="false">IF(SMALL($AA420:$CH420,4)&gt;=9999,"",INDEX(Presupuesto!$C:$C,SMALL($AA420:$CH420,4)))</f>
        <v>0</v>
      </c>
      <c r="L420" s="1" t="n">
        <f aca="false">IF(SMALL($AA420:$CH420,5)&gt;=9999,"",INDEX(Presupuesto!$C:$C,SMALL($AA420:$CH420,5)))</f>
        <v>0</v>
      </c>
      <c r="M420" s="1" t="n">
        <f aca="false">IF(SMALL($AA420:$CH420,6)&gt;=9999,"",INDEX(Presupuesto!$C:$C,SMALL($AA420:$CH420,6)))</f>
        <v>0</v>
      </c>
      <c r="N420" s="1" t="n">
        <f aca="false">IF(SMALL($AA420:$CH420,7)&gt;=9999,"",INDEX(Presupuesto!$C:$C,SMALL($AA420:$CH420,7)))</f>
        <v>0</v>
      </c>
      <c r="O420" s="1" t="n">
        <f aca="false">IF(SMALL($AA420:$CH420,8)&gt;=9999,"",INDEX(Presupuesto!$C:$C,SMALL($AA420:$CH420,8)))</f>
        <v>0</v>
      </c>
      <c r="P420" s="1" t="n">
        <f aca="false">IF(SMALL($AA420:$CH420,9)&gt;=9999,"",INDEX(Presupuesto!$C:$C,SMALL($AA420:$CH420,9)))</f>
        <v>0</v>
      </c>
      <c r="Q420" s="1" t="n">
        <f aca="false">IF(SMALL($AA420:$CH420,10)&gt;=9999,"",INDEX(Presupuesto!$C:$C,SMALL($AA420:$CH420,10)))</f>
        <v>0</v>
      </c>
      <c r="AA420" s="0" t="n">
        <f aca="false">IF(Presupuesto!$B$7='Flujo de Pagos'!$E420,7,9999)</f>
        <v>9999</v>
      </c>
      <c r="AB420" s="0" t="n">
        <f aca="false">IF(Presupuesto!$B$8='Flujo de Pagos'!$E420,8,9999)</f>
        <v>9999</v>
      </c>
      <c r="AC420" s="0" t="n">
        <f aca="false">IF(Presupuesto!$B$9='Flujo de Pagos'!$E420,9,9999)</f>
        <v>9999</v>
      </c>
      <c r="AD420" s="0" t="n">
        <f aca="false">IF(Presupuesto!$B$10='Flujo de Pagos'!$E420,10,9999)</f>
        <v>9999</v>
      </c>
      <c r="AE420" s="0" t="n">
        <f aca="false">IF(Presupuesto!$B$11='Flujo de Pagos'!$E420,11,9999)</f>
        <v>9999</v>
      </c>
      <c r="AF420" s="0" t="n">
        <f aca="false">IF(Presupuesto!$B$12='Flujo de Pagos'!$E420,12,9999)</f>
        <v>12</v>
      </c>
      <c r="AG420" s="0" t="n">
        <f aca="false">IF(Presupuesto!$B$13='Flujo de Pagos'!$E420,13,9999)</f>
        <v>13</v>
      </c>
      <c r="AH420" s="0" t="n">
        <f aca="false">IF(Presupuesto!$B$14='Flujo de Pagos'!$E420,14,9999)</f>
        <v>14</v>
      </c>
      <c r="AI420" s="0" t="n">
        <f aca="false">IF(Presupuesto!$B$15='Flujo de Pagos'!$E420,15,9999)</f>
        <v>15</v>
      </c>
      <c r="AJ420" s="0" t="n">
        <f aca="false">IF(Presupuesto!$B$16='Flujo de Pagos'!$E420,16,9999)</f>
        <v>16</v>
      </c>
      <c r="AK420" s="0" t="n">
        <f aca="false">IF(Presupuesto!$B$17='Flujo de Pagos'!$E420,17,9999)</f>
        <v>17</v>
      </c>
      <c r="AL420" s="0" t="n">
        <f aca="false">IF(Presupuesto!$B$18='Flujo de Pagos'!$E420,18,9999)</f>
        <v>18</v>
      </c>
      <c r="AM420" s="0" t="n">
        <f aca="false">IF(Presupuesto!$B$19='Flujo de Pagos'!$E420,19,9999)</f>
        <v>19</v>
      </c>
      <c r="AN420" s="0" t="n">
        <f aca="false">IF(Presupuesto!$B$20='Flujo de Pagos'!$E420,20,9999)</f>
        <v>20</v>
      </c>
      <c r="AO420" s="0" t="n">
        <f aca="false">IF(Presupuesto!$B$21='Flujo de Pagos'!$E420,21,9999)</f>
        <v>21</v>
      </c>
      <c r="AP420" s="0" t="n">
        <f aca="false">IF(Presupuesto!$B$22='Flujo de Pagos'!$E420,22,9999)</f>
        <v>22</v>
      </c>
      <c r="AQ420" s="0" t="n">
        <f aca="false">IF(Presupuesto!$B$23='Flujo de Pagos'!$E420,23,9999)</f>
        <v>23</v>
      </c>
      <c r="AR420" s="0" t="n">
        <f aca="false">IF(Presupuesto!$B$24='Flujo de Pagos'!$E420,24,9999)</f>
        <v>24</v>
      </c>
      <c r="AS420" s="0" t="n">
        <f aca="false">IF(Presupuesto!$B$25='Flujo de Pagos'!$E420,25,9999)</f>
        <v>25</v>
      </c>
      <c r="AT420" s="0" t="n">
        <f aca="false">IF(Presupuesto!$B$26='Flujo de Pagos'!$E420,26,9999)</f>
        <v>26</v>
      </c>
      <c r="AU420" s="0" t="n">
        <f aca="false">IF(Presupuesto!$B$27='Flujo de Pagos'!$E420,27,9999)</f>
        <v>27</v>
      </c>
      <c r="AV420" s="0" t="n">
        <f aca="false">IF(Presupuesto!$B$28='Flujo de Pagos'!$E420,28,9999)</f>
        <v>28</v>
      </c>
      <c r="AW420" s="0" t="n">
        <f aca="false">IF(Presupuesto!$B$29='Flujo de Pagos'!$E420,29,9999)</f>
        <v>29</v>
      </c>
      <c r="AX420" s="0" t="n">
        <f aca="false">IF(Presupuesto!$B$30='Flujo de Pagos'!$E420,30,9999)</f>
        <v>30</v>
      </c>
      <c r="AY420" s="0" t="n">
        <f aca="false">IF(Presupuesto!$B$31='Flujo de Pagos'!$E420,31,9999)</f>
        <v>31</v>
      </c>
      <c r="AZ420" s="0" t="n">
        <f aca="false">IF(Presupuesto!$B$32='Flujo de Pagos'!$E420,32,9999)</f>
        <v>32</v>
      </c>
      <c r="BA420" s="0" t="n">
        <f aca="false">IF(Presupuesto!$B$33='Flujo de Pagos'!$E420,33,9999)</f>
        <v>33</v>
      </c>
      <c r="BB420" s="0" t="n">
        <f aca="false">IF(Presupuesto!$B$34='Flujo de Pagos'!$E420,34,9999)</f>
        <v>34</v>
      </c>
      <c r="BC420" s="0" t="n">
        <f aca="false">IF(Presupuesto!$B$35='Flujo de Pagos'!$E420,35,9999)</f>
        <v>35</v>
      </c>
      <c r="BD420" s="0" t="n">
        <f aca="false">IF(Presupuesto!$B$36='Flujo de Pagos'!$E420,36,9999)</f>
        <v>36</v>
      </c>
      <c r="BE420" s="0" t="n">
        <f aca="false">IF(Presupuesto!$B$37='Flujo de Pagos'!$E420,37,9999)</f>
        <v>37</v>
      </c>
      <c r="BF420" s="0" t="n">
        <f aca="false">IF(Presupuesto!$B$38='Flujo de Pagos'!$E420,38,9999)</f>
        <v>38</v>
      </c>
      <c r="BG420" s="0" t="n">
        <f aca="false">IF(Presupuesto!$B$39='Flujo de Pagos'!$E420,39,9999)</f>
        <v>39</v>
      </c>
      <c r="BH420" s="0" t="n">
        <f aca="false">IF(Presupuesto!$B$40='Flujo de Pagos'!$E420,40,9999)</f>
        <v>40</v>
      </c>
      <c r="BI420" s="0" t="n">
        <f aca="false">IF(Presupuesto!$B$41='Flujo de Pagos'!$E420,41,9999)</f>
        <v>41</v>
      </c>
      <c r="BJ420" s="0" t="n">
        <f aca="false">IF(Presupuesto!$B$42='Flujo de Pagos'!$E420,42,9999)</f>
        <v>42</v>
      </c>
      <c r="BK420" s="0" t="n">
        <f aca="false">IF(Presupuesto!$B$43='Flujo de Pagos'!$E420,43,9999)</f>
        <v>43</v>
      </c>
      <c r="BL420" s="0" t="n">
        <f aca="false">IF(Presupuesto!$B$44='Flujo de Pagos'!$E420,44,9999)</f>
        <v>44</v>
      </c>
      <c r="BM420" s="0" t="n">
        <f aca="false">IF(Presupuesto!$B$45='Flujo de Pagos'!$E420,45,9999)</f>
        <v>45</v>
      </c>
      <c r="BN420" s="0" t="n">
        <f aca="false">IF(Presupuesto!$B$46='Flujo de Pagos'!$E420,46,9999)</f>
        <v>46</v>
      </c>
      <c r="BO420" s="0" t="n">
        <f aca="false">IF(Presupuesto!$B$47='Flujo de Pagos'!$E420,47,9999)</f>
        <v>47</v>
      </c>
      <c r="BP420" s="0" t="n">
        <f aca="false">IF(Presupuesto!$B$48='Flujo de Pagos'!$E420,48,9999)</f>
        <v>48</v>
      </c>
      <c r="BQ420" s="0" t="n">
        <f aca="false">IF(Presupuesto!$B$49='Flujo de Pagos'!$E420,49,9999)</f>
        <v>49</v>
      </c>
      <c r="BR420" s="0" t="n">
        <f aca="false">IF(Presupuesto!$B$50='Flujo de Pagos'!$E420,50,9999)</f>
        <v>50</v>
      </c>
      <c r="BS420" s="0" t="n">
        <f aca="false">IF(Presupuesto!$B$51='Flujo de Pagos'!$E420,51,9999)</f>
        <v>51</v>
      </c>
      <c r="BT420" s="0" t="n">
        <f aca="false">IF(Presupuesto!$B$52='Flujo de Pagos'!$E420,52,9999)</f>
        <v>52</v>
      </c>
      <c r="BU420" s="0" t="n">
        <f aca="false">IF(Presupuesto!$B$53='Flujo de Pagos'!$E420,53,9999)</f>
        <v>53</v>
      </c>
      <c r="BV420" s="0" t="n">
        <f aca="false">IF(Presupuesto!$B$54='Flujo de Pagos'!$E420,54,9999)</f>
        <v>54</v>
      </c>
      <c r="BW420" s="0" t="n">
        <f aca="false">IF(Presupuesto!$B$55='Flujo de Pagos'!$E420,55,9999)</f>
        <v>55</v>
      </c>
      <c r="BX420" s="0" t="n">
        <f aca="false">IF(Presupuesto!$B$56='Flujo de Pagos'!$E420,56,9999)</f>
        <v>56</v>
      </c>
      <c r="BY420" s="0" t="n">
        <f aca="false">IF(Presupuesto!$B$57='Flujo de Pagos'!$E420,57,9999)</f>
        <v>57</v>
      </c>
      <c r="BZ420" s="0" t="n">
        <f aca="false">IF(Presupuesto!$B$58='Flujo de Pagos'!$E420,58,9999)</f>
        <v>58</v>
      </c>
      <c r="CA420" s="0" t="n">
        <f aca="false">IF(Presupuesto!$B$59='Flujo de Pagos'!$E420,59,9999)</f>
        <v>59</v>
      </c>
      <c r="CB420" s="0" t="n">
        <f aca="false">IF(Presupuesto!$B$60='Flujo de Pagos'!$E420,60,9999)</f>
        <v>60</v>
      </c>
      <c r="CC420" s="0" t="n">
        <f aca="false">IF(Presupuesto!$B$61='Flujo de Pagos'!$E420,61,9999)</f>
        <v>61</v>
      </c>
      <c r="CD420" s="0" t="n">
        <f aca="false">IF(Presupuesto!$B$62='Flujo de Pagos'!$E420,62,9999)</f>
        <v>62</v>
      </c>
      <c r="CE420" s="0" t="n">
        <f aca="false">IF(Presupuesto!$B$63='Flujo de Pagos'!$E420,63,9999)</f>
        <v>63</v>
      </c>
      <c r="CF420" s="0" t="n">
        <f aca="false">IF(Presupuesto!$B$64='Flujo de Pagos'!$E420,64,9999)</f>
        <v>64</v>
      </c>
      <c r="CG420" s="0" t="n">
        <f aca="false">IF(Presupuesto!$B$65='Flujo de Pagos'!$E420,65,9999)</f>
        <v>65</v>
      </c>
      <c r="CH420" s="0" t="n">
        <f aca="false">IF(Presupuesto!$B$66='Flujo de Pagos'!$E420,66,9999)</f>
        <v>66</v>
      </c>
    </row>
    <row r="421" customFormat="false" ht="15" hidden="false" customHeight="true" outlineLevel="0" collapsed="false">
      <c r="B421" s="1" t="n">
        <f aca="false">IF(AND('Flujo de Pagos'!E426=Carátula!$B$2,'Flujo de Pagos'!F426=Carátula!$B$4,'Flujo de Pagos'!H426&lt;&gt;""),426,99999)</f>
        <v>99999</v>
      </c>
      <c r="H421" s="1" t="n">
        <f aca="false">IF(SMALL($AA421:$CH421,1)&gt;=9999,"",INDEX(Presupuesto!$C:$C,SMALL($AA421:$CH421,1)))</f>
        <v>0</v>
      </c>
      <c r="I421" s="1" t="n">
        <f aca="false">IF(SMALL($AA421:$CH421,2)&gt;=9999,"",INDEX(Presupuesto!$C:$C,SMALL($AA421:$CH421,2)))</f>
        <v>0</v>
      </c>
      <c r="J421" s="1" t="n">
        <f aca="false">IF(SMALL($AA421:$CH421,3)&gt;=9999,"",INDEX(Presupuesto!$C:$C,SMALL($AA421:$CH421,3)))</f>
        <v>0</v>
      </c>
      <c r="K421" s="1" t="n">
        <f aca="false">IF(SMALL($AA421:$CH421,4)&gt;=9999,"",INDEX(Presupuesto!$C:$C,SMALL($AA421:$CH421,4)))</f>
        <v>0</v>
      </c>
      <c r="L421" s="1" t="n">
        <f aca="false">IF(SMALL($AA421:$CH421,5)&gt;=9999,"",INDEX(Presupuesto!$C:$C,SMALL($AA421:$CH421,5)))</f>
        <v>0</v>
      </c>
      <c r="M421" s="1" t="n">
        <f aca="false">IF(SMALL($AA421:$CH421,6)&gt;=9999,"",INDEX(Presupuesto!$C:$C,SMALL($AA421:$CH421,6)))</f>
        <v>0</v>
      </c>
      <c r="N421" s="1" t="n">
        <f aca="false">IF(SMALL($AA421:$CH421,7)&gt;=9999,"",INDEX(Presupuesto!$C:$C,SMALL($AA421:$CH421,7)))</f>
        <v>0</v>
      </c>
      <c r="O421" s="1" t="n">
        <f aca="false">IF(SMALL($AA421:$CH421,8)&gt;=9999,"",INDEX(Presupuesto!$C:$C,SMALL($AA421:$CH421,8)))</f>
        <v>0</v>
      </c>
      <c r="P421" s="1" t="n">
        <f aca="false">IF(SMALL($AA421:$CH421,9)&gt;=9999,"",INDEX(Presupuesto!$C:$C,SMALL($AA421:$CH421,9)))</f>
        <v>0</v>
      </c>
      <c r="Q421" s="1" t="n">
        <f aca="false">IF(SMALL($AA421:$CH421,10)&gt;=9999,"",INDEX(Presupuesto!$C:$C,SMALL($AA421:$CH421,10)))</f>
        <v>0</v>
      </c>
      <c r="AA421" s="0" t="n">
        <f aca="false">IF(Presupuesto!$B$7='Flujo de Pagos'!$E421,7,9999)</f>
        <v>9999</v>
      </c>
      <c r="AB421" s="0" t="n">
        <f aca="false">IF(Presupuesto!$B$8='Flujo de Pagos'!$E421,8,9999)</f>
        <v>9999</v>
      </c>
      <c r="AC421" s="0" t="n">
        <f aca="false">IF(Presupuesto!$B$9='Flujo de Pagos'!$E421,9,9999)</f>
        <v>9999</v>
      </c>
      <c r="AD421" s="0" t="n">
        <f aca="false">IF(Presupuesto!$B$10='Flujo de Pagos'!$E421,10,9999)</f>
        <v>9999</v>
      </c>
      <c r="AE421" s="0" t="n">
        <f aca="false">IF(Presupuesto!$B$11='Flujo de Pagos'!$E421,11,9999)</f>
        <v>9999</v>
      </c>
      <c r="AF421" s="0" t="n">
        <f aca="false">IF(Presupuesto!$B$12='Flujo de Pagos'!$E421,12,9999)</f>
        <v>12</v>
      </c>
      <c r="AG421" s="0" t="n">
        <f aca="false">IF(Presupuesto!$B$13='Flujo de Pagos'!$E421,13,9999)</f>
        <v>13</v>
      </c>
      <c r="AH421" s="0" t="n">
        <f aca="false">IF(Presupuesto!$B$14='Flujo de Pagos'!$E421,14,9999)</f>
        <v>14</v>
      </c>
      <c r="AI421" s="0" t="n">
        <f aca="false">IF(Presupuesto!$B$15='Flujo de Pagos'!$E421,15,9999)</f>
        <v>15</v>
      </c>
      <c r="AJ421" s="0" t="n">
        <f aca="false">IF(Presupuesto!$B$16='Flujo de Pagos'!$E421,16,9999)</f>
        <v>16</v>
      </c>
      <c r="AK421" s="0" t="n">
        <f aca="false">IF(Presupuesto!$B$17='Flujo de Pagos'!$E421,17,9999)</f>
        <v>17</v>
      </c>
      <c r="AL421" s="0" t="n">
        <f aca="false">IF(Presupuesto!$B$18='Flujo de Pagos'!$E421,18,9999)</f>
        <v>18</v>
      </c>
      <c r="AM421" s="0" t="n">
        <f aca="false">IF(Presupuesto!$B$19='Flujo de Pagos'!$E421,19,9999)</f>
        <v>19</v>
      </c>
      <c r="AN421" s="0" t="n">
        <f aca="false">IF(Presupuesto!$B$20='Flujo de Pagos'!$E421,20,9999)</f>
        <v>20</v>
      </c>
      <c r="AO421" s="0" t="n">
        <f aca="false">IF(Presupuesto!$B$21='Flujo de Pagos'!$E421,21,9999)</f>
        <v>21</v>
      </c>
      <c r="AP421" s="0" t="n">
        <f aca="false">IF(Presupuesto!$B$22='Flujo de Pagos'!$E421,22,9999)</f>
        <v>22</v>
      </c>
      <c r="AQ421" s="0" t="n">
        <f aca="false">IF(Presupuesto!$B$23='Flujo de Pagos'!$E421,23,9999)</f>
        <v>23</v>
      </c>
      <c r="AR421" s="0" t="n">
        <f aca="false">IF(Presupuesto!$B$24='Flujo de Pagos'!$E421,24,9999)</f>
        <v>24</v>
      </c>
      <c r="AS421" s="0" t="n">
        <f aca="false">IF(Presupuesto!$B$25='Flujo de Pagos'!$E421,25,9999)</f>
        <v>25</v>
      </c>
      <c r="AT421" s="0" t="n">
        <f aca="false">IF(Presupuesto!$B$26='Flujo de Pagos'!$E421,26,9999)</f>
        <v>26</v>
      </c>
      <c r="AU421" s="0" t="n">
        <f aca="false">IF(Presupuesto!$B$27='Flujo de Pagos'!$E421,27,9999)</f>
        <v>27</v>
      </c>
      <c r="AV421" s="0" t="n">
        <f aca="false">IF(Presupuesto!$B$28='Flujo de Pagos'!$E421,28,9999)</f>
        <v>28</v>
      </c>
      <c r="AW421" s="0" t="n">
        <f aca="false">IF(Presupuesto!$B$29='Flujo de Pagos'!$E421,29,9999)</f>
        <v>29</v>
      </c>
      <c r="AX421" s="0" t="n">
        <f aca="false">IF(Presupuesto!$B$30='Flujo de Pagos'!$E421,30,9999)</f>
        <v>30</v>
      </c>
      <c r="AY421" s="0" t="n">
        <f aca="false">IF(Presupuesto!$B$31='Flujo de Pagos'!$E421,31,9999)</f>
        <v>31</v>
      </c>
      <c r="AZ421" s="0" t="n">
        <f aca="false">IF(Presupuesto!$B$32='Flujo de Pagos'!$E421,32,9999)</f>
        <v>32</v>
      </c>
      <c r="BA421" s="0" t="n">
        <f aca="false">IF(Presupuesto!$B$33='Flujo de Pagos'!$E421,33,9999)</f>
        <v>33</v>
      </c>
      <c r="BB421" s="0" t="n">
        <f aca="false">IF(Presupuesto!$B$34='Flujo de Pagos'!$E421,34,9999)</f>
        <v>34</v>
      </c>
      <c r="BC421" s="0" t="n">
        <f aca="false">IF(Presupuesto!$B$35='Flujo de Pagos'!$E421,35,9999)</f>
        <v>35</v>
      </c>
      <c r="BD421" s="0" t="n">
        <f aca="false">IF(Presupuesto!$B$36='Flujo de Pagos'!$E421,36,9999)</f>
        <v>36</v>
      </c>
      <c r="BE421" s="0" t="n">
        <f aca="false">IF(Presupuesto!$B$37='Flujo de Pagos'!$E421,37,9999)</f>
        <v>37</v>
      </c>
      <c r="BF421" s="0" t="n">
        <f aca="false">IF(Presupuesto!$B$38='Flujo de Pagos'!$E421,38,9999)</f>
        <v>38</v>
      </c>
      <c r="BG421" s="0" t="n">
        <f aca="false">IF(Presupuesto!$B$39='Flujo de Pagos'!$E421,39,9999)</f>
        <v>39</v>
      </c>
      <c r="BH421" s="0" t="n">
        <f aca="false">IF(Presupuesto!$B$40='Flujo de Pagos'!$E421,40,9999)</f>
        <v>40</v>
      </c>
      <c r="BI421" s="0" t="n">
        <f aca="false">IF(Presupuesto!$B$41='Flujo de Pagos'!$E421,41,9999)</f>
        <v>41</v>
      </c>
      <c r="BJ421" s="0" t="n">
        <f aca="false">IF(Presupuesto!$B$42='Flujo de Pagos'!$E421,42,9999)</f>
        <v>42</v>
      </c>
      <c r="BK421" s="0" t="n">
        <f aca="false">IF(Presupuesto!$B$43='Flujo de Pagos'!$E421,43,9999)</f>
        <v>43</v>
      </c>
      <c r="BL421" s="0" t="n">
        <f aca="false">IF(Presupuesto!$B$44='Flujo de Pagos'!$E421,44,9999)</f>
        <v>44</v>
      </c>
      <c r="BM421" s="0" t="n">
        <f aca="false">IF(Presupuesto!$B$45='Flujo de Pagos'!$E421,45,9999)</f>
        <v>45</v>
      </c>
      <c r="BN421" s="0" t="n">
        <f aca="false">IF(Presupuesto!$B$46='Flujo de Pagos'!$E421,46,9999)</f>
        <v>46</v>
      </c>
      <c r="BO421" s="0" t="n">
        <f aca="false">IF(Presupuesto!$B$47='Flujo de Pagos'!$E421,47,9999)</f>
        <v>47</v>
      </c>
      <c r="BP421" s="0" t="n">
        <f aca="false">IF(Presupuesto!$B$48='Flujo de Pagos'!$E421,48,9999)</f>
        <v>48</v>
      </c>
      <c r="BQ421" s="0" t="n">
        <f aca="false">IF(Presupuesto!$B$49='Flujo de Pagos'!$E421,49,9999)</f>
        <v>49</v>
      </c>
      <c r="BR421" s="0" t="n">
        <f aca="false">IF(Presupuesto!$B$50='Flujo de Pagos'!$E421,50,9999)</f>
        <v>50</v>
      </c>
      <c r="BS421" s="0" t="n">
        <f aca="false">IF(Presupuesto!$B$51='Flujo de Pagos'!$E421,51,9999)</f>
        <v>51</v>
      </c>
      <c r="BT421" s="0" t="n">
        <f aca="false">IF(Presupuesto!$B$52='Flujo de Pagos'!$E421,52,9999)</f>
        <v>52</v>
      </c>
      <c r="BU421" s="0" t="n">
        <f aca="false">IF(Presupuesto!$B$53='Flujo de Pagos'!$E421,53,9999)</f>
        <v>53</v>
      </c>
      <c r="BV421" s="0" t="n">
        <f aca="false">IF(Presupuesto!$B$54='Flujo de Pagos'!$E421,54,9999)</f>
        <v>54</v>
      </c>
      <c r="BW421" s="0" t="n">
        <f aca="false">IF(Presupuesto!$B$55='Flujo de Pagos'!$E421,55,9999)</f>
        <v>55</v>
      </c>
      <c r="BX421" s="0" t="n">
        <f aca="false">IF(Presupuesto!$B$56='Flujo de Pagos'!$E421,56,9999)</f>
        <v>56</v>
      </c>
      <c r="BY421" s="0" t="n">
        <f aca="false">IF(Presupuesto!$B$57='Flujo de Pagos'!$E421,57,9999)</f>
        <v>57</v>
      </c>
      <c r="BZ421" s="0" t="n">
        <f aca="false">IF(Presupuesto!$B$58='Flujo de Pagos'!$E421,58,9999)</f>
        <v>58</v>
      </c>
      <c r="CA421" s="0" t="n">
        <f aca="false">IF(Presupuesto!$B$59='Flujo de Pagos'!$E421,59,9999)</f>
        <v>59</v>
      </c>
      <c r="CB421" s="0" t="n">
        <f aca="false">IF(Presupuesto!$B$60='Flujo de Pagos'!$E421,60,9999)</f>
        <v>60</v>
      </c>
      <c r="CC421" s="0" t="n">
        <f aca="false">IF(Presupuesto!$B$61='Flujo de Pagos'!$E421,61,9999)</f>
        <v>61</v>
      </c>
      <c r="CD421" s="0" t="n">
        <f aca="false">IF(Presupuesto!$B$62='Flujo de Pagos'!$E421,62,9999)</f>
        <v>62</v>
      </c>
      <c r="CE421" s="0" t="n">
        <f aca="false">IF(Presupuesto!$B$63='Flujo de Pagos'!$E421,63,9999)</f>
        <v>63</v>
      </c>
      <c r="CF421" s="0" t="n">
        <f aca="false">IF(Presupuesto!$B$64='Flujo de Pagos'!$E421,64,9999)</f>
        <v>64</v>
      </c>
      <c r="CG421" s="0" t="n">
        <f aca="false">IF(Presupuesto!$B$65='Flujo de Pagos'!$E421,65,9999)</f>
        <v>65</v>
      </c>
      <c r="CH421" s="0" t="n">
        <f aca="false">IF(Presupuesto!$B$66='Flujo de Pagos'!$E421,66,9999)</f>
        <v>66</v>
      </c>
    </row>
    <row r="422" customFormat="false" ht="15" hidden="false" customHeight="true" outlineLevel="0" collapsed="false">
      <c r="B422" s="1" t="n">
        <f aca="false">IF(AND('Flujo de Pagos'!E427=Carátula!$B$2,'Flujo de Pagos'!F427=Carátula!$B$4,'Flujo de Pagos'!H427&lt;&gt;""),427,99999)</f>
        <v>99999</v>
      </c>
      <c r="H422" s="1" t="n">
        <f aca="false">IF(SMALL($AA422:$CH422,1)&gt;=9999,"",INDEX(Presupuesto!$C:$C,SMALL($AA422:$CH422,1)))</f>
        <v>0</v>
      </c>
      <c r="I422" s="1" t="n">
        <f aca="false">IF(SMALL($AA422:$CH422,2)&gt;=9999,"",INDEX(Presupuesto!$C:$C,SMALL($AA422:$CH422,2)))</f>
        <v>0</v>
      </c>
      <c r="J422" s="1" t="n">
        <f aca="false">IF(SMALL($AA422:$CH422,3)&gt;=9999,"",INDEX(Presupuesto!$C:$C,SMALL($AA422:$CH422,3)))</f>
        <v>0</v>
      </c>
      <c r="K422" s="1" t="n">
        <f aca="false">IF(SMALL($AA422:$CH422,4)&gt;=9999,"",INDEX(Presupuesto!$C:$C,SMALL($AA422:$CH422,4)))</f>
        <v>0</v>
      </c>
      <c r="L422" s="1" t="n">
        <f aca="false">IF(SMALL($AA422:$CH422,5)&gt;=9999,"",INDEX(Presupuesto!$C:$C,SMALL($AA422:$CH422,5)))</f>
        <v>0</v>
      </c>
      <c r="M422" s="1" t="n">
        <f aca="false">IF(SMALL($AA422:$CH422,6)&gt;=9999,"",INDEX(Presupuesto!$C:$C,SMALL($AA422:$CH422,6)))</f>
        <v>0</v>
      </c>
      <c r="N422" s="1" t="n">
        <f aca="false">IF(SMALL($AA422:$CH422,7)&gt;=9999,"",INDEX(Presupuesto!$C:$C,SMALL($AA422:$CH422,7)))</f>
        <v>0</v>
      </c>
      <c r="O422" s="1" t="n">
        <f aca="false">IF(SMALL($AA422:$CH422,8)&gt;=9999,"",INDEX(Presupuesto!$C:$C,SMALL($AA422:$CH422,8)))</f>
        <v>0</v>
      </c>
      <c r="P422" s="1" t="n">
        <f aca="false">IF(SMALL($AA422:$CH422,9)&gt;=9999,"",INDEX(Presupuesto!$C:$C,SMALL($AA422:$CH422,9)))</f>
        <v>0</v>
      </c>
      <c r="Q422" s="1" t="n">
        <f aca="false">IF(SMALL($AA422:$CH422,10)&gt;=9999,"",INDEX(Presupuesto!$C:$C,SMALL($AA422:$CH422,10)))</f>
        <v>0</v>
      </c>
      <c r="AA422" s="0" t="n">
        <f aca="false">IF(Presupuesto!$B$7='Flujo de Pagos'!$E422,7,9999)</f>
        <v>9999</v>
      </c>
      <c r="AB422" s="0" t="n">
        <f aca="false">IF(Presupuesto!$B$8='Flujo de Pagos'!$E422,8,9999)</f>
        <v>9999</v>
      </c>
      <c r="AC422" s="0" t="n">
        <f aca="false">IF(Presupuesto!$B$9='Flujo de Pagos'!$E422,9,9999)</f>
        <v>9999</v>
      </c>
      <c r="AD422" s="0" t="n">
        <f aca="false">IF(Presupuesto!$B$10='Flujo de Pagos'!$E422,10,9999)</f>
        <v>9999</v>
      </c>
      <c r="AE422" s="0" t="n">
        <f aca="false">IF(Presupuesto!$B$11='Flujo de Pagos'!$E422,11,9999)</f>
        <v>9999</v>
      </c>
      <c r="AF422" s="0" t="n">
        <f aca="false">IF(Presupuesto!$B$12='Flujo de Pagos'!$E422,12,9999)</f>
        <v>12</v>
      </c>
      <c r="AG422" s="0" t="n">
        <f aca="false">IF(Presupuesto!$B$13='Flujo de Pagos'!$E422,13,9999)</f>
        <v>13</v>
      </c>
      <c r="AH422" s="0" t="n">
        <f aca="false">IF(Presupuesto!$B$14='Flujo de Pagos'!$E422,14,9999)</f>
        <v>14</v>
      </c>
      <c r="AI422" s="0" t="n">
        <f aca="false">IF(Presupuesto!$B$15='Flujo de Pagos'!$E422,15,9999)</f>
        <v>15</v>
      </c>
      <c r="AJ422" s="0" t="n">
        <f aca="false">IF(Presupuesto!$B$16='Flujo de Pagos'!$E422,16,9999)</f>
        <v>16</v>
      </c>
      <c r="AK422" s="0" t="n">
        <f aca="false">IF(Presupuesto!$B$17='Flujo de Pagos'!$E422,17,9999)</f>
        <v>17</v>
      </c>
      <c r="AL422" s="0" t="n">
        <f aca="false">IF(Presupuesto!$B$18='Flujo de Pagos'!$E422,18,9999)</f>
        <v>18</v>
      </c>
      <c r="AM422" s="0" t="n">
        <f aca="false">IF(Presupuesto!$B$19='Flujo de Pagos'!$E422,19,9999)</f>
        <v>19</v>
      </c>
      <c r="AN422" s="0" t="n">
        <f aca="false">IF(Presupuesto!$B$20='Flujo de Pagos'!$E422,20,9999)</f>
        <v>20</v>
      </c>
      <c r="AO422" s="0" t="n">
        <f aca="false">IF(Presupuesto!$B$21='Flujo de Pagos'!$E422,21,9999)</f>
        <v>21</v>
      </c>
      <c r="AP422" s="0" t="n">
        <f aca="false">IF(Presupuesto!$B$22='Flujo de Pagos'!$E422,22,9999)</f>
        <v>22</v>
      </c>
      <c r="AQ422" s="0" t="n">
        <f aca="false">IF(Presupuesto!$B$23='Flujo de Pagos'!$E422,23,9999)</f>
        <v>23</v>
      </c>
      <c r="AR422" s="0" t="n">
        <f aca="false">IF(Presupuesto!$B$24='Flujo de Pagos'!$E422,24,9999)</f>
        <v>24</v>
      </c>
      <c r="AS422" s="0" t="n">
        <f aca="false">IF(Presupuesto!$B$25='Flujo de Pagos'!$E422,25,9999)</f>
        <v>25</v>
      </c>
      <c r="AT422" s="0" t="n">
        <f aca="false">IF(Presupuesto!$B$26='Flujo de Pagos'!$E422,26,9999)</f>
        <v>26</v>
      </c>
      <c r="AU422" s="0" t="n">
        <f aca="false">IF(Presupuesto!$B$27='Flujo de Pagos'!$E422,27,9999)</f>
        <v>27</v>
      </c>
      <c r="AV422" s="0" t="n">
        <f aca="false">IF(Presupuesto!$B$28='Flujo de Pagos'!$E422,28,9999)</f>
        <v>28</v>
      </c>
      <c r="AW422" s="0" t="n">
        <f aca="false">IF(Presupuesto!$B$29='Flujo de Pagos'!$E422,29,9999)</f>
        <v>29</v>
      </c>
      <c r="AX422" s="0" t="n">
        <f aca="false">IF(Presupuesto!$B$30='Flujo de Pagos'!$E422,30,9999)</f>
        <v>30</v>
      </c>
      <c r="AY422" s="0" t="n">
        <f aca="false">IF(Presupuesto!$B$31='Flujo de Pagos'!$E422,31,9999)</f>
        <v>31</v>
      </c>
      <c r="AZ422" s="0" t="n">
        <f aca="false">IF(Presupuesto!$B$32='Flujo de Pagos'!$E422,32,9999)</f>
        <v>32</v>
      </c>
      <c r="BA422" s="0" t="n">
        <f aca="false">IF(Presupuesto!$B$33='Flujo de Pagos'!$E422,33,9999)</f>
        <v>33</v>
      </c>
      <c r="BB422" s="0" t="n">
        <f aca="false">IF(Presupuesto!$B$34='Flujo de Pagos'!$E422,34,9999)</f>
        <v>34</v>
      </c>
      <c r="BC422" s="0" t="n">
        <f aca="false">IF(Presupuesto!$B$35='Flujo de Pagos'!$E422,35,9999)</f>
        <v>35</v>
      </c>
      <c r="BD422" s="0" t="n">
        <f aca="false">IF(Presupuesto!$B$36='Flujo de Pagos'!$E422,36,9999)</f>
        <v>36</v>
      </c>
      <c r="BE422" s="0" t="n">
        <f aca="false">IF(Presupuesto!$B$37='Flujo de Pagos'!$E422,37,9999)</f>
        <v>37</v>
      </c>
      <c r="BF422" s="0" t="n">
        <f aca="false">IF(Presupuesto!$B$38='Flujo de Pagos'!$E422,38,9999)</f>
        <v>38</v>
      </c>
      <c r="BG422" s="0" t="n">
        <f aca="false">IF(Presupuesto!$B$39='Flujo de Pagos'!$E422,39,9999)</f>
        <v>39</v>
      </c>
      <c r="BH422" s="0" t="n">
        <f aca="false">IF(Presupuesto!$B$40='Flujo de Pagos'!$E422,40,9999)</f>
        <v>40</v>
      </c>
      <c r="BI422" s="0" t="n">
        <f aca="false">IF(Presupuesto!$B$41='Flujo de Pagos'!$E422,41,9999)</f>
        <v>41</v>
      </c>
      <c r="BJ422" s="0" t="n">
        <f aca="false">IF(Presupuesto!$B$42='Flujo de Pagos'!$E422,42,9999)</f>
        <v>42</v>
      </c>
      <c r="BK422" s="0" t="n">
        <f aca="false">IF(Presupuesto!$B$43='Flujo de Pagos'!$E422,43,9999)</f>
        <v>43</v>
      </c>
      <c r="BL422" s="0" t="n">
        <f aca="false">IF(Presupuesto!$B$44='Flujo de Pagos'!$E422,44,9999)</f>
        <v>44</v>
      </c>
      <c r="BM422" s="0" t="n">
        <f aca="false">IF(Presupuesto!$B$45='Flujo de Pagos'!$E422,45,9999)</f>
        <v>45</v>
      </c>
      <c r="BN422" s="0" t="n">
        <f aca="false">IF(Presupuesto!$B$46='Flujo de Pagos'!$E422,46,9999)</f>
        <v>46</v>
      </c>
      <c r="BO422" s="0" t="n">
        <f aca="false">IF(Presupuesto!$B$47='Flujo de Pagos'!$E422,47,9999)</f>
        <v>47</v>
      </c>
      <c r="BP422" s="0" t="n">
        <f aca="false">IF(Presupuesto!$B$48='Flujo de Pagos'!$E422,48,9999)</f>
        <v>48</v>
      </c>
      <c r="BQ422" s="0" t="n">
        <f aca="false">IF(Presupuesto!$B$49='Flujo de Pagos'!$E422,49,9999)</f>
        <v>49</v>
      </c>
      <c r="BR422" s="0" t="n">
        <f aca="false">IF(Presupuesto!$B$50='Flujo de Pagos'!$E422,50,9999)</f>
        <v>50</v>
      </c>
      <c r="BS422" s="0" t="n">
        <f aca="false">IF(Presupuesto!$B$51='Flujo de Pagos'!$E422,51,9999)</f>
        <v>51</v>
      </c>
      <c r="BT422" s="0" t="n">
        <f aca="false">IF(Presupuesto!$B$52='Flujo de Pagos'!$E422,52,9999)</f>
        <v>52</v>
      </c>
      <c r="BU422" s="0" t="n">
        <f aca="false">IF(Presupuesto!$B$53='Flujo de Pagos'!$E422,53,9999)</f>
        <v>53</v>
      </c>
      <c r="BV422" s="0" t="n">
        <f aca="false">IF(Presupuesto!$B$54='Flujo de Pagos'!$E422,54,9999)</f>
        <v>54</v>
      </c>
      <c r="BW422" s="0" t="n">
        <f aca="false">IF(Presupuesto!$B$55='Flujo de Pagos'!$E422,55,9999)</f>
        <v>55</v>
      </c>
      <c r="BX422" s="0" t="n">
        <f aca="false">IF(Presupuesto!$B$56='Flujo de Pagos'!$E422,56,9999)</f>
        <v>56</v>
      </c>
      <c r="BY422" s="0" t="n">
        <f aca="false">IF(Presupuesto!$B$57='Flujo de Pagos'!$E422,57,9999)</f>
        <v>57</v>
      </c>
      <c r="BZ422" s="0" t="n">
        <f aca="false">IF(Presupuesto!$B$58='Flujo de Pagos'!$E422,58,9999)</f>
        <v>58</v>
      </c>
      <c r="CA422" s="0" t="n">
        <f aca="false">IF(Presupuesto!$B$59='Flujo de Pagos'!$E422,59,9999)</f>
        <v>59</v>
      </c>
      <c r="CB422" s="0" t="n">
        <f aca="false">IF(Presupuesto!$B$60='Flujo de Pagos'!$E422,60,9999)</f>
        <v>60</v>
      </c>
      <c r="CC422" s="0" t="n">
        <f aca="false">IF(Presupuesto!$B$61='Flujo de Pagos'!$E422,61,9999)</f>
        <v>61</v>
      </c>
      <c r="CD422" s="0" t="n">
        <f aca="false">IF(Presupuesto!$B$62='Flujo de Pagos'!$E422,62,9999)</f>
        <v>62</v>
      </c>
      <c r="CE422" s="0" t="n">
        <f aca="false">IF(Presupuesto!$B$63='Flujo de Pagos'!$E422,63,9999)</f>
        <v>63</v>
      </c>
      <c r="CF422" s="0" t="n">
        <f aca="false">IF(Presupuesto!$B$64='Flujo de Pagos'!$E422,64,9999)</f>
        <v>64</v>
      </c>
      <c r="CG422" s="0" t="n">
        <f aca="false">IF(Presupuesto!$B$65='Flujo de Pagos'!$E422,65,9999)</f>
        <v>65</v>
      </c>
      <c r="CH422" s="0" t="n">
        <f aca="false">IF(Presupuesto!$B$66='Flujo de Pagos'!$E422,66,9999)</f>
        <v>66</v>
      </c>
    </row>
    <row r="423" customFormat="false" ht="15" hidden="false" customHeight="true" outlineLevel="0" collapsed="false">
      <c r="B423" s="1" t="n">
        <f aca="false">IF(AND('Flujo de Pagos'!E428=Carátula!$B$2,'Flujo de Pagos'!F428=Carátula!$B$4,'Flujo de Pagos'!H428&lt;&gt;""),428,99999)</f>
        <v>99999</v>
      </c>
      <c r="H423" s="1" t="n">
        <f aca="false">IF(SMALL($AA423:$CH423,1)&gt;=9999,"",INDEX(Presupuesto!$C:$C,SMALL($AA423:$CH423,1)))</f>
        <v>0</v>
      </c>
      <c r="I423" s="1" t="n">
        <f aca="false">IF(SMALL($AA423:$CH423,2)&gt;=9999,"",INDEX(Presupuesto!$C:$C,SMALL($AA423:$CH423,2)))</f>
        <v>0</v>
      </c>
      <c r="J423" s="1" t="n">
        <f aca="false">IF(SMALL($AA423:$CH423,3)&gt;=9999,"",INDEX(Presupuesto!$C:$C,SMALL($AA423:$CH423,3)))</f>
        <v>0</v>
      </c>
      <c r="K423" s="1" t="n">
        <f aca="false">IF(SMALL($AA423:$CH423,4)&gt;=9999,"",INDEX(Presupuesto!$C:$C,SMALL($AA423:$CH423,4)))</f>
        <v>0</v>
      </c>
      <c r="L423" s="1" t="n">
        <f aca="false">IF(SMALL($AA423:$CH423,5)&gt;=9999,"",INDEX(Presupuesto!$C:$C,SMALL($AA423:$CH423,5)))</f>
        <v>0</v>
      </c>
      <c r="M423" s="1" t="n">
        <f aca="false">IF(SMALL($AA423:$CH423,6)&gt;=9999,"",INDEX(Presupuesto!$C:$C,SMALL($AA423:$CH423,6)))</f>
        <v>0</v>
      </c>
      <c r="N423" s="1" t="n">
        <f aca="false">IF(SMALL($AA423:$CH423,7)&gt;=9999,"",INDEX(Presupuesto!$C:$C,SMALL($AA423:$CH423,7)))</f>
        <v>0</v>
      </c>
      <c r="O423" s="1" t="n">
        <f aca="false">IF(SMALL($AA423:$CH423,8)&gt;=9999,"",INDEX(Presupuesto!$C:$C,SMALL($AA423:$CH423,8)))</f>
        <v>0</v>
      </c>
      <c r="P423" s="1" t="n">
        <f aca="false">IF(SMALL($AA423:$CH423,9)&gt;=9999,"",INDEX(Presupuesto!$C:$C,SMALL($AA423:$CH423,9)))</f>
        <v>0</v>
      </c>
      <c r="Q423" s="1" t="n">
        <f aca="false">IF(SMALL($AA423:$CH423,10)&gt;=9999,"",INDEX(Presupuesto!$C:$C,SMALL($AA423:$CH423,10)))</f>
        <v>0</v>
      </c>
      <c r="AA423" s="0" t="n">
        <f aca="false">IF(Presupuesto!$B$7='Flujo de Pagos'!$E423,7,9999)</f>
        <v>9999</v>
      </c>
      <c r="AB423" s="0" t="n">
        <f aca="false">IF(Presupuesto!$B$8='Flujo de Pagos'!$E423,8,9999)</f>
        <v>9999</v>
      </c>
      <c r="AC423" s="0" t="n">
        <f aca="false">IF(Presupuesto!$B$9='Flujo de Pagos'!$E423,9,9999)</f>
        <v>9999</v>
      </c>
      <c r="AD423" s="0" t="n">
        <f aca="false">IF(Presupuesto!$B$10='Flujo de Pagos'!$E423,10,9999)</f>
        <v>9999</v>
      </c>
      <c r="AE423" s="0" t="n">
        <f aca="false">IF(Presupuesto!$B$11='Flujo de Pagos'!$E423,11,9999)</f>
        <v>9999</v>
      </c>
      <c r="AF423" s="0" t="n">
        <f aca="false">IF(Presupuesto!$B$12='Flujo de Pagos'!$E423,12,9999)</f>
        <v>12</v>
      </c>
      <c r="AG423" s="0" t="n">
        <f aca="false">IF(Presupuesto!$B$13='Flujo de Pagos'!$E423,13,9999)</f>
        <v>13</v>
      </c>
      <c r="AH423" s="0" t="n">
        <f aca="false">IF(Presupuesto!$B$14='Flujo de Pagos'!$E423,14,9999)</f>
        <v>14</v>
      </c>
      <c r="AI423" s="0" t="n">
        <f aca="false">IF(Presupuesto!$B$15='Flujo de Pagos'!$E423,15,9999)</f>
        <v>15</v>
      </c>
      <c r="AJ423" s="0" t="n">
        <f aca="false">IF(Presupuesto!$B$16='Flujo de Pagos'!$E423,16,9999)</f>
        <v>16</v>
      </c>
      <c r="AK423" s="0" t="n">
        <f aca="false">IF(Presupuesto!$B$17='Flujo de Pagos'!$E423,17,9999)</f>
        <v>17</v>
      </c>
      <c r="AL423" s="0" t="n">
        <f aca="false">IF(Presupuesto!$B$18='Flujo de Pagos'!$E423,18,9999)</f>
        <v>18</v>
      </c>
      <c r="AM423" s="0" t="n">
        <f aca="false">IF(Presupuesto!$B$19='Flujo de Pagos'!$E423,19,9999)</f>
        <v>19</v>
      </c>
      <c r="AN423" s="0" t="n">
        <f aca="false">IF(Presupuesto!$B$20='Flujo de Pagos'!$E423,20,9999)</f>
        <v>20</v>
      </c>
      <c r="AO423" s="0" t="n">
        <f aca="false">IF(Presupuesto!$B$21='Flujo de Pagos'!$E423,21,9999)</f>
        <v>21</v>
      </c>
      <c r="AP423" s="0" t="n">
        <f aca="false">IF(Presupuesto!$B$22='Flujo de Pagos'!$E423,22,9999)</f>
        <v>22</v>
      </c>
      <c r="AQ423" s="0" t="n">
        <f aca="false">IF(Presupuesto!$B$23='Flujo de Pagos'!$E423,23,9999)</f>
        <v>23</v>
      </c>
      <c r="AR423" s="0" t="n">
        <f aca="false">IF(Presupuesto!$B$24='Flujo de Pagos'!$E423,24,9999)</f>
        <v>24</v>
      </c>
      <c r="AS423" s="0" t="n">
        <f aca="false">IF(Presupuesto!$B$25='Flujo de Pagos'!$E423,25,9999)</f>
        <v>25</v>
      </c>
      <c r="AT423" s="0" t="n">
        <f aca="false">IF(Presupuesto!$B$26='Flujo de Pagos'!$E423,26,9999)</f>
        <v>26</v>
      </c>
      <c r="AU423" s="0" t="n">
        <f aca="false">IF(Presupuesto!$B$27='Flujo de Pagos'!$E423,27,9999)</f>
        <v>27</v>
      </c>
      <c r="AV423" s="0" t="n">
        <f aca="false">IF(Presupuesto!$B$28='Flujo de Pagos'!$E423,28,9999)</f>
        <v>28</v>
      </c>
      <c r="AW423" s="0" t="n">
        <f aca="false">IF(Presupuesto!$B$29='Flujo de Pagos'!$E423,29,9999)</f>
        <v>29</v>
      </c>
      <c r="AX423" s="0" t="n">
        <f aca="false">IF(Presupuesto!$B$30='Flujo de Pagos'!$E423,30,9999)</f>
        <v>30</v>
      </c>
      <c r="AY423" s="0" t="n">
        <f aca="false">IF(Presupuesto!$B$31='Flujo de Pagos'!$E423,31,9999)</f>
        <v>31</v>
      </c>
      <c r="AZ423" s="0" t="n">
        <f aca="false">IF(Presupuesto!$B$32='Flujo de Pagos'!$E423,32,9999)</f>
        <v>32</v>
      </c>
      <c r="BA423" s="0" t="n">
        <f aca="false">IF(Presupuesto!$B$33='Flujo de Pagos'!$E423,33,9999)</f>
        <v>33</v>
      </c>
      <c r="BB423" s="0" t="n">
        <f aca="false">IF(Presupuesto!$B$34='Flujo de Pagos'!$E423,34,9999)</f>
        <v>34</v>
      </c>
      <c r="BC423" s="0" t="n">
        <f aca="false">IF(Presupuesto!$B$35='Flujo de Pagos'!$E423,35,9999)</f>
        <v>35</v>
      </c>
      <c r="BD423" s="0" t="n">
        <f aca="false">IF(Presupuesto!$B$36='Flujo de Pagos'!$E423,36,9999)</f>
        <v>36</v>
      </c>
      <c r="BE423" s="0" t="n">
        <f aca="false">IF(Presupuesto!$B$37='Flujo de Pagos'!$E423,37,9999)</f>
        <v>37</v>
      </c>
      <c r="BF423" s="0" t="n">
        <f aca="false">IF(Presupuesto!$B$38='Flujo de Pagos'!$E423,38,9999)</f>
        <v>38</v>
      </c>
      <c r="BG423" s="0" t="n">
        <f aca="false">IF(Presupuesto!$B$39='Flujo de Pagos'!$E423,39,9999)</f>
        <v>39</v>
      </c>
      <c r="BH423" s="0" t="n">
        <f aca="false">IF(Presupuesto!$B$40='Flujo de Pagos'!$E423,40,9999)</f>
        <v>40</v>
      </c>
      <c r="BI423" s="0" t="n">
        <f aca="false">IF(Presupuesto!$B$41='Flujo de Pagos'!$E423,41,9999)</f>
        <v>41</v>
      </c>
      <c r="BJ423" s="0" t="n">
        <f aca="false">IF(Presupuesto!$B$42='Flujo de Pagos'!$E423,42,9999)</f>
        <v>42</v>
      </c>
      <c r="BK423" s="0" t="n">
        <f aca="false">IF(Presupuesto!$B$43='Flujo de Pagos'!$E423,43,9999)</f>
        <v>43</v>
      </c>
      <c r="BL423" s="0" t="n">
        <f aca="false">IF(Presupuesto!$B$44='Flujo de Pagos'!$E423,44,9999)</f>
        <v>44</v>
      </c>
      <c r="BM423" s="0" t="n">
        <f aca="false">IF(Presupuesto!$B$45='Flujo de Pagos'!$E423,45,9999)</f>
        <v>45</v>
      </c>
      <c r="BN423" s="0" t="n">
        <f aca="false">IF(Presupuesto!$B$46='Flujo de Pagos'!$E423,46,9999)</f>
        <v>46</v>
      </c>
      <c r="BO423" s="0" t="n">
        <f aca="false">IF(Presupuesto!$B$47='Flujo de Pagos'!$E423,47,9999)</f>
        <v>47</v>
      </c>
      <c r="BP423" s="0" t="n">
        <f aca="false">IF(Presupuesto!$B$48='Flujo de Pagos'!$E423,48,9999)</f>
        <v>48</v>
      </c>
      <c r="BQ423" s="0" t="n">
        <f aca="false">IF(Presupuesto!$B$49='Flujo de Pagos'!$E423,49,9999)</f>
        <v>49</v>
      </c>
      <c r="BR423" s="0" t="n">
        <f aca="false">IF(Presupuesto!$B$50='Flujo de Pagos'!$E423,50,9999)</f>
        <v>50</v>
      </c>
      <c r="BS423" s="0" t="n">
        <f aca="false">IF(Presupuesto!$B$51='Flujo de Pagos'!$E423,51,9999)</f>
        <v>51</v>
      </c>
      <c r="BT423" s="0" t="n">
        <f aca="false">IF(Presupuesto!$B$52='Flujo de Pagos'!$E423,52,9999)</f>
        <v>52</v>
      </c>
      <c r="BU423" s="0" t="n">
        <f aca="false">IF(Presupuesto!$B$53='Flujo de Pagos'!$E423,53,9999)</f>
        <v>53</v>
      </c>
      <c r="BV423" s="0" t="n">
        <f aca="false">IF(Presupuesto!$B$54='Flujo de Pagos'!$E423,54,9999)</f>
        <v>54</v>
      </c>
      <c r="BW423" s="0" t="n">
        <f aca="false">IF(Presupuesto!$B$55='Flujo de Pagos'!$E423,55,9999)</f>
        <v>55</v>
      </c>
      <c r="BX423" s="0" t="n">
        <f aca="false">IF(Presupuesto!$B$56='Flujo de Pagos'!$E423,56,9999)</f>
        <v>56</v>
      </c>
      <c r="BY423" s="0" t="n">
        <f aca="false">IF(Presupuesto!$B$57='Flujo de Pagos'!$E423,57,9999)</f>
        <v>57</v>
      </c>
      <c r="BZ423" s="0" t="n">
        <f aca="false">IF(Presupuesto!$B$58='Flujo de Pagos'!$E423,58,9999)</f>
        <v>58</v>
      </c>
      <c r="CA423" s="0" t="n">
        <f aca="false">IF(Presupuesto!$B$59='Flujo de Pagos'!$E423,59,9999)</f>
        <v>59</v>
      </c>
      <c r="CB423" s="0" t="n">
        <f aca="false">IF(Presupuesto!$B$60='Flujo de Pagos'!$E423,60,9999)</f>
        <v>60</v>
      </c>
      <c r="CC423" s="0" t="n">
        <f aca="false">IF(Presupuesto!$B$61='Flujo de Pagos'!$E423,61,9999)</f>
        <v>61</v>
      </c>
      <c r="CD423" s="0" t="n">
        <f aca="false">IF(Presupuesto!$B$62='Flujo de Pagos'!$E423,62,9999)</f>
        <v>62</v>
      </c>
      <c r="CE423" s="0" t="n">
        <f aca="false">IF(Presupuesto!$B$63='Flujo de Pagos'!$E423,63,9999)</f>
        <v>63</v>
      </c>
      <c r="CF423" s="0" t="n">
        <f aca="false">IF(Presupuesto!$B$64='Flujo de Pagos'!$E423,64,9999)</f>
        <v>64</v>
      </c>
      <c r="CG423" s="0" t="n">
        <f aca="false">IF(Presupuesto!$B$65='Flujo de Pagos'!$E423,65,9999)</f>
        <v>65</v>
      </c>
      <c r="CH423" s="0" t="n">
        <f aca="false">IF(Presupuesto!$B$66='Flujo de Pagos'!$E423,66,9999)</f>
        <v>66</v>
      </c>
    </row>
    <row r="424" customFormat="false" ht="15" hidden="false" customHeight="true" outlineLevel="0" collapsed="false">
      <c r="B424" s="1" t="n">
        <f aca="false">IF(AND('Flujo de Pagos'!E429=Carátula!$B$2,'Flujo de Pagos'!F429=Carátula!$B$4,'Flujo de Pagos'!H429&lt;&gt;""),429,99999)</f>
        <v>99999</v>
      </c>
      <c r="H424" s="1" t="n">
        <f aca="false">IF(SMALL($AA424:$CH424,1)&gt;=9999,"",INDEX(Presupuesto!$C:$C,SMALL($AA424:$CH424,1)))</f>
        <v>0</v>
      </c>
      <c r="I424" s="1" t="n">
        <f aca="false">IF(SMALL($AA424:$CH424,2)&gt;=9999,"",INDEX(Presupuesto!$C:$C,SMALL($AA424:$CH424,2)))</f>
        <v>0</v>
      </c>
      <c r="J424" s="1" t="n">
        <f aca="false">IF(SMALL($AA424:$CH424,3)&gt;=9999,"",INDEX(Presupuesto!$C:$C,SMALL($AA424:$CH424,3)))</f>
        <v>0</v>
      </c>
      <c r="K424" s="1" t="n">
        <f aca="false">IF(SMALL($AA424:$CH424,4)&gt;=9999,"",INDEX(Presupuesto!$C:$C,SMALL($AA424:$CH424,4)))</f>
        <v>0</v>
      </c>
      <c r="L424" s="1" t="n">
        <f aca="false">IF(SMALL($AA424:$CH424,5)&gt;=9999,"",INDEX(Presupuesto!$C:$C,SMALL($AA424:$CH424,5)))</f>
        <v>0</v>
      </c>
      <c r="M424" s="1" t="n">
        <f aca="false">IF(SMALL($AA424:$CH424,6)&gt;=9999,"",INDEX(Presupuesto!$C:$C,SMALL($AA424:$CH424,6)))</f>
        <v>0</v>
      </c>
      <c r="N424" s="1" t="n">
        <f aca="false">IF(SMALL($AA424:$CH424,7)&gt;=9999,"",INDEX(Presupuesto!$C:$C,SMALL($AA424:$CH424,7)))</f>
        <v>0</v>
      </c>
      <c r="O424" s="1" t="n">
        <f aca="false">IF(SMALL($AA424:$CH424,8)&gt;=9999,"",INDEX(Presupuesto!$C:$C,SMALL($AA424:$CH424,8)))</f>
        <v>0</v>
      </c>
      <c r="P424" s="1" t="n">
        <f aca="false">IF(SMALL($AA424:$CH424,9)&gt;=9999,"",INDEX(Presupuesto!$C:$C,SMALL($AA424:$CH424,9)))</f>
        <v>0</v>
      </c>
      <c r="Q424" s="1" t="n">
        <f aca="false">IF(SMALL($AA424:$CH424,10)&gt;=9999,"",INDEX(Presupuesto!$C:$C,SMALL($AA424:$CH424,10)))</f>
        <v>0</v>
      </c>
      <c r="AA424" s="0" t="n">
        <f aca="false">IF(Presupuesto!$B$7='Flujo de Pagos'!$E424,7,9999)</f>
        <v>9999</v>
      </c>
      <c r="AB424" s="0" t="n">
        <f aca="false">IF(Presupuesto!$B$8='Flujo de Pagos'!$E424,8,9999)</f>
        <v>9999</v>
      </c>
      <c r="AC424" s="0" t="n">
        <f aca="false">IF(Presupuesto!$B$9='Flujo de Pagos'!$E424,9,9999)</f>
        <v>9999</v>
      </c>
      <c r="AD424" s="0" t="n">
        <f aca="false">IF(Presupuesto!$B$10='Flujo de Pagos'!$E424,10,9999)</f>
        <v>9999</v>
      </c>
      <c r="AE424" s="0" t="n">
        <f aca="false">IF(Presupuesto!$B$11='Flujo de Pagos'!$E424,11,9999)</f>
        <v>9999</v>
      </c>
      <c r="AF424" s="0" t="n">
        <f aca="false">IF(Presupuesto!$B$12='Flujo de Pagos'!$E424,12,9999)</f>
        <v>12</v>
      </c>
      <c r="AG424" s="0" t="n">
        <f aca="false">IF(Presupuesto!$B$13='Flujo de Pagos'!$E424,13,9999)</f>
        <v>13</v>
      </c>
      <c r="AH424" s="0" t="n">
        <f aca="false">IF(Presupuesto!$B$14='Flujo de Pagos'!$E424,14,9999)</f>
        <v>14</v>
      </c>
      <c r="AI424" s="0" t="n">
        <f aca="false">IF(Presupuesto!$B$15='Flujo de Pagos'!$E424,15,9999)</f>
        <v>15</v>
      </c>
      <c r="AJ424" s="0" t="n">
        <f aca="false">IF(Presupuesto!$B$16='Flujo de Pagos'!$E424,16,9999)</f>
        <v>16</v>
      </c>
      <c r="AK424" s="0" t="n">
        <f aca="false">IF(Presupuesto!$B$17='Flujo de Pagos'!$E424,17,9999)</f>
        <v>17</v>
      </c>
      <c r="AL424" s="0" t="n">
        <f aca="false">IF(Presupuesto!$B$18='Flujo de Pagos'!$E424,18,9999)</f>
        <v>18</v>
      </c>
      <c r="AM424" s="0" t="n">
        <f aca="false">IF(Presupuesto!$B$19='Flujo de Pagos'!$E424,19,9999)</f>
        <v>19</v>
      </c>
      <c r="AN424" s="0" t="n">
        <f aca="false">IF(Presupuesto!$B$20='Flujo de Pagos'!$E424,20,9999)</f>
        <v>20</v>
      </c>
      <c r="AO424" s="0" t="n">
        <f aca="false">IF(Presupuesto!$B$21='Flujo de Pagos'!$E424,21,9999)</f>
        <v>21</v>
      </c>
      <c r="AP424" s="0" t="n">
        <f aca="false">IF(Presupuesto!$B$22='Flujo de Pagos'!$E424,22,9999)</f>
        <v>22</v>
      </c>
      <c r="AQ424" s="0" t="n">
        <f aca="false">IF(Presupuesto!$B$23='Flujo de Pagos'!$E424,23,9999)</f>
        <v>23</v>
      </c>
      <c r="AR424" s="0" t="n">
        <f aca="false">IF(Presupuesto!$B$24='Flujo de Pagos'!$E424,24,9999)</f>
        <v>24</v>
      </c>
      <c r="AS424" s="0" t="n">
        <f aca="false">IF(Presupuesto!$B$25='Flujo de Pagos'!$E424,25,9999)</f>
        <v>25</v>
      </c>
      <c r="AT424" s="0" t="n">
        <f aca="false">IF(Presupuesto!$B$26='Flujo de Pagos'!$E424,26,9999)</f>
        <v>26</v>
      </c>
      <c r="AU424" s="0" t="n">
        <f aca="false">IF(Presupuesto!$B$27='Flujo de Pagos'!$E424,27,9999)</f>
        <v>27</v>
      </c>
      <c r="AV424" s="0" t="n">
        <f aca="false">IF(Presupuesto!$B$28='Flujo de Pagos'!$E424,28,9999)</f>
        <v>28</v>
      </c>
      <c r="AW424" s="0" t="n">
        <f aca="false">IF(Presupuesto!$B$29='Flujo de Pagos'!$E424,29,9999)</f>
        <v>29</v>
      </c>
      <c r="AX424" s="0" t="n">
        <f aca="false">IF(Presupuesto!$B$30='Flujo de Pagos'!$E424,30,9999)</f>
        <v>30</v>
      </c>
      <c r="AY424" s="0" t="n">
        <f aca="false">IF(Presupuesto!$B$31='Flujo de Pagos'!$E424,31,9999)</f>
        <v>31</v>
      </c>
      <c r="AZ424" s="0" t="n">
        <f aca="false">IF(Presupuesto!$B$32='Flujo de Pagos'!$E424,32,9999)</f>
        <v>32</v>
      </c>
      <c r="BA424" s="0" t="n">
        <f aca="false">IF(Presupuesto!$B$33='Flujo de Pagos'!$E424,33,9999)</f>
        <v>33</v>
      </c>
      <c r="BB424" s="0" t="n">
        <f aca="false">IF(Presupuesto!$B$34='Flujo de Pagos'!$E424,34,9999)</f>
        <v>34</v>
      </c>
      <c r="BC424" s="0" t="n">
        <f aca="false">IF(Presupuesto!$B$35='Flujo de Pagos'!$E424,35,9999)</f>
        <v>35</v>
      </c>
      <c r="BD424" s="0" t="n">
        <f aca="false">IF(Presupuesto!$B$36='Flujo de Pagos'!$E424,36,9999)</f>
        <v>36</v>
      </c>
      <c r="BE424" s="0" t="n">
        <f aca="false">IF(Presupuesto!$B$37='Flujo de Pagos'!$E424,37,9999)</f>
        <v>37</v>
      </c>
      <c r="BF424" s="0" t="n">
        <f aca="false">IF(Presupuesto!$B$38='Flujo de Pagos'!$E424,38,9999)</f>
        <v>38</v>
      </c>
      <c r="BG424" s="0" t="n">
        <f aca="false">IF(Presupuesto!$B$39='Flujo de Pagos'!$E424,39,9999)</f>
        <v>39</v>
      </c>
      <c r="BH424" s="0" t="n">
        <f aca="false">IF(Presupuesto!$B$40='Flujo de Pagos'!$E424,40,9999)</f>
        <v>40</v>
      </c>
      <c r="BI424" s="0" t="n">
        <f aca="false">IF(Presupuesto!$B$41='Flujo de Pagos'!$E424,41,9999)</f>
        <v>41</v>
      </c>
      <c r="BJ424" s="0" t="n">
        <f aca="false">IF(Presupuesto!$B$42='Flujo de Pagos'!$E424,42,9999)</f>
        <v>42</v>
      </c>
      <c r="BK424" s="0" t="n">
        <f aca="false">IF(Presupuesto!$B$43='Flujo de Pagos'!$E424,43,9999)</f>
        <v>43</v>
      </c>
      <c r="BL424" s="0" t="n">
        <f aca="false">IF(Presupuesto!$B$44='Flujo de Pagos'!$E424,44,9999)</f>
        <v>44</v>
      </c>
      <c r="BM424" s="0" t="n">
        <f aca="false">IF(Presupuesto!$B$45='Flujo de Pagos'!$E424,45,9999)</f>
        <v>45</v>
      </c>
      <c r="BN424" s="0" t="n">
        <f aca="false">IF(Presupuesto!$B$46='Flujo de Pagos'!$E424,46,9999)</f>
        <v>46</v>
      </c>
      <c r="BO424" s="0" t="n">
        <f aca="false">IF(Presupuesto!$B$47='Flujo de Pagos'!$E424,47,9999)</f>
        <v>47</v>
      </c>
      <c r="BP424" s="0" t="n">
        <f aca="false">IF(Presupuesto!$B$48='Flujo de Pagos'!$E424,48,9999)</f>
        <v>48</v>
      </c>
      <c r="BQ424" s="0" t="n">
        <f aca="false">IF(Presupuesto!$B$49='Flujo de Pagos'!$E424,49,9999)</f>
        <v>49</v>
      </c>
      <c r="BR424" s="0" t="n">
        <f aca="false">IF(Presupuesto!$B$50='Flujo de Pagos'!$E424,50,9999)</f>
        <v>50</v>
      </c>
      <c r="BS424" s="0" t="n">
        <f aca="false">IF(Presupuesto!$B$51='Flujo de Pagos'!$E424,51,9999)</f>
        <v>51</v>
      </c>
      <c r="BT424" s="0" t="n">
        <f aca="false">IF(Presupuesto!$B$52='Flujo de Pagos'!$E424,52,9999)</f>
        <v>52</v>
      </c>
      <c r="BU424" s="0" t="n">
        <f aca="false">IF(Presupuesto!$B$53='Flujo de Pagos'!$E424,53,9999)</f>
        <v>53</v>
      </c>
      <c r="BV424" s="0" t="n">
        <f aca="false">IF(Presupuesto!$B$54='Flujo de Pagos'!$E424,54,9999)</f>
        <v>54</v>
      </c>
      <c r="BW424" s="0" t="n">
        <f aca="false">IF(Presupuesto!$B$55='Flujo de Pagos'!$E424,55,9999)</f>
        <v>55</v>
      </c>
      <c r="BX424" s="0" t="n">
        <f aca="false">IF(Presupuesto!$B$56='Flujo de Pagos'!$E424,56,9999)</f>
        <v>56</v>
      </c>
      <c r="BY424" s="0" t="n">
        <f aca="false">IF(Presupuesto!$B$57='Flujo de Pagos'!$E424,57,9999)</f>
        <v>57</v>
      </c>
      <c r="BZ424" s="0" t="n">
        <f aca="false">IF(Presupuesto!$B$58='Flujo de Pagos'!$E424,58,9999)</f>
        <v>58</v>
      </c>
      <c r="CA424" s="0" t="n">
        <f aca="false">IF(Presupuesto!$B$59='Flujo de Pagos'!$E424,59,9999)</f>
        <v>59</v>
      </c>
      <c r="CB424" s="0" t="n">
        <f aca="false">IF(Presupuesto!$B$60='Flujo de Pagos'!$E424,60,9999)</f>
        <v>60</v>
      </c>
      <c r="CC424" s="0" t="n">
        <f aca="false">IF(Presupuesto!$B$61='Flujo de Pagos'!$E424,61,9999)</f>
        <v>61</v>
      </c>
      <c r="CD424" s="0" t="n">
        <f aca="false">IF(Presupuesto!$B$62='Flujo de Pagos'!$E424,62,9999)</f>
        <v>62</v>
      </c>
      <c r="CE424" s="0" t="n">
        <f aca="false">IF(Presupuesto!$B$63='Flujo de Pagos'!$E424,63,9999)</f>
        <v>63</v>
      </c>
      <c r="CF424" s="0" t="n">
        <f aca="false">IF(Presupuesto!$B$64='Flujo de Pagos'!$E424,64,9999)</f>
        <v>64</v>
      </c>
      <c r="CG424" s="0" t="n">
        <f aca="false">IF(Presupuesto!$B$65='Flujo de Pagos'!$E424,65,9999)</f>
        <v>65</v>
      </c>
      <c r="CH424" s="0" t="n">
        <f aca="false">IF(Presupuesto!$B$66='Flujo de Pagos'!$E424,66,9999)</f>
        <v>66</v>
      </c>
    </row>
    <row r="425" customFormat="false" ht="15" hidden="false" customHeight="true" outlineLevel="0" collapsed="false">
      <c r="B425" s="1" t="n">
        <f aca="false">IF(AND('Flujo de Pagos'!E430=Carátula!$B$2,'Flujo de Pagos'!F430=Carátula!$B$4,'Flujo de Pagos'!H430&lt;&gt;""),430,99999)</f>
        <v>99999</v>
      </c>
      <c r="H425" s="1" t="n">
        <f aca="false">IF(SMALL($AA425:$CH425,1)&gt;=9999,"",INDEX(Presupuesto!$C:$C,SMALL($AA425:$CH425,1)))</f>
        <v>0</v>
      </c>
      <c r="I425" s="1" t="n">
        <f aca="false">IF(SMALL($AA425:$CH425,2)&gt;=9999,"",INDEX(Presupuesto!$C:$C,SMALL($AA425:$CH425,2)))</f>
        <v>0</v>
      </c>
      <c r="J425" s="1" t="n">
        <f aca="false">IF(SMALL($AA425:$CH425,3)&gt;=9999,"",INDEX(Presupuesto!$C:$C,SMALL($AA425:$CH425,3)))</f>
        <v>0</v>
      </c>
      <c r="K425" s="1" t="n">
        <f aca="false">IF(SMALL($AA425:$CH425,4)&gt;=9999,"",INDEX(Presupuesto!$C:$C,SMALL($AA425:$CH425,4)))</f>
        <v>0</v>
      </c>
      <c r="L425" s="1" t="n">
        <f aca="false">IF(SMALL($AA425:$CH425,5)&gt;=9999,"",INDEX(Presupuesto!$C:$C,SMALL($AA425:$CH425,5)))</f>
        <v>0</v>
      </c>
      <c r="M425" s="1" t="n">
        <f aca="false">IF(SMALL($AA425:$CH425,6)&gt;=9999,"",INDEX(Presupuesto!$C:$C,SMALL($AA425:$CH425,6)))</f>
        <v>0</v>
      </c>
      <c r="N425" s="1" t="n">
        <f aca="false">IF(SMALL($AA425:$CH425,7)&gt;=9999,"",INDEX(Presupuesto!$C:$C,SMALL($AA425:$CH425,7)))</f>
        <v>0</v>
      </c>
      <c r="O425" s="1" t="n">
        <f aca="false">IF(SMALL($AA425:$CH425,8)&gt;=9999,"",INDEX(Presupuesto!$C:$C,SMALL($AA425:$CH425,8)))</f>
        <v>0</v>
      </c>
      <c r="P425" s="1" t="n">
        <f aca="false">IF(SMALL($AA425:$CH425,9)&gt;=9999,"",INDEX(Presupuesto!$C:$C,SMALL($AA425:$CH425,9)))</f>
        <v>0</v>
      </c>
      <c r="Q425" s="1" t="n">
        <f aca="false">IF(SMALL($AA425:$CH425,10)&gt;=9999,"",INDEX(Presupuesto!$C:$C,SMALL($AA425:$CH425,10)))</f>
        <v>0</v>
      </c>
      <c r="AA425" s="0" t="n">
        <f aca="false">IF(Presupuesto!$B$7='Flujo de Pagos'!$E425,7,9999)</f>
        <v>9999</v>
      </c>
      <c r="AB425" s="0" t="n">
        <f aca="false">IF(Presupuesto!$B$8='Flujo de Pagos'!$E425,8,9999)</f>
        <v>9999</v>
      </c>
      <c r="AC425" s="0" t="n">
        <f aca="false">IF(Presupuesto!$B$9='Flujo de Pagos'!$E425,9,9999)</f>
        <v>9999</v>
      </c>
      <c r="AD425" s="0" t="n">
        <f aca="false">IF(Presupuesto!$B$10='Flujo de Pagos'!$E425,10,9999)</f>
        <v>9999</v>
      </c>
      <c r="AE425" s="0" t="n">
        <f aca="false">IF(Presupuesto!$B$11='Flujo de Pagos'!$E425,11,9999)</f>
        <v>9999</v>
      </c>
      <c r="AF425" s="0" t="n">
        <f aca="false">IF(Presupuesto!$B$12='Flujo de Pagos'!$E425,12,9999)</f>
        <v>12</v>
      </c>
      <c r="AG425" s="0" t="n">
        <f aca="false">IF(Presupuesto!$B$13='Flujo de Pagos'!$E425,13,9999)</f>
        <v>13</v>
      </c>
      <c r="AH425" s="0" t="n">
        <f aca="false">IF(Presupuesto!$B$14='Flujo de Pagos'!$E425,14,9999)</f>
        <v>14</v>
      </c>
      <c r="AI425" s="0" t="n">
        <f aca="false">IF(Presupuesto!$B$15='Flujo de Pagos'!$E425,15,9999)</f>
        <v>15</v>
      </c>
      <c r="AJ425" s="0" t="n">
        <f aca="false">IF(Presupuesto!$B$16='Flujo de Pagos'!$E425,16,9999)</f>
        <v>16</v>
      </c>
      <c r="AK425" s="0" t="n">
        <f aca="false">IF(Presupuesto!$B$17='Flujo de Pagos'!$E425,17,9999)</f>
        <v>17</v>
      </c>
      <c r="AL425" s="0" t="n">
        <f aca="false">IF(Presupuesto!$B$18='Flujo de Pagos'!$E425,18,9999)</f>
        <v>18</v>
      </c>
      <c r="AM425" s="0" t="n">
        <f aca="false">IF(Presupuesto!$B$19='Flujo de Pagos'!$E425,19,9999)</f>
        <v>19</v>
      </c>
      <c r="AN425" s="0" t="n">
        <f aca="false">IF(Presupuesto!$B$20='Flujo de Pagos'!$E425,20,9999)</f>
        <v>20</v>
      </c>
      <c r="AO425" s="0" t="n">
        <f aca="false">IF(Presupuesto!$B$21='Flujo de Pagos'!$E425,21,9999)</f>
        <v>21</v>
      </c>
      <c r="AP425" s="0" t="n">
        <f aca="false">IF(Presupuesto!$B$22='Flujo de Pagos'!$E425,22,9999)</f>
        <v>22</v>
      </c>
      <c r="AQ425" s="0" t="n">
        <f aca="false">IF(Presupuesto!$B$23='Flujo de Pagos'!$E425,23,9999)</f>
        <v>23</v>
      </c>
      <c r="AR425" s="0" t="n">
        <f aca="false">IF(Presupuesto!$B$24='Flujo de Pagos'!$E425,24,9999)</f>
        <v>24</v>
      </c>
      <c r="AS425" s="0" t="n">
        <f aca="false">IF(Presupuesto!$B$25='Flujo de Pagos'!$E425,25,9999)</f>
        <v>25</v>
      </c>
      <c r="AT425" s="0" t="n">
        <f aca="false">IF(Presupuesto!$B$26='Flujo de Pagos'!$E425,26,9999)</f>
        <v>26</v>
      </c>
      <c r="AU425" s="0" t="n">
        <f aca="false">IF(Presupuesto!$B$27='Flujo de Pagos'!$E425,27,9999)</f>
        <v>27</v>
      </c>
      <c r="AV425" s="0" t="n">
        <f aca="false">IF(Presupuesto!$B$28='Flujo de Pagos'!$E425,28,9999)</f>
        <v>28</v>
      </c>
      <c r="AW425" s="0" t="n">
        <f aca="false">IF(Presupuesto!$B$29='Flujo de Pagos'!$E425,29,9999)</f>
        <v>29</v>
      </c>
      <c r="AX425" s="0" t="n">
        <f aca="false">IF(Presupuesto!$B$30='Flujo de Pagos'!$E425,30,9999)</f>
        <v>30</v>
      </c>
      <c r="AY425" s="0" t="n">
        <f aca="false">IF(Presupuesto!$B$31='Flujo de Pagos'!$E425,31,9999)</f>
        <v>31</v>
      </c>
      <c r="AZ425" s="0" t="n">
        <f aca="false">IF(Presupuesto!$B$32='Flujo de Pagos'!$E425,32,9999)</f>
        <v>32</v>
      </c>
      <c r="BA425" s="0" t="n">
        <f aca="false">IF(Presupuesto!$B$33='Flujo de Pagos'!$E425,33,9999)</f>
        <v>33</v>
      </c>
      <c r="BB425" s="0" t="n">
        <f aca="false">IF(Presupuesto!$B$34='Flujo de Pagos'!$E425,34,9999)</f>
        <v>34</v>
      </c>
      <c r="BC425" s="0" t="n">
        <f aca="false">IF(Presupuesto!$B$35='Flujo de Pagos'!$E425,35,9999)</f>
        <v>35</v>
      </c>
      <c r="BD425" s="0" t="n">
        <f aca="false">IF(Presupuesto!$B$36='Flujo de Pagos'!$E425,36,9999)</f>
        <v>36</v>
      </c>
      <c r="BE425" s="0" t="n">
        <f aca="false">IF(Presupuesto!$B$37='Flujo de Pagos'!$E425,37,9999)</f>
        <v>37</v>
      </c>
      <c r="BF425" s="0" t="n">
        <f aca="false">IF(Presupuesto!$B$38='Flujo de Pagos'!$E425,38,9999)</f>
        <v>38</v>
      </c>
      <c r="BG425" s="0" t="n">
        <f aca="false">IF(Presupuesto!$B$39='Flujo de Pagos'!$E425,39,9999)</f>
        <v>39</v>
      </c>
      <c r="BH425" s="0" t="n">
        <f aca="false">IF(Presupuesto!$B$40='Flujo de Pagos'!$E425,40,9999)</f>
        <v>40</v>
      </c>
      <c r="BI425" s="0" t="n">
        <f aca="false">IF(Presupuesto!$B$41='Flujo de Pagos'!$E425,41,9999)</f>
        <v>41</v>
      </c>
      <c r="BJ425" s="0" t="n">
        <f aca="false">IF(Presupuesto!$B$42='Flujo de Pagos'!$E425,42,9999)</f>
        <v>42</v>
      </c>
      <c r="BK425" s="0" t="n">
        <f aca="false">IF(Presupuesto!$B$43='Flujo de Pagos'!$E425,43,9999)</f>
        <v>43</v>
      </c>
      <c r="BL425" s="0" t="n">
        <f aca="false">IF(Presupuesto!$B$44='Flujo de Pagos'!$E425,44,9999)</f>
        <v>44</v>
      </c>
      <c r="BM425" s="0" t="n">
        <f aca="false">IF(Presupuesto!$B$45='Flujo de Pagos'!$E425,45,9999)</f>
        <v>45</v>
      </c>
      <c r="BN425" s="0" t="n">
        <f aca="false">IF(Presupuesto!$B$46='Flujo de Pagos'!$E425,46,9999)</f>
        <v>46</v>
      </c>
      <c r="BO425" s="0" t="n">
        <f aca="false">IF(Presupuesto!$B$47='Flujo de Pagos'!$E425,47,9999)</f>
        <v>47</v>
      </c>
      <c r="BP425" s="0" t="n">
        <f aca="false">IF(Presupuesto!$B$48='Flujo de Pagos'!$E425,48,9999)</f>
        <v>48</v>
      </c>
      <c r="BQ425" s="0" t="n">
        <f aca="false">IF(Presupuesto!$B$49='Flujo de Pagos'!$E425,49,9999)</f>
        <v>49</v>
      </c>
      <c r="BR425" s="0" t="n">
        <f aca="false">IF(Presupuesto!$B$50='Flujo de Pagos'!$E425,50,9999)</f>
        <v>50</v>
      </c>
      <c r="BS425" s="0" t="n">
        <f aca="false">IF(Presupuesto!$B$51='Flujo de Pagos'!$E425,51,9999)</f>
        <v>51</v>
      </c>
      <c r="BT425" s="0" t="n">
        <f aca="false">IF(Presupuesto!$B$52='Flujo de Pagos'!$E425,52,9999)</f>
        <v>52</v>
      </c>
      <c r="BU425" s="0" t="n">
        <f aca="false">IF(Presupuesto!$B$53='Flujo de Pagos'!$E425,53,9999)</f>
        <v>53</v>
      </c>
      <c r="BV425" s="0" t="n">
        <f aca="false">IF(Presupuesto!$B$54='Flujo de Pagos'!$E425,54,9999)</f>
        <v>54</v>
      </c>
      <c r="BW425" s="0" t="n">
        <f aca="false">IF(Presupuesto!$B$55='Flujo de Pagos'!$E425,55,9999)</f>
        <v>55</v>
      </c>
      <c r="BX425" s="0" t="n">
        <f aca="false">IF(Presupuesto!$B$56='Flujo de Pagos'!$E425,56,9999)</f>
        <v>56</v>
      </c>
      <c r="BY425" s="0" t="n">
        <f aca="false">IF(Presupuesto!$B$57='Flujo de Pagos'!$E425,57,9999)</f>
        <v>57</v>
      </c>
      <c r="BZ425" s="0" t="n">
        <f aca="false">IF(Presupuesto!$B$58='Flujo de Pagos'!$E425,58,9999)</f>
        <v>58</v>
      </c>
      <c r="CA425" s="0" t="n">
        <f aca="false">IF(Presupuesto!$B$59='Flujo de Pagos'!$E425,59,9999)</f>
        <v>59</v>
      </c>
      <c r="CB425" s="0" t="n">
        <f aca="false">IF(Presupuesto!$B$60='Flujo de Pagos'!$E425,60,9999)</f>
        <v>60</v>
      </c>
      <c r="CC425" s="0" t="n">
        <f aca="false">IF(Presupuesto!$B$61='Flujo de Pagos'!$E425,61,9999)</f>
        <v>61</v>
      </c>
      <c r="CD425" s="0" t="n">
        <f aca="false">IF(Presupuesto!$B$62='Flujo de Pagos'!$E425,62,9999)</f>
        <v>62</v>
      </c>
      <c r="CE425" s="0" t="n">
        <f aca="false">IF(Presupuesto!$B$63='Flujo de Pagos'!$E425,63,9999)</f>
        <v>63</v>
      </c>
      <c r="CF425" s="0" t="n">
        <f aca="false">IF(Presupuesto!$B$64='Flujo de Pagos'!$E425,64,9999)</f>
        <v>64</v>
      </c>
      <c r="CG425" s="0" t="n">
        <f aca="false">IF(Presupuesto!$B$65='Flujo de Pagos'!$E425,65,9999)</f>
        <v>65</v>
      </c>
      <c r="CH425" s="0" t="n">
        <f aca="false">IF(Presupuesto!$B$66='Flujo de Pagos'!$E425,66,9999)</f>
        <v>66</v>
      </c>
    </row>
    <row r="426" customFormat="false" ht="15" hidden="false" customHeight="true" outlineLevel="0" collapsed="false">
      <c r="B426" s="1" t="n">
        <f aca="false">IF(AND('Flujo de Pagos'!E431=Carátula!$B$2,'Flujo de Pagos'!F431=Carátula!$B$4,'Flujo de Pagos'!H431&lt;&gt;""),431,99999)</f>
        <v>99999</v>
      </c>
      <c r="H426" s="1" t="n">
        <f aca="false">IF(SMALL($AA426:$CH426,1)&gt;=9999,"",INDEX(Presupuesto!$C:$C,SMALL($AA426:$CH426,1)))</f>
        <v>0</v>
      </c>
      <c r="I426" s="1" t="n">
        <f aca="false">IF(SMALL($AA426:$CH426,2)&gt;=9999,"",INDEX(Presupuesto!$C:$C,SMALL($AA426:$CH426,2)))</f>
        <v>0</v>
      </c>
      <c r="J426" s="1" t="n">
        <f aca="false">IF(SMALL($AA426:$CH426,3)&gt;=9999,"",INDEX(Presupuesto!$C:$C,SMALL($AA426:$CH426,3)))</f>
        <v>0</v>
      </c>
      <c r="K426" s="1" t="n">
        <f aca="false">IF(SMALL($AA426:$CH426,4)&gt;=9999,"",INDEX(Presupuesto!$C:$C,SMALL($AA426:$CH426,4)))</f>
        <v>0</v>
      </c>
      <c r="L426" s="1" t="n">
        <f aca="false">IF(SMALL($AA426:$CH426,5)&gt;=9999,"",INDEX(Presupuesto!$C:$C,SMALL($AA426:$CH426,5)))</f>
        <v>0</v>
      </c>
      <c r="M426" s="1" t="n">
        <f aca="false">IF(SMALL($AA426:$CH426,6)&gt;=9999,"",INDEX(Presupuesto!$C:$C,SMALL($AA426:$CH426,6)))</f>
        <v>0</v>
      </c>
      <c r="N426" s="1" t="n">
        <f aca="false">IF(SMALL($AA426:$CH426,7)&gt;=9999,"",INDEX(Presupuesto!$C:$C,SMALL($AA426:$CH426,7)))</f>
        <v>0</v>
      </c>
      <c r="O426" s="1" t="n">
        <f aca="false">IF(SMALL($AA426:$CH426,8)&gt;=9999,"",INDEX(Presupuesto!$C:$C,SMALL($AA426:$CH426,8)))</f>
        <v>0</v>
      </c>
      <c r="P426" s="1" t="n">
        <f aca="false">IF(SMALL($AA426:$CH426,9)&gt;=9999,"",INDEX(Presupuesto!$C:$C,SMALL($AA426:$CH426,9)))</f>
        <v>0</v>
      </c>
      <c r="Q426" s="1" t="n">
        <f aca="false">IF(SMALL($AA426:$CH426,10)&gt;=9999,"",INDEX(Presupuesto!$C:$C,SMALL($AA426:$CH426,10)))</f>
        <v>0</v>
      </c>
      <c r="AA426" s="0" t="n">
        <f aca="false">IF(Presupuesto!$B$7='Flujo de Pagos'!$E426,7,9999)</f>
        <v>9999</v>
      </c>
      <c r="AB426" s="0" t="n">
        <f aca="false">IF(Presupuesto!$B$8='Flujo de Pagos'!$E426,8,9999)</f>
        <v>9999</v>
      </c>
      <c r="AC426" s="0" t="n">
        <f aca="false">IF(Presupuesto!$B$9='Flujo de Pagos'!$E426,9,9999)</f>
        <v>9999</v>
      </c>
      <c r="AD426" s="0" t="n">
        <f aca="false">IF(Presupuesto!$B$10='Flujo de Pagos'!$E426,10,9999)</f>
        <v>9999</v>
      </c>
      <c r="AE426" s="0" t="n">
        <f aca="false">IF(Presupuesto!$B$11='Flujo de Pagos'!$E426,11,9999)</f>
        <v>9999</v>
      </c>
      <c r="AF426" s="0" t="n">
        <f aca="false">IF(Presupuesto!$B$12='Flujo de Pagos'!$E426,12,9999)</f>
        <v>12</v>
      </c>
      <c r="AG426" s="0" t="n">
        <f aca="false">IF(Presupuesto!$B$13='Flujo de Pagos'!$E426,13,9999)</f>
        <v>13</v>
      </c>
      <c r="AH426" s="0" t="n">
        <f aca="false">IF(Presupuesto!$B$14='Flujo de Pagos'!$E426,14,9999)</f>
        <v>14</v>
      </c>
      <c r="AI426" s="0" t="n">
        <f aca="false">IF(Presupuesto!$B$15='Flujo de Pagos'!$E426,15,9999)</f>
        <v>15</v>
      </c>
      <c r="AJ426" s="0" t="n">
        <f aca="false">IF(Presupuesto!$B$16='Flujo de Pagos'!$E426,16,9999)</f>
        <v>16</v>
      </c>
      <c r="AK426" s="0" t="n">
        <f aca="false">IF(Presupuesto!$B$17='Flujo de Pagos'!$E426,17,9999)</f>
        <v>17</v>
      </c>
      <c r="AL426" s="0" t="n">
        <f aca="false">IF(Presupuesto!$B$18='Flujo de Pagos'!$E426,18,9999)</f>
        <v>18</v>
      </c>
      <c r="AM426" s="0" t="n">
        <f aca="false">IF(Presupuesto!$B$19='Flujo de Pagos'!$E426,19,9999)</f>
        <v>19</v>
      </c>
      <c r="AN426" s="0" t="n">
        <f aca="false">IF(Presupuesto!$B$20='Flujo de Pagos'!$E426,20,9999)</f>
        <v>20</v>
      </c>
      <c r="AO426" s="0" t="n">
        <f aca="false">IF(Presupuesto!$B$21='Flujo de Pagos'!$E426,21,9999)</f>
        <v>21</v>
      </c>
      <c r="AP426" s="0" t="n">
        <f aca="false">IF(Presupuesto!$B$22='Flujo de Pagos'!$E426,22,9999)</f>
        <v>22</v>
      </c>
      <c r="AQ426" s="0" t="n">
        <f aca="false">IF(Presupuesto!$B$23='Flujo de Pagos'!$E426,23,9999)</f>
        <v>23</v>
      </c>
      <c r="AR426" s="0" t="n">
        <f aca="false">IF(Presupuesto!$B$24='Flujo de Pagos'!$E426,24,9999)</f>
        <v>24</v>
      </c>
      <c r="AS426" s="0" t="n">
        <f aca="false">IF(Presupuesto!$B$25='Flujo de Pagos'!$E426,25,9999)</f>
        <v>25</v>
      </c>
      <c r="AT426" s="0" t="n">
        <f aca="false">IF(Presupuesto!$B$26='Flujo de Pagos'!$E426,26,9999)</f>
        <v>26</v>
      </c>
      <c r="AU426" s="0" t="n">
        <f aca="false">IF(Presupuesto!$B$27='Flujo de Pagos'!$E426,27,9999)</f>
        <v>27</v>
      </c>
      <c r="AV426" s="0" t="n">
        <f aca="false">IF(Presupuesto!$B$28='Flujo de Pagos'!$E426,28,9999)</f>
        <v>28</v>
      </c>
      <c r="AW426" s="0" t="n">
        <f aca="false">IF(Presupuesto!$B$29='Flujo de Pagos'!$E426,29,9999)</f>
        <v>29</v>
      </c>
      <c r="AX426" s="0" t="n">
        <f aca="false">IF(Presupuesto!$B$30='Flujo de Pagos'!$E426,30,9999)</f>
        <v>30</v>
      </c>
      <c r="AY426" s="0" t="n">
        <f aca="false">IF(Presupuesto!$B$31='Flujo de Pagos'!$E426,31,9999)</f>
        <v>31</v>
      </c>
      <c r="AZ426" s="0" t="n">
        <f aca="false">IF(Presupuesto!$B$32='Flujo de Pagos'!$E426,32,9999)</f>
        <v>32</v>
      </c>
      <c r="BA426" s="0" t="n">
        <f aca="false">IF(Presupuesto!$B$33='Flujo de Pagos'!$E426,33,9999)</f>
        <v>33</v>
      </c>
      <c r="BB426" s="0" t="n">
        <f aca="false">IF(Presupuesto!$B$34='Flujo de Pagos'!$E426,34,9999)</f>
        <v>34</v>
      </c>
      <c r="BC426" s="0" t="n">
        <f aca="false">IF(Presupuesto!$B$35='Flujo de Pagos'!$E426,35,9999)</f>
        <v>35</v>
      </c>
      <c r="BD426" s="0" t="n">
        <f aca="false">IF(Presupuesto!$B$36='Flujo de Pagos'!$E426,36,9999)</f>
        <v>36</v>
      </c>
      <c r="BE426" s="0" t="n">
        <f aca="false">IF(Presupuesto!$B$37='Flujo de Pagos'!$E426,37,9999)</f>
        <v>37</v>
      </c>
      <c r="BF426" s="0" t="n">
        <f aca="false">IF(Presupuesto!$B$38='Flujo de Pagos'!$E426,38,9999)</f>
        <v>38</v>
      </c>
      <c r="BG426" s="0" t="n">
        <f aca="false">IF(Presupuesto!$B$39='Flujo de Pagos'!$E426,39,9999)</f>
        <v>39</v>
      </c>
      <c r="BH426" s="0" t="n">
        <f aca="false">IF(Presupuesto!$B$40='Flujo de Pagos'!$E426,40,9999)</f>
        <v>40</v>
      </c>
      <c r="BI426" s="0" t="n">
        <f aca="false">IF(Presupuesto!$B$41='Flujo de Pagos'!$E426,41,9999)</f>
        <v>41</v>
      </c>
      <c r="BJ426" s="0" t="n">
        <f aca="false">IF(Presupuesto!$B$42='Flujo de Pagos'!$E426,42,9999)</f>
        <v>42</v>
      </c>
      <c r="BK426" s="0" t="n">
        <f aca="false">IF(Presupuesto!$B$43='Flujo de Pagos'!$E426,43,9999)</f>
        <v>43</v>
      </c>
      <c r="BL426" s="0" t="n">
        <f aca="false">IF(Presupuesto!$B$44='Flujo de Pagos'!$E426,44,9999)</f>
        <v>44</v>
      </c>
      <c r="BM426" s="0" t="n">
        <f aca="false">IF(Presupuesto!$B$45='Flujo de Pagos'!$E426,45,9999)</f>
        <v>45</v>
      </c>
      <c r="BN426" s="0" t="n">
        <f aca="false">IF(Presupuesto!$B$46='Flujo de Pagos'!$E426,46,9999)</f>
        <v>46</v>
      </c>
      <c r="BO426" s="0" t="n">
        <f aca="false">IF(Presupuesto!$B$47='Flujo de Pagos'!$E426,47,9999)</f>
        <v>47</v>
      </c>
      <c r="BP426" s="0" t="n">
        <f aca="false">IF(Presupuesto!$B$48='Flujo de Pagos'!$E426,48,9999)</f>
        <v>48</v>
      </c>
      <c r="BQ426" s="0" t="n">
        <f aca="false">IF(Presupuesto!$B$49='Flujo de Pagos'!$E426,49,9999)</f>
        <v>49</v>
      </c>
      <c r="BR426" s="0" t="n">
        <f aca="false">IF(Presupuesto!$B$50='Flujo de Pagos'!$E426,50,9999)</f>
        <v>50</v>
      </c>
      <c r="BS426" s="0" t="n">
        <f aca="false">IF(Presupuesto!$B$51='Flujo de Pagos'!$E426,51,9999)</f>
        <v>51</v>
      </c>
      <c r="BT426" s="0" t="n">
        <f aca="false">IF(Presupuesto!$B$52='Flujo de Pagos'!$E426,52,9999)</f>
        <v>52</v>
      </c>
      <c r="BU426" s="0" t="n">
        <f aca="false">IF(Presupuesto!$B$53='Flujo de Pagos'!$E426,53,9999)</f>
        <v>53</v>
      </c>
      <c r="BV426" s="0" t="n">
        <f aca="false">IF(Presupuesto!$B$54='Flujo de Pagos'!$E426,54,9999)</f>
        <v>54</v>
      </c>
      <c r="BW426" s="0" t="n">
        <f aca="false">IF(Presupuesto!$B$55='Flujo de Pagos'!$E426,55,9999)</f>
        <v>55</v>
      </c>
      <c r="BX426" s="0" t="n">
        <f aca="false">IF(Presupuesto!$B$56='Flujo de Pagos'!$E426,56,9999)</f>
        <v>56</v>
      </c>
      <c r="BY426" s="0" t="n">
        <f aca="false">IF(Presupuesto!$B$57='Flujo de Pagos'!$E426,57,9999)</f>
        <v>57</v>
      </c>
      <c r="BZ426" s="0" t="n">
        <f aca="false">IF(Presupuesto!$B$58='Flujo de Pagos'!$E426,58,9999)</f>
        <v>58</v>
      </c>
      <c r="CA426" s="0" t="n">
        <f aca="false">IF(Presupuesto!$B$59='Flujo de Pagos'!$E426,59,9999)</f>
        <v>59</v>
      </c>
      <c r="CB426" s="0" t="n">
        <f aca="false">IF(Presupuesto!$B$60='Flujo de Pagos'!$E426,60,9999)</f>
        <v>60</v>
      </c>
      <c r="CC426" s="0" t="n">
        <f aca="false">IF(Presupuesto!$B$61='Flujo de Pagos'!$E426,61,9999)</f>
        <v>61</v>
      </c>
      <c r="CD426" s="0" t="n">
        <f aca="false">IF(Presupuesto!$B$62='Flujo de Pagos'!$E426,62,9999)</f>
        <v>62</v>
      </c>
      <c r="CE426" s="0" t="n">
        <f aca="false">IF(Presupuesto!$B$63='Flujo de Pagos'!$E426,63,9999)</f>
        <v>63</v>
      </c>
      <c r="CF426" s="0" t="n">
        <f aca="false">IF(Presupuesto!$B$64='Flujo de Pagos'!$E426,64,9999)</f>
        <v>64</v>
      </c>
      <c r="CG426" s="0" t="n">
        <f aca="false">IF(Presupuesto!$B$65='Flujo de Pagos'!$E426,65,9999)</f>
        <v>65</v>
      </c>
      <c r="CH426" s="0" t="n">
        <f aca="false">IF(Presupuesto!$B$66='Flujo de Pagos'!$E426,66,9999)</f>
        <v>66</v>
      </c>
    </row>
    <row r="427" customFormat="false" ht="15" hidden="false" customHeight="true" outlineLevel="0" collapsed="false">
      <c r="B427" s="1" t="n">
        <f aca="false">IF(AND('Flujo de Pagos'!E432=Carátula!$B$2,'Flujo de Pagos'!F432=Carátula!$B$4,'Flujo de Pagos'!H432&lt;&gt;""),432,99999)</f>
        <v>99999</v>
      </c>
      <c r="H427" s="1" t="n">
        <f aca="false">IF(SMALL($AA427:$CH427,1)&gt;=9999,"",INDEX(Presupuesto!$C:$C,SMALL($AA427:$CH427,1)))</f>
        <v>0</v>
      </c>
      <c r="I427" s="1" t="n">
        <f aca="false">IF(SMALL($AA427:$CH427,2)&gt;=9999,"",INDEX(Presupuesto!$C:$C,SMALL($AA427:$CH427,2)))</f>
        <v>0</v>
      </c>
      <c r="J427" s="1" t="n">
        <f aca="false">IF(SMALL($AA427:$CH427,3)&gt;=9999,"",INDEX(Presupuesto!$C:$C,SMALL($AA427:$CH427,3)))</f>
        <v>0</v>
      </c>
      <c r="K427" s="1" t="n">
        <f aca="false">IF(SMALL($AA427:$CH427,4)&gt;=9999,"",INDEX(Presupuesto!$C:$C,SMALL($AA427:$CH427,4)))</f>
        <v>0</v>
      </c>
      <c r="L427" s="1" t="n">
        <f aca="false">IF(SMALL($AA427:$CH427,5)&gt;=9999,"",INDEX(Presupuesto!$C:$C,SMALL($AA427:$CH427,5)))</f>
        <v>0</v>
      </c>
      <c r="M427" s="1" t="n">
        <f aca="false">IF(SMALL($AA427:$CH427,6)&gt;=9999,"",INDEX(Presupuesto!$C:$C,SMALL($AA427:$CH427,6)))</f>
        <v>0</v>
      </c>
      <c r="N427" s="1" t="n">
        <f aca="false">IF(SMALL($AA427:$CH427,7)&gt;=9999,"",INDEX(Presupuesto!$C:$C,SMALL($AA427:$CH427,7)))</f>
        <v>0</v>
      </c>
      <c r="O427" s="1" t="n">
        <f aca="false">IF(SMALL($AA427:$CH427,8)&gt;=9999,"",INDEX(Presupuesto!$C:$C,SMALL($AA427:$CH427,8)))</f>
        <v>0</v>
      </c>
      <c r="P427" s="1" t="n">
        <f aca="false">IF(SMALL($AA427:$CH427,9)&gt;=9999,"",INDEX(Presupuesto!$C:$C,SMALL($AA427:$CH427,9)))</f>
        <v>0</v>
      </c>
      <c r="Q427" s="1" t="n">
        <f aca="false">IF(SMALL($AA427:$CH427,10)&gt;=9999,"",INDEX(Presupuesto!$C:$C,SMALL($AA427:$CH427,10)))</f>
        <v>0</v>
      </c>
      <c r="AA427" s="0" t="n">
        <f aca="false">IF(Presupuesto!$B$7='Flujo de Pagos'!$E427,7,9999)</f>
        <v>9999</v>
      </c>
      <c r="AB427" s="0" t="n">
        <f aca="false">IF(Presupuesto!$B$8='Flujo de Pagos'!$E427,8,9999)</f>
        <v>9999</v>
      </c>
      <c r="AC427" s="0" t="n">
        <f aca="false">IF(Presupuesto!$B$9='Flujo de Pagos'!$E427,9,9999)</f>
        <v>9999</v>
      </c>
      <c r="AD427" s="0" t="n">
        <f aca="false">IF(Presupuesto!$B$10='Flujo de Pagos'!$E427,10,9999)</f>
        <v>9999</v>
      </c>
      <c r="AE427" s="0" t="n">
        <f aca="false">IF(Presupuesto!$B$11='Flujo de Pagos'!$E427,11,9999)</f>
        <v>9999</v>
      </c>
      <c r="AF427" s="0" t="n">
        <f aca="false">IF(Presupuesto!$B$12='Flujo de Pagos'!$E427,12,9999)</f>
        <v>12</v>
      </c>
      <c r="AG427" s="0" t="n">
        <f aca="false">IF(Presupuesto!$B$13='Flujo de Pagos'!$E427,13,9999)</f>
        <v>13</v>
      </c>
      <c r="AH427" s="0" t="n">
        <f aca="false">IF(Presupuesto!$B$14='Flujo de Pagos'!$E427,14,9999)</f>
        <v>14</v>
      </c>
      <c r="AI427" s="0" t="n">
        <f aca="false">IF(Presupuesto!$B$15='Flujo de Pagos'!$E427,15,9999)</f>
        <v>15</v>
      </c>
      <c r="AJ427" s="0" t="n">
        <f aca="false">IF(Presupuesto!$B$16='Flujo de Pagos'!$E427,16,9999)</f>
        <v>16</v>
      </c>
      <c r="AK427" s="0" t="n">
        <f aca="false">IF(Presupuesto!$B$17='Flujo de Pagos'!$E427,17,9999)</f>
        <v>17</v>
      </c>
      <c r="AL427" s="0" t="n">
        <f aca="false">IF(Presupuesto!$B$18='Flujo de Pagos'!$E427,18,9999)</f>
        <v>18</v>
      </c>
      <c r="AM427" s="0" t="n">
        <f aca="false">IF(Presupuesto!$B$19='Flujo de Pagos'!$E427,19,9999)</f>
        <v>19</v>
      </c>
      <c r="AN427" s="0" t="n">
        <f aca="false">IF(Presupuesto!$B$20='Flujo de Pagos'!$E427,20,9999)</f>
        <v>20</v>
      </c>
      <c r="AO427" s="0" t="n">
        <f aca="false">IF(Presupuesto!$B$21='Flujo de Pagos'!$E427,21,9999)</f>
        <v>21</v>
      </c>
      <c r="AP427" s="0" t="n">
        <f aca="false">IF(Presupuesto!$B$22='Flujo de Pagos'!$E427,22,9999)</f>
        <v>22</v>
      </c>
      <c r="AQ427" s="0" t="n">
        <f aca="false">IF(Presupuesto!$B$23='Flujo de Pagos'!$E427,23,9999)</f>
        <v>23</v>
      </c>
      <c r="AR427" s="0" t="n">
        <f aca="false">IF(Presupuesto!$B$24='Flujo de Pagos'!$E427,24,9999)</f>
        <v>24</v>
      </c>
      <c r="AS427" s="0" t="n">
        <f aca="false">IF(Presupuesto!$B$25='Flujo de Pagos'!$E427,25,9999)</f>
        <v>25</v>
      </c>
      <c r="AT427" s="0" t="n">
        <f aca="false">IF(Presupuesto!$B$26='Flujo de Pagos'!$E427,26,9999)</f>
        <v>26</v>
      </c>
      <c r="AU427" s="0" t="n">
        <f aca="false">IF(Presupuesto!$B$27='Flujo de Pagos'!$E427,27,9999)</f>
        <v>27</v>
      </c>
      <c r="AV427" s="0" t="n">
        <f aca="false">IF(Presupuesto!$B$28='Flujo de Pagos'!$E427,28,9999)</f>
        <v>28</v>
      </c>
      <c r="AW427" s="0" t="n">
        <f aca="false">IF(Presupuesto!$B$29='Flujo de Pagos'!$E427,29,9999)</f>
        <v>29</v>
      </c>
      <c r="AX427" s="0" t="n">
        <f aca="false">IF(Presupuesto!$B$30='Flujo de Pagos'!$E427,30,9999)</f>
        <v>30</v>
      </c>
      <c r="AY427" s="0" t="n">
        <f aca="false">IF(Presupuesto!$B$31='Flujo de Pagos'!$E427,31,9999)</f>
        <v>31</v>
      </c>
      <c r="AZ427" s="0" t="n">
        <f aca="false">IF(Presupuesto!$B$32='Flujo de Pagos'!$E427,32,9999)</f>
        <v>32</v>
      </c>
      <c r="BA427" s="0" t="n">
        <f aca="false">IF(Presupuesto!$B$33='Flujo de Pagos'!$E427,33,9999)</f>
        <v>33</v>
      </c>
      <c r="BB427" s="0" t="n">
        <f aca="false">IF(Presupuesto!$B$34='Flujo de Pagos'!$E427,34,9999)</f>
        <v>34</v>
      </c>
      <c r="BC427" s="0" t="n">
        <f aca="false">IF(Presupuesto!$B$35='Flujo de Pagos'!$E427,35,9999)</f>
        <v>35</v>
      </c>
      <c r="BD427" s="0" t="n">
        <f aca="false">IF(Presupuesto!$B$36='Flujo de Pagos'!$E427,36,9999)</f>
        <v>36</v>
      </c>
      <c r="BE427" s="0" t="n">
        <f aca="false">IF(Presupuesto!$B$37='Flujo de Pagos'!$E427,37,9999)</f>
        <v>37</v>
      </c>
      <c r="BF427" s="0" t="n">
        <f aca="false">IF(Presupuesto!$B$38='Flujo de Pagos'!$E427,38,9999)</f>
        <v>38</v>
      </c>
      <c r="BG427" s="0" t="n">
        <f aca="false">IF(Presupuesto!$B$39='Flujo de Pagos'!$E427,39,9999)</f>
        <v>39</v>
      </c>
      <c r="BH427" s="0" t="n">
        <f aca="false">IF(Presupuesto!$B$40='Flujo de Pagos'!$E427,40,9999)</f>
        <v>40</v>
      </c>
      <c r="BI427" s="0" t="n">
        <f aca="false">IF(Presupuesto!$B$41='Flujo de Pagos'!$E427,41,9999)</f>
        <v>41</v>
      </c>
      <c r="BJ427" s="0" t="n">
        <f aca="false">IF(Presupuesto!$B$42='Flujo de Pagos'!$E427,42,9999)</f>
        <v>42</v>
      </c>
      <c r="BK427" s="0" t="n">
        <f aca="false">IF(Presupuesto!$B$43='Flujo de Pagos'!$E427,43,9999)</f>
        <v>43</v>
      </c>
      <c r="BL427" s="0" t="n">
        <f aca="false">IF(Presupuesto!$B$44='Flujo de Pagos'!$E427,44,9999)</f>
        <v>44</v>
      </c>
      <c r="BM427" s="0" t="n">
        <f aca="false">IF(Presupuesto!$B$45='Flujo de Pagos'!$E427,45,9999)</f>
        <v>45</v>
      </c>
      <c r="BN427" s="0" t="n">
        <f aca="false">IF(Presupuesto!$B$46='Flujo de Pagos'!$E427,46,9999)</f>
        <v>46</v>
      </c>
      <c r="BO427" s="0" t="n">
        <f aca="false">IF(Presupuesto!$B$47='Flujo de Pagos'!$E427,47,9999)</f>
        <v>47</v>
      </c>
      <c r="BP427" s="0" t="n">
        <f aca="false">IF(Presupuesto!$B$48='Flujo de Pagos'!$E427,48,9999)</f>
        <v>48</v>
      </c>
      <c r="BQ427" s="0" t="n">
        <f aca="false">IF(Presupuesto!$B$49='Flujo de Pagos'!$E427,49,9999)</f>
        <v>49</v>
      </c>
      <c r="BR427" s="0" t="n">
        <f aca="false">IF(Presupuesto!$B$50='Flujo de Pagos'!$E427,50,9999)</f>
        <v>50</v>
      </c>
      <c r="BS427" s="0" t="n">
        <f aca="false">IF(Presupuesto!$B$51='Flujo de Pagos'!$E427,51,9999)</f>
        <v>51</v>
      </c>
      <c r="BT427" s="0" t="n">
        <f aca="false">IF(Presupuesto!$B$52='Flujo de Pagos'!$E427,52,9999)</f>
        <v>52</v>
      </c>
      <c r="BU427" s="0" t="n">
        <f aca="false">IF(Presupuesto!$B$53='Flujo de Pagos'!$E427,53,9999)</f>
        <v>53</v>
      </c>
      <c r="BV427" s="0" t="n">
        <f aca="false">IF(Presupuesto!$B$54='Flujo de Pagos'!$E427,54,9999)</f>
        <v>54</v>
      </c>
      <c r="BW427" s="0" t="n">
        <f aca="false">IF(Presupuesto!$B$55='Flujo de Pagos'!$E427,55,9999)</f>
        <v>55</v>
      </c>
      <c r="BX427" s="0" t="n">
        <f aca="false">IF(Presupuesto!$B$56='Flujo de Pagos'!$E427,56,9999)</f>
        <v>56</v>
      </c>
      <c r="BY427" s="0" t="n">
        <f aca="false">IF(Presupuesto!$B$57='Flujo de Pagos'!$E427,57,9999)</f>
        <v>57</v>
      </c>
      <c r="BZ427" s="0" t="n">
        <f aca="false">IF(Presupuesto!$B$58='Flujo de Pagos'!$E427,58,9999)</f>
        <v>58</v>
      </c>
      <c r="CA427" s="0" t="n">
        <f aca="false">IF(Presupuesto!$B$59='Flujo de Pagos'!$E427,59,9999)</f>
        <v>59</v>
      </c>
      <c r="CB427" s="0" t="n">
        <f aca="false">IF(Presupuesto!$B$60='Flujo de Pagos'!$E427,60,9999)</f>
        <v>60</v>
      </c>
      <c r="CC427" s="0" t="n">
        <f aca="false">IF(Presupuesto!$B$61='Flujo de Pagos'!$E427,61,9999)</f>
        <v>61</v>
      </c>
      <c r="CD427" s="0" t="n">
        <f aca="false">IF(Presupuesto!$B$62='Flujo de Pagos'!$E427,62,9999)</f>
        <v>62</v>
      </c>
      <c r="CE427" s="0" t="n">
        <f aca="false">IF(Presupuesto!$B$63='Flujo de Pagos'!$E427,63,9999)</f>
        <v>63</v>
      </c>
      <c r="CF427" s="0" t="n">
        <f aca="false">IF(Presupuesto!$B$64='Flujo de Pagos'!$E427,64,9999)</f>
        <v>64</v>
      </c>
      <c r="CG427" s="0" t="n">
        <f aca="false">IF(Presupuesto!$B$65='Flujo de Pagos'!$E427,65,9999)</f>
        <v>65</v>
      </c>
      <c r="CH427" s="0" t="n">
        <f aca="false">IF(Presupuesto!$B$66='Flujo de Pagos'!$E427,66,9999)</f>
        <v>66</v>
      </c>
    </row>
    <row r="428" customFormat="false" ht="15" hidden="false" customHeight="true" outlineLevel="0" collapsed="false">
      <c r="B428" s="1" t="n">
        <f aca="false">IF(AND('Flujo de Pagos'!E433=Carátula!$B$2,'Flujo de Pagos'!F433=Carátula!$B$4,'Flujo de Pagos'!H433&lt;&gt;""),433,99999)</f>
        <v>99999</v>
      </c>
      <c r="H428" s="1" t="n">
        <f aca="false">IF(SMALL($AA428:$CH428,1)&gt;=9999,"",INDEX(Presupuesto!$C:$C,SMALL($AA428:$CH428,1)))</f>
        <v>0</v>
      </c>
      <c r="I428" s="1" t="n">
        <f aca="false">IF(SMALL($AA428:$CH428,2)&gt;=9999,"",INDEX(Presupuesto!$C:$C,SMALL($AA428:$CH428,2)))</f>
        <v>0</v>
      </c>
      <c r="J428" s="1" t="n">
        <f aca="false">IF(SMALL($AA428:$CH428,3)&gt;=9999,"",INDEX(Presupuesto!$C:$C,SMALL($AA428:$CH428,3)))</f>
        <v>0</v>
      </c>
      <c r="K428" s="1" t="n">
        <f aca="false">IF(SMALL($AA428:$CH428,4)&gt;=9999,"",INDEX(Presupuesto!$C:$C,SMALL($AA428:$CH428,4)))</f>
        <v>0</v>
      </c>
      <c r="L428" s="1" t="n">
        <f aca="false">IF(SMALL($AA428:$CH428,5)&gt;=9999,"",INDEX(Presupuesto!$C:$C,SMALL($AA428:$CH428,5)))</f>
        <v>0</v>
      </c>
      <c r="M428" s="1" t="n">
        <f aca="false">IF(SMALL($AA428:$CH428,6)&gt;=9999,"",INDEX(Presupuesto!$C:$C,SMALL($AA428:$CH428,6)))</f>
        <v>0</v>
      </c>
      <c r="N428" s="1" t="n">
        <f aca="false">IF(SMALL($AA428:$CH428,7)&gt;=9999,"",INDEX(Presupuesto!$C:$C,SMALL($AA428:$CH428,7)))</f>
        <v>0</v>
      </c>
      <c r="O428" s="1" t="n">
        <f aca="false">IF(SMALL($AA428:$CH428,8)&gt;=9999,"",INDEX(Presupuesto!$C:$C,SMALL($AA428:$CH428,8)))</f>
        <v>0</v>
      </c>
      <c r="P428" s="1" t="n">
        <f aca="false">IF(SMALL($AA428:$CH428,9)&gt;=9999,"",INDEX(Presupuesto!$C:$C,SMALL($AA428:$CH428,9)))</f>
        <v>0</v>
      </c>
      <c r="Q428" s="1" t="n">
        <f aca="false">IF(SMALL($AA428:$CH428,10)&gt;=9999,"",INDEX(Presupuesto!$C:$C,SMALL($AA428:$CH428,10)))</f>
        <v>0</v>
      </c>
      <c r="AA428" s="0" t="n">
        <f aca="false">IF(Presupuesto!$B$7='Flujo de Pagos'!$E428,7,9999)</f>
        <v>9999</v>
      </c>
      <c r="AB428" s="0" t="n">
        <f aca="false">IF(Presupuesto!$B$8='Flujo de Pagos'!$E428,8,9999)</f>
        <v>9999</v>
      </c>
      <c r="AC428" s="0" t="n">
        <f aca="false">IF(Presupuesto!$B$9='Flujo de Pagos'!$E428,9,9999)</f>
        <v>9999</v>
      </c>
      <c r="AD428" s="0" t="n">
        <f aca="false">IF(Presupuesto!$B$10='Flujo de Pagos'!$E428,10,9999)</f>
        <v>9999</v>
      </c>
      <c r="AE428" s="0" t="n">
        <f aca="false">IF(Presupuesto!$B$11='Flujo de Pagos'!$E428,11,9999)</f>
        <v>9999</v>
      </c>
      <c r="AF428" s="0" t="n">
        <f aca="false">IF(Presupuesto!$B$12='Flujo de Pagos'!$E428,12,9999)</f>
        <v>12</v>
      </c>
      <c r="AG428" s="0" t="n">
        <f aca="false">IF(Presupuesto!$B$13='Flujo de Pagos'!$E428,13,9999)</f>
        <v>13</v>
      </c>
      <c r="AH428" s="0" t="n">
        <f aca="false">IF(Presupuesto!$B$14='Flujo de Pagos'!$E428,14,9999)</f>
        <v>14</v>
      </c>
      <c r="AI428" s="0" t="n">
        <f aca="false">IF(Presupuesto!$B$15='Flujo de Pagos'!$E428,15,9999)</f>
        <v>15</v>
      </c>
      <c r="AJ428" s="0" t="n">
        <f aca="false">IF(Presupuesto!$B$16='Flujo de Pagos'!$E428,16,9999)</f>
        <v>16</v>
      </c>
      <c r="AK428" s="0" t="n">
        <f aca="false">IF(Presupuesto!$B$17='Flujo de Pagos'!$E428,17,9999)</f>
        <v>17</v>
      </c>
      <c r="AL428" s="0" t="n">
        <f aca="false">IF(Presupuesto!$B$18='Flujo de Pagos'!$E428,18,9999)</f>
        <v>18</v>
      </c>
      <c r="AM428" s="0" t="n">
        <f aca="false">IF(Presupuesto!$B$19='Flujo de Pagos'!$E428,19,9999)</f>
        <v>19</v>
      </c>
      <c r="AN428" s="0" t="n">
        <f aca="false">IF(Presupuesto!$B$20='Flujo de Pagos'!$E428,20,9999)</f>
        <v>20</v>
      </c>
      <c r="AO428" s="0" t="n">
        <f aca="false">IF(Presupuesto!$B$21='Flujo de Pagos'!$E428,21,9999)</f>
        <v>21</v>
      </c>
      <c r="AP428" s="0" t="n">
        <f aca="false">IF(Presupuesto!$B$22='Flujo de Pagos'!$E428,22,9999)</f>
        <v>22</v>
      </c>
      <c r="AQ428" s="0" t="n">
        <f aca="false">IF(Presupuesto!$B$23='Flujo de Pagos'!$E428,23,9999)</f>
        <v>23</v>
      </c>
      <c r="AR428" s="0" t="n">
        <f aca="false">IF(Presupuesto!$B$24='Flujo de Pagos'!$E428,24,9999)</f>
        <v>24</v>
      </c>
      <c r="AS428" s="0" t="n">
        <f aca="false">IF(Presupuesto!$B$25='Flujo de Pagos'!$E428,25,9999)</f>
        <v>25</v>
      </c>
      <c r="AT428" s="0" t="n">
        <f aca="false">IF(Presupuesto!$B$26='Flujo de Pagos'!$E428,26,9999)</f>
        <v>26</v>
      </c>
      <c r="AU428" s="0" t="n">
        <f aca="false">IF(Presupuesto!$B$27='Flujo de Pagos'!$E428,27,9999)</f>
        <v>27</v>
      </c>
      <c r="AV428" s="0" t="n">
        <f aca="false">IF(Presupuesto!$B$28='Flujo de Pagos'!$E428,28,9999)</f>
        <v>28</v>
      </c>
      <c r="AW428" s="0" t="n">
        <f aca="false">IF(Presupuesto!$B$29='Flujo de Pagos'!$E428,29,9999)</f>
        <v>29</v>
      </c>
      <c r="AX428" s="0" t="n">
        <f aca="false">IF(Presupuesto!$B$30='Flujo de Pagos'!$E428,30,9999)</f>
        <v>30</v>
      </c>
      <c r="AY428" s="0" t="n">
        <f aca="false">IF(Presupuesto!$B$31='Flujo de Pagos'!$E428,31,9999)</f>
        <v>31</v>
      </c>
      <c r="AZ428" s="0" t="n">
        <f aca="false">IF(Presupuesto!$B$32='Flujo de Pagos'!$E428,32,9999)</f>
        <v>32</v>
      </c>
      <c r="BA428" s="0" t="n">
        <f aca="false">IF(Presupuesto!$B$33='Flujo de Pagos'!$E428,33,9999)</f>
        <v>33</v>
      </c>
      <c r="BB428" s="0" t="n">
        <f aca="false">IF(Presupuesto!$B$34='Flujo de Pagos'!$E428,34,9999)</f>
        <v>34</v>
      </c>
      <c r="BC428" s="0" t="n">
        <f aca="false">IF(Presupuesto!$B$35='Flujo de Pagos'!$E428,35,9999)</f>
        <v>35</v>
      </c>
      <c r="BD428" s="0" t="n">
        <f aca="false">IF(Presupuesto!$B$36='Flujo de Pagos'!$E428,36,9999)</f>
        <v>36</v>
      </c>
      <c r="BE428" s="0" t="n">
        <f aca="false">IF(Presupuesto!$B$37='Flujo de Pagos'!$E428,37,9999)</f>
        <v>37</v>
      </c>
      <c r="BF428" s="0" t="n">
        <f aca="false">IF(Presupuesto!$B$38='Flujo de Pagos'!$E428,38,9999)</f>
        <v>38</v>
      </c>
      <c r="BG428" s="0" t="n">
        <f aca="false">IF(Presupuesto!$B$39='Flujo de Pagos'!$E428,39,9999)</f>
        <v>39</v>
      </c>
      <c r="BH428" s="0" t="n">
        <f aca="false">IF(Presupuesto!$B$40='Flujo de Pagos'!$E428,40,9999)</f>
        <v>40</v>
      </c>
      <c r="BI428" s="0" t="n">
        <f aca="false">IF(Presupuesto!$B$41='Flujo de Pagos'!$E428,41,9999)</f>
        <v>41</v>
      </c>
      <c r="BJ428" s="0" t="n">
        <f aca="false">IF(Presupuesto!$B$42='Flujo de Pagos'!$E428,42,9999)</f>
        <v>42</v>
      </c>
      <c r="BK428" s="0" t="n">
        <f aca="false">IF(Presupuesto!$B$43='Flujo de Pagos'!$E428,43,9999)</f>
        <v>43</v>
      </c>
      <c r="BL428" s="0" t="n">
        <f aca="false">IF(Presupuesto!$B$44='Flujo de Pagos'!$E428,44,9999)</f>
        <v>44</v>
      </c>
      <c r="BM428" s="0" t="n">
        <f aca="false">IF(Presupuesto!$B$45='Flujo de Pagos'!$E428,45,9999)</f>
        <v>45</v>
      </c>
      <c r="BN428" s="0" t="n">
        <f aca="false">IF(Presupuesto!$B$46='Flujo de Pagos'!$E428,46,9999)</f>
        <v>46</v>
      </c>
      <c r="BO428" s="0" t="n">
        <f aca="false">IF(Presupuesto!$B$47='Flujo de Pagos'!$E428,47,9999)</f>
        <v>47</v>
      </c>
      <c r="BP428" s="0" t="n">
        <f aca="false">IF(Presupuesto!$B$48='Flujo de Pagos'!$E428,48,9999)</f>
        <v>48</v>
      </c>
      <c r="BQ428" s="0" t="n">
        <f aca="false">IF(Presupuesto!$B$49='Flujo de Pagos'!$E428,49,9999)</f>
        <v>49</v>
      </c>
      <c r="BR428" s="0" t="n">
        <f aca="false">IF(Presupuesto!$B$50='Flujo de Pagos'!$E428,50,9999)</f>
        <v>50</v>
      </c>
      <c r="BS428" s="0" t="n">
        <f aca="false">IF(Presupuesto!$B$51='Flujo de Pagos'!$E428,51,9999)</f>
        <v>51</v>
      </c>
      <c r="BT428" s="0" t="n">
        <f aca="false">IF(Presupuesto!$B$52='Flujo de Pagos'!$E428,52,9999)</f>
        <v>52</v>
      </c>
      <c r="BU428" s="0" t="n">
        <f aca="false">IF(Presupuesto!$B$53='Flujo de Pagos'!$E428,53,9999)</f>
        <v>53</v>
      </c>
      <c r="BV428" s="0" t="n">
        <f aca="false">IF(Presupuesto!$B$54='Flujo de Pagos'!$E428,54,9999)</f>
        <v>54</v>
      </c>
      <c r="BW428" s="0" t="n">
        <f aca="false">IF(Presupuesto!$B$55='Flujo de Pagos'!$E428,55,9999)</f>
        <v>55</v>
      </c>
      <c r="BX428" s="0" t="n">
        <f aca="false">IF(Presupuesto!$B$56='Flujo de Pagos'!$E428,56,9999)</f>
        <v>56</v>
      </c>
      <c r="BY428" s="0" t="n">
        <f aca="false">IF(Presupuesto!$B$57='Flujo de Pagos'!$E428,57,9999)</f>
        <v>57</v>
      </c>
      <c r="BZ428" s="0" t="n">
        <f aca="false">IF(Presupuesto!$B$58='Flujo de Pagos'!$E428,58,9999)</f>
        <v>58</v>
      </c>
      <c r="CA428" s="0" t="n">
        <f aca="false">IF(Presupuesto!$B$59='Flujo de Pagos'!$E428,59,9999)</f>
        <v>59</v>
      </c>
      <c r="CB428" s="0" t="n">
        <f aca="false">IF(Presupuesto!$B$60='Flujo de Pagos'!$E428,60,9999)</f>
        <v>60</v>
      </c>
      <c r="CC428" s="0" t="n">
        <f aca="false">IF(Presupuesto!$B$61='Flujo de Pagos'!$E428,61,9999)</f>
        <v>61</v>
      </c>
      <c r="CD428" s="0" t="n">
        <f aca="false">IF(Presupuesto!$B$62='Flujo de Pagos'!$E428,62,9999)</f>
        <v>62</v>
      </c>
      <c r="CE428" s="0" t="n">
        <f aca="false">IF(Presupuesto!$B$63='Flujo de Pagos'!$E428,63,9999)</f>
        <v>63</v>
      </c>
      <c r="CF428" s="0" t="n">
        <f aca="false">IF(Presupuesto!$B$64='Flujo de Pagos'!$E428,64,9999)</f>
        <v>64</v>
      </c>
      <c r="CG428" s="0" t="n">
        <f aca="false">IF(Presupuesto!$B$65='Flujo de Pagos'!$E428,65,9999)</f>
        <v>65</v>
      </c>
      <c r="CH428" s="0" t="n">
        <f aca="false">IF(Presupuesto!$B$66='Flujo de Pagos'!$E428,66,9999)</f>
        <v>66</v>
      </c>
    </row>
    <row r="429" customFormat="false" ht="15" hidden="false" customHeight="true" outlineLevel="0" collapsed="false">
      <c r="B429" s="1" t="n">
        <f aca="false">IF(AND('Flujo de Pagos'!E434=Carátula!$B$2,'Flujo de Pagos'!F434=Carátula!$B$4,'Flujo de Pagos'!H434&lt;&gt;""),434,99999)</f>
        <v>99999</v>
      </c>
      <c r="H429" s="1" t="n">
        <f aca="false">IF(SMALL($AA429:$CH429,1)&gt;=9999,"",INDEX(Presupuesto!$C:$C,SMALL($AA429:$CH429,1)))</f>
        <v>0</v>
      </c>
      <c r="I429" s="1" t="n">
        <f aca="false">IF(SMALL($AA429:$CH429,2)&gt;=9999,"",INDEX(Presupuesto!$C:$C,SMALL($AA429:$CH429,2)))</f>
        <v>0</v>
      </c>
      <c r="J429" s="1" t="n">
        <f aca="false">IF(SMALL($AA429:$CH429,3)&gt;=9999,"",INDEX(Presupuesto!$C:$C,SMALL($AA429:$CH429,3)))</f>
        <v>0</v>
      </c>
      <c r="K429" s="1" t="n">
        <f aca="false">IF(SMALL($AA429:$CH429,4)&gt;=9999,"",INDEX(Presupuesto!$C:$C,SMALL($AA429:$CH429,4)))</f>
        <v>0</v>
      </c>
      <c r="L429" s="1" t="n">
        <f aca="false">IF(SMALL($AA429:$CH429,5)&gt;=9999,"",INDEX(Presupuesto!$C:$C,SMALL($AA429:$CH429,5)))</f>
        <v>0</v>
      </c>
      <c r="M429" s="1" t="n">
        <f aca="false">IF(SMALL($AA429:$CH429,6)&gt;=9999,"",INDEX(Presupuesto!$C:$C,SMALL($AA429:$CH429,6)))</f>
        <v>0</v>
      </c>
      <c r="N429" s="1" t="n">
        <f aca="false">IF(SMALL($AA429:$CH429,7)&gt;=9999,"",INDEX(Presupuesto!$C:$C,SMALL($AA429:$CH429,7)))</f>
        <v>0</v>
      </c>
      <c r="O429" s="1" t="n">
        <f aca="false">IF(SMALL($AA429:$CH429,8)&gt;=9999,"",INDEX(Presupuesto!$C:$C,SMALL($AA429:$CH429,8)))</f>
        <v>0</v>
      </c>
      <c r="P429" s="1" t="n">
        <f aca="false">IF(SMALL($AA429:$CH429,9)&gt;=9999,"",INDEX(Presupuesto!$C:$C,SMALL($AA429:$CH429,9)))</f>
        <v>0</v>
      </c>
      <c r="Q429" s="1" t="n">
        <f aca="false">IF(SMALL($AA429:$CH429,10)&gt;=9999,"",INDEX(Presupuesto!$C:$C,SMALL($AA429:$CH429,10)))</f>
        <v>0</v>
      </c>
      <c r="AA429" s="0" t="n">
        <f aca="false">IF(Presupuesto!$B$7='Flujo de Pagos'!$E429,7,9999)</f>
        <v>9999</v>
      </c>
      <c r="AB429" s="0" t="n">
        <f aca="false">IF(Presupuesto!$B$8='Flujo de Pagos'!$E429,8,9999)</f>
        <v>9999</v>
      </c>
      <c r="AC429" s="0" t="n">
        <f aca="false">IF(Presupuesto!$B$9='Flujo de Pagos'!$E429,9,9999)</f>
        <v>9999</v>
      </c>
      <c r="AD429" s="0" t="n">
        <f aca="false">IF(Presupuesto!$B$10='Flujo de Pagos'!$E429,10,9999)</f>
        <v>9999</v>
      </c>
      <c r="AE429" s="0" t="n">
        <f aca="false">IF(Presupuesto!$B$11='Flujo de Pagos'!$E429,11,9999)</f>
        <v>9999</v>
      </c>
      <c r="AF429" s="0" t="n">
        <f aca="false">IF(Presupuesto!$B$12='Flujo de Pagos'!$E429,12,9999)</f>
        <v>12</v>
      </c>
      <c r="AG429" s="0" t="n">
        <f aca="false">IF(Presupuesto!$B$13='Flujo de Pagos'!$E429,13,9999)</f>
        <v>13</v>
      </c>
      <c r="AH429" s="0" t="n">
        <f aca="false">IF(Presupuesto!$B$14='Flujo de Pagos'!$E429,14,9999)</f>
        <v>14</v>
      </c>
      <c r="AI429" s="0" t="n">
        <f aca="false">IF(Presupuesto!$B$15='Flujo de Pagos'!$E429,15,9999)</f>
        <v>15</v>
      </c>
      <c r="AJ429" s="0" t="n">
        <f aca="false">IF(Presupuesto!$B$16='Flujo de Pagos'!$E429,16,9999)</f>
        <v>16</v>
      </c>
      <c r="AK429" s="0" t="n">
        <f aca="false">IF(Presupuesto!$B$17='Flujo de Pagos'!$E429,17,9999)</f>
        <v>17</v>
      </c>
      <c r="AL429" s="0" t="n">
        <f aca="false">IF(Presupuesto!$B$18='Flujo de Pagos'!$E429,18,9999)</f>
        <v>18</v>
      </c>
      <c r="AM429" s="0" t="n">
        <f aca="false">IF(Presupuesto!$B$19='Flujo de Pagos'!$E429,19,9999)</f>
        <v>19</v>
      </c>
      <c r="AN429" s="0" t="n">
        <f aca="false">IF(Presupuesto!$B$20='Flujo de Pagos'!$E429,20,9999)</f>
        <v>20</v>
      </c>
      <c r="AO429" s="0" t="n">
        <f aca="false">IF(Presupuesto!$B$21='Flujo de Pagos'!$E429,21,9999)</f>
        <v>21</v>
      </c>
      <c r="AP429" s="0" t="n">
        <f aca="false">IF(Presupuesto!$B$22='Flujo de Pagos'!$E429,22,9999)</f>
        <v>22</v>
      </c>
      <c r="AQ429" s="0" t="n">
        <f aca="false">IF(Presupuesto!$B$23='Flujo de Pagos'!$E429,23,9999)</f>
        <v>23</v>
      </c>
      <c r="AR429" s="0" t="n">
        <f aca="false">IF(Presupuesto!$B$24='Flujo de Pagos'!$E429,24,9999)</f>
        <v>24</v>
      </c>
      <c r="AS429" s="0" t="n">
        <f aca="false">IF(Presupuesto!$B$25='Flujo de Pagos'!$E429,25,9999)</f>
        <v>25</v>
      </c>
      <c r="AT429" s="0" t="n">
        <f aca="false">IF(Presupuesto!$B$26='Flujo de Pagos'!$E429,26,9999)</f>
        <v>26</v>
      </c>
      <c r="AU429" s="0" t="n">
        <f aca="false">IF(Presupuesto!$B$27='Flujo de Pagos'!$E429,27,9999)</f>
        <v>27</v>
      </c>
      <c r="AV429" s="0" t="n">
        <f aca="false">IF(Presupuesto!$B$28='Flujo de Pagos'!$E429,28,9999)</f>
        <v>28</v>
      </c>
      <c r="AW429" s="0" t="n">
        <f aca="false">IF(Presupuesto!$B$29='Flujo de Pagos'!$E429,29,9999)</f>
        <v>29</v>
      </c>
      <c r="AX429" s="0" t="n">
        <f aca="false">IF(Presupuesto!$B$30='Flujo de Pagos'!$E429,30,9999)</f>
        <v>30</v>
      </c>
      <c r="AY429" s="0" t="n">
        <f aca="false">IF(Presupuesto!$B$31='Flujo de Pagos'!$E429,31,9999)</f>
        <v>31</v>
      </c>
      <c r="AZ429" s="0" t="n">
        <f aca="false">IF(Presupuesto!$B$32='Flujo de Pagos'!$E429,32,9999)</f>
        <v>32</v>
      </c>
      <c r="BA429" s="0" t="n">
        <f aca="false">IF(Presupuesto!$B$33='Flujo de Pagos'!$E429,33,9999)</f>
        <v>33</v>
      </c>
      <c r="BB429" s="0" t="n">
        <f aca="false">IF(Presupuesto!$B$34='Flujo de Pagos'!$E429,34,9999)</f>
        <v>34</v>
      </c>
      <c r="BC429" s="0" t="n">
        <f aca="false">IF(Presupuesto!$B$35='Flujo de Pagos'!$E429,35,9999)</f>
        <v>35</v>
      </c>
      <c r="BD429" s="0" t="n">
        <f aca="false">IF(Presupuesto!$B$36='Flujo de Pagos'!$E429,36,9999)</f>
        <v>36</v>
      </c>
      <c r="BE429" s="0" t="n">
        <f aca="false">IF(Presupuesto!$B$37='Flujo de Pagos'!$E429,37,9999)</f>
        <v>37</v>
      </c>
      <c r="BF429" s="0" t="n">
        <f aca="false">IF(Presupuesto!$B$38='Flujo de Pagos'!$E429,38,9999)</f>
        <v>38</v>
      </c>
      <c r="BG429" s="0" t="n">
        <f aca="false">IF(Presupuesto!$B$39='Flujo de Pagos'!$E429,39,9999)</f>
        <v>39</v>
      </c>
      <c r="BH429" s="0" t="n">
        <f aca="false">IF(Presupuesto!$B$40='Flujo de Pagos'!$E429,40,9999)</f>
        <v>40</v>
      </c>
      <c r="BI429" s="0" t="n">
        <f aca="false">IF(Presupuesto!$B$41='Flujo de Pagos'!$E429,41,9999)</f>
        <v>41</v>
      </c>
      <c r="BJ429" s="0" t="n">
        <f aca="false">IF(Presupuesto!$B$42='Flujo de Pagos'!$E429,42,9999)</f>
        <v>42</v>
      </c>
      <c r="BK429" s="0" t="n">
        <f aca="false">IF(Presupuesto!$B$43='Flujo de Pagos'!$E429,43,9999)</f>
        <v>43</v>
      </c>
      <c r="BL429" s="0" t="n">
        <f aca="false">IF(Presupuesto!$B$44='Flujo de Pagos'!$E429,44,9999)</f>
        <v>44</v>
      </c>
      <c r="BM429" s="0" t="n">
        <f aca="false">IF(Presupuesto!$B$45='Flujo de Pagos'!$E429,45,9999)</f>
        <v>45</v>
      </c>
      <c r="BN429" s="0" t="n">
        <f aca="false">IF(Presupuesto!$B$46='Flujo de Pagos'!$E429,46,9999)</f>
        <v>46</v>
      </c>
      <c r="BO429" s="0" t="n">
        <f aca="false">IF(Presupuesto!$B$47='Flujo de Pagos'!$E429,47,9999)</f>
        <v>47</v>
      </c>
      <c r="BP429" s="0" t="n">
        <f aca="false">IF(Presupuesto!$B$48='Flujo de Pagos'!$E429,48,9999)</f>
        <v>48</v>
      </c>
      <c r="BQ429" s="0" t="n">
        <f aca="false">IF(Presupuesto!$B$49='Flujo de Pagos'!$E429,49,9999)</f>
        <v>49</v>
      </c>
      <c r="BR429" s="0" t="n">
        <f aca="false">IF(Presupuesto!$B$50='Flujo de Pagos'!$E429,50,9999)</f>
        <v>50</v>
      </c>
      <c r="BS429" s="0" t="n">
        <f aca="false">IF(Presupuesto!$B$51='Flujo de Pagos'!$E429,51,9999)</f>
        <v>51</v>
      </c>
      <c r="BT429" s="0" t="n">
        <f aca="false">IF(Presupuesto!$B$52='Flujo de Pagos'!$E429,52,9999)</f>
        <v>52</v>
      </c>
      <c r="BU429" s="0" t="n">
        <f aca="false">IF(Presupuesto!$B$53='Flujo de Pagos'!$E429,53,9999)</f>
        <v>53</v>
      </c>
      <c r="BV429" s="0" t="n">
        <f aca="false">IF(Presupuesto!$B$54='Flujo de Pagos'!$E429,54,9999)</f>
        <v>54</v>
      </c>
      <c r="BW429" s="0" t="n">
        <f aca="false">IF(Presupuesto!$B$55='Flujo de Pagos'!$E429,55,9999)</f>
        <v>55</v>
      </c>
      <c r="BX429" s="0" t="n">
        <f aca="false">IF(Presupuesto!$B$56='Flujo de Pagos'!$E429,56,9999)</f>
        <v>56</v>
      </c>
      <c r="BY429" s="0" t="n">
        <f aca="false">IF(Presupuesto!$B$57='Flujo de Pagos'!$E429,57,9999)</f>
        <v>57</v>
      </c>
      <c r="BZ429" s="0" t="n">
        <f aca="false">IF(Presupuesto!$B$58='Flujo de Pagos'!$E429,58,9999)</f>
        <v>58</v>
      </c>
      <c r="CA429" s="0" t="n">
        <f aca="false">IF(Presupuesto!$B$59='Flujo de Pagos'!$E429,59,9999)</f>
        <v>59</v>
      </c>
      <c r="CB429" s="0" t="n">
        <f aca="false">IF(Presupuesto!$B$60='Flujo de Pagos'!$E429,60,9999)</f>
        <v>60</v>
      </c>
      <c r="CC429" s="0" t="n">
        <f aca="false">IF(Presupuesto!$B$61='Flujo de Pagos'!$E429,61,9999)</f>
        <v>61</v>
      </c>
      <c r="CD429" s="0" t="n">
        <f aca="false">IF(Presupuesto!$B$62='Flujo de Pagos'!$E429,62,9999)</f>
        <v>62</v>
      </c>
      <c r="CE429" s="0" t="n">
        <f aca="false">IF(Presupuesto!$B$63='Flujo de Pagos'!$E429,63,9999)</f>
        <v>63</v>
      </c>
      <c r="CF429" s="0" t="n">
        <f aca="false">IF(Presupuesto!$B$64='Flujo de Pagos'!$E429,64,9999)</f>
        <v>64</v>
      </c>
      <c r="CG429" s="0" t="n">
        <f aca="false">IF(Presupuesto!$B$65='Flujo de Pagos'!$E429,65,9999)</f>
        <v>65</v>
      </c>
      <c r="CH429" s="0" t="n">
        <f aca="false">IF(Presupuesto!$B$66='Flujo de Pagos'!$E429,66,9999)</f>
        <v>66</v>
      </c>
    </row>
    <row r="430" customFormat="false" ht="15" hidden="false" customHeight="true" outlineLevel="0" collapsed="false">
      <c r="B430" s="1" t="n">
        <f aca="false">IF(AND('Flujo de Pagos'!E435=Carátula!$B$2,'Flujo de Pagos'!F435=Carátula!$B$4,'Flujo de Pagos'!H435&lt;&gt;""),435,99999)</f>
        <v>99999</v>
      </c>
      <c r="H430" s="1" t="n">
        <f aca="false">IF(SMALL($AA430:$CH430,1)&gt;=9999,"",INDEX(Presupuesto!$C:$C,SMALL($AA430:$CH430,1)))</f>
        <v>0</v>
      </c>
      <c r="I430" s="1" t="n">
        <f aca="false">IF(SMALL($AA430:$CH430,2)&gt;=9999,"",INDEX(Presupuesto!$C:$C,SMALL($AA430:$CH430,2)))</f>
        <v>0</v>
      </c>
      <c r="J430" s="1" t="n">
        <f aca="false">IF(SMALL($AA430:$CH430,3)&gt;=9999,"",INDEX(Presupuesto!$C:$C,SMALL($AA430:$CH430,3)))</f>
        <v>0</v>
      </c>
      <c r="K430" s="1" t="n">
        <f aca="false">IF(SMALL($AA430:$CH430,4)&gt;=9999,"",INDEX(Presupuesto!$C:$C,SMALL($AA430:$CH430,4)))</f>
        <v>0</v>
      </c>
      <c r="L430" s="1" t="n">
        <f aca="false">IF(SMALL($AA430:$CH430,5)&gt;=9999,"",INDEX(Presupuesto!$C:$C,SMALL($AA430:$CH430,5)))</f>
        <v>0</v>
      </c>
      <c r="M430" s="1" t="n">
        <f aca="false">IF(SMALL($AA430:$CH430,6)&gt;=9999,"",INDEX(Presupuesto!$C:$C,SMALL($AA430:$CH430,6)))</f>
        <v>0</v>
      </c>
      <c r="N430" s="1" t="n">
        <f aca="false">IF(SMALL($AA430:$CH430,7)&gt;=9999,"",INDEX(Presupuesto!$C:$C,SMALL($AA430:$CH430,7)))</f>
        <v>0</v>
      </c>
      <c r="O430" s="1" t="n">
        <f aca="false">IF(SMALL($AA430:$CH430,8)&gt;=9999,"",INDEX(Presupuesto!$C:$C,SMALL($AA430:$CH430,8)))</f>
        <v>0</v>
      </c>
      <c r="P430" s="1" t="n">
        <f aca="false">IF(SMALL($AA430:$CH430,9)&gt;=9999,"",INDEX(Presupuesto!$C:$C,SMALL($AA430:$CH430,9)))</f>
        <v>0</v>
      </c>
      <c r="Q430" s="1" t="n">
        <f aca="false">IF(SMALL($AA430:$CH430,10)&gt;=9999,"",INDEX(Presupuesto!$C:$C,SMALL($AA430:$CH430,10)))</f>
        <v>0</v>
      </c>
      <c r="AA430" s="0" t="n">
        <f aca="false">IF(Presupuesto!$B$7='Flujo de Pagos'!$E430,7,9999)</f>
        <v>9999</v>
      </c>
      <c r="AB430" s="0" t="n">
        <f aca="false">IF(Presupuesto!$B$8='Flujo de Pagos'!$E430,8,9999)</f>
        <v>9999</v>
      </c>
      <c r="AC430" s="0" t="n">
        <f aca="false">IF(Presupuesto!$B$9='Flujo de Pagos'!$E430,9,9999)</f>
        <v>9999</v>
      </c>
      <c r="AD430" s="0" t="n">
        <f aca="false">IF(Presupuesto!$B$10='Flujo de Pagos'!$E430,10,9999)</f>
        <v>9999</v>
      </c>
      <c r="AE430" s="0" t="n">
        <f aca="false">IF(Presupuesto!$B$11='Flujo de Pagos'!$E430,11,9999)</f>
        <v>9999</v>
      </c>
      <c r="AF430" s="0" t="n">
        <f aca="false">IF(Presupuesto!$B$12='Flujo de Pagos'!$E430,12,9999)</f>
        <v>12</v>
      </c>
      <c r="AG430" s="0" t="n">
        <f aca="false">IF(Presupuesto!$B$13='Flujo de Pagos'!$E430,13,9999)</f>
        <v>13</v>
      </c>
      <c r="AH430" s="0" t="n">
        <f aca="false">IF(Presupuesto!$B$14='Flujo de Pagos'!$E430,14,9999)</f>
        <v>14</v>
      </c>
      <c r="AI430" s="0" t="n">
        <f aca="false">IF(Presupuesto!$B$15='Flujo de Pagos'!$E430,15,9999)</f>
        <v>15</v>
      </c>
      <c r="AJ430" s="0" t="n">
        <f aca="false">IF(Presupuesto!$B$16='Flujo de Pagos'!$E430,16,9999)</f>
        <v>16</v>
      </c>
      <c r="AK430" s="0" t="n">
        <f aca="false">IF(Presupuesto!$B$17='Flujo de Pagos'!$E430,17,9999)</f>
        <v>17</v>
      </c>
      <c r="AL430" s="0" t="n">
        <f aca="false">IF(Presupuesto!$B$18='Flujo de Pagos'!$E430,18,9999)</f>
        <v>18</v>
      </c>
      <c r="AM430" s="0" t="n">
        <f aca="false">IF(Presupuesto!$B$19='Flujo de Pagos'!$E430,19,9999)</f>
        <v>19</v>
      </c>
      <c r="AN430" s="0" t="n">
        <f aca="false">IF(Presupuesto!$B$20='Flujo de Pagos'!$E430,20,9999)</f>
        <v>20</v>
      </c>
      <c r="AO430" s="0" t="n">
        <f aca="false">IF(Presupuesto!$B$21='Flujo de Pagos'!$E430,21,9999)</f>
        <v>21</v>
      </c>
      <c r="AP430" s="0" t="n">
        <f aca="false">IF(Presupuesto!$B$22='Flujo de Pagos'!$E430,22,9999)</f>
        <v>22</v>
      </c>
      <c r="AQ430" s="0" t="n">
        <f aca="false">IF(Presupuesto!$B$23='Flujo de Pagos'!$E430,23,9999)</f>
        <v>23</v>
      </c>
      <c r="AR430" s="0" t="n">
        <f aca="false">IF(Presupuesto!$B$24='Flujo de Pagos'!$E430,24,9999)</f>
        <v>24</v>
      </c>
      <c r="AS430" s="0" t="n">
        <f aca="false">IF(Presupuesto!$B$25='Flujo de Pagos'!$E430,25,9999)</f>
        <v>25</v>
      </c>
      <c r="AT430" s="0" t="n">
        <f aca="false">IF(Presupuesto!$B$26='Flujo de Pagos'!$E430,26,9999)</f>
        <v>26</v>
      </c>
      <c r="AU430" s="0" t="n">
        <f aca="false">IF(Presupuesto!$B$27='Flujo de Pagos'!$E430,27,9999)</f>
        <v>27</v>
      </c>
      <c r="AV430" s="0" t="n">
        <f aca="false">IF(Presupuesto!$B$28='Flujo de Pagos'!$E430,28,9999)</f>
        <v>28</v>
      </c>
      <c r="AW430" s="0" t="n">
        <f aca="false">IF(Presupuesto!$B$29='Flujo de Pagos'!$E430,29,9999)</f>
        <v>29</v>
      </c>
      <c r="AX430" s="0" t="n">
        <f aca="false">IF(Presupuesto!$B$30='Flujo de Pagos'!$E430,30,9999)</f>
        <v>30</v>
      </c>
      <c r="AY430" s="0" t="n">
        <f aca="false">IF(Presupuesto!$B$31='Flujo de Pagos'!$E430,31,9999)</f>
        <v>31</v>
      </c>
      <c r="AZ430" s="0" t="n">
        <f aca="false">IF(Presupuesto!$B$32='Flujo de Pagos'!$E430,32,9999)</f>
        <v>32</v>
      </c>
      <c r="BA430" s="0" t="n">
        <f aca="false">IF(Presupuesto!$B$33='Flujo de Pagos'!$E430,33,9999)</f>
        <v>33</v>
      </c>
      <c r="BB430" s="0" t="n">
        <f aca="false">IF(Presupuesto!$B$34='Flujo de Pagos'!$E430,34,9999)</f>
        <v>34</v>
      </c>
      <c r="BC430" s="0" t="n">
        <f aca="false">IF(Presupuesto!$B$35='Flujo de Pagos'!$E430,35,9999)</f>
        <v>35</v>
      </c>
      <c r="BD430" s="0" t="n">
        <f aca="false">IF(Presupuesto!$B$36='Flujo de Pagos'!$E430,36,9999)</f>
        <v>36</v>
      </c>
      <c r="BE430" s="0" t="n">
        <f aca="false">IF(Presupuesto!$B$37='Flujo de Pagos'!$E430,37,9999)</f>
        <v>37</v>
      </c>
      <c r="BF430" s="0" t="n">
        <f aca="false">IF(Presupuesto!$B$38='Flujo de Pagos'!$E430,38,9999)</f>
        <v>38</v>
      </c>
      <c r="BG430" s="0" t="n">
        <f aca="false">IF(Presupuesto!$B$39='Flujo de Pagos'!$E430,39,9999)</f>
        <v>39</v>
      </c>
      <c r="BH430" s="0" t="n">
        <f aca="false">IF(Presupuesto!$B$40='Flujo de Pagos'!$E430,40,9999)</f>
        <v>40</v>
      </c>
      <c r="BI430" s="0" t="n">
        <f aca="false">IF(Presupuesto!$B$41='Flujo de Pagos'!$E430,41,9999)</f>
        <v>41</v>
      </c>
      <c r="BJ430" s="0" t="n">
        <f aca="false">IF(Presupuesto!$B$42='Flujo de Pagos'!$E430,42,9999)</f>
        <v>42</v>
      </c>
      <c r="BK430" s="0" t="n">
        <f aca="false">IF(Presupuesto!$B$43='Flujo de Pagos'!$E430,43,9999)</f>
        <v>43</v>
      </c>
      <c r="BL430" s="0" t="n">
        <f aca="false">IF(Presupuesto!$B$44='Flujo de Pagos'!$E430,44,9999)</f>
        <v>44</v>
      </c>
      <c r="BM430" s="0" t="n">
        <f aca="false">IF(Presupuesto!$B$45='Flujo de Pagos'!$E430,45,9999)</f>
        <v>45</v>
      </c>
      <c r="BN430" s="0" t="n">
        <f aca="false">IF(Presupuesto!$B$46='Flujo de Pagos'!$E430,46,9999)</f>
        <v>46</v>
      </c>
      <c r="BO430" s="0" t="n">
        <f aca="false">IF(Presupuesto!$B$47='Flujo de Pagos'!$E430,47,9999)</f>
        <v>47</v>
      </c>
      <c r="BP430" s="0" t="n">
        <f aca="false">IF(Presupuesto!$B$48='Flujo de Pagos'!$E430,48,9999)</f>
        <v>48</v>
      </c>
      <c r="BQ430" s="0" t="n">
        <f aca="false">IF(Presupuesto!$B$49='Flujo de Pagos'!$E430,49,9999)</f>
        <v>49</v>
      </c>
      <c r="BR430" s="0" t="n">
        <f aca="false">IF(Presupuesto!$B$50='Flujo de Pagos'!$E430,50,9999)</f>
        <v>50</v>
      </c>
      <c r="BS430" s="0" t="n">
        <f aca="false">IF(Presupuesto!$B$51='Flujo de Pagos'!$E430,51,9999)</f>
        <v>51</v>
      </c>
      <c r="BT430" s="0" t="n">
        <f aca="false">IF(Presupuesto!$B$52='Flujo de Pagos'!$E430,52,9999)</f>
        <v>52</v>
      </c>
      <c r="BU430" s="0" t="n">
        <f aca="false">IF(Presupuesto!$B$53='Flujo de Pagos'!$E430,53,9999)</f>
        <v>53</v>
      </c>
      <c r="BV430" s="0" t="n">
        <f aca="false">IF(Presupuesto!$B$54='Flujo de Pagos'!$E430,54,9999)</f>
        <v>54</v>
      </c>
      <c r="BW430" s="0" t="n">
        <f aca="false">IF(Presupuesto!$B$55='Flujo de Pagos'!$E430,55,9999)</f>
        <v>55</v>
      </c>
      <c r="BX430" s="0" t="n">
        <f aca="false">IF(Presupuesto!$B$56='Flujo de Pagos'!$E430,56,9999)</f>
        <v>56</v>
      </c>
      <c r="BY430" s="0" t="n">
        <f aca="false">IF(Presupuesto!$B$57='Flujo de Pagos'!$E430,57,9999)</f>
        <v>57</v>
      </c>
      <c r="BZ430" s="0" t="n">
        <f aca="false">IF(Presupuesto!$B$58='Flujo de Pagos'!$E430,58,9999)</f>
        <v>58</v>
      </c>
      <c r="CA430" s="0" t="n">
        <f aca="false">IF(Presupuesto!$B$59='Flujo de Pagos'!$E430,59,9999)</f>
        <v>59</v>
      </c>
      <c r="CB430" s="0" t="n">
        <f aca="false">IF(Presupuesto!$B$60='Flujo de Pagos'!$E430,60,9999)</f>
        <v>60</v>
      </c>
      <c r="CC430" s="0" t="n">
        <f aca="false">IF(Presupuesto!$B$61='Flujo de Pagos'!$E430,61,9999)</f>
        <v>61</v>
      </c>
      <c r="CD430" s="0" t="n">
        <f aca="false">IF(Presupuesto!$B$62='Flujo de Pagos'!$E430,62,9999)</f>
        <v>62</v>
      </c>
      <c r="CE430" s="0" t="n">
        <f aca="false">IF(Presupuesto!$B$63='Flujo de Pagos'!$E430,63,9999)</f>
        <v>63</v>
      </c>
      <c r="CF430" s="0" t="n">
        <f aca="false">IF(Presupuesto!$B$64='Flujo de Pagos'!$E430,64,9999)</f>
        <v>64</v>
      </c>
      <c r="CG430" s="0" t="n">
        <f aca="false">IF(Presupuesto!$B$65='Flujo de Pagos'!$E430,65,9999)</f>
        <v>65</v>
      </c>
      <c r="CH430" s="0" t="n">
        <f aca="false">IF(Presupuesto!$B$66='Flujo de Pagos'!$E430,66,9999)</f>
        <v>66</v>
      </c>
    </row>
    <row r="431" customFormat="false" ht="15" hidden="false" customHeight="true" outlineLevel="0" collapsed="false">
      <c r="B431" s="1" t="n">
        <f aca="false">IF(AND('Flujo de Pagos'!E436=Carátula!$B$2,'Flujo de Pagos'!F436=Carátula!$B$4,'Flujo de Pagos'!H436&lt;&gt;""),436,99999)</f>
        <v>99999</v>
      </c>
      <c r="H431" s="1" t="n">
        <f aca="false">IF(SMALL($AA431:$CH431,1)&gt;=9999,"",INDEX(Presupuesto!$C:$C,SMALL($AA431:$CH431,1)))</f>
        <v>0</v>
      </c>
      <c r="I431" s="1" t="n">
        <f aca="false">IF(SMALL($AA431:$CH431,2)&gt;=9999,"",INDEX(Presupuesto!$C:$C,SMALL($AA431:$CH431,2)))</f>
        <v>0</v>
      </c>
      <c r="J431" s="1" t="n">
        <f aca="false">IF(SMALL($AA431:$CH431,3)&gt;=9999,"",INDEX(Presupuesto!$C:$C,SMALL($AA431:$CH431,3)))</f>
        <v>0</v>
      </c>
      <c r="K431" s="1" t="n">
        <f aca="false">IF(SMALL($AA431:$CH431,4)&gt;=9999,"",INDEX(Presupuesto!$C:$C,SMALL($AA431:$CH431,4)))</f>
        <v>0</v>
      </c>
      <c r="L431" s="1" t="n">
        <f aca="false">IF(SMALL($AA431:$CH431,5)&gt;=9999,"",INDEX(Presupuesto!$C:$C,SMALL($AA431:$CH431,5)))</f>
        <v>0</v>
      </c>
      <c r="M431" s="1" t="n">
        <f aca="false">IF(SMALL($AA431:$CH431,6)&gt;=9999,"",INDEX(Presupuesto!$C:$C,SMALL($AA431:$CH431,6)))</f>
        <v>0</v>
      </c>
      <c r="N431" s="1" t="n">
        <f aca="false">IF(SMALL($AA431:$CH431,7)&gt;=9999,"",INDEX(Presupuesto!$C:$C,SMALL($AA431:$CH431,7)))</f>
        <v>0</v>
      </c>
      <c r="O431" s="1" t="n">
        <f aca="false">IF(SMALL($AA431:$CH431,8)&gt;=9999,"",INDEX(Presupuesto!$C:$C,SMALL($AA431:$CH431,8)))</f>
        <v>0</v>
      </c>
      <c r="P431" s="1" t="n">
        <f aca="false">IF(SMALL($AA431:$CH431,9)&gt;=9999,"",INDEX(Presupuesto!$C:$C,SMALL($AA431:$CH431,9)))</f>
        <v>0</v>
      </c>
      <c r="Q431" s="1" t="n">
        <f aca="false">IF(SMALL($AA431:$CH431,10)&gt;=9999,"",INDEX(Presupuesto!$C:$C,SMALL($AA431:$CH431,10)))</f>
        <v>0</v>
      </c>
      <c r="AA431" s="0" t="n">
        <f aca="false">IF(Presupuesto!$B$7='Flujo de Pagos'!$E431,7,9999)</f>
        <v>9999</v>
      </c>
      <c r="AB431" s="0" t="n">
        <f aca="false">IF(Presupuesto!$B$8='Flujo de Pagos'!$E431,8,9999)</f>
        <v>9999</v>
      </c>
      <c r="AC431" s="0" t="n">
        <f aca="false">IF(Presupuesto!$B$9='Flujo de Pagos'!$E431,9,9999)</f>
        <v>9999</v>
      </c>
      <c r="AD431" s="0" t="n">
        <f aca="false">IF(Presupuesto!$B$10='Flujo de Pagos'!$E431,10,9999)</f>
        <v>9999</v>
      </c>
      <c r="AE431" s="0" t="n">
        <f aca="false">IF(Presupuesto!$B$11='Flujo de Pagos'!$E431,11,9999)</f>
        <v>9999</v>
      </c>
      <c r="AF431" s="0" t="n">
        <f aca="false">IF(Presupuesto!$B$12='Flujo de Pagos'!$E431,12,9999)</f>
        <v>12</v>
      </c>
      <c r="AG431" s="0" t="n">
        <f aca="false">IF(Presupuesto!$B$13='Flujo de Pagos'!$E431,13,9999)</f>
        <v>13</v>
      </c>
      <c r="AH431" s="0" t="n">
        <f aca="false">IF(Presupuesto!$B$14='Flujo de Pagos'!$E431,14,9999)</f>
        <v>14</v>
      </c>
      <c r="AI431" s="0" t="n">
        <f aca="false">IF(Presupuesto!$B$15='Flujo de Pagos'!$E431,15,9999)</f>
        <v>15</v>
      </c>
      <c r="AJ431" s="0" t="n">
        <f aca="false">IF(Presupuesto!$B$16='Flujo de Pagos'!$E431,16,9999)</f>
        <v>16</v>
      </c>
      <c r="AK431" s="0" t="n">
        <f aca="false">IF(Presupuesto!$B$17='Flujo de Pagos'!$E431,17,9999)</f>
        <v>17</v>
      </c>
      <c r="AL431" s="0" t="n">
        <f aca="false">IF(Presupuesto!$B$18='Flujo de Pagos'!$E431,18,9999)</f>
        <v>18</v>
      </c>
      <c r="AM431" s="0" t="n">
        <f aca="false">IF(Presupuesto!$B$19='Flujo de Pagos'!$E431,19,9999)</f>
        <v>19</v>
      </c>
      <c r="AN431" s="0" t="n">
        <f aca="false">IF(Presupuesto!$B$20='Flujo de Pagos'!$E431,20,9999)</f>
        <v>20</v>
      </c>
      <c r="AO431" s="0" t="n">
        <f aca="false">IF(Presupuesto!$B$21='Flujo de Pagos'!$E431,21,9999)</f>
        <v>21</v>
      </c>
      <c r="AP431" s="0" t="n">
        <f aca="false">IF(Presupuesto!$B$22='Flujo de Pagos'!$E431,22,9999)</f>
        <v>22</v>
      </c>
      <c r="AQ431" s="0" t="n">
        <f aca="false">IF(Presupuesto!$B$23='Flujo de Pagos'!$E431,23,9999)</f>
        <v>23</v>
      </c>
      <c r="AR431" s="0" t="n">
        <f aca="false">IF(Presupuesto!$B$24='Flujo de Pagos'!$E431,24,9999)</f>
        <v>24</v>
      </c>
      <c r="AS431" s="0" t="n">
        <f aca="false">IF(Presupuesto!$B$25='Flujo de Pagos'!$E431,25,9999)</f>
        <v>25</v>
      </c>
      <c r="AT431" s="0" t="n">
        <f aca="false">IF(Presupuesto!$B$26='Flujo de Pagos'!$E431,26,9999)</f>
        <v>26</v>
      </c>
      <c r="AU431" s="0" t="n">
        <f aca="false">IF(Presupuesto!$B$27='Flujo de Pagos'!$E431,27,9999)</f>
        <v>27</v>
      </c>
      <c r="AV431" s="0" t="n">
        <f aca="false">IF(Presupuesto!$B$28='Flujo de Pagos'!$E431,28,9999)</f>
        <v>28</v>
      </c>
      <c r="AW431" s="0" t="n">
        <f aca="false">IF(Presupuesto!$B$29='Flujo de Pagos'!$E431,29,9999)</f>
        <v>29</v>
      </c>
      <c r="AX431" s="0" t="n">
        <f aca="false">IF(Presupuesto!$B$30='Flujo de Pagos'!$E431,30,9999)</f>
        <v>30</v>
      </c>
      <c r="AY431" s="0" t="n">
        <f aca="false">IF(Presupuesto!$B$31='Flujo de Pagos'!$E431,31,9999)</f>
        <v>31</v>
      </c>
      <c r="AZ431" s="0" t="n">
        <f aca="false">IF(Presupuesto!$B$32='Flujo de Pagos'!$E431,32,9999)</f>
        <v>32</v>
      </c>
      <c r="BA431" s="0" t="n">
        <f aca="false">IF(Presupuesto!$B$33='Flujo de Pagos'!$E431,33,9999)</f>
        <v>33</v>
      </c>
      <c r="BB431" s="0" t="n">
        <f aca="false">IF(Presupuesto!$B$34='Flujo de Pagos'!$E431,34,9999)</f>
        <v>34</v>
      </c>
      <c r="BC431" s="0" t="n">
        <f aca="false">IF(Presupuesto!$B$35='Flujo de Pagos'!$E431,35,9999)</f>
        <v>35</v>
      </c>
      <c r="BD431" s="0" t="n">
        <f aca="false">IF(Presupuesto!$B$36='Flujo de Pagos'!$E431,36,9999)</f>
        <v>36</v>
      </c>
      <c r="BE431" s="0" t="n">
        <f aca="false">IF(Presupuesto!$B$37='Flujo de Pagos'!$E431,37,9999)</f>
        <v>37</v>
      </c>
      <c r="BF431" s="0" t="n">
        <f aca="false">IF(Presupuesto!$B$38='Flujo de Pagos'!$E431,38,9999)</f>
        <v>38</v>
      </c>
      <c r="BG431" s="0" t="n">
        <f aca="false">IF(Presupuesto!$B$39='Flujo de Pagos'!$E431,39,9999)</f>
        <v>39</v>
      </c>
      <c r="BH431" s="0" t="n">
        <f aca="false">IF(Presupuesto!$B$40='Flujo de Pagos'!$E431,40,9999)</f>
        <v>40</v>
      </c>
      <c r="BI431" s="0" t="n">
        <f aca="false">IF(Presupuesto!$B$41='Flujo de Pagos'!$E431,41,9999)</f>
        <v>41</v>
      </c>
      <c r="BJ431" s="0" t="n">
        <f aca="false">IF(Presupuesto!$B$42='Flujo de Pagos'!$E431,42,9999)</f>
        <v>42</v>
      </c>
      <c r="BK431" s="0" t="n">
        <f aca="false">IF(Presupuesto!$B$43='Flujo de Pagos'!$E431,43,9999)</f>
        <v>43</v>
      </c>
      <c r="BL431" s="0" t="n">
        <f aca="false">IF(Presupuesto!$B$44='Flujo de Pagos'!$E431,44,9999)</f>
        <v>44</v>
      </c>
      <c r="BM431" s="0" t="n">
        <f aca="false">IF(Presupuesto!$B$45='Flujo de Pagos'!$E431,45,9999)</f>
        <v>45</v>
      </c>
      <c r="BN431" s="0" t="n">
        <f aca="false">IF(Presupuesto!$B$46='Flujo de Pagos'!$E431,46,9999)</f>
        <v>46</v>
      </c>
      <c r="BO431" s="0" t="n">
        <f aca="false">IF(Presupuesto!$B$47='Flujo de Pagos'!$E431,47,9999)</f>
        <v>47</v>
      </c>
      <c r="BP431" s="0" t="n">
        <f aca="false">IF(Presupuesto!$B$48='Flujo de Pagos'!$E431,48,9999)</f>
        <v>48</v>
      </c>
      <c r="BQ431" s="0" t="n">
        <f aca="false">IF(Presupuesto!$B$49='Flujo de Pagos'!$E431,49,9999)</f>
        <v>49</v>
      </c>
      <c r="BR431" s="0" t="n">
        <f aca="false">IF(Presupuesto!$B$50='Flujo de Pagos'!$E431,50,9999)</f>
        <v>50</v>
      </c>
      <c r="BS431" s="0" t="n">
        <f aca="false">IF(Presupuesto!$B$51='Flujo de Pagos'!$E431,51,9999)</f>
        <v>51</v>
      </c>
      <c r="BT431" s="0" t="n">
        <f aca="false">IF(Presupuesto!$B$52='Flujo de Pagos'!$E431,52,9999)</f>
        <v>52</v>
      </c>
      <c r="BU431" s="0" t="n">
        <f aca="false">IF(Presupuesto!$B$53='Flujo de Pagos'!$E431,53,9999)</f>
        <v>53</v>
      </c>
      <c r="BV431" s="0" t="n">
        <f aca="false">IF(Presupuesto!$B$54='Flujo de Pagos'!$E431,54,9999)</f>
        <v>54</v>
      </c>
      <c r="BW431" s="0" t="n">
        <f aca="false">IF(Presupuesto!$B$55='Flujo de Pagos'!$E431,55,9999)</f>
        <v>55</v>
      </c>
      <c r="BX431" s="0" t="n">
        <f aca="false">IF(Presupuesto!$B$56='Flujo de Pagos'!$E431,56,9999)</f>
        <v>56</v>
      </c>
      <c r="BY431" s="0" t="n">
        <f aca="false">IF(Presupuesto!$B$57='Flujo de Pagos'!$E431,57,9999)</f>
        <v>57</v>
      </c>
      <c r="BZ431" s="0" t="n">
        <f aca="false">IF(Presupuesto!$B$58='Flujo de Pagos'!$E431,58,9999)</f>
        <v>58</v>
      </c>
      <c r="CA431" s="0" t="n">
        <f aca="false">IF(Presupuesto!$B$59='Flujo de Pagos'!$E431,59,9999)</f>
        <v>59</v>
      </c>
      <c r="CB431" s="0" t="n">
        <f aca="false">IF(Presupuesto!$B$60='Flujo de Pagos'!$E431,60,9999)</f>
        <v>60</v>
      </c>
      <c r="CC431" s="0" t="n">
        <f aca="false">IF(Presupuesto!$B$61='Flujo de Pagos'!$E431,61,9999)</f>
        <v>61</v>
      </c>
      <c r="CD431" s="0" t="n">
        <f aca="false">IF(Presupuesto!$B$62='Flujo de Pagos'!$E431,62,9999)</f>
        <v>62</v>
      </c>
      <c r="CE431" s="0" t="n">
        <f aca="false">IF(Presupuesto!$B$63='Flujo de Pagos'!$E431,63,9999)</f>
        <v>63</v>
      </c>
      <c r="CF431" s="0" t="n">
        <f aca="false">IF(Presupuesto!$B$64='Flujo de Pagos'!$E431,64,9999)</f>
        <v>64</v>
      </c>
      <c r="CG431" s="0" t="n">
        <f aca="false">IF(Presupuesto!$B$65='Flujo de Pagos'!$E431,65,9999)</f>
        <v>65</v>
      </c>
      <c r="CH431" s="0" t="n">
        <f aca="false">IF(Presupuesto!$B$66='Flujo de Pagos'!$E431,66,9999)</f>
        <v>66</v>
      </c>
    </row>
    <row r="432" customFormat="false" ht="15" hidden="false" customHeight="true" outlineLevel="0" collapsed="false">
      <c r="B432" s="1" t="n">
        <f aca="false">IF(AND('Flujo de Pagos'!E437=Carátula!$B$2,'Flujo de Pagos'!F437=Carátula!$B$4,'Flujo de Pagos'!H437&lt;&gt;""),437,99999)</f>
        <v>99999</v>
      </c>
      <c r="H432" s="1" t="n">
        <f aca="false">IF(SMALL($AA432:$CH432,1)&gt;=9999,"",INDEX(Presupuesto!$C:$C,SMALL($AA432:$CH432,1)))</f>
        <v>0</v>
      </c>
      <c r="I432" s="1" t="n">
        <f aca="false">IF(SMALL($AA432:$CH432,2)&gt;=9999,"",INDEX(Presupuesto!$C:$C,SMALL($AA432:$CH432,2)))</f>
        <v>0</v>
      </c>
      <c r="J432" s="1" t="n">
        <f aca="false">IF(SMALL($AA432:$CH432,3)&gt;=9999,"",INDEX(Presupuesto!$C:$C,SMALL($AA432:$CH432,3)))</f>
        <v>0</v>
      </c>
      <c r="K432" s="1" t="n">
        <f aca="false">IF(SMALL($AA432:$CH432,4)&gt;=9999,"",INDEX(Presupuesto!$C:$C,SMALL($AA432:$CH432,4)))</f>
        <v>0</v>
      </c>
      <c r="L432" s="1" t="n">
        <f aca="false">IF(SMALL($AA432:$CH432,5)&gt;=9999,"",INDEX(Presupuesto!$C:$C,SMALL($AA432:$CH432,5)))</f>
        <v>0</v>
      </c>
      <c r="M432" s="1" t="n">
        <f aca="false">IF(SMALL($AA432:$CH432,6)&gt;=9999,"",INDEX(Presupuesto!$C:$C,SMALL($AA432:$CH432,6)))</f>
        <v>0</v>
      </c>
      <c r="N432" s="1" t="n">
        <f aca="false">IF(SMALL($AA432:$CH432,7)&gt;=9999,"",INDEX(Presupuesto!$C:$C,SMALL($AA432:$CH432,7)))</f>
        <v>0</v>
      </c>
      <c r="O432" s="1" t="n">
        <f aca="false">IF(SMALL($AA432:$CH432,8)&gt;=9999,"",INDEX(Presupuesto!$C:$C,SMALL($AA432:$CH432,8)))</f>
        <v>0</v>
      </c>
      <c r="P432" s="1" t="n">
        <f aca="false">IF(SMALL($AA432:$CH432,9)&gt;=9999,"",INDEX(Presupuesto!$C:$C,SMALL($AA432:$CH432,9)))</f>
        <v>0</v>
      </c>
      <c r="Q432" s="1" t="n">
        <f aca="false">IF(SMALL($AA432:$CH432,10)&gt;=9999,"",INDEX(Presupuesto!$C:$C,SMALL($AA432:$CH432,10)))</f>
        <v>0</v>
      </c>
      <c r="AA432" s="0" t="n">
        <f aca="false">IF(Presupuesto!$B$7='Flujo de Pagos'!$E432,7,9999)</f>
        <v>9999</v>
      </c>
      <c r="AB432" s="0" t="n">
        <f aca="false">IF(Presupuesto!$B$8='Flujo de Pagos'!$E432,8,9999)</f>
        <v>9999</v>
      </c>
      <c r="AC432" s="0" t="n">
        <f aca="false">IF(Presupuesto!$B$9='Flujo de Pagos'!$E432,9,9999)</f>
        <v>9999</v>
      </c>
      <c r="AD432" s="0" t="n">
        <f aca="false">IF(Presupuesto!$B$10='Flujo de Pagos'!$E432,10,9999)</f>
        <v>9999</v>
      </c>
      <c r="AE432" s="0" t="n">
        <f aca="false">IF(Presupuesto!$B$11='Flujo de Pagos'!$E432,11,9999)</f>
        <v>9999</v>
      </c>
      <c r="AF432" s="0" t="n">
        <f aca="false">IF(Presupuesto!$B$12='Flujo de Pagos'!$E432,12,9999)</f>
        <v>12</v>
      </c>
      <c r="AG432" s="0" t="n">
        <f aca="false">IF(Presupuesto!$B$13='Flujo de Pagos'!$E432,13,9999)</f>
        <v>13</v>
      </c>
      <c r="AH432" s="0" t="n">
        <f aca="false">IF(Presupuesto!$B$14='Flujo de Pagos'!$E432,14,9999)</f>
        <v>14</v>
      </c>
      <c r="AI432" s="0" t="n">
        <f aca="false">IF(Presupuesto!$B$15='Flujo de Pagos'!$E432,15,9999)</f>
        <v>15</v>
      </c>
      <c r="AJ432" s="0" t="n">
        <f aca="false">IF(Presupuesto!$B$16='Flujo de Pagos'!$E432,16,9999)</f>
        <v>16</v>
      </c>
      <c r="AK432" s="0" t="n">
        <f aca="false">IF(Presupuesto!$B$17='Flujo de Pagos'!$E432,17,9999)</f>
        <v>17</v>
      </c>
      <c r="AL432" s="0" t="n">
        <f aca="false">IF(Presupuesto!$B$18='Flujo de Pagos'!$E432,18,9999)</f>
        <v>18</v>
      </c>
      <c r="AM432" s="0" t="n">
        <f aca="false">IF(Presupuesto!$B$19='Flujo de Pagos'!$E432,19,9999)</f>
        <v>19</v>
      </c>
      <c r="AN432" s="0" t="n">
        <f aca="false">IF(Presupuesto!$B$20='Flujo de Pagos'!$E432,20,9999)</f>
        <v>20</v>
      </c>
      <c r="AO432" s="0" t="n">
        <f aca="false">IF(Presupuesto!$B$21='Flujo de Pagos'!$E432,21,9999)</f>
        <v>21</v>
      </c>
      <c r="AP432" s="0" t="n">
        <f aca="false">IF(Presupuesto!$B$22='Flujo de Pagos'!$E432,22,9999)</f>
        <v>22</v>
      </c>
      <c r="AQ432" s="0" t="n">
        <f aca="false">IF(Presupuesto!$B$23='Flujo de Pagos'!$E432,23,9999)</f>
        <v>23</v>
      </c>
      <c r="AR432" s="0" t="n">
        <f aca="false">IF(Presupuesto!$B$24='Flujo de Pagos'!$E432,24,9999)</f>
        <v>24</v>
      </c>
      <c r="AS432" s="0" t="n">
        <f aca="false">IF(Presupuesto!$B$25='Flujo de Pagos'!$E432,25,9999)</f>
        <v>25</v>
      </c>
      <c r="AT432" s="0" t="n">
        <f aca="false">IF(Presupuesto!$B$26='Flujo de Pagos'!$E432,26,9999)</f>
        <v>26</v>
      </c>
      <c r="AU432" s="0" t="n">
        <f aca="false">IF(Presupuesto!$B$27='Flujo de Pagos'!$E432,27,9999)</f>
        <v>27</v>
      </c>
      <c r="AV432" s="0" t="n">
        <f aca="false">IF(Presupuesto!$B$28='Flujo de Pagos'!$E432,28,9999)</f>
        <v>28</v>
      </c>
      <c r="AW432" s="0" t="n">
        <f aca="false">IF(Presupuesto!$B$29='Flujo de Pagos'!$E432,29,9999)</f>
        <v>29</v>
      </c>
      <c r="AX432" s="0" t="n">
        <f aca="false">IF(Presupuesto!$B$30='Flujo de Pagos'!$E432,30,9999)</f>
        <v>30</v>
      </c>
      <c r="AY432" s="0" t="n">
        <f aca="false">IF(Presupuesto!$B$31='Flujo de Pagos'!$E432,31,9999)</f>
        <v>31</v>
      </c>
      <c r="AZ432" s="0" t="n">
        <f aca="false">IF(Presupuesto!$B$32='Flujo de Pagos'!$E432,32,9999)</f>
        <v>32</v>
      </c>
      <c r="BA432" s="0" t="n">
        <f aca="false">IF(Presupuesto!$B$33='Flujo de Pagos'!$E432,33,9999)</f>
        <v>33</v>
      </c>
      <c r="BB432" s="0" t="n">
        <f aca="false">IF(Presupuesto!$B$34='Flujo de Pagos'!$E432,34,9999)</f>
        <v>34</v>
      </c>
      <c r="BC432" s="0" t="n">
        <f aca="false">IF(Presupuesto!$B$35='Flujo de Pagos'!$E432,35,9999)</f>
        <v>35</v>
      </c>
      <c r="BD432" s="0" t="n">
        <f aca="false">IF(Presupuesto!$B$36='Flujo de Pagos'!$E432,36,9999)</f>
        <v>36</v>
      </c>
      <c r="BE432" s="0" t="n">
        <f aca="false">IF(Presupuesto!$B$37='Flujo de Pagos'!$E432,37,9999)</f>
        <v>37</v>
      </c>
      <c r="BF432" s="0" t="n">
        <f aca="false">IF(Presupuesto!$B$38='Flujo de Pagos'!$E432,38,9999)</f>
        <v>38</v>
      </c>
      <c r="BG432" s="0" t="n">
        <f aca="false">IF(Presupuesto!$B$39='Flujo de Pagos'!$E432,39,9999)</f>
        <v>39</v>
      </c>
      <c r="BH432" s="0" t="n">
        <f aca="false">IF(Presupuesto!$B$40='Flujo de Pagos'!$E432,40,9999)</f>
        <v>40</v>
      </c>
      <c r="BI432" s="0" t="n">
        <f aca="false">IF(Presupuesto!$B$41='Flujo de Pagos'!$E432,41,9999)</f>
        <v>41</v>
      </c>
      <c r="BJ432" s="0" t="n">
        <f aca="false">IF(Presupuesto!$B$42='Flujo de Pagos'!$E432,42,9999)</f>
        <v>42</v>
      </c>
      <c r="BK432" s="0" t="n">
        <f aca="false">IF(Presupuesto!$B$43='Flujo de Pagos'!$E432,43,9999)</f>
        <v>43</v>
      </c>
      <c r="BL432" s="0" t="n">
        <f aca="false">IF(Presupuesto!$B$44='Flujo de Pagos'!$E432,44,9999)</f>
        <v>44</v>
      </c>
      <c r="BM432" s="0" t="n">
        <f aca="false">IF(Presupuesto!$B$45='Flujo de Pagos'!$E432,45,9999)</f>
        <v>45</v>
      </c>
      <c r="BN432" s="0" t="n">
        <f aca="false">IF(Presupuesto!$B$46='Flujo de Pagos'!$E432,46,9999)</f>
        <v>46</v>
      </c>
      <c r="BO432" s="0" t="n">
        <f aca="false">IF(Presupuesto!$B$47='Flujo de Pagos'!$E432,47,9999)</f>
        <v>47</v>
      </c>
      <c r="BP432" s="0" t="n">
        <f aca="false">IF(Presupuesto!$B$48='Flujo de Pagos'!$E432,48,9999)</f>
        <v>48</v>
      </c>
      <c r="BQ432" s="0" t="n">
        <f aca="false">IF(Presupuesto!$B$49='Flujo de Pagos'!$E432,49,9999)</f>
        <v>49</v>
      </c>
      <c r="BR432" s="0" t="n">
        <f aca="false">IF(Presupuesto!$B$50='Flujo de Pagos'!$E432,50,9999)</f>
        <v>50</v>
      </c>
      <c r="BS432" s="0" t="n">
        <f aca="false">IF(Presupuesto!$B$51='Flujo de Pagos'!$E432,51,9999)</f>
        <v>51</v>
      </c>
      <c r="BT432" s="0" t="n">
        <f aca="false">IF(Presupuesto!$B$52='Flujo de Pagos'!$E432,52,9999)</f>
        <v>52</v>
      </c>
      <c r="BU432" s="0" t="n">
        <f aca="false">IF(Presupuesto!$B$53='Flujo de Pagos'!$E432,53,9999)</f>
        <v>53</v>
      </c>
      <c r="BV432" s="0" t="n">
        <f aca="false">IF(Presupuesto!$B$54='Flujo de Pagos'!$E432,54,9999)</f>
        <v>54</v>
      </c>
      <c r="BW432" s="0" t="n">
        <f aca="false">IF(Presupuesto!$B$55='Flujo de Pagos'!$E432,55,9999)</f>
        <v>55</v>
      </c>
      <c r="BX432" s="0" t="n">
        <f aca="false">IF(Presupuesto!$B$56='Flujo de Pagos'!$E432,56,9999)</f>
        <v>56</v>
      </c>
      <c r="BY432" s="0" t="n">
        <f aca="false">IF(Presupuesto!$B$57='Flujo de Pagos'!$E432,57,9999)</f>
        <v>57</v>
      </c>
      <c r="BZ432" s="0" t="n">
        <f aca="false">IF(Presupuesto!$B$58='Flujo de Pagos'!$E432,58,9999)</f>
        <v>58</v>
      </c>
      <c r="CA432" s="0" t="n">
        <f aca="false">IF(Presupuesto!$B$59='Flujo de Pagos'!$E432,59,9999)</f>
        <v>59</v>
      </c>
      <c r="CB432" s="0" t="n">
        <f aca="false">IF(Presupuesto!$B$60='Flujo de Pagos'!$E432,60,9999)</f>
        <v>60</v>
      </c>
      <c r="CC432" s="0" t="n">
        <f aca="false">IF(Presupuesto!$B$61='Flujo de Pagos'!$E432,61,9999)</f>
        <v>61</v>
      </c>
      <c r="CD432" s="0" t="n">
        <f aca="false">IF(Presupuesto!$B$62='Flujo de Pagos'!$E432,62,9999)</f>
        <v>62</v>
      </c>
      <c r="CE432" s="0" t="n">
        <f aca="false">IF(Presupuesto!$B$63='Flujo de Pagos'!$E432,63,9999)</f>
        <v>63</v>
      </c>
      <c r="CF432" s="0" t="n">
        <f aca="false">IF(Presupuesto!$B$64='Flujo de Pagos'!$E432,64,9999)</f>
        <v>64</v>
      </c>
      <c r="CG432" s="0" t="n">
        <f aca="false">IF(Presupuesto!$B$65='Flujo de Pagos'!$E432,65,9999)</f>
        <v>65</v>
      </c>
      <c r="CH432" s="0" t="n">
        <f aca="false">IF(Presupuesto!$B$66='Flujo de Pagos'!$E432,66,9999)</f>
        <v>66</v>
      </c>
    </row>
    <row r="433" customFormat="false" ht="15" hidden="false" customHeight="true" outlineLevel="0" collapsed="false">
      <c r="B433" s="1" t="n">
        <f aca="false">IF(AND('Flujo de Pagos'!E438=Carátula!$B$2,'Flujo de Pagos'!F438=Carátula!$B$4,'Flujo de Pagos'!H438&lt;&gt;""),438,99999)</f>
        <v>99999</v>
      </c>
      <c r="H433" s="1" t="n">
        <f aca="false">IF(SMALL($AA433:$CH433,1)&gt;=9999,"",INDEX(Presupuesto!$C:$C,SMALL($AA433:$CH433,1)))</f>
        <v>0</v>
      </c>
      <c r="I433" s="1" t="n">
        <f aca="false">IF(SMALL($AA433:$CH433,2)&gt;=9999,"",INDEX(Presupuesto!$C:$C,SMALL($AA433:$CH433,2)))</f>
        <v>0</v>
      </c>
      <c r="J433" s="1" t="n">
        <f aca="false">IF(SMALL($AA433:$CH433,3)&gt;=9999,"",INDEX(Presupuesto!$C:$C,SMALL($AA433:$CH433,3)))</f>
        <v>0</v>
      </c>
      <c r="K433" s="1" t="n">
        <f aca="false">IF(SMALL($AA433:$CH433,4)&gt;=9999,"",INDEX(Presupuesto!$C:$C,SMALL($AA433:$CH433,4)))</f>
        <v>0</v>
      </c>
      <c r="L433" s="1" t="n">
        <f aca="false">IF(SMALL($AA433:$CH433,5)&gt;=9999,"",INDEX(Presupuesto!$C:$C,SMALL($AA433:$CH433,5)))</f>
        <v>0</v>
      </c>
      <c r="M433" s="1" t="n">
        <f aca="false">IF(SMALL($AA433:$CH433,6)&gt;=9999,"",INDEX(Presupuesto!$C:$C,SMALL($AA433:$CH433,6)))</f>
        <v>0</v>
      </c>
      <c r="N433" s="1" t="n">
        <f aca="false">IF(SMALL($AA433:$CH433,7)&gt;=9999,"",INDEX(Presupuesto!$C:$C,SMALL($AA433:$CH433,7)))</f>
        <v>0</v>
      </c>
      <c r="O433" s="1" t="n">
        <f aca="false">IF(SMALL($AA433:$CH433,8)&gt;=9999,"",INDEX(Presupuesto!$C:$C,SMALL($AA433:$CH433,8)))</f>
        <v>0</v>
      </c>
      <c r="P433" s="1" t="n">
        <f aca="false">IF(SMALL($AA433:$CH433,9)&gt;=9999,"",INDEX(Presupuesto!$C:$C,SMALL($AA433:$CH433,9)))</f>
        <v>0</v>
      </c>
      <c r="Q433" s="1" t="n">
        <f aca="false">IF(SMALL($AA433:$CH433,10)&gt;=9999,"",INDEX(Presupuesto!$C:$C,SMALL($AA433:$CH433,10)))</f>
        <v>0</v>
      </c>
      <c r="AA433" s="0" t="n">
        <f aca="false">IF(Presupuesto!$B$7='Flujo de Pagos'!$E433,7,9999)</f>
        <v>9999</v>
      </c>
      <c r="AB433" s="0" t="n">
        <f aca="false">IF(Presupuesto!$B$8='Flujo de Pagos'!$E433,8,9999)</f>
        <v>9999</v>
      </c>
      <c r="AC433" s="0" t="n">
        <f aca="false">IF(Presupuesto!$B$9='Flujo de Pagos'!$E433,9,9999)</f>
        <v>9999</v>
      </c>
      <c r="AD433" s="0" t="n">
        <f aca="false">IF(Presupuesto!$B$10='Flujo de Pagos'!$E433,10,9999)</f>
        <v>9999</v>
      </c>
      <c r="AE433" s="0" t="n">
        <f aca="false">IF(Presupuesto!$B$11='Flujo de Pagos'!$E433,11,9999)</f>
        <v>9999</v>
      </c>
      <c r="AF433" s="0" t="n">
        <f aca="false">IF(Presupuesto!$B$12='Flujo de Pagos'!$E433,12,9999)</f>
        <v>12</v>
      </c>
      <c r="AG433" s="0" t="n">
        <f aca="false">IF(Presupuesto!$B$13='Flujo de Pagos'!$E433,13,9999)</f>
        <v>13</v>
      </c>
      <c r="AH433" s="0" t="n">
        <f aca="false">IF(Presupuesto!$B$14='Flujo de Pagos'!$E433,14,9999)</f>
        <v>14</v>
      </c>
      <c r="AI433" s="0" t="n">
        <f aca="false">IF(Presupuesto!$B$15='Flujo de Pagos'!$E433,15,9999)</f>
        <v>15</v>
      </c>
      <c r="AJ433" s="0" t="n">
        <f aca="false">IF(Presupuesto!$B$16='Flujo de Pagos'!$E433,16,9999)</f>
        <v>16</v>
      </c>
      <c r="AK433" s="0" t="n">
        <f aca="false">IF(Presupuesto!$B$17='Flujo de Pagos'!$E433,17,9999)</f>
        <v>17</v>
      </c>
      <c r="AL433" s="0" t="n">
        <f aca="false">IF(Presupuesto!$B$18='Flujo de Pagos'!$E433,18,9999)</f>
        <v>18</v>
      </c>
      <c r="AM433" s="0" t="n">
        <f aca="false">IF(Presupuesto!$B$19='Flujo de Pagos'!$E433,19,9999)</f>
        <v>19</v>
      </c>
      <c r="AN433" s="0" t="n">
        <f aca="false">IF(Presupuesto!$B$20='Flujo de Pagos'!$E433,20,9999)</f>
        <v>20</v>
      </c>
      <c r="AO433" s="0" t="n">
        <f aca="false">IF(Presupuesto!$B$21='Flujo de Pagos'!$E433,21,9999)</f>
        <v>21</v>
      </c>
      <c r="AP433" s="0" t="n">
        <f aca="false">IF(Presupuesto!$B$22='Flujo de Pagos'!$E433,22,9999)</f>
        <v>22</v>
      </c>
      <c r="AQ433" s="0" t="n">
        <f aca="false">IF(Presupuesto!$B$23='Flujo de Pagos'!$E433,23,9999)</f>
        <v>23</v>
      </c>
      <c r="AR433" s="0" t="n">
        <f aca="false">IF(Presupuesto!$B$24='Flujo de Pagos'!$E433,24,9999)</f>
        <v>24</v>
      </c>
      <c r="AS433" s="0" t="n">
        <f aca="false">IF(Presupuesto!$B$25='Flujo de Pagos'!$E433,25,9999)</f>
        <v>25</v>
      </c>
      <c r="AT433" s="0" t="n">
        <f aca="false">IF(Presupuesto!$B$26='Flujo de Pagos'!$E433,26,9999)</f>
        <v>26</v>
      </c>
      <c r="AU433" s="0" t="n">
        <f aca="false">IF(Presupuesto!$B$27='Flujo de Pagos'!$E433,27,9999)</f>
        <v>27</v>
      </c>
      <c r="AV433" s="0" t="n">
        <f aca="false">IF(Presupuesto!$B$28='Flujo de Pagos'!$E433,28,9999)</f>
        <v>28</v>
      </c>
      <c r="AW433" s="0" t="n">
        <f aca="false">IF(Presupuesto!$B$29='Flujo de Pagos'!$E433,29,9999)</f>
        <v>29</v>
      </c>
      <c r="AX433" s="0" t="n">
        <f aca="false">IF(Presupuesto!$B$30='Flujo de Pagos'!$E433,30,9999)</f>
        <v>30</v>
      </c>
      <c r="AY433" s="0" t="n">
        <f aca="false">IF(Presupuesto!$B$31='Flujo de Pagos'!$E433,31,9999)</f>
        <v>31</v>
      </c>
      <c r="AZ433" s="0" t="n">
        <f aca="false">IF(Presupuesto!$B$32='Flujo de Pagos'!$E433,32,9999)</f>
        <v>32</v>
      </c>
      <c r="BA433" s="0" t="n">
        <f aca="false">IF(Presupuesto!$B$33='Flujo de Pagos'!$E433,33,9999)</f>
        <v>33</v>
      </c>
      <c r="BB433" s="0" t="n">
        <f aca="false">IF(Presupuesto!$B$34='Flujo de Pagos'!$E433,34,9999)</f>
        <v>34</v>
      </c>
      <c r="BC433" s="0" t="n">
        <f aca="false">IF(Presupuesto!$B$35='Flujo de Pagos'!$E433,35,9999)</f>
        <v>35</v>
      </c>
      <c r="BD433" s="0" t="n">
        <f aca="false">IF(Presupuesto!$B$36='Flujo de Pagos'!$E433,36,9999)</f>
        <v>36</v>
      </c>
      <c r="BE433" s="0" t="n">
        <f aca="false">IF(Presupuesto!$B$37='Flujo de Pagos'!$E433,37,9999)</f>
        <v>37</v>
      </c>
      <c r="BF433" s="0" t="n">
        <f aca="false">IF(Presupuesto!$B$38='Flujo de Pagos'!$E433,38,9999)</f>
        <v>38</v>
      </c>
      <c r="BG433" s="0" t="n">
        <f aca="false">IF(Presupuesto!$B$39='Flujo de Pagos'!$E433,39,9999)</f>
        <v>39</v>
      </c>
      <c r="BH433" s="0" t="n">
        <f aca="false">IF(Presupuesto!$B$40='Flujo de Pagos'!$E433,40,9999)</f>
        <v>40</v>
      </c>
      <c r="BI433" s="0" t="n">
        <f aca="false">IF(Presupuesto!$B$41='Flujo de Pagos'!$E433,41,9999)</f>
        <v>41</v>
      </c>
      <c r="BJ433" s="0" t="n">
        <f aca="false">IF(Presupuesto!$B$42='Flujo de Pagos'!$E433,42,9999)</f>
        <v>42</v>
      </c>
      <c r="BK433" s="0" t="n">
        <f aca="false">IF(Presupuesto!$B$43='Flujo de Pagos'!$E433,43,9999)</f>
        <v>43</v>
      </c>
      <c r="BL433" s="0" t="n">
        <f aca="false">IF(Presupuesto!$B$44='Flujo de Pagos'!$E433,44,9999)</f>
        <v>44</v>
      </c>
      <c r="BM433" s="0" t="n">
        <f aca="false">IF(Presupuesto!$B$45='Flujo de Pagos'!$E433,45,9999)</f>
        <v>45</v>
      </c>
      <c r="BN433" s="0" t="n">
        <f aca="false">IF(Presupuesto!$B$46='Flujo de Pagos'!$E433,46,9999)</f>
        <v>46</v>
      </c>
      <c r="BO433" s="0" t="n">
        <f aca="false">IF(Presupuesto!$B$47='Flujo de Pagos'!$E433,47,9999)</f>
        <v>47</v>
      </c>
      <c r="BP433" s="0" t="n">
        <f aca="false">IF(Presupuesto!$B$48='Flujo de Pagos'!$E433,48,9999)</f>
        <v>48</v>
      </c>
      <c r="BQ433" s="0" t="n">
        <f aca="false">IF(Presupuesto!$B$49='Flujo de Pagos'!$E433,49,9999)</f>
        <v>49</v>
      </c>
      <c r="BR433" s="0" t="n">
        <f aca="false">IF(Presupuesto!$B$50='Flujo de Pagos'!$E433,50,9999)</f>
        <v>50</v>
      </c>
      <c r="BS433" s="0" t="n">
        <f aca="false">IF(Presupuesto!$B$51='Flujo de Pagos'!$E433,51,9999)</f>
        <v>51</v>
      </c>
      <c r="BT433" s="0" t="n">
        <f aca="false">IF(Presupuesto!$B$52='Flujo de Pagos'!$E433,52,9999)</f>
        <v>52</v>
      </c>
      <c r="BU433" s="0" t="n">
        <f aca="false">IF(Presupuesto!$B$53='Flujo de Pagos'!$E433,53,9999)</f>
        <v>53</v>
      </c>
      <c r="BV433" s="0" t="n">
        <f aca="false">IF(Presupuesto!$B$54='Flujo de Pagos'!$E433,54,9999)</f>
        <v>54</v>
      </c>
      <c r="BW433" s="0" t="n">
        <f aca="false">IF(Presupuesto!$B$55='Flujo de Pagos'!$E433,55,9999)</f>
        <v>55</v>
      </c>
      <c r="BX433" s="0" t="n">
        <f aca="false">IF(Presupuesto!$B$56='Flujo de Pagos'!$E433,56,9999)</f>
        <v>56</v>
      </c>
      <c r="BY433" s="0" t="n">
        <f aca="false">IF(Presupuesto!$B$57='Flujo de Pagos'!$E433,57,9999)</f>
        <v>57</v>
      </c>
      <c r="BZ433" s="0" t="n">
        <f aca="false">IF(Presupuesto!$B$58='Flujo de Pagos'!$E433,58,9999)</f>
        <v>58</v>
      </c>
      <c r="CA433" s="0" t="n">
        <f aca="false">IF(Presupuesto!$B$59='Flujo de Pagos'!$E433,59,9999)</f>
        <v>59</v>
      </c>
      <c r="CB433" s="0" t="n">
        <f aca="false">IF(Presupuesto!$B$60='Flujo de Pagos'!$E433,60,9999)</f>
        <v>60</v>
      </c>
      <c r="CC433" s="0" t="n">
        <f aca="false">IF(Presupuesto!$B$61='Flujo de Pagos'!$E433,61,9999)</f>
        <v>61</v>
      </c>
      <c r="CD433" s="0" t="n">
        <f aca="false">IF(Presupuesto!$B$62='Flujo de Pagos'!$E433,62,9999)</f>
        <v>62</v>
      </c>
      <c r="CE433" s="0" t="n">
        <f aca="false">IF(Presupuesto!$B$63='Flujo de Pagos'!$E433,63,9999)</f>
        <v>63</v>
      </c>
      <c r="CF433" s="0" t="n">
        <f aca="false">IF(Presupuesto!$B$64='Flujo de Pagos'!$E433,64,9999)</f>
        <v>64</v>
      </c>
      <c r="CG433" s="0" t="n">
        <f aca="false">IF(Presupuesto!$B$65='Flujo de Pagos'!$E433,65,9999)</f>
        <v>65</v>
      </c>
      <c r="CH433" s="0" t="n">
        <f aca="false">IF(Presupuesto!$B$66='Flujo de Pagos'!$E433,66,9999)</f>
        <v>66</v>
      </c>
    </row>
    <row r="434" customFormat="false" ht="15" hidden="false" customHeight="true" outlineLevel="0" collapsed="false">
      <c r="B434" s="1" t="n">
        <f aca="false">IF(AND('Flujo de Pagos'!E439=Carátula!$B$2,'Flujo de Pagos'!F439=Carátula!$B$4,'Flujo de Pagos'!H439&lt;&gt;""),439,99999)</f>
        <v>99999</v>
      </c>
      <c r="H434" s="1" t="n">
        <f aca="false">IF(SMALL($AA434:$CH434,1)&gt;=9999,"",INDEX(Presupuesto!$C:$C,SMALL($AA434:$CH434,1)))</f>
        <v>0</v>
      </c>
      <c r="I434" s="1" t="n">
        <f aca="false">IF(SMALL($AA434:$CH434,2)&gt;=9999,"",INDEX(Presupuesto!$C:$C,SMALL($AA434:$CH434,2)))</f>
        <v>0</v>
      </c>
      <c r="J434" s="1" t="n">
        <f aca="false">IF(SMALL($AA434:$CH434,3)&gt;=9999,"",INDEX(Presupuesto!$C:$C,SMALL($AA434:$CH434,3)))</f>
        <v>0</v>
      </c>
      <c r="K434" s="1" t="n">
        <f aca="false">IF(SMALL($AA434:$CH434,4)&gt;=9999,"",INDEX(Presupuesto!$C:$C,SMALL($AA434:$CH434,4)))</f>
        <v>0</v>
      </c>
      <c r="L434" s="1" t="n">
        <f aca="false">IF(SMALL($AA434:$CH434,5)&gt;=9999,"",INDEX(Presupuesto!$C:$C,SMALL($AA434:$CH434,5)))</f>
        <v>0</v>
      </c>
      <c r="M434" s="1" t="n">
        <f aca="false">IF(SMALL($AA434:$CH434,6)&gt;=9999,"",INDEX(Presupuesto!$C:$C,SMALL($AA434:$CH434,6)))</f>
        <v>0</v>
      </c>
      <c r="N434" s="1" t="n">
        <f aca="false">IF(SMALL($AA434:$CH434,7)&gt;=9999,"",INDEX(Presupuesto!$C:$C,SMALL($AA434:$CH434,7)))</f>
        <v>0</v>
      </c>
      <c r="O434" s="1" t="n">
        <f aca="false">IF(SMALL($AA434:$CH434,8)&gt;=9999,"",INDEX(Presupuesto!$C:$C,SMALL($AA434:$CH434,8)))</f>
        <v>0</v>
      </c>
      <c r="P434" s="1" t="n">
        <f aca="false">IF(SMALL($AA434:$CH434,9)&gt;=9999,"",INDEX(Presupuesto!$C:$C,SMALL($AA434:$CH434,9)))</f>
        <v>0</v>
      </c>
      <c r="Q434" s="1" t="n">
        <f aca="false">IF(SMALL($AA434:$CH434,10)&gt;=9999,"",INDEX(Presupuesto!$C:$C,SMALL($AA434:$CH434,10)))</f>
        <v>0</v>
      </c>
      <c r="AA434" s="0" t="n">
        <f aca="false">IF(Presupuesto!$B$7='Flujo de Pagos'!$E434,7,9999)</f>
        <v>9999</v>
      </c>
      <c r="AB434" s="0" t="n">
        <f aca="false">IF(Presupuesto!$B$8='Flujo de Pagos'!$E434,8,9999)</f>
        <v>9999</v>
      </c>
      <c r="AC434" s="0" t="n">
        <f aca="false">IF(Presupuesto!$B$9='Flujo de Pagos'!$E434,9,9999)</f>
        <v>9999</v>
      </c>
      <c r="AD434" s="0" t="n">
        <f aca="false">IF(Presupuesto!$B$10='Flujo de Pagos'!$E434,10,9999)</f>
        <v>9999</v>
      </c>
      <c r="AE434" s="0" t="n">
        <f aca="false">IF(Presupuesto!$B$11='Flujo de Pagos'!$E434,11,9999)</f>
        <v>9999</v>
      </c>
      <c r="AF434" s="0" t="n">
        <f aca="false">IF(Presupuesto!$B$12='Flujo de Pagos'!$E434,12,9999)</f>
        <v>12</v>
      </c>
      <c r="AG434" s="0" t="n">
        <f aca="false">IF(Presupuesto!$B$13='Flujo de Pagos'!$E434,13,9999)</f>
        <v>13</v>
      </c>
      <c r="AH434" s="0" t="n">
        <f aca="false">IF(Presupuesto!$B$14='Flujo de Pagos'!$E434,14,9999)</f>
        <v>14</v>
      </c>
      <c r="AI434" s="0" t="n">
        <f aca="false">IF(Presupuesto!$B$15='Flujo de Pagos'!$E434,15,9999)</f>
        <v>15</v>
      </c>
      <c r="AJ434" s="0" t="n">
        <f aca="false">IF(Presupuesto!$B$16='Flujo de Pagos'!$E434,16,9999)</f>
        <v>16</v>
      </c>
      <c r="AK434" s="0" t="n">
        <f aca="false">IF(Presupuesto!$B$17='Flujo de Pagos'!$E434,17,9999)</f>
        <v>17</v>
      </c>
      <c r="AL434" s="0" t="n">
        <f aca="false">IF(Presupuesto!$B$18='Flujo de Pagos'!$E434,18,9999)</f>
        <v>18</v>
      </c>
      <c r="AM434" s="0" t="n">
        <f aca="false">IF(Presupuesto!$B$19='Flujo de Pagos'!$E434,19,9999)</f>
        <v>19</v>
      </c>
      <c r="AN434" s="0" t="n">
        <f aca="false">IF(Presupuesto!$B$20='Flujo de Pagos'!$E434,20,9999)</f>
        <v>20</v>
      </c>
      <c r="AO434" s="0" t="n">
        <f aca="false">IF(Presupuesto!$B$21='Flujo de Pagos'!$E434,21,9999)</f>
        <v>21</v>
      </c>
      <c r="AP434" s="0" t="n">
        <f aca="false">IF(Presupuesto!$B$22='Flujo de Pagos'!$E434,22,9999)</f>
        <v>22</v>
      </c>
      <c r="AQ434" s="0" t="n">
        <f aca="false">IF(Presupuesto!$B$23='Flujo de Pagos'!$E434,23,9999)</f>
        <v>23</v>
      </c>
      <c r="AR434" s="0" t="n">
        <f aca="false">IF(Presupuesto!$B$24='Flujo de Pagos'!$E434,24,9999)</f>
        <v>24</v>
      </c>
      <c r="AS434" s="0" t="n">
        <f aca="false">IF(Presupuesto!$B$25='Flujo de Pagos'!$E434,25,9999)</f>
        <v>25</v>
      </c>
      <c r="AT434" s="0" t="n">
        <f aca="false">IF(Presupuesto!$B$26='Flujo de Pagos'!$E434,26,9999)</f>
        <v>26</v>
      </c>
      <c r="AU434" s="0" t="n">
        <f aca="false">IF(Presupuesto!$B$27='Flujo de Pagos'!$E434,27,9999)</f>
        <v>27</v>
      </c>
      <c r="AV434" s="0" t="n">
        <f aca="false">IF(Presupuesto!$B$28='Flujo de Pagos'!$E434,28,9999)</f>
        <v>28</v>
      </c>
      <c r="AW434" s="0" t="n">
        <f aca="false">IF(Presupuesto!$B$29='Flujo de Pagos'!$E434,29,9999)</f>
        <v>29</v>
      </c>
      <c r="AX434" s="0" t="n">
        <f aca="false">IF(Presupuesto!$B$30='Flujo de Pagos'!$E434,30,9999)</f>
        <v>30</v>
      </c>
      <c r="AY434" s="0" t="n">
        <f aca="false">IF(Presupuesto!$B$31='Flujo de Pagos'!$E434,31,9999)</f>
        <v>31</v>
      </c>
      <c r="AZ434" s="0" t="n">
        <f aca="false">IF(Presupuesto!$B$32='Flujo de Pagos'!$E434,32,9999)</f>
        <v>32</v>
      </c>
      <c r="BA434" s="0" t="n">
        <f aca="false">IF(Presupuesto!$B$33='Flujo de Pagos'!$E434,33,9999)</f>
        <v>33</v>
      </c>
      <c r="BB434" s="0" t="n">
        <f aca="false">IF(Presupuesto!$B$34='Flujo de Pagos'!$E434,34,9999)</f>
        <v>34</v>
      </c>
      <c r="BC434" s="0" t="n">
        <f aca="false">IF(Presupuesto!$B$35='Flujo de Pagos'!$E434,35,9999)</f>
        <v>35</v>
      </c>
      <c r="BD434" s="0" t="n">
        <f aca="false">IF(Presupuesto!$B$36='Flujo de Pagos'!$E434,36,9999)</f>
        <v>36</v>
      </c>
      <c r="BE434" s="0" t="n">
        <f aca="false">IF(Presupuesto!$B$37='Flujo de Pagos'!$E434,37,9999)</f>
        <v>37</v>
      </c>
      <c r="BF434" s="0" t="n">
        <f aca="false">IF(Presupuesto!$B$38='Flujo de Pagos'!$E434,38,9999)</f>
        <v>38</v>
      </c>
      <c r="BG434" s="0" t="n">
        <f aca="false">IF(Presupuesto!$B$39='Flujo de Pagos'!$E434,39,9999)</f>
        <v>39</v>
      </c>
      <c r="BH434" s="0" t="n">
        <f aca="false">IF(Presupuesto!$B$40='Flujo de Pagos'!$E434,40,9999)</f>
        <v>40</v>
      </c>
      <c r="BI434" s="0" t="n">
        <f aca="false">IF(Presupuesto!$B$41='Flujo de Pagos'!$E434,41,9999)</f>
        <v>41</v>
      </c>
      <c r="BJ434" s="0" t="n">
        <f aca="false">IF(Presupuesto!$B$42='Flujo de Pagos'!$E434,42,9999)</f>
        <v>42</v>
      </c>
      <c r="BK434" s="0" t="n">
        <f aca="false">IF(Presupuesto!$B$43='Flujo de Pagos'!$E434,43,9999)</f>
        <v>43</v>
      </c>
      <c r="BL434" s="0" t="n">
        <f aca="false">IF(Presupuesto!$B$44='Flujo de Pagos'!$E434,44,9999)</f>
        <v>44</v>
      </c>
      <c r="BM434" s="0" t="n">
        <f aca="false">IF(Presupuesto!$B$45='Flujo de Pagos'!$E434,45,9999)</f>
        <v>45</v>
      </c>
      <c r="BN434" s="0" t="n">
        <f aca="false">IF(Presupuesto!$B$46='Flujo de Pagos'!$E434,46,9999)</f>
        <v>46</v>
      </c>
      <c r="BO434" s="0" t="n">
        <f aca="false">IF(Presupuesto!$B$47='Flujo de Pagos'!$E434,47,9999)</f>
        <v>47</v>
      </c>
      <c r="BP434" s="0" t="n">
        <f aca="false">IF(Presupuesto!$B$48='Flujo de Pagos'!$E434,48,9999)</f>
        <v>48</v>
      </c>
      <c r="BQ434" s="0" t="n">
        <f aca="false">IF(Presupuesto!$B$49='Flujo de Pagos'!$E434,49,9999)</f>
        <v>49</v>
      </c>
      <c r="BR434" s="0" t="n">
        <f aca="false">IF(Presupuesto!$B$50='Flujo de Pagos'!$E434,50,9999)</f>
        <v>50</v>
      </c>
      <c r="BS434" s="0" t="n">
        <f aca="false">IF(Presupuesto!$B$51='Flujo de Pagos'!$E434,51,9999)</f>
        <v>51</v>
      </c>
      <c r="BT434" s="0" t="n">
        <f aca="false">IF(Presupuesto!$B$52='Flujo de Pagos'!$E434,52,9999)</f>
        <v>52</v>
      </c>
      <c r="BU434" s="0" t="n">
        <f aca="false">IF(Presupuesto!$B$53='Flujo de Pagos'!$E434,53,9999)</f>
        <v>53</v>
      </c>
      <c r="BV434" s="0" t="n">
        <f aca="false">IF(Presupuesto!$B$54='Flujo de Pagos'!$E434,54,9999)</f>
        <v>54</v>
      </c>
      <c r="BW434" s="0" t="n">
        <f aca="false">IF(Presupuesto!$B$55='Flujo de Pagos'!$E434,55,9999)</f>
        <v>55</v>
      </c>
      <c r="BX434" s="0" t="n">
        <f aca="false">IF(Presupuesto!$B$56='Flujo de Pagos'!$E434,56,9999)</f>
        <v>56</v>
      </c>
      <c r="BY434" s="0" t="n">
        <f aca="false">IF(Presupuesto!$B$57='Flujo de Pagos'!$E434,57,9999)</f>
        <v>57</v>
      </c>
      <c r="BZ434" s="0" t="n">
        <f aca="false">IF(Presupuesto!$B$58='Flujo de Pagos'!$E434,58,9999)</f>
        <v>58</v>
      </c>
      <c r="CA434" s="0" t="n">
        <f aca="false">IF(Presupuesto!$B$59='Flujo de Pagos'!$E434,59,9999)</f>
        <v>59</v>
      </c>
      <c r="CB434" s="0" t="n">
        <f aca="false">IF(Presupuesto!$B$60='Flujo de Pagos'!$E434,60,9999)</f>
        <v>60</v>
      </c>
      <c r="CC434" s="0" t="n">
        <f aca="false">IF(Presupuesto!$B$61='Flujo de Pagos'!$E434,61,9999)</f>
        <v>61</v>
      </c>
      <c r="CD434" s="0" t="n">
        <f aca="false">IF(Presupuesto!$B$62='Flujo de Pagos'!$E434,62,9999)</f>
        <v>62</v>
      </c>
      <c r="CE434" s="0" t="n">
        <f aca="false">IF(Presupuesto!$B$63='Flujo de Pagos'!$E434,63,9999)</f>
        <v>63</v>
      </c>
      <c r="CF434" s="0" t="n">
        <f aca="false">IF(Presupuesto!$B$64='Flujo de Pagos'!$E434,64,9999)</f>
        <v>64</v>
      </c>
      <c r="CG434" s="0" t="n">
        <f aca="false">IF(Presupuesto!$B$65='Flujo de Pagos'!$E434,65,9999)</f>
        <v>65</v>
      </c>
      <c r="CH434" s="0" t="n">
        <f aca="false">IF(Presupuesto!$B$66='Flujo de Pagos'!$E434,66,9999)</f>
        <v>66</v>
      </c>
    </row>
    <row r="435" customFormat="false" ht="15" hidden="false" customHeight="true" outlineLevel="0" collapsed="false">
      <c r="B435" s="1" t="n">
        <f aca="false">IF(AND('Flujo de Pagos'!E440=Carátula!$B$2,'Flujo de Pagos'!F440=Carátula!$B$4,'Flujo de Pagos'!H440&lt;&gt;""),440,99999)</f>
        <v>99999</v>
      </c>
      <c r="H435" s="1" t="n">
        <f aca="false">IF(SMALL($AA435:$CH435,1)&gt;=9999,"",INDEX(Presupuesto!$C:$C,SMALL($AA435:$CH435,1)))</f>
        <v>0</v>
      </c>
      <c r="I435" s="1" t="n">
        <f aca="false">IF(SMALL($AA435:$CH435,2)&gt;=9999,"",INDEX(Presupuesto!$C:$C,SMALL($AA435:$CH435,2)))</f>
        <v>0</v>
      </c>
      <c r="J435" s="1" t="n">
        <f aca="false">IF(SMALL($AA435:$CH435,3)&gt;=9999,"",INDEX(Presupuesto!$C:$C,SMALL($AA435:$CH435,3)))</f>
        <v>0</v>
      </c>
      <c r="K435" s="1" t="n">
        <f aca="false">IF(SMALL($AA435:$CH435,4)&gt;=9999,"",INDEX(Presupuesto!$C:$C,SMALL($AA435:$CH435,4)))</f>
        <v>0</v>
      </c>
      <c r="L435" s="1" t="n">
        <f aca="false">IF(SMALL($AA435:$CH435,5)&gt;=9999,"",INDEX(Presupuesto!$C:$C,SMALL($AA435:$CH435,5)))</f>
        <v>0</v>
      </c>
      <c r="M435" s="1" t="n">
        <f aca="false">IF(SMALL($AA435:$CH435,6)&gt;=9999,"",INDEX(Presupuesto!$C:$C,SMALL($AA435:$CH435,6)))</f>
        <v>0</v>
      </c>
      <c r="N435" s="1" t="n">
        <f aca="false">IF(SMALL($AA435:$CH435,7)&gt;=9999,"",INDEX(Presupuesto!$C:$C,SMALL($AA435:$CH435,7)))</f>
        <v>0</v>
      </c>
      <c r="O435" s="1" t="n">
        <f aca="false">IF(SMALL($AA435:$CH435,8)&gt;=9999,"",INDEX(Presupuesto!$C:$C,SMALL($AA435:$CH435,8)))</f>
        <v>0</v>
      </c>
      <c r="P435" s="1" t="n">
        <f aca="false">IF(SMALL($AA435:$CH435,9)&gt;=9999,"",INDEX(Presupuesto!$C:$C,SMALL($AA435:$CH435,9)))</f>
        <v>0</v>
      </c>
      <c r="Q435" s="1" t="n">
        <f aca="false">IF(SMALL($AA435:$CH435,10)&gt;=9999,"",INDEX(Presupuesto!$C:$C,SMALL($AA435:$CH435,10)))</f>
        <v>0</v>
      </c>
      <c r="AA435" s="0" t="n">
        <f aca="false">IF(Presupuesto!$B$7='Flujo de Pagos'!$E435,7,9999)</f>
        <v>9999</v>
      </c>
      <c r="AB435" s="0" t="n">
        <f aca="false">IF(Presupuesto!$B$8='Flujo de Pagos'!$E435,8,9999)</f>
        <v>9999</v>
      </c>
      <c r="AC435" s="0" t="n">
        <f aca="false">IF(Presupuesto!$B$9='Flujo de Pagos'!$E435,9,9999)</f>
        <v>9999</v>
      </c>
      <c r="AD435" s="0" t="n">
        <f aca="false">IF(Presupuesto!$B$10='Flujo de Pagos'!$E435,10,9999)</f>
        <v>9999</v>
      </c>
      <c r="AE435" s="0" t="n">
        <f aca="false">IF(Presupuesto!$B$11='Flujo de Pagos'!$E435,11,9999)</f>
        <v>9999</v>
      </c>
      <c r="AF435" s="0" t="n">
        <f aca="false">IF(Presupuesto!$B$12='Flujo de Pagos'!$E435,12,9999)</f>
        <v>12</v>
      </c>
      <c r="AG435" s="0" t="n">
        <f aca="false">IF(Presupuesto!$B$13='Flujo de Pagos'!$E435,13,9999)</f>
        <v>13</v>
      </c>
      <c r="AH435" s="0" t="n">
        <f aca="false">IF(Presupuesto!$B$14='Flujo de Pagos'!$E435,14,9999)</f>
        <v>14</v>
      </c>
      <c r="AI435" s="0" t="n">
        <f aca="false">IF(Presupuesto!$B$15='Flujo de Pagos'!$E435,15,9999)</f>
        <v>15</v>
      </c>
      <c r="AJ435" s="0" t="n">
        <f aca="false">IF(Presupuesto!$B$16='Flujo de Pagos'!$E435,16,9999)</f>
        <v>16</v>
      </c>
      <c r="AK435" s="0" t="n">
        <f aca="false">IF(Presupuesto!$B$17='Flujo de Pagos'!$E435,17,9999)</f>
        <v>17</v>
      </c>
      <c r="AL435" s="0" t="n">
        <f aca="false">IF(Presupuesto!$B$18='Flujo de Pagos'!$E435,18,9999)</f>
        <v>18</v>
      </c>
      <c r="AM435" s="0" t="n">
        <f aca="false">IF(Presupuesto!$B$19='Flujo de Pagos'!$E435,19,9999)</f>
        <v>19</v>
      </c>
      <c r="AN435" s="0" t="n">
        <f aca="false">IF(Presupuesto!$B$20='Flujo de Pagos'!$E435,20,9999)</f>
        <v>20</v>
      </c>
      <c r="AO435" s="0" t="n">
        <f aca="false">IF(Presupuesto!$B$21='Flujo de Pagos'!$E435,21,9999)</f>
        <v>21</v>
      </c>
      <c r="AP435" s="0" t="n">
        <f aca="false">IF(Presupuesto!$B$22='Flujo de Pagos'!$E435,22,9999)</f>
        <v>22</v>
      </c>
      <c r="AQ435" s="0" t="n">
        <f aca="false">IF(Presupuesto!$B$23='Flujo de Pagos'!$E435,23,9999)</f>
        <v>23</v>
      </c>
      <c r="AR435" s="0" t="n">
        <f aca="false">IF(Presupuesto!$B$24='Flujo de Pagos'!$E435,24,9999)</f>
        <v>24</v>
      </c>
      <c r="AS435" s="0" t="n">
        <f aca="false">IF(Presupuesto!$B$25='Flujo de Pagos'!$E435,25,9999)</f>
        <v>25</v>
      </c>
      <c r="AT435" s="0" t="n">
        <f aca="false">IF(Presupuesto!$B$26='Flujo de Pagos'!$E435,26,9999)</f>
        <v>26</v>
      </c>
      <c r="AU435" s="0" t="n">
        <f aca="false">IF(Presupuesto!$B$27='Flujo de Pagos'!$E435,27,9999)</f>
        <v>27</v>
      </c>
      <c r="AV435" s="0" t="n">
        <f aca="false">IF(Presupuesto!$B$28='Flujo de Pagos'!$E435,28,9999)</f>
        <v>28</v>
      </c>
      <c r="AW435" s="0" t="n">
        <f aca="false">IF(Presupuesto!$B$29='Flujo de Pagos'!$E435,29,9999)</f>
        <v>29</v>
      </c>
      <c r="AX435" s="0" t="n">
        <f aca="false">IF(Presupuesto!$B$30='Flujo de Pagos'!$E435,30,9999)</f>
        <v>30</v>
      </c>
      <c r="AY435" s="0" t="n">
        <f aca="false">IF(Presupuesto!$B$31='Flujo de Pagos'!$E435,31,9999)</f>
        <v>31</v>
      </c>
      <c r="AZ435" s="0" t="n">
        <f aca="false">IF(Presupuesto!$B$32='Flujo de Pagos'!$E435,32,9999)</f>
        <v>32</v>
      </c>
      <c r="BA435" s="0" t="n">
        <f aca="false">IF(Presupuesto!$B$33='Flujo de Pagos'!$E435,33,9999)</f>
        <v>33</v>
      </c>
      <c r="BB435" s="0" t="n">
        <f aca="false">IF(Presupuesto!$B$34='Flujo de Pagos'!$E435,34,9999)</f>
        <v>34</v>
      </c>
      <c r="BC435" s="0" t="n">
        <f aca="false">IF(Presupuesto!$B$35='Flujo de Pagos'!$E435,35,9999)</f>
        <v>35</v>
      </c>
      <c r="BD435" s="0" t="n">
        <f aca="false">IF(Presupuesto!$B$36='Flujo de Pagos'!$E435,36,9999)</f>
        <v>36</v>
      </c>
      <c r="BE435" s="0" t="n">
        <f aca="false">IF(Presupuesto!$B$37='Flujo de Pagos'!$E435,37,9999)</f>
        <v>37</v>
      </c>
      <c r="BF435" s="0" t="n">
        <f aca="false">IF(Presupuesto!$B$38='Flujo de Pagos'!$E435,38,9999)</f>
        <v>38</v>
      </c>
      <c r="BG435" s="0" t="n">
        <f aca="false">IF(Presupuesto!$B$39='Flujo de Pagos'!$E435,39,9999)</f>
        <v>39</v>
      </c>
      <c r="BH435" s="0" t="n">
        <f aca="false">IF(Presupuesto!$B$40='Flujo de Pagos'!$E435,40,9999)</f>
        <v>40</v>
      </c>
      <c r="BI435" s="0" t="n">
        <f aca="false">IF(Presupuesto!$B$41='Flujo de Pagos'!$E435,41,9999)</f>
        <v>41</v>
      </c>
      <c r="BJ435" s="0" t="n">
        <f aca="false">IF(Presupuesto!$B$42='Flujo de Pagos'!$E435,42,9999)</f>
        <v>42</v>
      </c>
      <c r="BK435" s="0" t="n">
        <f aca="false">IF(Presupuesto!$B$43='Flujo de Pagos'!$E435,43,9999)</f>
        <v>43</v>
      </c>
      <c r="BL435" s="0" t="n">
        <f aca="false">IF(Presupuesto!$B$44='Flujo de Pagos'!$E435,44,9999)</f>
        <v>44</v>
      </c>
      <c r="BM435" s="0" t="n">
        <f aca="false">IF(Presupuesto!$B$45='Flujo de Pagos'!$E435,45,9999)</f>
        <v>45</v>
      </c>
      <c r="BN435" s="0" t="n">
        <f aca="false">IF(Presupuesto!$B$46='Flujo de Pagos'!$E435,46,9999)</f>
        <v>46</v>
      </c>
      <c r="BO435" s="0" t="n">
        <f aca="false">IF(Presupuesto!$B$47='Flujo de Pagos'!$E435,47,9999)</f>
        <v>47</v>
      </c>
      <c r="BP435" s="0" t="n">
        <f aca="false">IF(Presupuesto!$B$48='Flujo de Pagos'!$E435,48,9999)</f>
        <v>48</v>
      </c>
      <c r="BQ435" s="0" t="n">
        <f aca="false">IF(Presupuesto!$B$49='Flujo de Pagos'!$E435,49,9999)</f>
        <v>49</v>
      </c>
      <c r="BR435" s="0" t="n">
        <f aca="false">IF(Presupuesto!$B$50='Flujo de Pagos'!$E435,50,9999)</f>
        <v>50</v>
      </c>
      <c r="BS435" s="0" t="n">
        <f aca="false">IF(Presupuesto!$B$51='Flujo de Pagos'!$E435,51,9999)</f>
        <v>51</v>
      </c>
      <c r="BT435" s="0" t="n">
        <f aca="false">IF(Presupuesto!$B$52='Flujo de Pagos'!$E435,52,9999)</f>
        <v>52</v>
      </c>
      <c r="BU435" s="0" t="n">
        <f aca="false">IF(Presupuesto!$B$53='Flujo de Pagos'!$E435,53,9999)</f>
        <v>53</v>
      </c>
      <c r="BV435" s="0" t="n">
        <f aca="false">IF(Presupuesto!$B$54='Flujo de Pagos'!$E435,54,9999)</f>
        <v>54</v>
      </c>
      <c r="BW435" s="0" t="n">
        <f aca="false">IF(Presupuesto!$B$55='Flujo de Pagos'!$E435,55,9999)</f>
        <v>55</v>
      </c>
      <c r="BX435" s="0" t="n">
        <f aca="false">IF(Presupuesto!$B$56='Flujo de Pagos'!$E435,56,9999)</f>
        <v>56</v>
      </c>
      <c r="BY435" s="0" t="n">
        <f aca="false">IF(Presupuesto!$B$57='Flujo de Pagos'!$E435,57,9999)</f>
        <v>57</v>
      </c>
      <c r="BZ435" s="0" t="n">
        <f aca="false">IF(Presupuesto!$B$58='Flujo de Pagos'!$E435,58,9999)</f>
        <v>58</v>
      </c>
      <c r="CA435" s="0" t="n">
        <f aca="false">IF(Presupuesto!$B$59='Flujo de Pagos'!$E435,59,9999)</f>
        <v>59</v>
      </c>
      <c r="CB435" s="0" t="n">
        <f aca="false">IF(Presupuesto!$B$60='Flujo de Pagos'!$E435,60,9999)</f>
        <v>60</v>
      </c>
      <c r="CC435" s="0" t="n">
        <f aca="false">IF(Presupuesto!$B$61='Flujo de Pagos'!$E435,61,9999)</f>
        <v>61</v>
      </c>
      <c r="CD435" s="0" t="n">
        <f aca="false">IF(Presupuesto!$B$62='Flujo de Pagos'!$E435,62,9999)</f>
        <v>62</v>
      </c>
      <c r="CE435" s="0" t="n">
        <f aca="false">IF(Presupuesto!$B$63='Flujo de Pagos'!$E435,63,9999)</f>
        <v>63</v>
      </c>
      <c r="CF435" s="0" t="n">
        <f aca="false">IF(Presupuesto!$B$64='Flujo de Pagos'!$E435,64,9999)</f>
        <v>64</v>
      </c>
      <c r="CG435" s="0" t="n">
        <f aca="false">IF(Presupuesto!$B$65='Flujo de Pagos'!$E435,65,9999)</f>
        <v>65</v>
      </c>
      <c r="CH435" s="0" t="n">
        <f aca="false">IF(Presupuesto!$B$66='Flujo de Pagos'!$E435,66,9999)</f>
        <v>66</v>
      </c>
    </row>
    <row r="436" customFormat="false" ht="15" hidden="false" customHeight="true" outlineLevel="0" collapsed="false">
      <c r="B436" s="1" t="n">
        <f aca="false">IF(AND('Flujo de Pagos'!E441=Carátula!$B$2,'Flujo de Pagos'!F441=Carátula!$B$4,'Flujo de Pagos'!H441&lt;&gt;""),441,99999)</f>
        <v>99999</v>
      </c>
      <c r="H436" s="1" t="n">
        <f aca="false">IF(SMALL($AA436:$CH436,1)&gt;=9999,"",INDEX(Presupuesto!$C:$C,SMALL($AA436:$CH436,1)))</f>
        <v>0</v>
      </c>
      <c r="I436" s="1" t="n">
        <f aca="false">IF(SMALL($AA436:$CH436,2)&gt;=9999,"",INDEX(Presupuesto!$C:$C,SMALL($AA436:$CH436,2)))</f>
        <v>0</v>
      </c>
      <c r="J436" s="1" t="n">
        <f aca="false">IF(SMALL($AA436:$CH436,3)&gt;=9999,"",INDEX(Presupuesto!$C:$C,SMALL($AA436:$CH436,3)))</f>
        <v>0</v>
      </c>
      <c r="K436" s="1" t="n">
        <f aca="false">IF(SMALL($AA436:$CH436,4)&gt;=9999,"",INDEX(Presupuesto!$C:$C,SMALL($AA436:$CH436,4)))</f>
        <v>0</v>
      </c>
      <c r="L436" s="1" t="n">
        <f aca="false">IF(SMALL($AA436:$CH436,5)&gt;=9999,"",INDEX(Presupuesto!$C:$C,SMALL($AA436:$CH436,5)))</f>
        <v>0</v>
      </c>
      <c r="M436" s="1" t="n">
        <f aca="false">IF(SMALL($AA436:$CH436,6)&gt;=9999,"",INDEX(Presupuesto!$C:$C,SMALL($AA436:$CH436,6)))</f>
        <v>0</v>
      </c>
      <c r="N436" s="1" t="n">
        <f aca="false">IF(SMALL($AA436:$CH436,7)&gt;=9999,"",INDEX(Presupuesto!$C:$C,SMALL($AA436:$CH436,7)))</f>
        <v>0</v>
      </c>
      <c r="O436" s="1" t="n">
        <f aca="false">IF(SMALL($AA436:$CH436,8)&gt;=9999,"",INDEX(Presupuesto!$C:$C,SMALL($AA436:$CH436,8)))</f>
        <v>0</v>
      </c>
      <c r="P436" s="1" t="n">
        <f aca="false">IF(SMALL($AA436:$CH436,9)&gt;=9999,"",INDEX(Presupuesto!$C:$C,SMALL($AA436:$CH436,9)))</f>
        <v>0</v>
      </c>
      <c r="Q436" s="1" t="n">
        <f aca="false">IF(SMALL($AA436:$CH436,10)&gt;=9999,"",INDEX(Presupuesto!$C:$C,SMALL($AA436:$CH436,10)))</f>
        <v>0</v>
      </c>
      <c r="AA436" s="0" t="n">
        <f aca="false">IF(Presupuesto!$B$7='Flujo de Pagos'!$E436,7,9999)</f>
        <v>9999</v>
      </c>
      <c r="AB436" s="0" t="n">
        <f aca="false">IF(Presupuesto!$B$8='Flujo de Pagos'!$E436,8,9999)</f>
        <v>9999</v>
      </c>
      <c r="AC436" s="0" t="n">
        <f aca="false">IF(Presupuesto!$B$9='Flujo de Pagos'!$E436,9,9999)</f>
        <v>9999</v>
      </c>
      <c r="AD436" s="0" t="n">
        <f aca="false">IF(Presupuesto!$B$10='Flujo de Pagos'!$E436,10,9999)</f>
        <v>9999</v>
      </c>
      <c r="AE436" s="0" t="n">
        <f aca="false">IF(Presupuesto!$B$11='Flujo de Pagos'!$E436,11,9999)</f>
        <v>9999</v>
      </c>
      <c r="AF436" s="0" t="n">
        <f aca="false">IF(Presupuesto!$B$12='Flujo de Pagos'!$E436,12,9999)</f>
        <v>12</v>
      </c>
      <c r="AG436" s="0" t="n">
        <f aca="false">IF(Presupuesto!$B$13='Flujo de Pagos'!$E436,13,9999)</f>
        <v>13</v>
      </c>
      <c r="AH436" s="0" t="n">
        <f aca="false">IF(Presupuesto!$B$14='Flujo de Pagos'!$E436,14,9999)</f>
        <v>14</v>
      </c>
      <c r="AI436" s="0" t="n">
        <f aca="false">IF(Presupuesto!$B$15='Flujo de Pagos'!$E436,15,9999)</f>
        <v>15</v>
      </c>
      <c r="AJ436" s="0" t="n">
        <f aca="false">IF(Presupuesto!$B$16='Flujo de Pagos'!$E436,16,9999)</f>
        <v>16</v>
      </c>
      <c r="AK436" s="0" t="n">
        <f aca="false">IF(Presupuesto!$B$17='Flujo de Pagos'!$E436,17,9999)</f>
        <v>17</v>
      </c>
      <c r="AL436" s="0" t="n">
        <f aca="false">IF(Presupuesto!$B$18='Flujo de Pagos'!$E436,18,9999)</f>
        <v>18</v>
      </c>
      <c r="AM436" s="0" t="n">
        <f aca="false">IF(Presupuesto!$B$19='Flujo de Pagos'!$E436,19,9999)</f>
        <v>19</v>
      </c>
      <c r="AN436" s="0" t="n">
        <f aca="false">IF(Presupuesto!$B$20='Flujo de Pagos'!$E436,20,9999)</f>
        <v>20</v>
      </c>
      <c r="AO436" s="0" t="n">
        <f aca="false">IF(Presupuesto!$B$21='Flujo de Pagos'!$E436,21,9999)</f>
        <v>21</v>
      </c>
      <c r="AP436" s="0" t="n">
        <f aca="false">IF(Presupuesto!$B$22='Flujo de Pagos'!$E436,22,9999)</f>
        <v>22</v>
      </c>
      <c r="AQ436" s="0" t="n">
        <f aca="false">IF(Presupuesto!$B$23='Flujo de Pagos'!$E436,23,9999)</f>
        <v>23</v>
      </c>
      <c r="AR436" s="0" t="n">
        <f aca="false">IF(Presupuesto!$B$24='Flujo de Pagos'!$E436,24,9999)</f>
        <v>24</v>
      </c>
      <c r="AS436" s="0" t="n">
        <f aca="false">IF(Presupuesto!$B$25='Flujo de Pagos'!$E436,25,9999)</f>
        <v>25</v>
      </c>
      <c r="AT436" s="0" t="n">
        <f aca="false">IF(Presupuesto!$B$26='Flujo de Pagos'!$E436,26,9999)</f>
        <v>26</v>
      </c>
      <c r="AU436" s="0" t="n">
        <f aca="false">IF(Presupuesto!$B$27='Flujo de Pagos'!$E436,27,9999)</f>
        <v>27</v>
      </c>
      <c r="AV436" s="0" t="n">
        <f aca="false">IF(Presupuesto!$B$28='Flujo de Pagos'!$E436,28,9999)</f>
        <v>28</v>
      </c>
      <c r="AW436" s="0" t="n">
        <f aca="false">IF(Presupuesto!$B$29='Flujo de Pagos'!$E436,29,9999)</f>
        <v>29</v>
      </c>
      <c r="AX436" s="0" t="n">
        <f aca="false">IF(Presupuesto!$B$30='Flujo de Pagos'!$E436,30,9999)</f>
        <v>30</v>
      </c>
      <c r="AY436" s="0" t="n">
        <f aca="false">IF(Presupuesto!$B$31='Flujo de Pagos'!$E436,31,9999)</f>
        <v>31</v>
      </c>
      <c r="AZ436" s="0" t="n">
        <f aca="false">IF(Presupuesto!$B$32='Flujo de Pagos'!$E436,32,9999)</f>
        <v>32</v>
      </c>
      <c r="BA436" s="0" t="n">
        <f aca="false">IF(Presupuesto!$B$33='Flujo de Pagos'!$E436,33,9999)</f>
        <v>33</v>
      </c>
      <c r="BB436" s="0" t="n">
        <f aca="false">IF(Presupuesto!$B$34='Flujo de Pagos'!$E436,34,9999)</f>
        <v>34</v>
      </c>
      <c r="BC436" s="0" t="n">
        <f aca="false">IF(Presupuesto!$B$35='Flujo de Pagos'!$E436,35,9999)</f>
        <v>35</v>
      </c>
      <c r="BD436" s="0" t="n">
        <f aca="false">IF(Presupuesto!$B$36='Flujo de Pagos'!$E436,36,9999)</f>
        <v>36</v>
      </c>
      <c r="BE436" s="0" t="n">
        <f aca="false">IF(Presupuesto!$B$37='Flujo de Pagos'!$E436,37,9999)</f>
        <v>37</v>
      </c>
      <c r="BF436" s="0" t="n">
        <f aca="false">IF(Presupuesto!$B$38='Flujo de Pagos'!$E436,38,9999)</f>
        <v>38</v>
      </c>
      <c r="BG436" s="0" t="n">
        <f aca="false">IF(Presupuesto!$B$39='Flujo de Pagos'!$E436,39,9999)</f>
        <v>39</v>
      </c>
      <c r="BH436" s="0" t="n">
        <f aca="false">IF(Presupuesto!$B$40='Flujo de Pagos'!$E436,40,9999)</f>
        <v>40</v>
      </c>
      <c r="BI436" s="0" t="n">
        <f aca="false">IF(Presupuesto!$B$41='Flujo de Pagos'!$E436,41,9999)</f>
        <v>41</v>
      </c>
      <c r="BJ436" s="0" t="n">
        <f aca="false">IF(Presupuesto!$B$42='Flujo de Pagos'!$E436,42,9999)</f>
        <v>42</v>
      </c>
      <c r="BK436" s="0" t="n">
        <f aca="false">IF(Presupuesto!$B$43='Flujo de Pagos'!$E436,43,9999)</f>
        <v>43</v>
      </c>
      <c r="BL436" s="0" t="n">
        <f aca="false">IF(Presupuesto!$B$44='Flujo de Pagos'!$E436,44,9999)</f>
        <v>44</v>
      </c>
      <c r="BM436" s="0" t="n">
        <f aca="false">IF(Presupuesto!$B$45='Flujo de Pagos'!$E436,45,9999)</f>
        <v>45</v>
      </c>
      <c r="BN436" s="0" t="n">
        <f aca="false">IF(Presupuesto!$B$46='Flujo de Pagos'!$E436,46,9999)</f>
        <v>46</v>
      </c>
      <c r="BO436" s="0" t="n">
        <f aca="false">IF(Presupuesto!$B$47='Flujo de Pagos'!$E436,47,9999)</f>
        <v>47</v>
      </c>
      <c r="BP436" s="0" t="n">
        <f aca="false">IF(Presupuesto!$B$48='Flujo de Pagos'!$E436,48,9999)</f>
        <v>48</v>
      </c>
      <c r="BQ436" s="0" t="n">
        <f aca="false">IF(Presupuesto!$B$49='Flujo de Pagos'!$E436,49,9999)</f>
        <v>49</v>
      </c>
      <c r="BR436" s="0" t="n">
        <f aca="false">IF(Presupuesto!$B$50='Flujo de Pagos'!$E436,50,9999)</f>
        <v>50</v>
      </c>
      <c r="BS436" s="0" t="n">
        <f aca="false">IF(Presupuesto!$B$51='Flujo de Pagos'!$E436,51,9999)</f>
        <v>51</v>
      </c>
      <c r="BT436" s="0" t="n">
        <f aca="false">IF(Presupuesto!$B$52='Flujo de Pagos'!$E436,52,9999)</f>
        <v>52</v>
      </c>
      <c r="BU436" s="0" t="n">
        <f aca="false">IF(Presupuesto!$B$53='Flujo de Pagos'!$E436,53,9999)</f>
        <v>53</v>
      </c>
      <c r="BV436" s="0" t="n">
        <f aca="false">IF(Presupuesto!$B$54='Flujo de Pagos'!$E436,54,9999)</f>
        <v>54</v>
      </c>
      <c r="BW436" s="0" t="n">
        <f aca="false">IF(Presupuesto!$B$55='Flujo de Pagos'!$E436,55,9999)</f>
        <v>55</v>
      </c>
      <c r="BX436" s="0" t="n">
        <f aca="false">IF(Presupuesto!$B$56='Flujo de Pagos'!$E436,56,9999)</f>
        <v>56</v>
      </c>
      <c r="BY436" s="0" t="n">
        <f aca="false">IF(Presupuesto!$B$57='Flujo de Pagos'!$E436,57,9999)</f>
        <v>57</v>
      </c>
      <c r="BZ436" s="0" t="n">
        <f aca="false">IF(Presupuesto!$B$58='Flujo de Pagos'!$E436,58,9999)</f>
        <v>58</v>
      </c>
      <c r="CA436" s="0" t="n">
        <f aca="false">IF(Presupuesto!$B$59='Flujo de Pagos'!$E436,59,9999)</f>
        <v>59</v>
      </c>
      <c r="CB436" s="0" t="n">
        <f aca="false">IF(Presupuesto!$B$60='Flujo de Pagos'!$E436,60,9999)</f>
        <v>60</v>
      </c>
      <c r="CC436" s="0" t="n">
        <f aca="false">IF(Presupuesto!$B$61='Flujo de Pagos'!$E436,61,9999)</f>
        <v>61</v>
      </c>
      <c r="CD436" s="0" t="n">
        <f aca="false">IF(Presupuesto!$B$62='Flujo de Pagos'!$E436,62,9999)</f>
        <v>62</v>
      </c>
      <c r="CE436" s="0" t="n">
        <f aca="false">IF(Presupuesto!$B$63='Flujo de Pagos'!$E436,63,9999)</f>
        <v>63</v>
      </c>
      <c r="CF436" s="0" t="n">
        <f aca="false">IF(Presupuesto!$B$64='Flujo de Pagos'!$E436,64,9999)</f>
        <v>64</v>
      </c>
      <c r="CG436" s="0" t="n">
        <f aca="false">IF(Presupuesto!$B$65='Flujo de Pagos'!$E436,65,9999)</f>
        <v>65</v>
      </c>
      <c r="CH436" s="0" t="n">
        <f aca="false">IF(Presupuesto!$B$66='Flujo de Pagos'!$E436,66,9999)</f>
        <v>66</v>
      </c>
    </row>
    <row r="437" customFormat="false" ht="15" hidden="false" customHeight="true" outlineLevel="0" collapsed="false">
      <c r="B437" s="1" t="n">
        <f aca="false">IF(AND('Flujo de Pagos'!E442=Carátula!$B$2,'Flujo de Pagos'!F442=Carátula!$B$4,'Flujo de Pagos'!H442&lt;&gt;""),442,99999)</f>
        <v>99999</v>
      </c>
      <c r="H437" s="1" t="n">
        <f aca="false">IF(SMALL($AA437:$CH437,1)&gt;=9999,"",INDEX(Presupuesto!$C:$C,SMALL($AA437:$CH437,1)))</f>
        <v>0</v>
      </c>
      <c r="I437" s="1" t="n">
        <f aca="false">IF(SMALL($AA437:$CH437,2)&gt;=9999,"",INDEX(Presupuesto!$C:$C,SMALL($AA437:$CH437,2)))</f>
        <v>0</v>
      </c>
      <c r="J437" s="1" t="n">
        <f aca="false">IF(SMALL($AA437:$CH437,3)&gt;=9999,"",INDEX(Presupuesto!$C:$C,SMALL($AA437:$CH437,3)))</f>
        <v>0</v>
      </c>
      <c r="K437" s="1" t="n">
        <f aca="false">IF(SMALL($AA437:$CH437,4)&gt;=9999,"",INDEX(Presupuesto!$C:$C,SMALL($AA437:$CH437,4)))</f>
        <v>0</v>
      </c>
      <c r="L437" s="1" t="n">
        <f aca="false">IF(SMALL($AA437:$CH437,5)&gt;=9999,"",INDEX(Presupuesto!$C:$C,SMALL($AA437:$CH437,5)))</f>
        <v>0</v>
      </c>
      <c r="M437" s="1" t="n">
        <f aca="false">IF(SMALL($AA437:$CH437,6)&gt;=9999,"",INDEX(Presupuesto!$C:$C,SMALL($AA437:$CH437,6)))</f>
        <v>0</v>
      </c>
      <c r="N437" s="1" t="n">
        <f aca="false">IF(SMALL($AA437:$CH437,7)&gt;=9999,"",INDEX(Presupuesto!$C:$C,SMALL($AA437:$CH437,7)))</f>
        <v>0</v>
      </c>
      <c r="O437" s="1" t="n">
        <f aca="false">IF(SMALL($AA437:$CH437,8)&gt;=9999,"",INDEX(Presupuesto!$C:$C,SMALL($AA437:$CH437,8)))</f>
        <v>0</v>
      </c>
      <c r="P437" s="1" t="n">
        <f aca="false">IF(SMALL($AA437:$CH437,9)&gt;=9999,"",INDEX(Presupuesto!$C:$C,SMALL($AA437:$CH437,9)))</f>
        <v>0</v>
      </c>
      <c r="Q437" s="1" t="n">
        <f aca="false">IF(SMALL($AA437:$CH437,10)&gt;=9999,"",INDEX(Presupuesto!$C:$C,SMALL($AA437:$CH437,10)))</f>
        <v>0</v>
      </c>
      <c r="AA437" s="0" t="n">
        <f aca="false">IF(Presupuesto!$B$7='Flujo de Pagos'!$E437,7,9999)</f>
        <v>9999</v>
      </c>
      <c r="AB437" s="0" t="n">
        <f aca="false">IF(Presupuesto!$B$8='Flujo de Pagos'!$E437,8,9999)</f>
        <v>9999</v>
      </c>
      <c r="AC437" s="0" t="n">
        <f aca="false">IF(Presupuesto!$B$9='Flujo de Pagos'!$E437,9,9999)</f>
        <v>9999</v>
      </c>
      <c r="AD437" s="0" t="n">
        <f aca="false">IF(Presupuesto!$B$10='Flujo de Pagos'!$E437,10,9999)</f>
        <v>9999</v>
      </c>
      <c r="AE437" s="0" t="n">
        <f aca="false">IF(Presupuesto!$B$11='Flujo de Pagos'!$E437,11,9999)</f>
        <v>9999</v>
      </c>
      <c r="AF437" s="0" t="n">
        <f aca="false">IF(Presupuesto!$B$12='Flujo de Pagos'!$E437,12,9999)</f>
        <v>12</v>
      </c>
      <c r="AG437" s="0" t="n">
        <f aca="false">IF(Presupuesto!$B$13='Flujo de Pagos'!$E437,13,9999)</f>
        <v>13</v>
      </c>
      <c r="AH437" s="0" t="n">
        <f aca="false">IF(Presupuesto!$B$14='Flujo de Pagos'!$E437,14,9999)</f>
        <v>14</v>
      </c>
      <c r="AI437" s="0" t="n">
        <f aca="false">IF(Presupuesto!$B$15='Flujo de Pagos'!$E437,15,9999)</f>
        <v>15</v>
      </c>
      <c r="AJ437" s="0" t="n">
        <f aca="false">IF(Presupuesto!$B$16='Flujo de Pagos'!$E437,16,9999)</f>
        <v>16</v>
      </c>
      <c r="AK437" s="0" t="n">
        <f aca="false">IF(Presupuesto!$B$17='Flujo de Pagos'!$E437,17,9999)</f>
        <v>17</v>
      </c>
      <c r="AL437" s="0" t="n">
        <f aca="false">IF(Presupuesto!$B$18='Flujo de Pagos'!$E437,18,9999)</f>
        <v>18</v>
      </c>
      <c r="AM437" s="0" t="n">
        <f aca="false">IF(Presupuesto!$B$19='Flujo de Pagos'!$E437,19,9999)</f>
        <v>19</v>
      </c>
      <c r="AN437" s="0" t="n">
        <f aca="false">IF(Presupuesto!$B$20='Flujo de Pagos'!$E437,20,9999)</f>
        <v>20</v>
      </c>
      <c r="AO437" s="0" t="n">
        <f aca="false">IF(Presupuesto!$B$21='Flujo de Pagos'!$E437,21,9999)</f>
        <v>21</v>
      </c>
      <c r="AP437" s="0" t="n">
        <f aca="false">IF(Presupuesto!$B$22='Flujo de Pagos'!$E437,22,9999)</f>
        <v>22</v>
      </c>
      <c r="AQ437" s="0" t="n">
        <f aca="false">IF(Presupuesto!$B$23='Flujo de Pagos'!$E437,23,9999)</f>
        <v>23</v>
      </c>
      <c r="AR437" s="0" t="n">
        <f aca="false">IF(Presupuesto!$B$24='Flujo de Pagos'!$E437,24,9999)</f>
        <v>24</v>
      </c>
      <c r="AS437" s="0" t="n">
        <f aca="false">IF(Presupuesto!$B$25='Flujo de Pagos'!$E437,25,9999)</f>
        <v>25</v>
      </c>
      <c r="AT437" s="0" t="n">
        <f aca="false">IF(Presupuesto!$B$26='Flujo de Pagos'!$E437,26,9999)</f>
        <v>26</v>
      </c>
      <c r="AU437" s="0" t="n">
        <f aca="false">IF(Presupuesto!$B$27='Flujo de Pagos'!$E437,27,9999)</f>
        <v>27</v>
      </c>
      <c r="AV437" s="0" t="n">
        <f aca="false">IF(Presupuesto!$B$28='Flujo de Pagos'!$E437,28,9999)</f>
        <v>28</v>
      </c>
      <c r="AW437" s="0" t="n">
        <f aca="false">IF(Presupuesto!$B$29='Flujo de Pagos'!$E437,29,9999)</f>
        <v>29</v>
      </c>
      <c r="AX437" s="0" t="n">
        <f aca="false">IF(Presupuesto!$B$30='Flujo de Pagos'!$E437,30,9999)</f>
        <v>30</v>
      </c>
      <c r="AY437" s="0" t="n">
        <f aca="false">IF(Presupuesto!$B$31='Flujo de Pagos'!$E437,31,9999)</f>
        <v>31</v>
      </c>
      <c r="AZ437" s="0" t="n">
        <f aca="false">IF(Presupuesto!$B$32='Flujo de Pagos'!$E437,32,9999)</f>
        <v>32</v>
      </c>
      <c r="BA437" s="0" t="n">
        <f aca="false">IF(Presupuesto!$B$33='Flujo de Pagos'!$E437,33,9999)</f>
        <v>33</v>
      </c>
      <c r="BB437" s="0" t="n">
        <f aca="false">IF(Presupuesto!$B$34='Flujo de Pagos'!$E437,34,9999)</f>
        <v>34</v>
      </c>
      <c r="BC437" s="0" t="n">
        <f aca="false">IF(Presupuesto!$B$35='Flujo de Pagos'!$E437,35,9999)</f>
        <v>35</v>
      </c>
      <c r="BD437" s="0" t="n">
        <f aca="false">IF(Presupuesto!$B$36='Flujo de Pagos'!$E437,36,9999)</f>
        <v>36</v>
      </c>
      <c r="BE437" s="0" t="n">
        <f aca="false">IF(Presupuesto!$B$37='Flujo de Pagos'!$E437,37,9999)</f>
        <v>37</v>
      </c>
      <c r="BF437" s="0" t="n">
        <f aca="false">IF(Presupuesto!$B$38='Flujo de Pagos'!$E437,38,9999)</f>
        <v>38</v>
      </c>
      <c r="BG437" s="0" t="n">
        <f aca="false">IF(Presupuesto!$B$39='Flujo de Pagos'!$E437,39,9999)</f>
        <v>39</v>
      </c>
      <c r="BH437" s="0" t="n">
        <f aca="false">IF(Presupuesto!$B$40='Flujo de Pagos'!$E437,40,9999)</f>
        <v>40</v>
      </c>
      <c r="BI437" s="0" t="n">
        <f aca="false">IF(Presupuesto!$B$41='Flujo de Pagos'!$E437,41,9999)</f>
        <v>41</v>
      </c>
      <c r="BJ437" s="0" t="n">
        <f aca="false">IF(Presupuesto!$B$42='Flujo de Pagos'!$E437,42,9999)</f>
        <v>42</v>
      </c>
      <c r="BK437" s="0" t="n">
        <f aca="false">IF(Presupuesto!$B$43='Flujo de Pagos'!$E437,43,9999)</f>
        <v>43</v>
      </c>
      <c r="BL437" s="0" t="n">
        <f aca="false">IF(Presupuesto!$B$44='Flujo de Pagos'!$E437,44,9999)</f>
        <v>44</v>
      </c>
      <c r="BM437" s="0" t="n">
        <f aca="false">IF(Presupuesto!$B$45='Flujo de Pagos'!$E437,45,9999)</f>
        <v>45</v>
      </c>
      <c r="BN437" s="0" t="n">
        <f aca="false">IF(Presupuesto!$B$46='Flujo de Pagos'!$E437,46,9999)</f>
        <v>46</v>
      </c>
      <c r="BO437" s="0" t="n">
        <f aca="false">IF(Presupuesto!$B$47='Flujo de Pagos'!$E437,47,9999)</f>
        <v>47</v>
      </c>
      <c r="BP437" s="0" t="n">
        <f aca="false">IF(Presupuesto!$B$48='Flujo de Pagos'!$E437,48,9999)</f>
        <v>48</v>
      </c>
      <c r="BQ437" s="0" t="n">
        <f aca="false">IF(Presupuesto!$B$49='Flujo de Pagos'!$E437,49,9999)</f>
        <v>49</v>
      </c>
      <c r="BR437" s="0" t="n">
        <f aca="false">IF(Presupuesto!$B$50='Flujo de Pagos'!$E437,50,9999)</f>
        <v>50</v>
      </c>
      <c r="BS437" s="0" t="n">
        <f aca="false">IF(Presupuesto!$B$51='Flujo de Pagos'!$E437,51,9999)</f>
        <v>51</v>
      </c>
      <c r="BT437" s="0" t="n">
        <f aca="false">IF(Presupuesto!$B$52='Flujo de Pagos'!$E437,52,9999)</f>
        <v>52</v>
      </c>
      <c r="BU437" s="0" t="n">
        <f aca="false">IF(Presupuesto!$B$53='Flujo de Pagos'!$E437,53,9999)</f>
        <v>53</v>
      </c>
      <c r="BV437" s="0" t="n">
        <f aca="false">IF(Presupuesto!$B$54='Flujo de Pagos'!$E437,54,9999)</f>
        <v>54</v>
      </c>
      <c r="BW437" s="0" t="n">
        <f aca="false">IF(Presupuesto!$B$55='Flujo de Pagos'!$E437,55,9999)</f>
        <v>55</v>
      </c>
      <c r="BX437" s="0" t="n">
        <f aca="false">IF(Presupuesto!$B$56='Flujo de Pagos'!$E437,56,9999)</f>
        <v>56</v>
      </c>
      <c r="BY437" s="0" t="n">
        <f aca="false">IF(Presupuesto!$B$57='Flujo de Pagos'!$E437,57,9999)</f>
        <v>57</v>
      </c>
      <c r="BZ437" s="0" t="n">
        <f aca="false">IF(Presupuesto!$B$58='Flujo de Pagos'!$E437,58,9999)</f>
        <v>58</v>
      </c>
      <c r="CA437" s="0" t="n">
        <f aca="false">IF(Presupuesto!$B$59='Flujo de Pagos'!$E437,59,9999)</f>
        <v>59</v>
      </c>
      <c r="CB437" s="0" t="n">
        <f aca="false">IF(Presupuesto!$B$60='Flujo de Pagos'!$E437,60,9999)</f>
        <v>60</v>
      </c>
      <c r="CC437" s="0" t="n">
        <f aca="false">IF(Presupuesto!$B$61='Flujo de Pagos'!$E437,61,9999)</f>
        <v>61</v>
      </c>
      <c r="CD437" s="0" t="n">
        <f aca="false">IF(Presupuesto!$B$62='Flujo de Pagos'!$E437,62,9999)</f>
        <v>62</v>
      </c>
      <c r="CE437" s="0" t="n">
        <f aca="false">IF(Presupuesto!$B$63='Flujo de Pagos'!$E437,63,9999)</f>
        <v>63</v>
      </c>
      <c r="CF437" s="0" t="n">
        <f aca="false">IF(Presupuesto!$B$64='Flujo de Pagos'!$E437,64,9999)</f>
        <v>64</v>
      </c>
      <c r="CG437" s="0" t="n">
        <f aca="false">IF(Presupuesto!$B$65='Flujo de Pagos'!$E437,65,9999)</f>
        <v>65</v>
      </c>
      <c r="CH437" s="0" t="n">
        <f aca="false">IF(Presupuesto!$B$66='Flujo de Pagos'!$E437,66,9999)</f>
        <v>66</v>
      </c>
    </row>
    <row r="438" customFormat="false" ht="15" hidden="false" customHeight="true" outlineLevel="0" collapsed="false">
      <c r="B438" s="1" t="n">
        <f aca="false">IF(AND('Flujo de Pagos'!E443=Carátula!$B$2,'Flujo de Pagos'!F443=Carátula!$B$4,'Flujo de Pagos'!H443&lt;&gt;""),443,99999)</f>
        <v>99999</v>
      </c>
      <c r="H438" s="1" t="n">
        <f aca="false">IF(SMALL($AA438:$CH438,1)&gt;=9999,"",INDEX(Presupuesto!$C:$C,SMALL($AA438:$CH438,1)))</f>
        <v>0</v>
      </c>
      <c r="I438" s="1" t="n">
        <f aca="false">IF(SMALL($AA438:$CH438,2)&gt;=9999,"",INDEX(Presupuesto!$C:$C,SMALL($AA438:$CH438,2)))</f>
        <v>0</v>
      </c>
      <c r="J438" s="1" t="n">
        <f aca="false">IF(SMALL($AA438:$CH438,3)&gt;=9999,"",INDEX(Presupuesto!$C:$C,SMALL($AA438:$CH438,3)))</f>
        <v>0</v>
      </c>
      <c r="K438" s="1" t="n">
        <f aca="false">IF(SMALL($AA438:$CH438,4)&gt;=9999,"",INDEX(Presupuesto!$C:$C,SMALL($AA438:$CH438,4)))</f>
        <v>0</v>
      </c>
      <c r="L438" s="1" t="n">
        <f aca="false">IF(SMALL($AA438:$CH438,5)&gt;=9999,"",INDEX(Presupuesto!$C:$C,SMALL($AA438:$CH438,5)))</f>
        <v>0</v>
      </c>
      <c r="M438" s="1" t="n">
        <f aca="false">IF(SMALL($AA438:$CH438,6)&gt;=9999,"",INDEX(Presupuesto!$C:$C,SMALL($AA438:$CH438,6)))</f>
        <v>0</v>
      </c>
      <c r="N438" s="1" t="n">
        <f aca="false">IF(SMALL($AA438:$CH438,7)&gt;=9999,"",INDEX(Presupuesto!$C:$C,SMALL($AA438:$CH438,7)))</f>
        <v>0</v>
      </c>
      <c r="O438" s="1" t="n">
        <f aca="false">IF(SMALL($AA438:$CH438,8)&gt;=9999,"",INDEX(Presupuesto!$C:$C,SMALL($AA438:$CH438,8)))</f>
        <v>0</v>
      </c>
      <c r="P438" s="1" t="n">
        <f aca="false">IF(SMALL($AA438:$CH438,9)&gt;=9999,"",INDEX(Presupuesto!$C:$C,SMALL($AA438:$CH438,9)))</f>
        <v>0</v>
      </c>
      <c r="Q438" s="1" t="n">
        <f aca="false">IF(SMALL($AA438:$CH438,10)&gt;=9999,"",INDEX(Presupuesto!$C:$C,SMALL($AA438:$CH438,10)))</f>
        <v>0</v>
      </c>
      <c r="AA438" s="0" t="n">
        <f aca="false">IF(Presupuesto!$B$7='Flujo de Pagos'!$E438,7,9999)</f>
        <v>9999</v>
      </c>
      <c r="AB438" s="0" t="n">
        <f aca="false">IF(Presupuesto!$B$8='Flujo de Pagos'!$E438,8,9999)</f>
        <v>9999</v>
      </c>
      <c r="AC438" s="0" t="n">
        <f aca="false">IF(Presupuesto!$B$9='Flujo de Pagos'!$E438,9,9999)</f>
        <v>9999</v>
      </c>
      <c r="AD438" s="0" t="n">
        <f aca="false">IF(Presupuesto!$B$10='Flujo de Pagos'!$E438,10,9999)</f>
        <v>9999</v>
      </c>
      <c r="AE438" s="0" t="n">
        <f aca="false">IF(Presupuesto!$B$11='Flujo de Pagos'!$E438,11,9999)</f>
        <v>9999</v>
      </c>
      <c r="AF438" s="0" t="n">
        <f aca="false">IF(Presupuesto!$B$12='Flujo de Pagos'!$E438,12,9999)</f>
        <v>12</v>
      </c>
      <c r="AG438" s="0" t="n">
        <f aca="false">IF(Presupuesto!$B$13='Flujo de Pagos'!$E438,13,9999)</f>
        <v>13</v>
      </c>
      <c r="AH438" s="0" t="n">
        <f aca="false">IF(Presupuesto!$B$14='Flujo de Pagos'!$E438,14,9999)</f>
        <v>14</v>
      </c>
      <c r="AI438" s="0" t="n">
        <f aca="false">IF(Presupuesto!$B$15='Flujo de Pagos'!$E438,15,9999)</f>
        <v>15</v>
      </c>
      <c r="AJ438" s="0" t="n">
        <f aca="false">IF(Presupuesto!$B$16='Flujo de Pagos'!$E438,16,9999)</f>
        <v>16</v>
      </c>
      <c r="AK438" s="0" t="n">
        <f aca="false">IF(Presupuesto!$B$17='Flujo de Pagos'!$E438,17,9999)</f>
        <v>17</v>
      </c>
      <c r="AL438" s="0" t="n">
        <f aca="false">IF(Presupuesto!$B$18='Flujo de Pagos'!$E438,18,9999)</f>
        <v>18</v>
      </c>
      <c r="AM438" s="0" t="n">
        <f aca="false">IF(Presupuesto!$B$19='Flujo de Pagos'!$E438,19,9999)</f>
        <v>19</v>
      </c>
      <c r="AN438" s="0" t="n">
        <f aca="false">IF(Presupuesto!$B$20='Flujo de Pagos'!$E438,20,9999)</f>
        <v>20</v>
      </c>
      <c r="AO438" s="0" t="n">
        <f aca="false">IF(Presupuesto!$B$21='Flujo de Pagos'!$E438,21,9999)</f>
        <v>21</v>
      </c>
      <c r="AP438" s="0" t="n">
        <f aca="false">IF(Presupuesto!$B$22='Flujo de Pagos'!$E438,22,9999)</f>
        <v>22</v>
      </c>
      <c r="AQ438" s="0" t="n">
        <f aca="false">IF(Presupuesto!$B$23='Flujo de Pagos'!$E438,23,9999)</f>
        <v>23</v>
      </c>
      <c r="AR438" s="0" t="n">
        <f aca="false">IF(Presupuesto!$B$24='Flujo de Pagos'!$E438,24,9999)</f>
        <v>24</v>
      </c>
      <c r="AS438" s="0" t="n">
        <f aca="false">IF(Presupuesto!$B$25='Flujo de Pagos'!$E438,25,9999)</f>
        <v>25</v>
      </c>
      <c r="AT438" s="0" t="n">
        <f aca="false">IF(Presupuesto!$B$26='Flujo de Pagos'!$E438,26,9999)</f>
        <v>26</v>
      </c>
      <c r="AU438" s="0" t="n">
        <f aca="false">IF(Presupuesto!$B$27='Flujo de Pagos'!$E438,27,9999)</f>
        <v>27</v>
      </c>
      <c r="AV438" s="0" t="n">
        <f aca="false">IF(Presupuesto!$B$28='Flujo de Pagos'!$E438,28,9999)</f>
        <v>28</v>
      </c>
      <c r="AW438" s="0" t="n">
        <f aca="false">IF(Presupuesto!$B$29='Flujo de Pagos'!$E438,29,9999)</f>
        <v>29</v>
      </c>
      <c r="AX438" s="0" t="n">
        <f aca="false">IF(Presupuesto!$B$30='Flujo de Pagos'!$E438,30,9999)</f>
        <v>30</v>
      </c>
      <c r="AY438" s="0" t="n">
        <f aca="false">IF(Presupuesto!$B$31='Flujo de Pagos'!$E438,31,9999)</f>
        <v>31</v>
      </c>
      <c r="AZ438" s="0" t="n">
        <f aca="false">IF(Presupuesto!$B$32='Flujo de Pagos'!$E438,32,9999)</f>
        <v>32</v>
      </c>
      <c r="BA438" s="0" t="n">
        <f aca="false">IF(Presupuesto!$B$33='Flujo de Pagos'!$E438,33,9999)</f>
        <v>33</v>
      </c>
      <c r="BB438" s="0" t="n">
        <f aca="false">IF(Presupuesto!$B$34='Flujo de Pagos'!$E438,34,9999)</f>
        <v>34</v>
      </c>
      <c r="BC438" s="0" t="n">
        <f aca="false">IF(Presupuesto!$B$35='Flujo de Pagos'!$E438,35,9999)</f>
        <v>35</v>
      </c>
      <c r="BD438" s="0" t="n">
        <f aca="false">IF(Presupuesto!$B$36='Flujo de Pagos'!$E438,36,9999)</f>
        <v>36</v>
      </c>
      <c r="BE438" s="0" t="n">
        <f aca="false">IF(Presupuesto!$B$37='Flujo de Pagos'!$E438,37,9999)</f>
        <v>37</v>
      </c>
      <c r="BF438" s="0" t="n">
        <f aca="false">IF(Presupuesto!$B$38='Flujo de Pagos'!$E438,38,9999)</f>
        <v>38</v>
      </c>
      <c r="BG438" s="0" t="n">
        <f aca="false">IF(Presupuesto!$B$39='Flujo de Pagos'!$E438,39,9999)</f>
        <v>39</v>
      </c>
      <c r="BH438" s="0" t="n">
        <f aca="false">IF(Presupuesto!$B$40='Flujo de Pagos'!$E438,40,9999)</f>
        <v>40</v>
      </c>
      <c r="BI438" s="0" t="n">
        <f aca="false">IF(Presupuesto!$B$41='Flujo de Pagos'!$E438,41,9999)</f>
        <v>41</v>
      </c>
      <c r="BJ438" s="0" t="n">
        <f aca="false">IF(Presupuesto!$B$42='Flujo de Pagos'!$E438,42,9999)</f>
        <v>42</v>
      </c>
      <c r="BK438" s="0" t="n">
        <f aca="false">IF(Presupuesto!$B$43='Flujo de Pagos'!$E438,43,9999)</f>
        <v>43</v>
      </c>
      <c r="BL438" s="0" t="n">
        <f aca="false">IF(Presupuesto!$B$44='Flujo de Pagos'!$E438,44,9999)</f>
        <v>44</v>
      </c>
      <c r="BM438" s="0" t="n">
        <f aca="false">IF(Presupuesto!$B$45='Flujo de Pagos'!$E438,45,9999)</f>
        <v>45</v>
      </c>
      <c r="BN438" s="0" t="n">
        <f aca="false">IF(Presupuesto!$B$46='Flujo de Pagos'!$E438,46,9999)</f>
        <v>46</v>
      </c>
      <c r="BO438" s="0" t="n">
        <f aca="false">IF(Presupuesto!$B$47='Flujo de Pagos'!$E438,47,9999)</f>
        <v>47</v>
      </c>
      <c r="BP438" s="0" t="n">
        <f aca="false">IF(Presupuesto!$B$48='Flujo de Pagos'!$E438,48,9999)</f>
        <v>48</v>
      </c>
      <c r="BQ438" s="0" t="n">
        <f aca="false">IF(Presupuesto!$B$49='Flujo de Pagos'!$E438,49,9999)</f>
        <v>49</v>
      </c>
      <c r="BR438" s="0" t="n">
        <f aca="false">IF(Presupuesto!$B$50='Flujo de Pagos'!$E438,50,9999)</f>
        <v>50</v>
      </c>
      <c r="BS438" s="0" t="n">
        <f aca="false">IF(Presupuesto!$B$51='Flujo de Pagos'!$E438,51,9999)</f>
        <v>51</v>
      </c>
      <c r="BT438" s="0" t="n">
        <f aca="false">IF(Presupuesto!$B$52='Flujo de Pagos'!$E438,52,9999)</f>
        <v>52</v>
      </c>
      <c r="BU438" s="0" t="n">
        <f aca="false">IF(Presupuesto!$B$53='Flujo de Pagos'!$E438,53,9999)</f>
        <v>53</v>
      </c>
      <c r="BV438" s="0" t="n">
        <f aca="false">IF(Presupuesto!$B$54='Flujo de Pagos'!$E438,54,9999)</f>
        <v>54</v>
      </c>
      <c r="BW438" s="0" t="n">
        <f aca="false">IF(Presupuesto!$B$55='Flujo de Pagos'!$E438,55,9999)</f>
        <v>55</v>
      </c>
      <c r="BX438" s="0" t="n">
        <f aca="false">IF(Presupuesto!$B$56='Flujo de Pagos'!$E438,56,9999)</f>
        <v>56</v>
      </c>
      <c r="BY438" s="0" t="n">
        <f aca="false">IF(Presupuesto!$B$57='Flujo de Pagos'!$E438,57,9999)</f>
        <v>57</v>
      </c>
      <c r="BZ438" s="0" t="n">
        <f aca="false">IF(Presupuesto!$B$58='Flujo de Pagos'!$E438,58,9999)</f>
        <v>58</v>
      </c>
      <c r="CA438" s="0" t="n">
        <f aca="false">IF(Presupuesto!$B$59='Flujo de Pagos'!$E438,59,9999)</f>
        <v>59</v>
      </c>
      <c r="CB438" s="0" t="n">
        <f aca="false">IF(Presupuesto!$B$60='Flujo de Pagos'!$E438,60,9999)</f>
        <v>60</v>
      </c>
      <c r="CC438" s="0" t="n">
        <f aca="false">IF(Presupuesto!$B$61='Flujo de Pagos'!$E438,61,9999)</f>
        <v>61</v>
      </c>
      <c r="CD438" s="0" t="n">
        <f aca="false">IF(Presupuesto!$B$62='Flujo de Pagos'!$E438,62,9999)</f>
        <v>62</v>
      </c>
      <c r="CE438" s="0" t="n">
        <f aca="false">IF(Presupuesto!$B$63='Flujo de Pagos'!$E438,63,9999)</f>
        <v>63</v>
      </c>
      <c r="CF438" s="0" t="n">
        <f aca="false">IF(Presupuesto!$B$64='Flujo de Pagos'!$E438,64,9999)</f>
        <v>64</v>
      </c>
      <c r="CG438" s="0" t="n">
        <f aca="false">IF(Presupuesto!$B$65='Flujo de Pagos'!$E438,65,9999)</f>
        <v>65</v>
      </c>
      <c r="CH438" s="0" t="n">
        <f aca="false">IF(Presupuesto!$B$66='Flujo de Pagos'!$E438,66,9999)</f>
        <v>66</v>
      </c>
    </row>
    <row r="439" customFormat="false" ht="15" hidden="false" customHeight="true" outlineLevel="0" collapsed="false">
      <c r="B439" s="1" t="n">
        <f aca="false">IF(AND('Flujo de Pagos'!E444=Carátula!$B$2,'Flujo de Pagos'!F444=Carátula!$B$4,'Flujo de Pagos'!H444&lt;&gt;""),444,99999)</f>
        <v>99999</v>
      </c>
      <c r="H439" s="1" t="n">
        <f aca="false">IF(SMALL($AA439:$CH439,1)&gt;=9999,"",INDEX(Presupuesto!$C:$C,SMALL($AA439:$CH439,1)))</f>
        <v>0</v>
      </c>
      <c r="I439" s="1" t="n">
        <f aca="false">IF(SMALL($AA439:$CH439,2)&gt;=9999,"",INDEX(Presupuesto!$C:$C,SMALL($AA439:$CH439,2)))</f>
        <v>0</v>
      </c>
      <c r="J439" s="1" t="n">
        <f aca="false">IF(SMALL($AA439:$CH439,3)&gt;=9999,"",INDEX(Presupuesto!$C:$C,SMALL($AA439:$CH439,3)))</f>
        <v>0</v>
      </c>
      <c r="K439" s="1" t="n">
        <f aca="false">IF(SMALL($AA439:$CH439,4)&gt;=9999,"",INDEX(Presupuesto!$C:$C,SMALL($AA439:$CH439,4)))</f>
        <v>0</v>
      </c>
      <c r="L439" s="1" t="n">
        <f aca="false">IF(SMALL($AA439:$CH439,5)&gt;=9999,"",INDEX(Presupuesto!$C:$C,SMALL($AA439:$CH439,5)))</f>
        <v>0</v>
      </c>
      <c r="M439" s="1" t="n">
        <f aca="false">IF(SMALL($AA439:$CH439,6)&gt;=9999,"",INDEX(Presupuesto!$C:$C,SMALL($AA439:$CH439,6)))</f>
        <v>0</v>
      </c>
      <c r="N439" s="1" t="n">
        <f aca="false">IF(SMALL($AA439:$CH439,7)&gt;=9999,"",INDEX(Presupuesto!$C:$C,SMALL($AA439:$CH439,7)))</f>
        <v>0</v>
      </c>
      <c r="O439" s="1" t="n">
        <f aca="false">IF(SMALL($AA439:$CH439,8)&gt;=9999,"",INDEX(Presupuesto!$C:$C,SMALL($AA439:$CH439,8)))</f>
        <v>0</v>
      </c>
      <c r="P439" s="1" t="n">
        <f aca="false">IF(SMALL($AA439:$CH439,9)&gt;=9999,"",INDEX(Presupuesto!$C:$C,SMALL($AA439:$CH439,9)))</f>
        <v>0</v>
      </c>
      <c r="Q439" s="1" t="n">
        <f aca="false">IF(SMALL($AA439:$CH439,10)&gt;=9999,"",INDEX(Presupuesto!$C:$C,SMALL($AA439:$CH439,10)))</f>
        <v>0</v>
      </c>
      <c r="AA439" s="0" t="n">
        <f aca="false">IF(Presupuesto!$B$7='Flujo de Pagos'!$E439,7,9999)</f>
        <v>9999</v>
      </c>
      <c r="AB439" s="0" t="n">
        <f aca="false">IF(Presupuesto!$B$8='Flujo de Pagos'!$E439,8,9999)</f>
        <v>9999</v>
      </c>
      <c r="AC439" s="0" t="n">
        <f aca="false">IF(Presupuesto!$B$9='Flujo de Pagos'!$E439,9,9999)</f>
        <v>9999</v>
      </c>
      <c r="AD439" s="0" t="n">
        <f aca="false">IF(Presupuesto!$B$10='Flujo de Pagos'!$E439,10,9999)</f>
        <v>9999</v>
      </c>
      <c r="AE439" s="0" t="n">
        <f aca="false">IF(Presupuesto!$B$11='Flujo de Pagos'!$E439,11,9999)</f>
        <v>9999</v>
      </c>
      <c r="AF439" s="0" t="n">
        <f aca="false">IF(Presupuesto!$B$12='Flujo de Pagos'!$E439,12,9999)</f>
        <v>12</v>
      </c>
      <c r="AG439" s="0" t="n">
        <f aca="false">IF(Presupuesto!$B$13='Flujo de Pagos'!$E439,13,9999)</f>
        <v>13</v>
      </c>
      <c r="AH439" s="0" t="n">
        <f aca="false">IF(Presupuesto!$B$14='Flujo de Pagos'!$E439,14,9999)</f>
        <v>14</v>
      </c>
      <c r="AI439" s="0" t="n">
        <f aca="false">IF(Presupuesto!$B$15='Flujo de Pagos'!$E439,15,9999)</f>
        <v>15</v>
      </c>
      <c r="AJ439" s="0" t="n">
        <f aca="false">IF(Presupuesto!$B$16='Flujo de Pagos'!$E439,16,9999)</f>
        <v>16</v>
      </c>
      <c r="AK439" s="0" t="n">
        <f aca="false">IF(Presupuesto!$B$17='Flujo de Pagos'!$E439,17,9999)</f>
        <v>17</v>
      </c>
      <c r="AL439" s="0" t="n">
        <f aca="false">IF(Presupuesto!$B$18='Flujo de Pagos'!$E439,18,9999)</f>
        <v>18</v>
      </c>
      <c r="AM439" s="0" t="n">
        <f aca="false">IF(Presupuesto!$B$19='Flujo de Pagos'!$E439,19,9999)</f>
        <v>19</v>
      </c>
      <c r="AN439" s="0" t="n">
        <f aca="false">IF(Presupuesto!$B$20='Flujo de Pagos'!$E439,20,9999)</f>
        <v>20</v>
      </c>
      <c r="AO439" s="0" t="n">
        <f aca="false">IF(Presupuesto!$B$21='Flujo de Pagos'!$E439,21,9999)</f>
        <v>21</v>
      </c>
      <c r="AP439" s="0" t="n">
        <f aca="false">IF(Presupuesto!$B$22='Flujo de Pagos'!$E439,22,9999)</f>
        <v>22</v>
      </c>
      <c r="AQ439" s="0" t="n">
        <f aca="false">IF(Presupuesto!$B$23='Flujo de Pagos'!$E439,23,9999)</f>
        <v>23</v>
      </c>
      <c r="AR439" s="0" t="n">
        <f aca="false">IF(Presupuesto!$B$24='Flujo de Pagos'!$E439,24,9999)</f>
        <v>24</v>
      </c>
      <c r="AS439" s="0" t="n">
        <f aca="false">IF(Presupuesto!$B$25='Flujo de Pagos'!$E439,25,9999)</f>
        <v>25</v>
      </c>
      <c r="AT439" s="0" t="n">
        <f aca="false">IF(Presupuesto!$B$26='Flujo de Pagos'!$E439,26,9999)</f>
        <v>26</v>
      </c>
      <c r="AU439" s="0" t="n">
        <f aca="false">IF(Presupuesto!$B$27='Flujo de Pagos'!$E439,27,9999)</f>
        <v>27</v>
      </c>
      <c r="AV439" s="0" t="n">
        <f aca="false">IF(Presupuesto!$B$28='Flujo de Pagos'!$E439,28,9999)</f>
        <v>28</v>
      </c>
      <c r="AW439" s="0" t="n">
        <f aca="false">IF(Presupuesto!$B$29='Flujo de Pagos'!$E439,29,9999)</f>
        <v>29</v>
      </c>
      <c r="AX439" s="0" t="n">
        <f aca="false">IF(Presupuesto!$B$30='Flujo de Pagos'!$E439,30,9999)</f>
        <v>30</v>
      </c>
      <c r="AY439" s="0" t="n">
        <f aca="false">IF(Presupuesto!$B$31='Flujo de Pagos'!$E439,31,9999)</f>
        <v>31</v>
      </c>
      <c r="AZ439" s="0" t="n">
        <f aca="false">IF(Presupuesto!$B$32='Flujo de Pagos'!$E439,32,9999)</f>
        <v>32</v>
      </c>
      <c r="BA439" s="0" t="n">
        <f aca="false">IF(Presupuesto!$B$33='Flujo de Pagos'!$E439,33,9999)</f>
        <v>33</v>
      </c>
      <c r="BB439" s="0" t="n">
        <f aca="false">IF(Presupuesto!$B$34='Flujo de Pagos'!$E439,34,9999)</f>
        <v>34</v>
      </c>
      <c r="BC439" s="0" t="n">
        <f aca="false">IF(Presupuesto!$B$35='Flujo de Pagos'!$E439,35,9999)</f>
        <v>35</v>
      </c>
      <c r="BD439" s="0" t="n">
        <f aca="false">IF(Presupuesto!$B$36='Flujo de Pagos'!$E439,36,9999)</f>
        <v>36</v>
      </c>
      <c r="BE439" s="0" t="n">
        <f aca="false">IF(Presupuesto!$B$37='Flujo de Pagos'!$E439,37,9999)</f>
        <v>37</v>
      </c>
      <c r="BF439" s="0" t="n">
        <f aca="false">IF(Presupuesto!$B$38='Flujo de Pagos'!$E439,38,9999)</f>
        <v>38</v>
      </c>
      <c r="BG439" s="0" t="n">
        <f aca="false">IF(Presupuesto!$B$39='Flujo de Pagos'!$E439,39,9999)</f>
        <v>39</v>
      </c>
      <c r="BH439" s="0" t="n">
        <f aca="false">IF(Presupuesto!$B$40='Flujo de Pagos'!$E439,40,9999)</f>
        <v>40</v>
      </c>
      <c r="BI439" s="0" t="n">
        <f aca="false">IF(Presupuesto!$B$41='Flujo de Pagos'!$E439,41,9999)</f>
        <v>41</v>
      </c>
      <c r="BJ439" s="0" t="n">
        <f aca="false">IF(Presupuesto!$B$42='Flujo de Pagos'!$E439,42,9999)</f>
        <v>42</v>
      </c>
      <c r="BK439" s="0" t="n">
        <f aca="false">IF(Presupuesto!$B$43='Flujo de Pagos'!$E439,43,9999)</f>
        <v>43</v>
      </c>
      <c r="BL439" s="0" t="n">
        <f aca="false">IF(Presupuesto!$B$44='Flujo de Pagos'!$E439,44,9999)</f>
        <v>44</v>
      </c>
      <c r="BM439" s="0" t="n">
        <f aca="false">IF(Presupuesto!$B$45='Flujo de Pagos'!$E439,45,9999)</f>
        <v>45</v>
      </c>
      <c r="BN439" s="0" t="n">
        <f aca="false">IF(Presupuesto!$B$46='Flujo de Pagos'!$E439,46,9999)</f>
        <v>46</v>
      </c>
      <c r="BO439" s="0" t="n">
        <f aca="false">IF(Presupuesto!$B$47='Flujo de Pagos'!$E439,47,9999)</f>
        <v>47</v>
      </c>
      <c r="BP439" s="0" t="n">
        <f aca="false">IF(Presupuesto!$B$48='Flujo de Pagos'!$E439,48,9999)</f>
        <v>48</v>
      </c>
      <c r="BQ439" s="0" t="n">
        <f aca="false">IF(Presupuesto!$B$49='Flujo de Pagos'!$E439,49,9999)</f>
        <v>49</v>
      </c>
      <c r="BR439" s="0" t="n">
        <f aca="false">IF(Presupuesto!$B$50='Flujo de Pagos'!$E439,50,9999)</f>
        <v>50</v>
      </c>
      <c r="BS439" s="0" t="n">
        <f aca="false">IF(Presupuesto!$B$51='Flujo de Pagos'!$E439,51,9999)</f>
        <v>51</v>
      </c>
      <c r="BT439" s="0" t="n">
        <f aca="false">IF(Presupuesto!$B$52='Flujo de Pagos'!$E439,52,9999)</f>
        <v>52</v>
      </c>
      <c r="BU439" s="0" t="n">
        <f aca="false">IF(Presupuesto!$B$53='Flujo de Pagos'!$E439,53,9999)</f>
        <v>53</v>
      </c>
      <c r="BV439" s="0" t="n">
        <f aca="false">IF(Presupuesto!$B$54='Flujo de Pagos'!$E439,54,9999)</f>
        <v>54</v>
      </c>
      <c r="BW439" s="0" t="n">
        <f aca="false">IF(Presupuesto!$B$55='Flujo de Pagos'!$E439,55,9999)</f>
        <v>55</v>
      </c>
      <c r="BX439" s="0" t="n">
        <f aca="false">IF(Presupuesto!$B$56='Flujo de Pagos'!$E439,56,9999)</f>
        <v>56</v>
      </c>
      <c r="BY439" s="0" t="n">
        <f aca="false">IF(Presupuesto!$B$57='Flujo de Pagos'!$E439,57,9999)</f>
        <v>57</v>
      </c>
      <c r="BZ439" s="0" t="n">
        <f aca="false">IF(Presupuesto!$B$58='Flujo de Pagos'!$E439,58,9999)</f>
        <v>58</v>
      </c>
      <c r="CA439" s="0" t="n">
        <f aca="false">IF(Presupuesto!$B$59='Flujo de Pagos'!$E439,59,9999)</f>
        <v>59</v>
      </c>
      <c r="CB439" s="0" t="n">
        <f aca="false">IF(Presupuesto!$B$60='Flujo de Pagos'!$E439,60,9999)</f>
        <v>60</v>
      </c>
      <c r="CC439" s="0" t="n">
        <f aca="false">IF(Presupuesto!$B$61='Flujo de Pagos'!$E439,61,9999)</f>
        <v>61</v>
      </c>
      <c r="CD439" s="0" t="n">
        <f aca="false">IF(Presupuesto!$B$62='Flujo de Pagos'!$E439,62,9999)</f>
        <v>62</v>
      </c>
      <c r="CE439" s="0" t="n">
        <f aca="false">IF(Presupuesto!$B$63='Flujo de Pagos'!$E439,63,9999)</f>
        <v>63</v>
      </c>
      <c r="CF439" s="0" t="n">
        <f aca="false">IF(Presupuesto!$B$64='Flujo de Pagos'!$E439,64,9999)</f>
        <v>64</v>
      </c>
      <c r="CG439" s="0" t="n">
        <f aca="false">IF(Presupuesto!$B$65='Flujo de Pagos'!$E439,65,9999)</f>
        <v>65</v>
      </c>
      <c r="CH439" s="0" t="n">
        <f aca="false">IF(Presupuesto!$B$66='Flujo de Pagos'!$E439,66,9999)</f>
        <v>66</v>
      </c>
    </row>
    <row r="440" customFormat="false" ht="15" hidden="false" customHeight="true" outlineLevel="0" collapsed="false">
      <c r="B440" s="1" t="n">
        <f aca="false">IF(AND('Flujo de Pagos'!E445=Carátula!$B$2,'Flujo de Pagos'!F445=Carátula!$B$4,'Flujo de Pagos'!H445&lt;&gt;""),445,99999)</f>
        <v>99999</v>
      </c>
      <c r="H440" s="1" t="n">
        <f aca="false">IF(SMALL($AA440:$CH440,1)&gt;=9999,"",INDEX(Presupuesto!$C:$C,SMALL($AA440:$CH440,1)))</f>
        <v>0</v>
      </c>
      <c r="I440" s="1" t="n">
        <f aca="false">IF(SMALL($AA440:$CH440,2)&gt;=9999,"",INDEX(Presupuesto!$C:$C,SMALL($AA440:$CH440,2)))</f>
        <v>0</v>
      </c>
      <c r="J440" s="1" t="n">
        <f aca="false">IF(SMALL($AA440:$CH440,3)&gt;=9999,"",INDEX(Presupuesto!$C:$C,SMALL($AA440:$CH440,3)))</f>
        <v>0</v>
      </c>
      <c r="K440" s="1" t="n">
        <f aca="false">IF(SMALL($AA440:$CH440,4)&gt;=9999,"",INDEX(Presupuesto!$C:$C,SMALL($AA440:$CH440,4)))</f>
        <v>0</v>
      </c>
      <c r="L440" s="1" t="n">
        <f aca="false">IF(SMALL($AA440:$CH440,5)&gt;=9999,"",INDEX(Presupuesto!$C:$C,SMALL($AA440:$CH440,5)))</f>
        <v>0</v>
      </c>
      <c r="M440" s="1" t="n">
        <f aca="false">IF(SMALL($AA440:$CH440,6)&gt;=9999,"",INDEX(Presupuesto!$C:$C,SMALL($AA440:$CH440,6)))</f>
        <v>0</v>
      </c>
      <c r="N440" s="1" t="n">
        <f aca="false">IF(SMALL($AA440:$CH440,7)&gt;=9999,"",INDEX(Presupuesto!$C:$C,SMALL($AA440:$CH440,7)))</f>
        <v>0</v>
      </c>
      <c r="O440" s="1" t="n">
        <f aca="false">IF(SMALL($AA440:$CH440,8)&gt;=9999,"",INDEX(Presupuesto!$C:$C,SMALL($AA440:$CH440,8)))</f>
        <v>0</v>
      </c>
      <c r="P440" s="1" t="n">
        <f aca="false">IF(SMALL($AA440:$CH440,9)&gt;=9999,"",INDEX(Presupuesto!$C:$C,SMALL($AA440:$CH440,9)))</f>
        <v>0</v>
      </c>
      <c r="Q440" s="1" t="n">
        <f aca="false">IF(SMALL($AA440:$CH440,10)&gt;=9999,"",INDEX(Presupuesto!$C:$C,SMALL($AA440:$CH440,10)))</f>
        <v>0</v>
      </c>
      <c r="AA440" s="0" t="n">
        <f aca="false">IF(Presupuesto!$B$7='Flujo de Pagos'!$E440,7,9999)</f>
        <v>9999</v>
      </c>
      <c r="AB440" s="0" t="n">
        <f aca="false">IF(Presupuesto!$B$8='Flujo de Pagos'!$E440,8,9999)</f>
        <v>9999</v>
      </c>
      <c r="AC440" s="0" t="n">
        <f aca="false">IF(Presupuesto!$B$9='Flujo de Pagos'!$E440,9,9999)</f>
        <v>9999</v>
      </c>
      <c r="AD440" s="0" t="n">
        <f aca="false">IF(Presupuesto!$B$10='Flujo de Pagos'!$E440,10,9999)</f>
        <v>9999</v>
      </c>
      <c r="AE440" s="0" t="n">
        <f aca="false">IF(Presupuesto!$B$11='Flujo de Pagos'!$E440,11,9999)</f>
        <v>9999</v>
      </c>
      <c r="AF440" s="0" t="n">
        <f aca="false">IF(Presupuesto!$B$12='Flujo de Pagos'!$E440,12,9999)</f>
        <v>12</v>
      </c>
      <c r="AG440" s="0" t="n">
        <f aca="false">IF(Presupuesto!$B$13='Flujo de Pagos'!$E440,13,9999)</f>
        <v>13</v>
      </c>
      <c r="AH440" s="0" t="n">
        <f aca="false">IF(Presupuesto!$B$14='Flujo de Pagos'!$E440,14,9999)</f>
        <v>14</v>
      </c>
      <c r="AI440" s="0" t="n">
        <f aca="false">IF(Presupuesto!$B$15='Flujo de Pagos'!$E440,15,9999)</f>
        <v>15</v>
      </c>
      <c r="AJ440" s="0" t="n">
        <f aca="false">IF(Presupuesto!$B$16='Flujo de Pagos'!$E440,16,9999)</f>
        <v>16</v>
      </c>
      <c r="AK440" s="0" t="n">
        <f aca="false">IF(Presupuesto!$B$17='Flujo de Pagos'!$E440,17,9999)</f>
        <v>17</v>
      </c>
      <c r="AL440" s="0" t="n">
        <f aca="false">IF(Presupuesto!$B$18='Flujo de Pagos'!$E440,18,9999)</f>
        <v>18</v>
      </c>
      <c r="AM440" s="0" t="n">
        <f aca="false">IF(Presupuesto!$B$19='Flujo de Pagos'!$E440,19,9999)</f>
        <v>19</v>
      </c>
      <c r="AN440" s="0" t="n">
        <f aca="false">IF(Presupuesto!$B$20='Flujo de Pagos'!$E440,20,9999)</f>
        <v>20</v>
      </c>
      <c r="AO440" s="0" t="n">
        <f aca="false">IF(Presupuesto!$B$21='Flujo de Pagos'!$E440,21,9999)</f>
        <v>21</v>
      </c>
      <c r="AP440" s="0" t="n">
        <f aca="false">IF(Presupuesto!$B$22='Flujo de Pagos'!$E440,22,9999)</f>
        <v>22</v>
      </c>
      <c r="AQ440" s="0" t="n">
        <f aca="false">IF(Presupuesto!$B$23='Flujo de Pagos'!$E440,23,9999)</f>
        <v>23</v>
      </c>
      <c r="AR440" s="0" t="n">
        <f aca="false">IF(Presupuesto!$B$24='Flujo de Pagos'!$E440,24,9999)</f>
        <v>24</v>
      </c>
      <c r="AS440" s="0" t="n">
        <f aca="false">IF(Presupuesto!$B$25='Flujo de Pagos'!$E440,25,9999)</f>
        <v>25</v>
      </c>
      <c r="AT440" s="0" t="n">
        <f aca="false">IF(Presupuesto!$B$26='Flujo de Pagos'!$E440,26,9999)</f>
        <v>26</v>
      </c>
      <c r="AU440" s="0" t="n">
        <f aca="false">IF(Presupuesto!$B$27='Flujo de Pagos'!$E440,27,9999)</f>
        <v>27</v>
      </c>
      <c r="AV440" s="0" t="n">
        <f aca="false">IF(Presupuesto!$B$28='Flujo de Pagos'!$E440,28,9999)</f>
        <v>28</v>
      </c>
      <c r="AW440" s="0" t="n">
        <f aca="false">IF(Presupuesto!$B$29='Flujo de Pagos'!$E440,29,9999)</f>
        <v>29</v>
      </c>
      <c r="AX440" s="0" t="n">
        <f aca="false">IF(Presupuesto!$B$30='Flujo de Pagos'!$E440,30,9999)</f>
        <v>30</v>
      </c>
      <c r="AY440" s="0" t="n">
        <f aca="false">IF(Presupuesto!$B$31='Flujo de Pagos'!$E440,31,9999)</f>
        <v>31</v>
      </c>
      <c r="AZ440" s="0" t="n">
        <f aca="false">IF(Presupuesto!$B$32='Flujo de Pagos'!$E440,32,9999)</f>
        <v>32</v>
      </c>
      <c r="BA440" s="0" t="n">
        <f aca="false">IF(Presupuesto!$B$33='Flujo de Pagos'!$E440,33,9999)</f>
        <v>33</v>
      </c>
      <c r="BB440" s="0" t="n">
        <f aca="false">IF(Presupuesto!$B$34='Flujo de Pagos'!$E440,34,9999)</f>
        <v>34</v>
      </c>
      <c r="BC440" s="0" t="n">
        <f aca="false">IF(Presupuesto!$B$35='Flujo de Pagos'!$E440,35,9999)</f>
        <v>35</v>
      </c>
      <c r="BD440" s="0" t="n">
        <f aca="false">IF(Presupuesto!$B$36='Flujo de Pagos'!$E440,36,9999)</f>
        <v>36</v>
      </c>
      <c r="BE440" s="0" t="n">
        <f aca="false">IF(Presupuesto!$B$37='Flujo de Pagos'!$E440,37,9999)</f>
        <v>37</v>
      </c>
      <c r="BF440" s="0" t="n">
        <f aca="false">IF(Presupuesto!$B$38='Flujo de Pagos'!$E440,38,9999)</f>
        <v>38</v>
      </c>
      <c r="BG440" s="0" t="n">
        <f aca="false">IF(Presupuesto!$B$39='Flujo de Pagos'!$E440,39,9999)</f>
        <v>39</v>
      </c>
      <c r="BH440" s="0" t="n">
        <f aca="false">IF(Presupuesto!$B$40='Flujo de Pagos'!$E440,40,9999)</f>
        <v>40</v>
      </c>
      <c r="BI440" s="0" t="n">
        <f aca="false">IF(Presupuesto!$B$41='Flujo de Pagos'!$E440,41,9999)</f>
        <v>41</v>
      </c>
      <c r="BJ440" s="0" t="n">
        <f aca="false">IF(Presupuesto!$B$42='Flujo de Pagos'!$E440,42,9999)</f>
        <v>42</v>
      </c>
      <c r="BK440" s="0" t="n">
        <f aca="false">IF(Presupuesto!$B$43='Flujo de Pagos'!$E440,43,9999)</f>
        <v>43</v>
      </c>
      <c r="BL440" s="0" t="n">
        <f aca="false">IF(Presupuesto!$B$44='Flujo de Pagos'!$E440,44,9999)</f>
        <v>44</v>
      </c>
      <c r="BM440" s="0" t="n">
        <f aca="false">IF(Presupuesto!$B$45='Flujo de Pagos'!$E440,45,9999)</f>
        <v>45</v>
      </c>
      <c r="BN440" s="0" t="n">
        <f aca="false">IF(Presupuesto!$B$46='Flujo de Pagos'!$E440,46,9999)</f>
        <v>46</v>
      </c>
      <c r="BO440" s="0" t="n">
        <f aca="false">IF(Presupuesto!$B$47='Flujo de Pagos'!$E440,47,9999)</f>
        <v>47</v>
      </c>
      <c r="BP440" s="0" t="n">
        <f aca="false">IF(Presupuesto!$B$48='Flujo de Pagos'!$E440,48,9999)</f>
        <v>48</v>
      </c>
      <c r="BQ440" s="0" t="n">
        <f aca="false">IF(Presupuesto!$B$49='Flujo de Pagos'!$E440,49,9999)</f>
        <v>49</v>
      </c>
      <c r="BR440" s="0" t="n">
        <f aca="false">IF(Presupuesto!$B$50='Flujo de Pagos'!$E440,50,9999)</f>
        <v>50</v>
      </c>
      <c r="BS440" s="0" t="n">
        <f aca="false">IF(Presupuesto!$B$51='Flujo de Pagos'!$E440,51,9999)</f>
        <v>51</v>
      </c>
      <c r="BT440" s="0" t="n">
        <f aca="false">IF(Presupuesto!$B$52='Flujo de Pagos'!$E440,52,9999)</f>
        <v>52</v>
      </c>
      <c r="BU440" s="0" t="n">
        <f aca="false">IF(Presupuesto!$B$53='Flujo de Pagos'!$E440,53,9999)</f>
        <v>53</v>
      </c>
      <c r="BV440" s="0" t="n">
        <f aca="false">IF(Presupuesto!$B$54='Flujo de Pagos'!$E440,54,9999)</f>
        <v>54</v>
      </c>
      <c r="BW440" s="0" t="n">
        <f aca="false">IF(Presupuesto!$B$55='Flujo de Pagos'!$E440,55,9999)</f>
        <v>55</v>
      </c>
      <c r="BX440" s="0" t="n">
        <f aca="false">IF(Presupuesto!$B$56='Flujo de Pagos'!$E440,56,9999)</f>
        <v>56</v>
      </c>
      <c r="BY440" s="0" t="n">
        <f aca="false">IF(Presupuesto!$B$57='Flujo de Pagos'!$E440,57,9999)</f>
        <v>57</v>
      </c>
      <c r="BZ440" s="0" t="n">
        <f aca="false">IF(Presupuesto!$B$58='Flujo de Pagos'!$E440,58,9999)</f>
        <v>58</v>
      </c>
      <c r="CA440" s="0" t="n">
        <f aca="false">IF(Presupuesto!$B$59='Flujo de Pagos'!$E440,59,9999)</f>
        <v>59</v>
      </c>
      <c r="CB440" s="0" t="n">
        <f aca="false">IF(Presupuesto!$B$60='Flujo de Pagos'!$E440,60,9999)</f>
        <v>60</v>
      </c>
      <c r="CC440" s="0" t="n">
        <f aca="false">IF(Presupuesto!$B$61='Flujo de Pagos'!$E440,61,9999)</f>
        <v>61</v>
      </c>
      <c r="CD440" s="0" t="n">
        <f aca="false">IF(Presupuesto!$B$62='Flujo de Pagos'!$E440,62,9999)</f>
        <v>62</v>
      </c>
      <c r="CE440" s="0" t="n">
        <f aca="false">IF(Presupuesto!$B$63='Flujo de Pagos'!$E440,63,9999)</f>
        <v>63</v>
      </c>
      <c r="CF440" s="0" t="n">
        <f aca="false">IF(Presupuesto!$B$64='Flujo de Pagos'!$E440,64,9999)</f>
        <v>64</v>
      </c>
      <c r="CG440" s="0" t="n">
        <f aca="false">IF(Presupuesto!$B$65='Flujo de Pagos'!$E440,65,9999)</f>
        <v>65</v>
      </c>
      <c r="CH440" s="0" t="n">
        <f aca="false">IF(Presupuesto!$B$66='Flujo de Pagos'!$E440,66,9999)</f>
        <v>66</v>
      </c>
    </row>
    <row r="441" customFormat="false" ht="15" hidden="false" customHeight="true" outlineLevel="0" collapsed="false">
      <c r="B441" s="1" t="n">
        <f aca="false">IF(AND('Flujo de Pagos'!E446=Carátula!$B$2,'Flujo de Pagos'!F446=Carátula!$B$4,'Flujo de Pagos'!H446&lt;&gt;""),446,99999)</f>
        <v>99999</v>
      </c>
      <c r="H441" s="1" t="n">
        <f aca="false">IF(SMALL($AA441:$CH441,1)&gt;=9999,"",INDEX(Presupuesto!$C:$C,SMALL($AA441:$CH441,1)))</f>
        <v>0</v>
      </c>
      <c r="I441" s="1" t="n">
        <f aca="false">IF(SMALL($AA441:$CH441,2)&gt;=9999,"",INDEX(Presupuesto!$C:$C,SMALL($AA441:$CH441,2)))</f>
        <v>0</v>
      </c>
      <c r="J441" s="1" t="n">
        <f aca="false">IF(SMALL($AA441:$CH441,3)&gt;=9999,"",INDEX(Presupuesto!$C:$C,SMALL($AA441:$CH441,3)))</f>
        <v>0</v>
      </c>
      <c r="K441" s="1" t="n">
        <f aca="false">IF(SMALL($AA441:$CH441,4)&gt;=9999,"",INDEX(Presupuesto!$C:$C,SMALL($AA441:$CH441,4)))</f>
        <v>0</v>
      </c>
      <c r="L441" s="1" t="n">
        <f aca="false">IF(SMALL($AA441:$CH441,5)&gt;=9999,"",INDEX(Presupuesto!$C:$C,SMALL($AA441:$CH441,5)))</f>
        <v>0</v>
      </c>
      <c r="M441" s="1" t="n">
        <f aca="false">IF(SMALL($AA441:$CH441,6)&gt;=9999,"",INDEX(Presupuesto!$C:$C,SMALL($AA441:$CH441,6)))</f>
        <v>0</v>
      </c>
      <c r="N441" s="1" t="n">
        <f aca="false">IF(SMALL($AA441:$CH441,7)&gt;=9999,"",INDEX(Presupuesto!$C:$C,SMALL($AA441:$CH441,7)))</f>
        <v>0</v>
      </c>
      <c r="O441" s="1" t="n">
        <f aca="false">IF(SMALL($AA441:$CH441,8)&gt;=9999,"",INDEX(Presupuesto!$C:$C,SMALL($AA441:$CH441,8)))</f>
        <v>0</v>
      </c>
      <c r="P441" s="1" t="n">
        <f aca="false">IF(SMALL($AA441:$CH441,9)&gt;=9999,"",INDEX(Presupuesto!$C:$C,SMALL($AA441:$CH441,9)))</f>
        <v>0</v>
      </c>
      <c r="Q441" s="1" t="n">
        <f aca="false">IF(SMALL($AA441:$CH441,10)&gt;=9999,"",INDEX(Presupuesto!$C:$C,SMALL($AA441:$CH441,10)))</f>
        <v>0</v>
      </c>
      <c r="AA441" s="0" t="n">
        <f aca="false">IF(Presupuesto!$B$7='Flujo de Pagos'!$E441,7,9999)</f>
        <v>9999</v>
      </c>
      <c r="AB441" s="0" t="n">
        <f aca="false">IF(Presupuesto!$B$8='Flujo de Pagos'!$E441,8,9999)</f>
        <v>9999</v>
      </c>
      <c r="AC441" s="0" t="n">
        <f aca="false">IF(Presupuesto!$B$9='Flujo de Pagos'!$E441,9,9999)</f>
        <v>9999</v>
      </c>
      <c r="AD441" s="0" t="n">
        <f aca="false">IF(Presupuesto!$B$10='Flujo de Pagos'!$E441,10,9999)</f>
        <v>9999</v>
      </c>
      <c r="AE441" s="0" t="n">
        <f aca="false">IF(Presupuesto!$B$11='Flujo de Pagos'!$E441,11,9999)</f>
        <v>9999</v>
      </c>
      <c r="AF441" s="0" t="n">
        <f aca="false">IF(Presupuesto!$B$12='Flujo de Pagos'!$E441,12,9999)</f>
        <v>12</v>
      </c>
      <c r="AG441" s="0" t="n">
        <f aca="false">IF(Presupuesto!$B$13='Flujo de Pagos'!$E441,13,9999)</f>
        <v>13</v>
      </c>
      <c r="AH441" s="0" t="n">
        <f aca="false">IF(Presupuesto!$B$14='Flujo de Pagos'!$E441,14,9999)</f>
        <v>14</v>
      </c>
      <c r="AI441" s="0" t="n">
        <f aca="false">IF(Presupuesto!$B$15='Flujo de Pagos'!$E441,15,9999)</f>
        <v>15</v>
      </c>
      <c r="AJ441" s="0" t="n">
        <f aca="false">IF(Presupuesto!$B$16='Flujo de Pagos'!$E441,16,9999)</f>
        <v>16</v>
      </c>
      <c r="AK441" s="0" t="n">
        <f aca="false">IF(Presupuesto!$B$17='Flujo de Pagos'!$E441,17,9999)</f>
        <v>17</v>
      </c>
      <c r="AL441" s="0" t="n">
        <f aca="false">IF(Presupuesto!$B$18='Flujo de Pagos'!$E441,18,9999)</f>
        <v>18</v>
      </c>
      <c r="AM441" s="0" t="n">
        <f aca="false">IF(Presupuesto!$B$19='Flujo de Pagos'!$E441,19,9999)</f>
        <v>19</v>
      </c>
      <c r="AN441" s="0" t="n">
        <f aca="false">IF(Presupuesto!$B$20='Flujo de Pagos'!$E441,20,9999)</f>
        <v>20</v>
      </c>
      <c r="AO441" s="0" t="n">
        <f aca="false">IF(Presupuesto!$B$21='Flujo de Pagos'!$E441,21,9999)</f>
        <v>21</v>
      </c>
      <c r="AP441" s="0" t="n">
        <f aca="false">IF(Presupuesto!$B$22='Flujo de Pagos'!$E441,22,9999)</f>
        <v>22</v>
      </c>
      <c r="AQ441" s="0" t="n">
        <f aca="false">IF(Presupuesto!$B$23='Flujo de Pagos'!$E441,23,9999)</f>
        <v>23</v>
      </c>
      <c r="AR441" s="0" t="n">
        <f aca="false">IF(Presupuesto!$B$24='Flujo de Pagos'!$E441,24,9999)</f>
        <v>24</v>
      </c>
      <c r="AS441" s="0" t="n">
        <f aca="false">IF(Presupuesto!$B$25='Flujo de Pagos'!$E441,25,9999)</f>
        <v>25</v>
      </c>
      <c r="AT441" s="0" t="n">
        <f aca="false">IF(Presupuesto!$B$26='Flujo de Pagos'!$E441,26,9999)</f>
        <v>26</v>
      </c>
      <c r="AU441" s="0" t="n">
        <f aca="false">IF(Presupuesto!$B$27='Flujo de Pagos'!$E441,27,9999)</f>
        <v>27</v>
      </c>
      <c r="AV441" s="0" t="n">
        <f aca="false">IF(Presupuesto!$B$28='Flujo de Pagos'!$E441,28,9999)</f>
        <v>28</v>
      </c>
      <c r="AW441" s="0" t="n">
        <f aca="false">IF(Presupuesto!$B$29='Flujo de Pagos'!$E441,29,9999)</f>
        <v>29</v>
      </c>
      <c r="AX441" s="0" t="n">
        <f aca="false">IF(Presupuesto!$B$30='Flujo de Pagos'!$E441,30,9999)</f>
        <v>30</v>
      </c>
      <c r="AY441" s="0" t="n">
        <f aca="false">IF(Presupuesto!$B$31='Flujo de Pagos'!$E441,31,9999)</f>
        <v>31</v>
      </c>
      <c r="AZ441" s="0" t="n">
        <f aca="false">IF(Presupuesto!$B$32='Flujo de Pagos'!$E441,32,9999)</f>
        <v>32</v>
      </c>
      <c r="BA441" s="0" t="n">
        <f aca="false">IF(Presupuesto!$B$33='Flujo de Pagos'!$E441,33,9999)</f>
        <v>33</v>
      </c>
      <c r="BB441" s="0" t="n">
        <f aca="false">IF(Presupuesto!$B$34='Flujo de Pagos'!$E441,34,9999)</f>
        <v>34</v>
      </c>
      <c r="BC441" s="0" t="n">
        <f aca="false">IF(Presupuesto!$B$35='Flujo de Pagos'!$E441,35,9999)</f>
        <v>35</v>
      </c>
      <c r="BD441" s="0" t="n">
        <f aca="false">IF(Presupuesto!$B$36='Flujo de Pagos'!$E441,36,9999)</f>
        <v>36</v>
      </c>
      <c r="BE441" s="0" t="n">
        <f aca="false">IF(Presupuesto!$B$37='Flujo de Pagos'!$E441,37,9999)</f>
        <v>37</v>
      </c>
      <c r="BF441" s="0" t="n">
        <f aca="false">IF(Presupuesto!$B$38='Flujo de Pagos'!$E441,38,9999)</f>
        <v>38</v>
      </c>
      <c r="BG441" s="0" t="n">
        <f aca="false">IF(Presupuesto!$B$39='Flujo de Pagos'!$E441,39,9999)</f>
        <v>39</v>
      </c>
      <c r="BH441" s="0" t="n">
        <f aca="false">IF(Presupuesto!$B$40='Flujo de Pagos'!$E441,40,9999)</f>
        <v>40</v>
      </c>
      <c r="BI441" s="0" t="n">
        <f aca="false">IF(Presupuesto!$B$41='Flujo de Pagos'!$E441,41,9999)</f>
        <v>41</v>
      </c>
      <c r="BJ441" s="0" t="n">
        <f aca="false">IF(Presupuesto!$B$42='Flujo de Pagos'!$E441,42,9999)</f>
        <v>42</v>
      </c>
      <c r="BK441" s="0" t="n">
        <f aca="false">IF(Presupuesto!$B$43='Flujo de Pagos'!$E441,43,9999)</f>
        <v>43</v>
      </c>
      <c r="BL441" s="0" t="n">
        <f aca="false">IF(Presupuesto!$B$44='Flujo de Pagos'!$E441,44,9999)</f>
        <v>44</v>
      </c>
      <c r="BM441" s="0" t="n">
        <f aca="false">IF(Presupuesto!$B$45='Flujo de Pagos'!$E441,45,9999)</f>
        <v>45</v>
      </c>
      <c r="BN441" s="0" t="n">
        <f aca="false">IF(Presupuesto!$B$46='Flujo de Pagos'!$E441,46,9999)</f>
        <v>46</v>
      </c>
      <c r="BO441" s="0" t="n">
        <f aca="false">IF(Presupuesto!$B$47='Flujo de Pagos'!$E441,47,9999)</f>
        <v>47</v>
      </c>
      <c r="BP441" s="0" t="n">
        <f aca="false">IF(Presupuesto!$B$48='Flujo de Pagos'!$E441,48,9999)</f>
        <v>48</v>
      </c>
      <c r="BQ441" s="0" t="n">
        <f aca="false">IF(Presupuesto!$B$49='Flujo de Pagos'!$E441,49,9999)</f>
        <v>49</v>
      </c>
      <c r="BR441" s="0" t="n">
        <f aca="false">IF(Presupuesto!$B$50='Flujo de Pagos'!$E441,50,9999)</f>
        <v>50</v>
      </c>
      <c r="BS441" s="0" t="n">
        <f aca="false">IF(Presupuesto!$B$51='Flujo de Pagos'!$E441,51,9999)</f>
        <v>51</v>
      </c>
      <c r="BT441" s="0" t="n">
        <f aca="false">IF(Presupuesto!$B$52='Flujo de Pagos'!$E441,52,9999)</f>
        <v>52</v>
      </c>
      <c r="BU441" s="0" t="n">
        <f aca="false">IF(Presupuesto!$B$53='Flujo de Pagos'!$E441,53,9999)</f>
        <v>53</v>
      </c>
      <c r="BV441" s="0" t="n">
        <f aca="false">IF(Presupuesto!$B$54='Flujo de Pagos'!$E441,54,9999)</f>
        <v>54</v>
      </c>
      <c r="BW441" s="0" t="n">
        <f aca="false">IF(Presupuesto!$B$55='Flujo de Pagos'!$E441,55,9999)</f>
        <v>55</v>
      </c>
      <c r="BX441" s="0" t="n">
        <f aca="false">IF(Presupuesto!$B$56='Flujo de Pagos'!$E441,56,9999)</f>
        <v>56</v>
      </c>
      <c r="BY441" s="0" t="n">
        <f aca="false">IF(Presupuesto!$B$57='Flujo de Pagos'!$E441,57,9999)</f>
        <v>57</v>
      </c>
      <c r="BZ441" s="0" t="n">
        <f aca="false">IF(Presupuesto!$B$58='Flujo de Pagos'!$E441,58,9999)</f>
        <v>58</v>
      </c>
      <c r="CA441" s="0" t="n">
        <f aca="false">IF(Presupuesto!$B$59='Flujo de Pagos'!$E441,59,9999)</f>
        <v>59</v>
      </c>
      <c r="CB441" s="0" t="n">
        <f aca="false">IF(Presupuesto!$B$60='Flujo de Pagos'!$E441,60,9999)</f>
        <v>60</v>
      </c>
      <c r="CC441" s="0" t="n">
        <f aca="false">IF(Presupuesto!$B$61='Flujo de Pagos'!$E441,61,9999)</f>
        <v>61</v>
      </c>
      <c r="CD441" s="0" t="n">
        <f aca="false">IF(Presupuesto!$B$62='Flujo de Pagos'!$E441,62,9999)</f>
        <v>62</v>
      </c>
      <c r="CE441" s="0" t="n">
        <f aca="false">IF(Presupuesto!$B$63='Flujo de Pagos'!$E441,63,9999)</f>
        <v>63</v>
      </c>
      <c r="CF441" s="0" t="n">
        <f aca="false">IF(Presupuesto!$B$64='Flujo de Pagos'!$E441,64,9999)</f>
        <v>64</v>
      </c>
      <c r="CG441" s="0" t="n">
        <f aca="false">IF(Presupuesto!$B$65='Flujo de Pagos'!$E441,65,9999)</f>
        <v>65</v>
      </c>
      <c r="CH441" s="0" t="n">
        <f aca="false">IF(Presupuesto!$B$66='Flujo de Pagos'!$E441,66,9999)</f>
        <v>66</v>
      </c>
    </row>
    <row r="442" customFormat="false" ht="15" hidden="false" customHeight="true" outlineLevel="0" collapsed="false">
      <c r="B442" s="1" t="n">
        <f aca="false">IF(AND('Flujo de Pagos'!E447=Carátula!$B$2,'Flujo de Pagos'!F447=Carátula!$B$4,'Flujo de Pagos'!H447&lt;&gt;""),447,99999)</f>
        <v>99999</v>
      </c>
      <c r="H442" s="1" t="n">
        <f aca="false">IF(SMALL($AA442:$CH442,1)&gt;=9999,"",INDEX(Presupuesto!$C:$C,SMALL($AA442:$CH442,1)))</f>
        <v>0</v>
      </c>
      <c r="I442" s="1" t="n">
        <f aca="false">IF(SMALL($AA442:$CH442,2)&gt;=9999,"",INDEX(Presupuesto!$C:$C,SMALL($AA442:$CH442,2)))</f>
        <v>0</v>
      </c>
      <c r="J442" s="1" t="n">
        <f aca="false">IF(SMALL($AA442:$CH442,3)&gt;=9999,"",INDEX(Presupuesto!$C:$C,SMALL($AA442:$CH442,3)))</f>
        <v>0</v>
      </c>
      <c r="K442" s="1" t="n">
        <f aca="false">IF(SMALL($AA442:$CH442,4)&gt;=9999,"",INDEX(Presupuesto!$C:$C,SMALL($AA442:$CH442,4)))</f>
        <v>0</v>
      </c>
      <c r="L442" s="1" t="n">
        <f aca="false">IF(SMALL($AA442:$CH442,5)&gt;=9999,"",INDEX(Presupuesto!$C:$C,SMALL($AA442:$CH442,5)))</f>
        <v>0</v>
      </c>
      <c r="M442" s="1" t="n">
        <f aca="false">IF(SMALL($AA442:$CH442,6)&gt;=9999,"",INDEX(Presupuesto!$C:$C,SMALL($AA442:$CH442,6)))</f>
        <v>0</v>
      </c>
      <c r="N442" s="1" t="n">
        <f aca="false">IF(SMALL($AA442:$CH442,7)&gt;=9999,"",INDEX(Presupuesto!$C:$C,SMALL($AA442:$CH442,7)))</f>
        <v>0</v>
      </c>
      <c r="O442" s="1" t="n">
        <f aca="false">IF(SMALL($AA442:$CH442,8)&gt;=9999,"",INDEX(Presupuesto!$C:$C,SMALL($AA442:$CH442,8)))</f>
        <v>0</v>
      </c>
      <c r="P442" s="1" t="n">
        <f aca="false">IF(SMALL($AA442:$CH442,9)&gt;=9999,"",INDEX(Presupuesto!$C:$C,SMALL($AA442:$CH442,9)))</f>
        <v>0</v>
      </c>
      <c r="Q442" s="1" t="n">
        <f aca="false">IF(SMALL($AA442:$CH442,10)&gt;=9999,"",INDEX(Presupuesto!$C:$C,SMALL($AA442:$CH442,10)))</f>
        <v>0</v>
      </c>
      <c r="AA442" s="0" t="n">
        <f aca="false">IF(Presupuesto!$B$7='Flujo de Pagos'!$E442,7,9999)</f>
        <v>9999</v>
      </c>
      <c r="AB442" s="0" t="n">
        <f aca="false">IF(Presupuesto!$B$8='Flujo de Pagos'!$E442,8,9999)</f>
        <v>9999</v>
      </c>
      <c r="AC442" s="0" t="n">
        <f aca="false">IF(Presupuesto!$B$9='Flujo de Pagos'!$E442,9,9999)</f>
        <v>9999</v>
      </c>
      <c r="AD442" s="0" t="n">
        <f aca="false">IF(Presupuesto!$B$10='Flujo de Pagos'!$E442,10,9999)</f>
        <v>9999</v>
      </c>
      <c r="AE442" s="0" t="n">
        <f aca="false">IF(Presupuesto!$B$11='Flujo de Pagos'!$E442,11,9999)</f>
        <v>9999</v>
      </c>
      <c r="AF442" s="0" t="n">
        <f aca="false">IF(Presupuesto!$B$12='Flujo de Pagos'!$E442,12,9999)</f>
        <v>12</v>
      </c>
      <c r="AG442" s="0" t="n">
        <f aca="false">IF(Presupuesto!$B$13='Flujo de Pagos'!$E442,13,9999)</f>
        <v>13</v>
      </c>
      <c r="AH442" s="0" t="n">
        <f aca="false">IF(Presupuesto!$B$14='Flujo de Pagos'!$E442,14,9999)</f>
        <v>14</v>
      </c>
      <c r="AI442" s="0" t="n">
        <f aca="false">IF(Presupuesto!$B$15='Flujo de Pagos'!$E442,15,9999)</f>
        <v>15</v>
      </c>
      <c r="AJ442" s="0" t="n">
        <f aca="false">IF(Presupuesto!$B$16='Flujo de Pagos'!$E442,16,9999)</f>
        <v>16</v>
      </c>
      <c r="AK442" s="0" t="n">
        <f aca="false">IF(Presupuesto!$B$17='Flujo de Pagos'!$E442,17,9999)</f>
        <v>17</v>
      </c>
      <c r="AL442" s="0" t="n">
        <f aca="false">IF(Presupuesto!$B$18='Flujo de Pagos'!$E442,18,9999)</f>
        <v>18</v>
      </c>
      <c r="AM442" s="0" t="n">
        <f aca="false">IF(Presupuesto!$B$19='Flujo de Pagos'!$E442,19,9999)</f>
        <v>19</v>
      </c>
      <c r="AN442" s="0" t="n">
        <f aca="false">IF(Presupuesto!$B$20='Flujo de Pagos'!$E442,20,9999)</f>
        <v>20</v>
      </c>
      <c r="AO442" s="0" t="n">
        <f aca="false">IF(Presupuesto!$B$21='Flujo de Pagos'!$E442,21,9999)</f>
        <v>21</v>
      </c>
      <c r="AP442" s="0" t="n">
        <f aca="false">IF(Presupuesto!$B$22='Flujo de Pagos'!$E442,22,9999)</f>
        <v>22</v>
      </c>
      <c r="AQ442" s="0" t="n">
        <f aca="false">IF(Presupuesto!$B$23='Flujo de Pagos'!$E442,23,9999)</f>
        <v>23</v>
      </c>
      <c r="AR442" s="0" t="n">
        <f aca="false">IF(Presupuesto!$B$24='Flujo de Pagos'!$E442,24,9999)</f>
        <v>24</v>
      </c>
      <c r="AS442" s="0" t="n">
        <f aca="false">IF(Presupuesto!$B$25='Flujo de Pagos'!$E442,25,9999)</f>
        <v>25</v>
      </c>
      <c r="AT442" s="0" t="n">
        <f aca="false">IF(Presupuesto!$B$26='Flujo de Pagos'!$E442,26,9999)</f>
        <v>26</v>
      </c>
      <c r="AU442" s="0" t="n">
        <f aca="false">IF(Presupuesto!$B$27='Flujo de Pagos'!$E442,27,9999)</f>
        <v>27</v>
      </c>
      <c r="AV442" s="0" t="n">
        <f aca="false">IF(Presupuesto!$B$28='Flujo de Pagos'!$E442,28,9999)</f>
        <v>28</v>
      </c>
      <c r="AW442" s="0" t="n">
        <f aca="false">IF(Presupuesto!$B$29='Flujo de Pagos'!$E442,29,9999)</f>
        <v>29</v>
      </c>
      <c r="AX442" s="0" t="n">
        <f aca="false">IF(Presupuesto!$B$30='Flujo de Pagos'!$E442,30,9999)</f>
        <v>30</v>
      </c>
      <c r="AY442" s="0" t="n">
        <f aca="false">IF(Presupuesto!$B$31='Flujo de Pagos'!$E442,31,9999)</f>
        <v>31</v>
      </c>
      <c r="AZ442" s="0" t="n">
        <f aca="false">IF(Presupuesto!$B$32='Flujo de Pagos'!$E442,32,9999)</f>
        <v>32</v>
      </c>
      <c r="BA442" s="0" t="n">
        <f aca="false">IF(Presupuesto!$B$33='Flujo de Pagos'!$E442,33,9999)</f>
        <v>33</v>
      </c>
      <c r="BB442" s="0" t="n">
        <f aca="false">IF(Presupuesto!$B$34='Flujo de Pagos'!$E442,34,9999)</f>
        <v>34</v>
      </c>
      <c r="BC442" s="0" t="n">
        <f aca="false">IF(Presupuesto!$B$35='Flujo de Pagos'!$E442,35,9999)</f>
        <v>35</v>
      </c>
      <c r="BD442" s="0" t="n">
        <f aca="false">IF(Presupuesto!$B$36='Flujo de Pagos'!$E442,36,9999)</f>
        <v>36</v>
      </c>
      <c r="BE442" s="0" t="n">
        <f aca="false">IF(Presupuesto!$B$37='Flujo de Pagos'!$E442,37,9999)</f>
        <v>37</v>
      </c>
      <c r="BF442" s="0" t="n">
        <f aca="false">IF(Presupuesto!$B$38='Flujo de Pagos'!$E442,38,9999)</f>
        <v>38</v>
      </c>
      <c r="BG442" s="0" t="n">
        <f aca="false">IF(Presupuesto!$B$39='Flujo de Pagos'!$E442,39,9999)</f>
        <v>39</v>
      </c>
      <c r="BH442" s="0" t="n">
        <f aca="false">IF(Presupuesto!$B$40='Flujo de Pagos'!$E442,40,9999)</f>
        <v>40</v>
      </c>
      <c r="BI442" s="0" t="n">
        <f aca="false">IF(Presupuesto!$B$41='Flujo de Pagos'!$E442,41,9999)</f>
        <v>41</v>
      </c>
      <c r="BJ442" s="0" t="n">
        <f aca="false">IF(Presupuesto!$B$42='Flujo de Pagos'!$E442,42,9999)</f>
        <v>42</v>
      </c>
      <c r="BK442" s="0" t="n">
        <f aca="false">IF(Presupuesto!$B$43='Flujo de Pagos'!$E442,43,9999)</f>
        <v>43</v>
      </c>
      <c r="BL442" s="0" t="n">
        <f aca="false">IF(Presupuesto!$B$44='Flujo de Pagos'!$E442,44,9999)</f>
        <v>44</v>
      </c>
      <c r="BM442" s="0" t="n">
        <f aca="false">IF(Presupuesto!$B$45='Flujo de Pagos'!$E442,45,9999)</f>
        <v>45</v>
      </c>
      <c r="BN442" s="0" t="n">
        <f aca="false">IF(Presupuesto!$B$46='Flujo de Pagos'!$E442,46,9999)</f>
        <v>46</v>
      </c>
      <c r="BO442" s="0" t="n">
        <f aca="false">IF(Presupuesto!$B$47='Flujo de Pagos'!$E442,47,9999)</f>
        <v>47</v>
      </c>
      <c r="BP442" s="0" t="n">
        <f aca="false">IF(Presupuesto!$B$48='Flujo de Pagos'!$E442,48,9999)</f>
        <v>48</v>
      </c>
      <c r="BQ442" s="0" t="n">
        <f aca="false">IF(Presupuesto!$B$49='Flujo de Pagos'!$E442,49,9999)</f>
        <v>49</v>
      </c>
      <c r="BR442" s="0" t="n">
        <f aca="false">IF(Presupuesto!$B$50='Flujo de Pagos'!$E442,50,9999)</f>
        <v>50</v>
      </c>
      <c r="BS442" s="0" t="n">
        <f aca="false">IF(Presupuesto!$B$51='Flujo de Pagos'!$E442,51,9999)</f>
        <v>51</v>
      </c>
      <c r="BT442" s="0" t="n">
        <f aca="false">IF(Presupuesto!$B$52='Flujo de Pagos'!$E442,52,9999)</f>
        <v>52</v>
      </c>
      <c r="BU442" s="0" t="n">
        <f aca="false">IF(Presupuesto!$B$53='Flujo de Pagos'!$E442,53,9999)</f>
        <v>53</v>
      </c>
      <c r="BV442" s="0" t="n">
        <f aca="false">IF(Presupuesto!$B$54='Flujo de Pagos'!$E442,54,9999)</f>
        <v>54</v>
      </c>
      <c r="BW442" s="0" t="n">
        <f aca="false">IF(Presupuesto!$B$55='Flujo de Pagos'!$E442,55,9999)</f>
        <v>55</v>
      </c>
      <c r="BX442" s="0" t="n">
        <f aca="false">IF(Presupuesto!$B$56='Flujo de Pagos'!$E442,56,9999)</f>
        <v>56</v>
      </c>
      <c r="BY442" s="0" t="n">
        <f aca="false">IF(Presupuesto!$B$57='Flujo de Pagos'!$E442,57,9999)</f>
        <v>57</v>
      </c>
      <c r="BZ442" s="0" t="n">
        <f aca="false">IF(Presupuesto!$B$58='Flujo de Pagos'!$E442,58,9999)</f>
        <v>58</v>
      </c>
      <c r="CA442" s="0" t="n">
        <f aca="false">IF(Presupuesto!$B$59='Flujo de Pagos'!$E442,59,9999)</f>
        <v>59</v>
      </c>
      <c r="CB442" s="0" t="n">
        <f aca="false">IF(Presupuesto!$B$60='Flujo de Pagos'!$E442,60,9999)</f>
        <v>60</v>
      </c>
      <c r="CC442" s="0" t="n">
        <f aca="false">IF(Presupuesto!$B$61='Flujo de Pagos'!$E442,61,9999)</f>
        <v>61</v>
      </c>
      <c r="CD442" s="0" t="n">
        <f aca="false">IF(Presupuesto!$B$62='Flujo de Pagos'!$E442,62,9999)</f>
        <v>62</v>
      </c>
      <c r="CE442" s="0" t="n">
        <f aca="false">IF(Presupuesto!$B$63='Flujo de Pagos'!$E442,63,9999)</f>
        <v>63</v>
      </c>
      <c r="CF442" s="0" t="n">
        <f aca="false">IF(Presupuesto!$B$64='Flujo de Pagos'!$E442,64,9999)</f>
        <v>64</v>
      </c>
      <c r="CG442" s="0" t="n">
        <f aca="false">IF(Presupuesto!$B$65='Flujo de Pagos'!$E442,65,9999)</f>
        <v>65</v>
      </c>
      <c r="CH442" s="0" t="n">
        <f aca="false">IF(Presupuesto!$B$66='Flujo de Pagos'!$E442,66,9999)</f>
        <v>66</v>
      </c>
    </row>
    <row r="443" customFormat="false" ht="15" hidden="false" customHeight="true" outlineLevel="0" collapsed="false">
      <c r="B443" s="1" t="n">
        <f aca="false">IF(AND('Flujo de Pagos'!E448=Carátula!$B$2,'Flujo de Pagos'!F448=Carátula!$B$4,'Flujo de Pagos'!H448&lt;&gt;""),448,99999)</f>
        <v>99999</v>
      </c>
      <c r="H443" s="1" t="n">
        <f aca="false">IF(SMALL($AA443:$CH443,1)&gt;=9999,"",INDEX(Presupuesto!$C:$C,SMALL($AA443:$CH443,1)))</f>
        <v>0</v>
      </c>
      <c r="I443" s="1" t="n">
        <f aca="false">IF(SMALL($AA443:$CH443,2)&gt;=9999,"",INDEX(Presupuesto!$C:$C,SMALL($AA443:$CH443,2)))</f>
        <v>0</v>
      </c>
      <c r="J443" s="1" t="n">
        <f aca="false">IF(SMALL($AA443:$CH443,3)&gt;=9999,"",INDEX(Presupuesto!$C:$C,SMALL($AA443:$CH443,3)))</f>
        <v>0</v>
      </c>
      <c r="K443" s="1" t="n">
        <f aca="false">IF(SMALL($AA443:$CH443,4)&gt;=9999,"",INDEX(Presupuesto!$C:$C,SMALL($AA443:$CH443,4)))</f>
        <v>0</v>
      </c>
      <c r="L443" s="1" t="n">
        <f aca="false">IF(SMALL($AA443:$CH443,5)&gt;=9999,"",INDEX(Presupuesto!$C:$C,SMALL($AA443:$CH443,5)))</f>
        <v>0</v>
      </c>
      <c r="M443" s="1" t="n">
        <f aca="false">IF(SMALL($AA443:$CH443,6)&gt;=9999,"",INDEX(Presupuesto!$C:$C,SMALL($AA443:$CH443,6)))</f>
        <v>0</v>
      </c>
      <c r="N443" s="1" t="n">
        <f aca="false">IF(SMALL($AA443:$CH443,7)&gt;=9999,"",INDEX(Presupuesto!$C:$C,SMALL($AA443:$CH443,7)))</f>
        <v>0</v>
      </c>
      <c r="O443" s="1" t="n">
        <f aca="false">IF(SMALL($AA443:$CH443,8)&gt;=9999,"",INDEX(Presupuesto!$C:$C,SMALL($AA443:$CH443,8)))</f>
        <v>0</v>
      </c>
      <c r="P443" s="1" t="n">
        <f aca="false">IF(SMALL($AA443:$CH443,9)&gt;=9999,"",INDEX(Presupuesto!$C:$C,SMALL($AA443:$CH443,9)))</f>
        <v>0</v>
      </c>
      <c r="Q443" s="1" t="n">
        <f aca="false">IF(SMALL($AA443:$CH443,10)&gt;=9999,"",INDEX(Presupuesto!$C:$C,SMALL($AA443:$CH443,10)))</f>
        <v>0</v>
      </c>
      <c r="AA443" s="0" t="n">
        <f aca="false">IF(Presupuesto!$B$7='Flujo de Pagos'!$E443,7,9999)</f>
        <v>9999</v>
      </c>
      <c r="AB443" s="0" t="n">
        <f aca="false">IF(Presupuesto!$B$8='Flujo de Pagos'!$E443,8,9999)</f>
        <v>9999</v>
      </c>
      <c r="AC443" s="0" t="n">
        <f aca="false">IF(Presupuesto!$B$9='Flujo de Pagos'!$E443,9,9999)</f>
        <v>9999</v>
      </c>
      <c r="AD443" s="0" t="n">
        <f aca="false">IF(Presupuesto!$B$10='Flujo de Pagos'!$E443,10,9999)</f>
        <v>9999</v>
      </c>
      <c r="AE443" s="0" t="n">
        <f aca="false">IF(Presupuesto!$B$11='Flujo de Pagos'!$E443,11,9999)</f>
        <v>9999</v>
      </c>
      <c r="AF443" s="0" t="n">
        <f aca="false">IF(Presupuesto!$B$12='Flujo de Pagos'!$E443,12,9999)</f>
        <v>12</v>
      </c>
      <c r="AG443" s="0" t="n">
        <f aca="false">IF(Presupuesto!$B$13='Flujo de Pagos'!$E443,13,9999)</f>
        <v>13</v>
      </c>
      <c r="AH443" s="0" t="n">
        <f aca="false">IF(Presupuesto!$B$14='Flujo de Pagos'!$E443,14,9999)</f>
        <v>14</v>
      </c>
      <c r="AI443" s="0" t="n">
        <f aca="false">IF(Presupuesto!$B$15='Flujo de Pagos'!$E443,15,9999)</f>
        <v>15</v>
      </c>
      <c r="AJ443" s="0" t="n">
        <f aca="false">IF(Presupuesto!$B$16='Flujo de Pagos'!$E443,16,9999)</f>
        <v>16</v>
      </c>
      <c r="AK443" s="0" t="n">
        <f aca="false">IF(Presupuesto!$B$17='Flujo de Pagos'!$E443,17,9999)</f>
        <v>17</v>
      </c>
      <c r="AL443" s="0" t="n">
        <f aca="false">IF(Presupuesto!$B$18='Flujo de Pagos'!$E443,18,9999)</f>
        <v>18</v>
      </c>
      <c r="AM443" s="0" t="n">
        <f aca="false">IF(Presupuesto!$B$19='Flujo de Pagos'!$E443,19,9999)</f>
        <v>19</v>
      </c>
      <c r="AN443" s="0" t="n">
        <f aca="false">IF(Presupuesto!$B$20='Flujo de Pagos'!$E443,20,9999)</f>
        <v>20</v>
      </c>
      <c r="AO443" s="0" t="n">
        <f aca="false">IF(Presupuesto!$B$21='Flujo de Pagos'!$E443,21,9999)</f>
        <v>21</v>
      </c>
      <c r="AP443" s="0" t="n">
        <f aca="false">IF(Presupuesto!$B$22='Flujo de Pagos'!$E443,22,9999)</f>
        <v>22</v>
      </c>
      <c r="AQ443" s="0" t="n">
        <f aca="false">IF(Presupuesto!$B$23='Flujo de Pagos'!$E443,23,9999)</f>
        <v>23</v>
      </c>
      <c r="AR443" s="0" t="n">
        <f aca="false">IF(Presupuesto!$B$24='Flujo de Pagos'!$E443,24,9999)</f>
        <v>24</v>
      </c>
      <c r="AS443" s="0" t="n">
        <f aca="false">IF(Presupuesto!$B$25='Flujo de Pagos'!$E443,25,9999)</f>
        <v>25</v>
      </c>
      <c r="AT443" s="0" t="n">
        <f aca="false">IF(Presupuesto!$B$26='Flujo de Pagos'!$E443,26,9999)</f>
        <v>26</v>
      </c>
      <c r="AU443" s="0" t="n">
        <f aca="false">IF(Presupuesto!$B$27='Flujo de Pagos'!$E443,27,9999)</f>
        <v>27</v>
      </c>
      <c r="AV443" s="0" t="n">
        <f aca="false">IF(Presupuesto!$B$28='Flujo de Pagos'!$E443,28,9999)</f>
        <v>28</v>
      </c>
      <c r="AW443" s="0" t="n">
        <f aca="false">IF(Presupuesto!$B$29='Flujo de Pagos'!$E443,29,9999)</f>
        <v>29</v>
      </c>
      <c r="AX443" s="0" t="n">
        <f aca="false">IF(Presupuesto!$B$30='Flujo de Pagos'!$E443,30,9999)</f>
        <v>30</v>
      </c>
      <c r="AY443" s="0" t="n">
        <f aca="false">IF(Presupuesto!$B$31='Flujo de Pagos'!$E443,31,9999)</f>
        <v>31</v>
      </c>
      <c r="AZ443" s="0" t="n">
        <f aca="false">IF(Presupuesto!$B$32='Flujo de Pagos'!$E443,32,9999)</f>
        <v>32</v>
      </c>
      <c r="BA443" s="0" t="n">
        <f aca="false">IF(Presupuesto!$B$33='Flujo de Pagos'!$E443,33,9999)</f>
        <v>33</v>
      </c>
      <c r="BB443" s="0" t="n">
        <f aca="false">IF(Presupuesto!$B$34='Flujo de Pagos'!$E443,34,9999)</f>
        <v>34</v>
      </c>
      <c r="BC443" s="0" t="n">
        <f aca="false">IF(Presupuesto!$B$35='Flujo de Pagos'!$E443,35,9999)</f>
        <v>35</v>
      </c>
      <c r="BD443" s="0" t="n">
        <f aca="false">IF(Presupuesto!$B$36='Flujo de Pagos'!$E443,36,9999)</f>
        <v>36</v>
      </c>
      <c r="BE443" s="0" t="n">
        <f aca="false">IF(Presupuesto!$B$37='Flujo de Pagos'!$E443,37,9999)</f>
        <v>37</v>
      </c>
      <c r="BF443" s="0" t="n">
        <f aca="false">IF(Presupuesto!$B$38='Flujo de Pagos'!$E443,38,9999)</f>
        <v>38</v>
      </c>
      <c r="BG443" s="0" t="n">
        <f aca="false">IF(Presupuesto!$B$39='Flujo de Pagos'!$E443,39,9999)</f>
        <v>39</v>
      </c>
      <c r="BH443" s="0" t="n">
        <f aca="false">IF(Presupuesto!$B$40='Flujo de Pagos'!$E443,40,9999)</f>
        <v>40</v>
      </c>
      <c r="BI443" s="0" t="n">
        <f aca="false">IF(Presupuesto!$B$41='Flujo de Pagos'!$E443,41,9999)</f>
        <v>41</v>
      </c>
      <c r="BJ443" s="0" t="n">
        <f aca="false">IF(Presupuesto!$B$42='Flujo de Pagos'!$E443,42,9999)</f>
        <v>42</v>
      </c>
      <c r="BK443" s="0" t="n">
        <f aca="false">IF(Presupuesto!$B$43='Flujo de Pagos'!$E443,43,9999)</f>
        <v>43</v>
      </c>
      <c r="BL443" s="0" t="n">
        <f aca="false">IF(Presupuesto!$B$44='Flujo de Pagos'!$E443,44,9999)</f>
        <v>44</v>
      </c>
      <c r="BM443" s="0" t="n">
        <f aca="false">IF(Presupuesto!$B$45='Flujo de Pagos'!$E443,45,9999)</f>
        <v>45</v>
      </c>
      <c r="BN443" s="0" t="n">
        <f aca="false">IF(Presupuesto!$B$46='Flujo de Pagos'!$E443,46,9999)</f>
        <v>46</v>
      </c>
      <c r="BO443" s="0" t="n">
        <f aca="false">IF(Presupuesto!$B$47='Flujo de Pagos'!$E443,47,9999)</f>
        <v>47</v>
      </c>
      <c r="BP443" s="0" t="n">
        <f aca="false">IF(Presupuesto!$B$48='Flujo de Pagos'!$E443,48,9999)</f>
        <v>48</v>
      </c>
      <c r="BQ443" s="0" t="n">
        <f aca="false">IF(Presupuesto!$B$49='Flujo de Pagos'!$E443,49,9999)</f>
        <v>49</v>
      </c>
      <c r="BR443" s="0" t="n">
        <f aca="false">IF(Presupuesto!$B$50='Flujo de Pagos'!$E443,50,9999)</f>
        <v>50</v>
      </c>
      <c r="BS443" s="0" t="n">
        <f aca="false">IF(Presupuesto!$B$51='Flujo de Pagos'!$E443,51,9999)</f>
        <v>51</v>
      </c>
      <c r="BT443" s="0" t="n">
        <f aca="false">IF(Presupuesto!$B$52='Flujo de Pagos'!$E443,52,9999)</f>
        <v>52</v>
      </c>
      <c r="BU443" s="0" t="n">
        <f aca="false">IF(Presupuesto!$B$53='Flujo de Pagos'!$E443,53,9999)</f>
        <v>53</v>
      </c>
      <c r="BV443" s="0" t="n">
        <f aca="false">IF(Presupuesto!$B$54='Flujo de Pagos'!$E443,54,9999)</f>
        <v>54</v>
      </c>
      <c r="BW443" s="0" t="n">
        <f aca="false">IF(Presupuesto!$B$55='Flujo de Pagos'!$E443,55,9999)</f>
        <v>55</v>
      </c>
      <c r="BX443" s="0" t="n">
        <f aca="false">IF(Presupuesto!$B$56='Flujo de Pagos'!$E443,56,9999)</f>
        <v>56</v>
      </c>
      <c r="BY443" s="0" t="n">
        <f aca="false">IF(Presupuesto!$B$57='Flujo de Pagos'!$E443,57,9999)</f>
        <v>57</v>
      </c>
      <c r="BZ443" s="0" t="n">
        <f aca="false">IF(Presupuesto!$B$58='Flujo de Pagos'!$E443,58,9999)</f>
        <v>58</v>
      </c>
      <c r="CA443" s="0" t="n">
        <f aca="false">IF(Presupuesto!$B$59='Flujo de Pagos'!$E443,59,9999)</f>
        <v>59</v>
      </c>
      <c r="CB443" s="0" t="n">
        <f aca="false">IF(Presupuesto!$B$60='Flujo de Pagos'!$E443,60,9999)</f>
        <v>60</v>
      </c>
      <c r="CC443" s="0" t="n">
        <f aca="false">IF(Presupuesto!$B$61='Flujo de Pagos'!$E443,61,9999)</f>
        <v>61</v>
      </c>
      <c r="CD443" s="0" t="n">
        <f aca="false">IF(Presupuesto!$B$62='Flujo de Pagos'!$E443,62,9999)</f>
        <v>62</v>
      </c>
      <c r="CE443" s="0" t="n">
        <f aca="false">IF(Presupuesto!$B$63='Flujo de Pagos'!$E443,63,9999)</f>
        <v>63</v>
      </c>
      <c r="CF443" s="0" t="n">
        <f aca="false">IF(Presupuesto!$B$64='Flujo de Pagos'!$E443,64,9999)</f>
        <v>64</v>
      </c>
      <c r="CG443" s="0" t="n">
        <f aca="false">IF(Presupuesto!$B$65='Flujo de Pagos'!$E443,65,9999)</f>
        <v>65</v>
      </c>
      <c r="CH443" s="0" t="n">
        <f aca="false">IF(Presupuesto!$B$66='Flujo de Pagos'!$E443,66,9999)</f>
        <v>66</v>
      </c>
    </row>
    <row r="444" customFormat="false" ht="15" hidden="false" customHeight="true" outlineLevel="0" collapsed="false">
      <c r="B444" s="1" t="n">
        <f aca="false">IF(AND('Flujo de Pagos'!E449=Carátula!$B$2,'Flujo de Pagos'!F449=Carátula!$B$4,'Flujo de Pagos'!H449&lt;&gt;""),449,99999)</f>
        <v>99999</v>
      </c>
      <c r="H444" s="1" t="n">
        <f aca="false">IF(SMALL($AA444:$CH444,1)&gt;=9999,"",INDEX(Presupuesto!$C:$C,SMALL($AA444:$CH444,1)))</f>
        <v>0</v>
      </c>
      <c r="I444" s="1" t="n">
        <f aca="false">IF(SMALL($AA444:$CH444,2)&gt;=9999,"",INDEX(Presupuesto!$C:$C,SMALL($AA444:$CH444,2)))</f>
        <v>0</v>
      </c>
      <c r="J444" s="1" t="n">
        <f aca="false">IF(SMALL($AA444:$CH444,3)&gt;=9999,"",INDEX(Presupuesto!$C:$C,SMALL($AA444:$CH444,3)))</f>
        <v>0</v>
      </c>
      <c r="K444" s="1" t="n">
        <f aca="false">IF(SMALL($AA444:$CH444,4)&gt;=9999,"",INDEX(Presupuesto!$C:$C,SMALL($AA444:$CH444,4)))</f>
        <v>0</v>
      </c>
      <c r="L444" s="1" t="n">
        <f aca="false">IF(SMALL($AA444:$CH444,5)&gt;=9999,"",INDEX(Presupuesto!$C:$C,SMALL($AA444:$CH444,5)))</f>
        <v>0</v>
      </c>
      <c r="M444" s="1" t="n">
        <f aca="false">IF(SMALL($AA444:$CH444,6)&gt;=9999,"",INDEX(Presupuesto!$C:$C,SMALL($AA444:$CH444,6)))</f>
        <v>0</v>
      </c>
      <c r="N444" s="1" t="n">
        <f aca="false">IF(SMALL($AA444:$CH444,7)&gt;=9999,"",INDEX(Presupuesto!$C:$C,SMALL($AA444:$CH444,7)))</f>
        <v>0</v>
      </c>
      <c r="O444" s="1" t="n">
        <f aca="false">IF(SMALL($AA444:$CH444,8)&gt;=9999,"",INDEX(Presupuesto!$C:$C,SMALL($AA444:$CH444,8)))</f>
        <v>0</v>
      </c>
      <c r="P444" s="1" t="n">
        <f aca="false">IF(SMALL($AA444:$CH444,9)&gt;=9999,"",INDEX(Presupuesto!$C:$C,SMALL($AA444:$CH444,9)))</f>
        <v>0</v>
      </c>
      <c r="Q444" s="1" t="n">
        <f aca="false">IF(SMALL($AA444:$CH444,10)&gt;=9999,"",INDEX(Presupuesto!$C:$C,SMALL($AA444:$CH444,10)))</f>
        <v>0</v>
      </c>
      <c r="AA444" s="0" t="n">
        <f aca="false">IF(Presupuesto!$B$7='Flujo de Pagos'!$E444,7,9999)</f>
        <v>9999</v>
      </c>
      <c r="AB444" s="0" t="n">
        <f aca="false">IF(Presupuesto!$B$8='Flujo de Pagos'!$E444,8,9999)</f>
        <v>9999</v>
      </c>
      <c r="AC444" s="0" t="n">
        <f aca="false">IF(Presupuesto!$B$9='Flujo de Pagos'!$E444,9,9999)</f>
        <v>9999</v>
      </c>
      <c r="AD444" s="0" t="n">
        <f aca="false">IF(Presupuesto!$B$10='Flujo de Pagos'!$E444,10,9999)</f>
        <v>9999</v>
      </c>
      <c r="AE444" s="0" t="n">
        <f aca="false">IF(Presupuesto!$B$11='Flujo de Pagos'!$E444,11,9999)</f>
        <v>9999</v>
      </c>
      <c r="AF444" s="0" t="n">
        <f aca="false">IF(Presupuesto!$B$12='Flujo de Pagos'!$E444,12,9999)</f>
        <v>12</v>
      </c>
      <c r="AG444" s="0" t="n">
        <f aca="false">IF(Presupuesto!$B$13='Flujo de Pagos'!$E444,13,9999)</f>
        <v>13</v>
      </c>
      <c r="AH444" s="0" t="n">
        <f aca="false">IF(Presupuesto!$B$14='Flujo de Pagos'!$E444,14,9999)</f>
        <v>14</v>
      </c>
      <c r="AI444" s="0" t="n">
        <f aca="false">IF(Presupuesto!$B$15='Flujo de Pagos'!$E444,15,9999)</f>
        <v>15</v>
      </c>
      <c r="AJ444" s="0" t="n">
        <f aca="false">IF(Presupuesto!$B$16='Flujo de Pagos'!$E444,16,9999)</f>
        <v>16</v>
      </c>
      <c r="AK444" s="0" t="n">
        <f aca="false">IF(Presupuesto!$B$17='Flujo de Pagos'!$E444,17,9999)</f>
        <v>17</v>
      </c>
      <c r="AL444" s="0" t="n">
        <f aca="false">IF(Presupuesto!$B$18='Flujo de Pagos'!$E444,18,9999)</f>
        <v>18</v>
      </c>
      <c r="AM444" s="0" t="n">
        <f aca="false">IF(Presupuesto!$B$19='Flujo de Pagos'!$E444,19,9999)</f>
        <v>19</v>
      </c>
      <c r="AN444" s="0" t="n">
        <f aca="false">IF(Presupuesto!$B$20='Flujo de Pagos'!$E444,20,9999)</f>
        <v>20</v>
      </c>
      <c r="AO444" s="0" t="n">
        <f aca="false">IF(Presupuesto!$B$21='Flujo de Pagos'!$E444,21,9999)</f>
        <v>21</v>
      </c>
      <c r="AP444" s="0" t="n">
        <f aca="false">IF(Presupuesto!$B$22='Flujo de Pagos'!$E444,22,9999)</f>
        <v>22</v>
      </c>
      <c r="AQ444" s="0" t="n">
        <f aca="false">IF(Presupuesto!$B$23='Flujo de Pagos'!$E444,23,9999)</f>
        <v>23</v>
      </c>
      <c r="AR444" s="0" t="n">
        <f aca="false">IF(Presupuesto!$B$24='Flujo de Pagos'!$E444,24,9999)</f>
        <v>24</v>
      </c>
      <c r="AS444" s="0" t="n">
        <f aca="false">IF(Presupuesto!$B$25='Flujo de Pagos'!$E444,25,9999)</f>
        <v>25</v>
      </c>
      <c r="AT444" s="0" t="n">
        <f aca="false">IF(Presupuesto!$B$26='Flujo de Pagos'!$E444,26,9999)</f>
        <v>26</v>
      </c>
      <c r="AU444" s="0" t="n">
        <f aca="false">IF(Presupuesto!$B$27='Flujo de Pagos'!$E444,27,9999)</f>
        <v>27</v>
      </c>
      <c r="AV444" s="0" t="n">
        <f aca="false">IF(Presupuesto!$B$28='Flujo de Pagos'!$E444,28,9999)</f>
        <v>28</v>
      </c>
      <c r="AW444" s="0" t="n">
        <f aca="false">IF(Presupuesto!$B$29='Flujo de Pagos'!$E444,29,9999)</f>
        <v>29</v>
      </c>
      <c r="AX444" s="0" t="n">
        <f aca="false">IF(Presupuesto!$B$30='Flujo de Pagos'!$E444,30,9999)</f>
        <v>30</v>
      </c>
      <c r="AY444" s="0" t="n">
        <f aca="false">IF(Presupuesto!$B$31='Flujo de Pagos'!$E444,31,9999)</f>
        <v>31</v>
      </c>
      <c r="AZ444" s="0" t="n">
        <f aca="false">IF(Presupuesto!$B$32='Flujo de Pagos'!$E444,32,9999)</f>
        <v>32</v>
      </c>
      <c r="BA444" s="0" t="n">
        <f aca="false">IF(Presupuesto!$B$33='Flujo de Pagos'!$E444,33,9999)</f>
        <v>33</v>
      </c>
      <c r="BB444" s="0" t="n">
        <f aca="false">IF(Presupuesto!$B$34='Flujo de Pagos'!$E444,34,9999)</f>
        <v>34</v>
      </c>
      <c r="BC444" s="0" t="n">
        <f aca="false">IF(Presupuesto!$B$35='Flujo de Pagos'!$E444,35,9999)</f>
        <v>35</v>
      </c>
      <c r="BD444" s="0" t="n">
        <f aca="false">IF(Presupuesto!$B$36='Flujo de Pagos'!$E444,36,9999)</f>
        <v>36</v>
      </c>
      <c r="BE444" s="0" t="n">
        <f aca="false">IF(Presupuesto!$B$37='Flujo de Pagos'!$E444,37,9999)</f>
        <v>37</v>
      </c>
      <c r="BF444" s="0" t="n">
        <f aca="false">IF(Presupuesto!$B$38='Flujo de Pagos'!$E444,38,9999)</f>
        <v>38</v>
      </c>
      <c r="BG444" s="0" t="n">
        <f aca="false">IF(Presupuesto!$B$39='Flujo de Pagos'!$E444,39,9999)</f>
        <v>39</v>
      </c>
      <c r="BH444" s="0" t="n">
        <f aca="false">IF(Presupuesto!$B$40='Flujo de Pagos'!$E444,40,9999)</f>
        <v>40</v>
      </c>
      <c r="BI444" s="0" t="n">
        <f aca="false">IF(Presupuesto!$B$41='Flujo de Pagos'!$E444,41,9999)</f>
        <v>41</v>
      </c>
      <c r="BJ444" s="0" t="n">
        <f aca="false">IF(Presupuesto!$B$42='Flujo de Pagos'!$E444,42,9999)</f>
        <v>42</v>
      </c>
      <c r="BK444" s="0" t="n">
        <f aca="false">IF(Presupuesto!$B$43='Flujo de Pagos'!$E444,43,9999)</f>
        <v>43</v>
      </c>
      <c r="BL444" s="0" t="n">
        <f aca="false">IF(Presupuesto!$B$44='Flujo de Pagos'!$E444,44,9999)</f>
        <v>44</v>
      </c>
      <c r="BM444" s="0" t="n">
        <f aca="false">IF(Presupuesto!$B$45='Flujo de Pagos'!$E444,45,9999)</f>
        <v>45</v>
      </c>
      <c r="BN444" s="0" t="n">
        <f aca="false">IF(Presupuesto!$B$46='Flujo de Pagos'!$E444,46,9999)</f>
        <v>46</v>
      </c>
      <c r="BO444" s="0" t="n">
        <f aca="false">IF(Presupuesto!$B$47='Flujo de Pagos'!$E444,47,9999)</f>
        <v>47</v>
      </c>
      <c r="BP444" s="0" t="n">
        <f aca="false">IF(Presupuesto!$B$48='Flujo de Pagos'!$E444,48,9999)</f>
        <v>48</v>
      </c>
      <c r="BQ444" s="0" t="n">
        <f aca="false">IF(Presupuesto!$B$49='Flujo de Pagos'!$E444,49,9999)</f>
        <v>49</v>
      </c>
      <c r="BR444" s="0" t="n">
        <f aca="false">IF(Presupuesto!$B$50='Flujo de Pagos'!$E444,50,9999)</f>
        <v>50</v>
      </c>
      <c r="BS444" s="0" t="n">
        <f aca="false">IF(Presupuesto!$B$51='Flujo de Pagos'!$E444,51,9999)</f>
        <v>51</v>
      </c>
      <c r="BT444" s="0" t="n">
        <f aca="false">IF(Presupuesto!$B$52='Flujo de Pagos'!$E444,52,9999)</f>
        <v>52</v>
      </c>
      <c r="BU444" s="0" t="n">
        <f aca="false">IF(Presupuesto!$B$53='Flujo de Pagos'!$E444,53,9999)</f>
        <v>53</v>
      </c>
      <c r="BV444" s="0" t="n">
        <f aca="false">IF(Presupuesto!$B$54='Flujo de Pagos'!$E444,54,9999)</f>
        <v>54</v>
      </c>
      <c r="BW444" s="0" t="n">
        <f aca="false">IF(Presupuesto!$B$55='Flujo de Pagos'!$E444,55,9999)</f>
        <v>55</v>
      </c>
      <c r="BX444" s="0" t="n">
        <f aca="false">IF(Presupuesto!$B$56='Flujo de Pagos'!$E444,56,9999)</f>
        <v>56</v>
      </c>
      <c r="BY444" s="0" t="n">
        <f aca="false">IF(Presupuesto!$B$57='Flujo de Pagos'!$E444,57,9999)</f>
        <v>57</v>
      </c>
      <c r="BZ444" s="0" t="n">
        <f aca="false">IF(Presupuesto!$B$58='Flujo de Pagos'!$E444,58,9999)</f>
        <v>58</v>
      </c>
      <c r="CA444" s="0" t="n">
        <f aca="false">IF(Presupuesto!$B$59='Flujo de Pagos'!$E444,59,9999)</f>
        <v>59</v>
      </c>
      <c r="CB444" s="0" t="n">
        <f aca="false">IF(Presupuesto!$B$60='Flujo de Pagos'!$E444,60,9999)</f>
        <v>60</v>
      </c>
      <c r="CC444" s="0" t="n">
        <f aca="false">IF(Presupuesto!$B$61='Flujo de Pagos'!$E444,61,9999)</f>
        <v>61</v>
      </c>
      <c r="CD444" s="0" t="n">
        <f aca="false">IF(Presupuesto!$B$62='Flujo de Pagos'!$E444,62,9999)</f>
        <v>62</v>
      </c>
      <c r="CE444" s="0" t="n">
        <f aca="false">IF(Presupuesto!$B$63='Flujo de Pagos'!$E444,63,9999)</f>
        <v>63</v>
      </c>
      <c r="CF444" s="0" t="n">
        <f aca="false">IF(Presupuesto!$B$64='Flujo de Pagos'!$E444,64,9999)</f>
        <v>64</v>
      </c>
      <c r="CG444" s="0" t="n">
        <f aca="false">IF(Presupuesto!$B$65='Flujo de Pagos'!$E444,65,9999)</f>
        <v>65</v>
      </c>
      <c r="CH444" s="0" t="n">
        <f aca="false">IF(Presupuesto!$B$66='Flujo de Pagos'!$E444,66,9999)</f>
        <v>66</v>
      </c>
    </row>
    <row r="445" customFormat="false" ht="15" hidden="false" customHeight="true" outlineLevel="0" collapsed="false">
      <c r="B445" s="1" t="n">
        <f aca="false">IF(AND('Flujo de Pagos'!E450=Carátula!$B$2,'Flujo de Pagos'!F450=Carátula!$B$4,'Flujo de Pagos'!H450&lt;&gt;""),450,99999)</f>
        <v>99999</v>
      </c>
      <c r="H445" s="1" t="n">
        <f aca="false">IF(SMALL($AA445:$CH445,1)&gt;=9999,"",INDEX(Presupuesto!$C:$C,SMALL($AA445:$CH445,1)))</f>
        <v>0</v>
      </c>
      <c r="I445" s="1" t="n">
        <f aca="false">IF(SMALL($AA445:$CH445,2)&gt;=9999,"",INDEX(Presupuesto!$C:$C,SMALL($AA445:$CH445,2)))</f>
        <v>0</v>
      </c>
      <c r="J445" s="1" t="n">
        <f aca="false">IF(SMALL($AA445:$CH445,3)&gt;=9999,"",INDEX(Presupuesto!$C:$C,SMALL($AA445:$CH445,3)))</f>
        <v>0</v>
      </c>
      <c r="K445" s="1" t="n">
        <f aca="false">IF(SMALL($AA445:$CH445,4)&gt;=9999,"",INDEX(Presupuesto!$C:$C,SMALL($AA445:$CH445,4)))</f>
        <v>0</v>
      </c>
      <c r="L445" s="1" t="n">
        <f aca="false">IF(SMALL($AA445:$CH445,5)&gt;=9999,"",INDEX(Presupuesto!$C:$C,SMALL($AA445:$CH445,5)))</f>
        <v>0</v>
      </c>
      <c r="M445" s="1" t="n">
        <f aca="false">IF(SMALL($AA445:$CH445,6)&gt;=9999,"",INDEX(Presupuesto!$C:$C,SMALL($AA445:$CH445,6)))</f>
        <v>0</v>
      </c>
      <c r="N445" s="1" t="n">
        <f aca="false">IF(SMALL($AA445:$CH445,7)&gt;=9999,"",INDEX(Presupuesto!$C:$C,SMALL($AA445:$CH445,7)))</f>
        <v>0</v>
      </c>
      <c r="O445" s="1" t="n">
        <f aca="false">IF(SMALL($AA445:$CH445,8)&gt;=9999,"",INDEX(Presupuesto!$C:$C,SMALL($AA445:$CH445,8)))</f>
        <v>0</v>
      </c>
      <c r="P445" s="1" t="n">
        <f aca="false">IF(SMALL($AA445:$CH445,9)&gt;=9999,"",INDEX(Presupuesto!$C:$C,SMALL($AA445:$CH445,9)))</f>
        <v>0</v>
      </c>
      <c r="Q445" s="1" t="n">
        <f aca="false">IF(SMALL($AA445:$CH445,10)&gt;=9999,"",INDEX(Presupuesto!$C:$C,SMALL($AA445:$CH445,10)))</f>
        <v>0</v>
      </c>
      <c r="AA445" s="0" t="n">
        <f aca="false">IF(Presupuesto!$B$7='Flujo de Pagos'!$E445,7,9999)</f>
        <v>9999</v>
      </c>
      <c r="AB445" s="0" t="n">
        <f aca="false">IF(Presupuesto!$B$8='Flujo de Pagos'!$E445,8,9999)</f>
        <v>9999</v>
      </c>
      <c r="AC445" s="0" t="n">
        <f aca="false">IF(Presupuesto!$B$9='Flujo de Pagos'!$E445,9,9999)</f>
        <v>9999</v>
      </c>
      <c r="AD445" s="0" t="n">
        <f aca="false">IF(Presupuesto!$B$10='Flujo de Pagos'!$E445,10,9999)</f>
        <v>9999</v>
      </c>
      <c r="AE445" s="0" t="n">
        <f aca="false">IF(Presupuesto!$B$11='Flujo de Pagos'!$E445,11,9999)</f>
        <v>9999</v>
      </c>
      <c r="AF445" s="0" t="n">
        <f aca="false">IF(Presupuesto!$B$12='Flujo de Pagos'!$E445,12,9999)</f>
        <v>12</v>
      </c>
      <c r="AG445" s="0" t="n">
        <f aca="false">IF(Presupuesto!$B$13='Flujo de Pagos'!$E445,13,9999)</f>
        <v>13</v>
      </c>
      <c r="AH445" s="0" t="n">
        <f aca="false">IF(Presupuesto!$B$14='Flujo de Pagos'!$E445,14,9999)</f>
        <v>14</v>
      </c>
      <c r="AI445" s="0" t="n">
        <f aca="false">IF(Presupuesto!$B$15='Flujo de Pagos'!$E445,15,9999)</f>
        <v>15</v>
      </c>
      <c r="AJ445" s="0" t="n">
        <f aca="false">IF(Presupuesto!$B$16='Flujo de Pagos'!$E445,16,9999)</f>
        <v>16</v>
      </c>
      <c r="AK445" s="0" t="n">
        <f aca="false">IF(Presupuesto!$B$17='Flujo de Pagos'!$E445,17,9999)</f>
        <v>17</v>
      </c>
      <c r="AL445" s="0" t="n">
        <f aca="false">IF(Presupuesto!$B$18='Flujo de Pagos'!$E445,18,9999)</f>
        <v>18</v>
      </c>
      <c r="AM445" s="0" t="n">
        <f aca="false">IF(Presupuesto!$B$19='Flujo de Pagos'!$E445,19,9999)</f>
        <v>19</v>
      </c>
      <c r="AN445" s="0" t="n">
        <f aca="false">IF(Presupuesto!$B$20='Flujo de Pagos'!$E445,20,9999)</f>
        <v>20</v>
      </c>
      <c r="AO445" s="0" t="n">
        <f aca="false">IF(Presupuesto!$B$21='Flujo de Pagos'!$E445,21,9999)</f>
        <v>21</v>
      </c>
      <c r="AP445" s="0" t="n">
        <f aca="false">IF(Presupuesto!$B$22='Flujo de Pagos'!$E445,22,9999)</f>
        <v>22</v>
      </c>
      <c r="AQ445" s="0" t="n">
        <f aca="false">IF(Presupuesto!$B$23='Flujo de Pagos'!$E445,23,9999)</f>
        <v>23</v>
      </c>
      <c r="AR445" s="0" t="n">
        <f aca="false">IF(Presupuesto!$B$24='Flujo de Pagos'!$E445,24,9999)</f>
        <v>24</v>
      </c>
      <c r="AS445" s="0" t="n">
        <f aca="false">IF(Presupuesto!$B$25='Flujo de Pagos'!$E445,25,9999)</f>
        <v>25</v>
      </c>
      <c r="AT445" s="0" t="n">
        <f aca="false">IF(Presupuesto!$B$26='Flujo de Pagos'!$E445,26,9999)</f>
        <v>26</v>
      </c>
      <c r="AU445" s="0" t="n">
        <f aca="false">IF(Presupuesto!$B$27='Flujo de Pagos'!$E445,27,9999)</f>
        <v>27</v>
      </c>
      <c r="AV445" s="0" t="n">
        <f aca="false">IF(Presupuesto!$B$28='Flujo de Pagos'!$E445,28,9999)</f>
        <v>28</v>
      </c>
      <c r="AW445" s="0" t="n">
        <f aca="false">IF(Presupuesto!$B$29='Flujo de Pagos'!$E445,29,9999)</f>
        <v>29</v>
      </c>
      <c r="AX445" s="0" t="n">
        <f aca="false">IF(Presupuesto!$B$30='Flujo de Pagos'!$E445,30,9999)</f>
        <v>30</v>
      </c>
      <c r="AY445" s="0" t="n">
        <f aca="false">IF(Presupuesto!$B$31='Flujo de Pagos'!$E445,31,9999)</f>
        <v>31</v>
      </c>
      <c r="AZ445" s="0" t="n">
        <f aca="false">IF(Presupuesto!$B$32='Flujo de Pagos'!$E445,32,9999)</f>
        <v>32</v>
      </c>
      <c r="BA445" s="0" t="n">
        <f aca="false">IF(Presupuesto!$B$33='Flujo de Pagos'!$E445,33,9999)</f>
        <v>33</v>
      </c>
      <c r="BB445" s="0" t="n">
        <f aca="false">IF(Presupuesto!$B$34='Flujo de Pagos'!$E445,34,9999)</f>
        <v>34</v>
      </c>
      <c r="BC445" s="0" t="n">
        <f aca="false">IF(Presupuesto!$B$35='Flujo de Pagos'!$E445,35,9999)</f>
        <v>35</v>
      </c>
      <c r="BD445" s="0" t="n">
        <f aca="false">IF(Presupuesto!$B$36='Flujo de Pagos'!$E445,36,9999)</f>
        <v>36</v>
      </c>
      <c r="BE445" s="0" t="n">
        <f aca="false">IF(Presupuesto!$B$37='Flujo de Pagos'!$E445,37,9999)</f>
        <v>37</v>
      </c>
      <c r="BF445" s="0" t="n">
        <f aca="false">IF(Presupuesto!$B$38='Flujo de Pagos'!$E445,38,9999)</f>
        <v>38</v>
      </c>
      <c r="BG445" s="0" t="n">
        <f aca="false">IF(Presupuesto!$B$39='Flujo de Pagos'!$E445,39,9999)</f>
        <v>39</v>
      </c>
      <c r="BH445" s="0" t="n">
        <f aca="false">IF(Presupuesto!$B$40='Flujo de Pagos'!$E445,40,9999)</f>
        <v>40</v>
      </c>
      <c r="BI445" s="0" t="n">
        <f aca="false">IF(Presupuesto!$B$41='Flujo de Pagos'!$E445,41,9999)</f>
        <v>41</v>
      </c>
      <c r="BJ445" s="0" t="n">
        <f aca="false">IF(Presupuesto!$B$42='Flujo de Pagos'!$E445,42,9999)</f>
        <v>42</v>
      </c>
      <c r="BK445" s="0" t="n">
        <f aca="false">IF(Presupuesto!$B$43='Flujo de Pagos'!$E445,43,9999)</f>
        <v>43</v>
      </c>
      <c r="BL445" s="0" t="n">
        <f aca="false">IF(Presupuesto!$B$44='Flujo de Pagos'!$E445,44,9999)</f>
        <v>44</v>
      </c>
      <c r="BM445" s="0" t="n">
        <f aca="false">IF(Presupuesto!$B$45='Flujo de Pagos'!$E445,45,9999)</f>
        <v>45</v>
      </c>
      <c r="BN445" s="0" t="n">
        <f aca="false">IF(Presupuesto!$B$46='Flujo de Pagos'!$E445,46,9999)</f>
        <v>46</v>
      </c>
      <c r="BO445" s="0" t="n">
        <f aca="false">IF(Presupuesto!$B$47='Flujo de Pagos'!$E445,47,9999)</f>
        <v>47</v>
      </c>
      <c r="BP445" s="0" t="n">
        <f aca="false">IF(Presupuesto!$B$48='Flujo de Pagos'!$E445,48,9999)</f>
        <v>48</v>
      </c>
      <c r="BQ445" s="0" t="n">
        <f aca="false">IF(Presupuesto!$B$49='Flujo de Pagos'!$E445,49,9999)</f>
        <v>49</v>
      </c>
      <c r="BR445" s="0" t="n">
        <f aca="false">IF(Presupuesto!$B$50='Flujo de Pagos'!$E445,50,9999)</f>
        <v>50</v>
      </c>
      <c r="BS445" s="0" t="n">
        <f aca="false">IF(Presupuesto!$B$51='Flujo de Pagos'!$E445,51,9999)</f>
        <v>51</v>
      </c>
      <c r="BT445" s="0" t="n">
        <f aca="false">IF(Presupuesto!$B$52='Flujo de Pagos'!$E445,52,9999)</f>
        <v>52</v>
      </c>
      <c r="BU445" s="0" t="n">
        <f aca="false">IF(Presupuesto!$B$53='Flujo de Pagos'!$E445,53,9999)</f>
        <v>53</v>
      </c>
      <c r="BV445" s="0" t="n">
        <f aca="false">IF(Presupuesto!$B$54='Flujo de Pagos'!$E445,54,9999)</f>
        <v>54</v>
      </c>
      <c r="BW445" s="0" t="n">
        <f aca="false">IF(Presupuesto!$B$55='Flujo de Pagos'!$E445,55,9999)</f>
        <v>55</v>
      </c>
      <c r="BX445" s="0" t="n">
        <f aca="false">IF(Presupuesto!$B$56='Flujo de Pagos'!$E445,56,9999)</f>
        <v>56</v>
      </c>
      <c r="BY445" s="0" t="n">
        <f aca="false">IF(Presupuesto!$B$57='Flujo de Pagos'!$E445,57,9999)</f>
        <v>57</v>
      </c>
      <c r="BZ445" s="0" t="n">
        <f aca="false">IF(Presupuesto!$B$58='Flujo de Pagos'!$E445,58,9999)</f>
        <v>58</v>
      </c>
      <c r="CA445" s="0" t="n">
        <f aca="false">IF(Presupuesto!$B$59='Flujo de Pagos'!$E445,59,9999)</f>
        <v>59</v>
      </c>
      <c r="CB445" s="0" t="n">
        <f aca="false">IF(Presupuesto!$B$60='Flujo de Pagos'!$E445,60,9999)</f>
        <v>60</v>
      </c>
      <c r="CC445" s="0" t="n">
        <f aca="false">IF(Presupuesto!$B$61='Flujo de Pagos'!$E445,61,9999)</f>
        <v>61</v>
      </c>
      <c r="CD445" s="0" t="n">
        <f aca="false">IF(Presupuesto!$B$62='Flujo de Pagos'!$E445,62,9999)</f>
        <v>62</v>
      </c>
      <c r="CE445" s="0" t="n">
        <f aca="false">IF(Presupuesto!$B$63='Flujo de Pagos'!$E445,63,9999)</f>
        <v>63</v>
      </c>
      <c r="CF445" s="0" t="n">
        <f aca="false">IF(Presupuesto!$B$64='Flujo de Pagos'!$E445,64,9999)</f>
        <v>64</v>
      </c>
      <c r="CG445" s="0" t="n">
        <f aca="false">IF(Presupuesto!$B$65='Flujo de Pagos'!$E445,65,9999)</f>
        <v>65</v>
      </c>
      <c r="CH445" s="0" t="n">
        <f aca="false">IF(Presupuesto!$B$66='Flujo de Pagos'!$E445,66,9999)</f>
        <v>66</v>
      </c>
    </row>
    <row r="446" customFormat="false" ht="15" hidden="false" customHeight="true" outlineLevel="0" collapsed="false">
      <c r="B446" s="1" t="n">
        <f aca="false">IF(AND('Flujo de Pagos'!E451=Carátula!$B$2,'Flujo de Pagos'!F451=Carátula!$B$4,'Flujo de Pagos'!H451&lt;&gt;""),451,99999)</f>
        <v>99999</v>
      </c>
      <c r="H446" s="1" t="n">
        <f aca="false">IF(SMALL($AA446:$CH446,1)&gt;=9999,"",INDEX(Presupuesto!$C:$C,SMALL($AA446:$CH446,1)))</f>
        <v>0</v>
      </c>
      <c r="I446" s="1" t="n">
        <f aca="false">IF(SMALL($AA446:$CH446,2)&gt;=9999,"",INDEX(Presupuesto!$C:$C,SMALL($AA446:$CH446,2)))</f>
        <v>0</v>
      </c>
      <c r="J446" s="1" t="n">
        <f aca="false">IF(SMALL($AA446:$CH446,3)&gt;=9999,"",INDEX(Presupuesto!$C:$C,SMALL($AA446:$CH446,3)))</f>
        <v>0</v>
      </c>
      <c r="K446" s="1" t="n">
        <f aca="false">IF(SMALL($AA446:$CH446,4)&gt;=9999,"",INDEX(Presupuesto!$C:$C,SMALL($AA446:$CH446,4)))</f>
        <v>0</v>
      </c>
      <c r="L446" s="1" t="n">
        <f aca="false">IF(SMALL($AA446:$CH446,5)&gt;=9999,"",INDEX(Presupuesto!$C:$C,SMALL($AA446:$CH446,5)))</f>
        <v>0</v>
      </c>
      <c r="M446" s="1" t="n">
        <f aca="false">IF(SMALL($AA446:$CH446,6)&gt;=9999,"",INDEX(Presupuesto!$C:$C,SMALL($AA446:$CH446,6)))</f>
        <v>0</v>
      </c>
      <c r="N446" s="1" t="n">
        <f aca="false">IF(SMALL($AA446:$CH446,7)&gt;=9999,"",INDEX(Presupuesto!$C:$C,SMALL($AA446:$CH446,7)))</f>
        <v>0</v>
      </c>
      <c r="O446" s="1" t="n">
        <f aca="false">IF(SMALL($AA446:$CH446,8)&gt;=9999,"",INDEX(Presupuesto!$C:$C,SMALL($AA446:$CH446,8)))</f>
        <v>0</v>
      </c>
      <c r="P446" s="1" t="n">
        <f aca="false">IF(SMALL($AA446:$CH446,9)&gt;=9999,"",INDEX(Presupuesto!$C:$C,SMALL($AA446:$CH446,9)))</f>
        <v>0</v>
      </c>
      <c r="Q446" s="1" t="n">
        <f aca="false">IF(SMALL($AA446:$CH446,10)&gt;=9999,"",INDEX(Presupuesto!$C:$C,SMALL($AA446:$CH446,10)))</f>
        <v>0</v>
      </c>
      <c r="AA446" s="0" t="n">
        <f aca="false">IF(Presupuesto!$B$7='Flujo de Pagos'!$E446,7,9999)</f>
        <v>9999</v>
      </c>
      <c r="AB446" s="0" t="n">
        <f aca="false">IF(Presupuesto!$B$8='Flujo de Pagos'!$E446,8,9999)</f>
        <v>9999</v>
      </c>
      <c r="AC446" s="0" t="n">
        <f aca="false">IF(Presupuesto!$B$9='Flujo de Pagos'!$E446,9,9999)</f>
        <v>9999</v>
      </c>
      <c r="AD446" s="0" t="n">
        <f aca="false">IF(Presupuesto!$B$10='Flujo de Pagos'!$E446,10,9999)</f>
        <v>9999</v>
      </c>
      <c r="AE446" s="0" t="n">
        <f aca="false">IF(Presupuesto!$B$11='Flujo de Pagos'!$E446,11,9999)</f>
        <v>9999</v>
      </c>
      <c r="AF446" s="0" t="n">
        <f aca="false">IF(Presupuesto!$B$12='Flujo de Pagos'!$E446,12,9999)</f>
        <v>12</v>
      </c>
      <c r="AG446" s="0" t="n">
        <f aca="false">IF(Presupuesto!$B$13='Flujo de Pagos'!$E446,13,9999)</f>
        <v>13</v>
      </c>
      <c r="AH446" s="0" t="n">
        <f aca="false">IF(Presupuesto!$B$14='Flujo de Pagos'!$E446,14,9999)</f>
        <v>14</v>
      </c>
      <c r="AI446" s="0" t="n">
        <f aca="false">IF(Presupuesto!$B$15='Flujo de Pagos'!$E446,15,9999)</f>
        <v>15</v>
      </c>
      <c r="AJ446" s="0" t="n">
        <f aca="false">IF(Presupuesto!$B$16='Flujo de Pagos'!$E446,16,9999)</f>
        <v>16</v>
      </c>
      <c r="AK446" s="0" t="n">
        <f aca="false">IF(Presupuesto!$B$17='Flujo de Pagos'!$E446,17,9999)</f>
        <v>17</v>
      </c>
      <c r="AL446" s="0" t="n">
        <f aca="false">IF(Presupuesto!$B$18='Flujo de Pagos'!$E446,18,9999)</f>
        <v>18</v>
      </c>
      <c r="AM446" s="0" t="n">
        <f aca="false">IF(Presupuesto!$B$19='Flujo de Pagos'!$E446,19,9999)</f>
        <v>19</v>
      </c>
      <c r="AN446" s="0" t="n">
        <f aca="false">IF(Presupuesto!$B$20='Flujo de Pagos'!$E446,20,9999)</f>
        <v>20</v>
      </c>
      <c r="AO446" s="0" t="n">
        <f aca="false">IF(Presupuesto!$B$21='Flujo de Pagos'!$E446,21,9999)</f>
        <v>21</v>
      </c>
      <c r="AP446" s="0" t="n">
        <f aca="false">IF(Presupuesto!$B$22='Flujo de Pagos'!$E446,22,9999)</f>
        <v>22</v>
      </c>
      <c r="AQ446" s="0" t="n">
        <f aca="false">IF(Presupuesto!$B$23='Flujo de Pagos'!$E446,23,9999)</f>
        <v>23</v>
      </c>
      <c r="AR446" s="0" t="n">
        <f aca="false">IF(Presupuesto!$B$24='Flujo de Pagos'!$E446,24,9999)</f>
        <v>24</v>
      </c>
      <c r="AS446" s="0" t="n">
        <f aca="false">IF(Presupuesto!$B$25='Flujo de Pagos'!$E446,25,9999)</f>
        <v>25</v>
      </c>
      <c r="AT446" s="0" t="n">
        <f aca="false">IF(Presupuesto!$B$26='Flujo de Pagos'!$E446,26,9999)</f>
        <v>26</v>
      </c>
      <c r="AU446" s="0" t="n">
        <f aca="false">IF(Presupuesto!$B$27='Flujo de Pagos'!$E446,27,9999)</f>
        <v>27</v>
      </c>
      <c r="AV446" s="0" t="n">
        <f aca="false">IF(Presupuesto!$B$28='Flujo de Pagos'!$E446,28,9999)</f>
        <v>28</v>
      </c>
      <c r="AW446" s="0" t="n">
        <f aca="false">IF(Presupuesto!$B$29='Flujo de Pagos'!$E446,29,9999)</f>
        <v>29</v>
      </c>
      <c r="AX446" s="0" t="n">
        <f aca="false">IF(Presupuesto!$B$30='Flujo de Pagos'!$E446,30,9999)</f>
        <v>30</v>
      </c>
      <c r="AY446" s="0" t="n">
        <f aca="false">IF(Presupuesto!$B$31='Flujo de Pagos'!$E446,31,9999)</f>
        <v>31</v>
      </c>
      <c r="AZ446" s="0" t="n">
        <f aca="false">IF(Presupuesto!$B$32='Flujo de Pagos'!$E446,32,9999)</f>
        <v>32</v>
      </c>
      <c r="BA446" s="0" t="n">
        <f aca="false">IF(Presupuesto!$B$33='Flujo de Pagos'!$E446,33,9999)</f>
        <v>33</v>
      </c>
      <c r="BB446" s="0" t="n">
        <f aca="false">IF(Presupuesto!$B$34='Flujo de Pagos'!$E446,34,9999)</f>
        <v>34</v>
      </c>
      <c r="BC446" s="0" t="n">
        <f aca="false">IF(Presupuesto!$B$35='Flujo de Pagos'!$E446,35,9999)</f>
        <v>35</v>
      </c>
      <c r="BD446" s="0" t="n">
        <f aca="false">IF(Presupuesto!$B$36='Flujo de Pagos'!$E446,36,9999)</f>
        <v>36</v>
      </c>
      <c r="BE446" s="0" t="n">
        <f aca="false">IF(Presupuesto!$B$37='Flujo de Pagos'!$E446,37,9999)</f>
        <v>37</v>
      </c>
      <c r="BF446" s="0" t="n">
        <f aca="false">IF(Presupuesto!$B$38='Flujo de Pagos'!$E446,38,9999)</f>
        <v>38</v>
      </c>
      <c r="BG446" s="0" t="n">
        <f aca="false">IF(Presupuesto!$B$39='Flujo de Pagos'!$E446,39,9999)</f>
        <v>39</v>
      </c>
      <c r="BH446" s="0" t="n">
        <f aca="false">IF(Presupuesto!$B$40='Flujo de Pagos'!$E446,40,9999)</f>
        <v>40</v>
      </c>
      <c r="BI446" s="0" t="n">
        <f aca="false">IF(Presupuesto!$B$41='Flujo de Pagos'!$E446,41,9999)</f>
        <v>41</v>
      </c>
      <c r="BJ446" s="0" t="n">
        <f aca="false">IF(Presupuesto!$B$42='Flujo de Pagos'!$E446,42,9999)</f>
        <v>42</v>
      </c>
      <c r="BK446" s="0" t="n">
        <f aca="false">IF(Presupuesto!$B$43='Flujo de Pagos'!$E446,43,9999)</f>
        <v>43</v>
      </c>
      <c r="BL446" s="0" t="n">
        <f aca="false">IF(Presupuesto!$B$44='Flujo de Pagos'!$E446,44,9999)</f>
        <v>44</v>
      </c>
      <c r="BM446" s="0" t="n">
        <f aca="false">IF(Presupuesto!$B$45='Flujo de Pagos'!$E446,45,9999)</f>
        <v>45</v>
      </c>
      <c r="BN446" s="0" t="n">
        <f aca="false">IF(Presupuesto!$B$46='Flujo de Pagos'!$E446,46,9999)</f>
        <v>46</v>
      </c>
      <c r="BO446" s="0" t="n">
        <f aca="false">IF(Presupuesto!$B$47='Flujo de Pagos'!$E446,47,9999)</f>
        <v>47</v>
      </c>
      <c r="BP446" s="0" t="n">
        <f aca="false">IF(Presupuesto!$B$48='Flujo de Pagos'!$E446,48,9999)</f>
        <v>48</v>
      </c>
      <c r="BQ446" s="0" t="n">
        <f aca="false">IF(Presupuesto!$B$49='Flujo de Pagos'!$E446,49,9999)</f>
        <v>49</v>
      </c>
      <c r="BR446" s="0" t="n">
        <f aca="false">IF(Presupuesto!$B$50='Flujo de Pagos'!$E446,50,9999)</f>
        <v>50</v>
      </c>
      <c r="BS446" s="0" t="n">
        <f aca="false">IF(Presupuesto!$B$51='Flujo de Pagos'!$E446,51,9999)</f>
        <v>51</v>
      </c>
      <c r="BT446" s="0" t="n">
        <f aca="false">IF(Presupuesto!$B$52='Flujo de Pagos'!$E446,52,9999)</f>
        <v>52</v>
      </c>
      <c r="BU446" s="0" t="n">
        <f aca="false">IF(Presupuesto!$B$53='Flujo de Pagos'!$E446,53,9999)</f>
        <v>53</v>
      </c>
      <c r="BV446" s="0" t="n">
        <f aca="false">IF(Presupuesto!$B$54='Flujo de Pagos'!$E446,54,9999)</f>
        <v>54</v>
      </c>
      <c r="BW446" s="0" t="n">
        <f aca="false">IF(Presupuesto!$B$55='Flujo de Pagos'!$E446,55,9999)</f>
        <v>55</v>
      </c>
      <c r="BX446" s="0" t="n">
        <f aca="false">IF(Presupuesto!$B$56='Flujo de Pagos'!$E446,56,9999)</f>
        <v>56</v>
      </c>
      <c r="BY446" s="0" t="n">
        <f aca="false">IF(Presupuesto!$B$57='Flujo de Pagos'!$E446,57,9999)</f>
        <v>57</v>
      </c>
      <c r="BZ446" s="0" t="n">
        <f aca="false">IF(Presupuesto!$B$58='Flujo de Pagos'!$E446,58,9999)</f>
        <v>58</v>
      </c>
      <c r="CA446" s="0" t="n">
        <f aca="false">IF(Presupuesto!$B$59='Flujo de Pagos'!$E446,59,9999)</f>
        <v>59</v>
      </c>
      <c r="CB446" s="0" t="n">
        <f aca="false">IF(Presupuesto!$B$60='Flujo de Pagos'!$E446,60,9999)</f>
        <v>60</v>
      </c>
      <c r="CC446" s="0" t="n">
        <f aca="false">IF(Presupuesto!$B$61='Flujo de Pagos'!$E446,61,9999)</f>
        <v>61</v>
      </c>
      <c r="CD446" s="0" t="n">
        <f aca="false">IF(Presupuesto!$B$62='Flujo de Pagos'!$E446,62,9999)</f>
        <v>62</v>
      </c>
      <c r="CE446" s="0" t="n">
        <f aca="false">IF(Presupuesto!$B$63='Flujo de Pagos'!$E446,63,9999)</f>
        <v>63</v>
      </c>
      <c r="CF446" s="0" t="n">
        <f aca="false">IF(Presupuesto!$B$64='Flujo de Pagos'!$E446,64,9999)</f>
        <v>64</v>
      </c>
      <c r="CG446" s="0" t="n">
        <f aca="false">IF(Presupuesto!$B$65='Flujo de Pagos'!$E446,65,9999)</f>
        <v>65</v>
      </c>
      <c r="CH446" s="0" t="n">
        <f aca="false">IF(Presupuesto!$B$66='Flujo de Pagos'!$E446,66,9999)</f>
        <v>66</v>
      </c>
    </row>
    <row r="447" customFormat="false" ht="15" hidden="false" customHeight="true" outlineLevel="0" collapsed="false">
      <c r="B447" s="1" t="n">
        <f aca="false">IF(AND('Flujo de Pagos'!E452=Carátula!$B$2,'Flujo de Pagos'!F452=Carátula!$B$4,'Flujo de Pagos'!H452&lt;&gt;""),452,99999)</f>
        <v>99999</v>
      </c>
      <c r="H447" s="1" t="n">
        <f aca="false">IF(SMALL($AA447:$CH447,1)&gt;=9999,"",INDEX(Presupuesto!$C:$C,SMALL($AA447:$CH447,1)))</f>
        <v>0</v>
      </c>
      <c r="I447" s="1" t="n">
        <f aca="false">IF(SMALL($AA447:$CH447,2)&gt;=9999,"",INDEX(Presupuesto!$C:$C,SMALL($AA447:$CH447,2)))</f>
        <v>0</v>
      </c>
      <c r="J447" s="1" t="n">
        <f aca="false">IF(SMALL($AA447:$CH447,3)&gt;=9999,"",INDEX(Presupuesto!$C:$C,SMALL($AA447:$CH447,3)))</f>
        <v>0</v>
      </c>
      <c r="K447" s="1" t="n">
        <f aca="false">IF(SMALL($AA447:$CH447,4)&gt;=9999,"",INDEX(Presupuesto!$C:$C,SMALL($AA447:$CH447,4)))</f>
        <v>0</v>
      </c>
      <c r="L447" s="1" t="n">
        <f aca="false">IF(SMALL($AA447:$CH447,5)&gt;=9999,"",INDEX(Presupuesto!$C:$C,SMALL($AA447:$CH447,5)))</f>
        <v>0</v>
      </c>
      <c r="M447" s="1" t="n">
        <f aca="false">IF(SMALL($AA447:$CH447,6)&gt;=9999,"",INDEX(Presupuesto!$C:$C,SMALL($AA447:$CH447,6)))</f>
        <v>0</v>
      </c>
      <c r="N447" s="1" t="n">
        <f aca="false">IF(SMALL($AA447:$CH447,7)&gt;=9999,"",INDEX(Presupuesto!$C:$C,SMALL($AA447:$CH447,7)))</f>
        <v>0</v>
      </c>
      <c r="O447" s="1" t="n">
        <f aca="false">IF(SMALL($AA447:$CH447,8)&gt;=9999,"",INDEX(Presupuesto!$C:$C,SMALL($AA447:$CH447,8)))</f>
        <v>0</v>
      </c>
      <c r="P447" s="1" t="n">
        <f aca="false">IF(SMALL($AA447:$CH447,9)&gt;=9999,"",INDEX(Presupuesto!$C:$C,SMALL($AA447:$CH447,9)))</f>
        <v>0</v>
      </c>
      <c r="Q447" s="1" t="n">
        <f aca="false">IF(SMALL($AA447:$CH447,10)&gt;=9999,"",INDEX(Presupuesto!$C:$C,SMALL($AA447:$CH447,10)))</f>
        <v>0</v>
      </c>
      <c r="AA447" s="0" t="n">
        <f aca="false">IF(Presupuesto!$B$7='Flujo de Pagos'!$E447,7,9999)</f>
        <v>9999</v>
      </c>
      <c r="AB447" s="0" t="n">
        <f aca="false">IF(Presupuesto!$B$8='Flujo de Pagos'!$E447,8,9999)</f>
        <v>9999</v>
      </c>
      <c r="AC447" s="0" t="n">
        <f aca="false">IF(Presupuesto!$B$9='Flujo de Pagos'!$E447,9,9999)</f>
        <v>9999</v>
      </c>
      <c r="AD447" s="0" t="n">
        <f aca="false">IF(Presupuesto!$B$10='Flujo de Pagos'!$E447,10,9999)</f>
        <v>9999</v>
      </c>
      <c r="AE447" s="0" t="n">
        <f aca="false">IF(Presupuesto!$B$11='Flujo de Pagos'!$E447,11,9999)</f>
        <v>9999</v>
      </c>
      <c r="AF447" s="0" t="n">
        <f aca="false">IF(Presupuesto!$B$12='Flujo de Pagos'!$E447,12,9999)</f>
        <v>12</v>
      </c>
      <c r="AG447" s="0" t="n">
        <f aca="false">IF(Presupuesto!$B$13='Flujo de Pagos'!$E447,13,9999)</f>
        <v>13</v>
      </c>
      <c r="AH447" s="0" t="n">
        <f aca="false">IF(Presupuesto!$B$14='Flujo de Pagos'!$E447,14,9999)</f>
        <v>14</v>
      </c>
      <c r="AI447" s="0" t="n">
        <f aca="false">IF(Presupuesto!$B$15='Flujo de Pagos'!$E447,15,9999)</f>
        <v>15</v>
      </c>
      <c r="AJ447" s="0" t="n">
        <f aca="false">IF(Presupuesto!$B$16='Flujo de Pagos'!$E447,16,9999)</f>
        <v>16</v>
      </c>
      <c r="AK447" s="0" t="n">
        <f aca="false">IF(Presupuesto!$B$17='Flujo de Pagos'!$E447,17,9999)</f>
        <v>17</v>
      </c>
      <c r="AL447" s="0" t="n">
        <f aca="false">IF(Presupuesto!$B$18='Flujo de Pagos'!$E447,18,9999)</f>
        <v>18</v>
      </c>
      <c r="AM447" s="0" t="n">
        <f aca="false">IF(Presupuesto!$B$19='Flujo de Pagos'!$E447,19,9999)</f>
        <v>19</v>
      </c>
      <c r="AN447" s="0" t="n">
        <f aca="false">IF(Presupuesto!$B$20='Flujo de Pagos'!$E447,20,9999)</f>
        <v>20</v>
      </c>
      <c r="AO447" s="0" t="n">
        <f aca="false">IF(Presupuesto!$B$21='Flujo de Pagos'!$E447,21,9999)</f>
        <v>21</v>
      </c>
      <c r="AP447" s="0" t="n">
        <f aca="false">IF(Presupuesto!$B$22='Flujo de Pagos'!$E447,22,9999)</f>
        <v>22</v>
      </c>
      <c r="AQ447" s="0" t="n">
        <f aca="false">IF(Presupuesto!$B$23='Flujo de Pagos'!$E447,23,9999)</f>
        <v>23</v>
      </c>
      <c r="AR447" s="0" t="n">
        <f aca="false">IF(Presupuesto!$B$24='Flujo de Pagos'!$E447,24,9999)</f>
        <v>24</v>
      </c>
      <c r="AS447" s="0" t="n">
        <f aca="false">IF(Presupuesto!$B$25='Flujo de Pagos'!$E447,25,9999)</f>
        <v>25</v>
      </c>
      <c r="AT447" s="0" t="n">
        <f aca="false">IF(Presupuesto!$B$26='Flujo de Pagos'!$E447,26,9999)</f>
        <v>26</v>
      </c>
      <c r="AU447" s="0" t="n">
        <f aca="false">IF(Presupuesto!$B$27='Flujo de Pagos'!$E447,27,9999)</f>
        <v>27</v>
      </c>
      <c r="AV447" s="0" t="n">
        <f aca="false">IF(Presupuesto!$B$28='Flujo de Pagos'!$E447,28,9999)</f>
        <v>28</v>
      </c>
      <c r="AW447" s="0" t="n">
        <f aca="false">IF(Presupuesto!$B$29='Flujo de Pagos'!$E447,29,9999)</f>
        <v>29</v>
      </c>
      <c r="AX447" s="0" t="n">
        <f aca="false">IF(Presupuesto!$B$30='Flujo de Pagos'!$E447,30,9999)</f>
        <v>30</v>
      </c>
      <c r="AY447" s="0" t="n">
        <f aca="false">IF(Presupuesto!$B$31='Flujo de Pagos'!$E447,31,9999)</f>
        <v>31</v>
      </c>
      <c r="AZ447" s="0" t="n">
        <f aca="false">IF(Presupuesto!$B$32='Flujo de Pagos'!$E447,32,9999)</f>
        <v>32</v>
      </c>
      <c r="BA447" s="0" t="n">
        <f aca="false">IF(Presupuesto!$B$33='Flujo de Pagos'!$E447,33,9999)</f>
        <v>33</v>
      </c>
      <c r="BB447" s="0" t="n">
        <f aca="false">IF(Presupuesto!$B$34='Flujo de Pagos'!$E447,34,9999)</f>
        <v>34</v>
      </c>
      <c r="BC447" s="0" t="n">
        <f aca="false">IF(Presupuesto!$B$35='Flujo de Pagos'!$E447,35,9999)</f>
        <v>35</v>
      </c>
      <c r="BD447" s="0" t="n">
        <f aca="false">IF(Presupuesto!$B$36='Flujo de Pagos'!$E447,36,9999)</f>
        <v>36</v>
      </c>
      <c r="BE447" s="0" t="n">
        <f aca="false">IF(Presupuesto!$B$37='Flujo de Pagos'!$E447,37,9999)</f>
        <v>37</v>
      </c>
      <c r="BF447" s="0" t="n">
        <f aca="false">IF(Presupuesto!$B$38='Flujo de Pagos'!$E447,38,9999)</f>
        <v>38</v>
      </c>
      <c r="BG447" s="0" t="n">
        <f aca="false">IF(Presupuesto!$B$39='Flujo de Pagos'!$E447,39,9999)</f>
        <v>39</v>
      </c>
      <c r="BH447" s="0" t="n">
        <f aca="false">IF(Presupuesto!$B$40='Flujo de Pagos'!$E447,40,9999)</f>
        <v>40</v>
      </c>
      <c r="BI447" s="0" t="n">
        <f aca="false">IF(Presupuesto!$B$41='Flujo de Pagos'!$E447,41,9999)</f>
        <v>41</v>
      </c>
      <c r="BJ447" s="0" t="n">
        <f aca="false">IF(Presupuesto!$B$42='Flujo de Pagos'!$E447,42,9999)</f>
        <v>42</v>
      </c>
      <c r="BK447" s="0" t="n">
        <f aca="false">IF(Presupuesto!$B$43='Flujo de Pagos'!$E447,43,9999)</f>
        <v>43</v>
      </c>
      <c r="BL447" s="0" t="n">
        <f aca="false">IF(Presupuesto!$B$44='Flujo de Pagos'!$E447,44,9999)</f>
        <v>44</v>
      </c>
      <c r="BM447" s="0" t="n">
        <f aca="false">IF(Presupuesto!$B$45='Flujo de Pagos'!$E447,45,9999)</f>
        <v>45</v>
      </c>
      <c r="BN447" s="0" t="n">
        <f aca="false">IF(Presupuesto!$B$46='Flujo de Pagos'!$E447,46,9999)</f>
        <v>46</v>
      </c>
      <c r="BO447" s="0" t="n">
        <f aca="false">IF(Presupuesto!$B$47='Flujo de Pagos'!$E447,47,9999)</f>
        <v>47</v>
      </c>
      <c r="BP447" s="0" t="n">
        <f aca="false">IF(Presupuesto!$B$48='Flujo de Pagos'!$E447,48,9999)</f>
        <v>48</v>
      </c>
      <c r="BQ447" s="0" t="n">
        <f aca="false">IF(Presupuesto!$B$49='Flujo de Pagos'!$E447,49,9999)</f>
        <v>49</v>
      </c>
      <c r="BR447" s="0" t="n">
        <f aca="false">IF(Presupuesto!$B$50='Flujo de Pagos'!$E447,50,9999)</f>
        <v>50</v>
      </c>
      <c r="BS447" s="0" t="n">
        <f aca="false">IF(Presupuesto!$B$51='Flujo de Pagos'!$E447,51,9999)</f>
        <v>51</v>
      </c>
      <c r="BT447" s="0" t="n">
        <f aca="false">IF(Presupuesto!$B$52='Flujo de Pagos'!$E447,52,9999)</f>
        <v>52</v>
      </c>
      <c r="BU447" s="0" t="n">
        <f aca="false">IF(Presupuesto!$B$53='Flujo de Pagos'!$E447,53,9999)</f>
        <v>53</v>
      </c>
      <c r="BV447" s="0" t="n">
        <f aca="false">IF(Presupuesto!$B$54='Flujo de Pagos'!$E447,54,9999)</f>
        <v>54</v>
      </c>
      <c r="BW447" s="0" t="n">
        <f aca="false">IF(Presupuesto!$B$55='Flujo de Pagos'!$E447,55,9999)</f>
        <v>55</v>
      </c>
      <c r="BX447" s="0" t="n">
        <f aca="false">IF(Presupuesto!$B$56='Flujo de Pagos'!$E447,56,9999)</f>
        <v>56</v>
      </c>
      <c r="BY447" s="0" t="n">
        <f aca="false">IF(Presupuesto!$B$57='Flujo de Pagos'!$E447,57,9999)</f>
        <v>57</v>
      </c>
      <c r="BZ447" s="0" t="n">
        <f aca="false">IF(Presupuesto!$B$58='Flujo de Pagos'!$E447,58,9999)</f>
        <v>58</v>
      </c>
      <c r="CA447" s="0" t="n">
        <f aca="false">IF(Presupuesto!$B$59='Flujo de Pagos'!$E447,59,9999)</f>
        <v>59</v>
      </c>
      <c r="CB447" s="0" t="n">
        <f aca="false">IF(Presupuesto!$B$60='Flujo de Pagos'!$E447,60,9999)</f>
        <v>60</v>
      </c>
      <c r="CC447" s="0" t="n">
        <f aca="false">IF(Presupuesto!$B$61='Flujo de Pagos'!$E447,61,9999)</f>
        <v>61</v>
      </c>
      <c r="CD447" s="0" t="n">
        <f aca="false">IF(Presupuesto!$B$62='Flujo de Pagos'!$E447,62,9999)</f>
        <v>62</v>
      </c>
      <c r="CE447" s="0" t="n">
        <f aca="false">IF(Presupuesto!$B$63='Flujo de Pagos'!$E447,63,9999)</f>
        <v>63</v>
      </c>
      <c r="CF447" s="0" t="n">
        <f aca="false">IF(Presupuesto!$B$64='Flujo de Pagos'!$E447,64,9999)</f>
        <v>64</v>
      </c>
      <c r="CG447" s="0" t="n">
        <f aca="false">IF(Presupuesto!$B$65='Flujo de Pagos'!$E447,65,9999)</f>
        <v>65</v>
      </c>
      <c r="CH447" s="0" t="n">
        <f aca="false">IF(Presupuesto!$B$66='Flujo de Pagos'!$E447,66,9999)</f>
        <v>66</v>
      </c>
    </row>
    <row r="448" customFormat="false" ht="15" hidden="false" customHeight="true" outlineLevel="0" collapsed="false">
      <c r="B448" s="1" t="n">
        <f aca="false">IF(AND('Flujo de Pagos'!E453=Carátula!$B$2,'Flujo de Pagos'!F453=Carátula!$B$4,'Flujo de Pagos'!H453&lt;&gt;""),453,99999)</f>
        <v>99999</v>
      </c>
      <c r="H448" s="1" t="n">
        <f aca="false">IF(SMALL($AA448:$CH448,1)&gt;=9999,"",INDEX(Presupuesto!$C:$C,SMALL($AA448:$CH448,1)))</f>
        <v>0</v>
      </c>
      <c r="I448" s="1" t="n">
        <f aca="false">IF(SMALL($AA448:$CH448,2)&gt;=9999,"",INDEX(Presupuesto!$C:$C,SMALL($AA448:$CH448,2)))</f>
        <v>0</v>
      </c>
      <c r="J448" s="1" t="n">
        <f aca="false">IF(SMALL($AA448:$CH448,3)&gt;=9999,"",INDEX(Presupuesto!$C:$C,SMALL($AA448:$CH448,3)))</f>
        <v>0</v>
      </c>
      <c r="K448" s="1" t="n">
        <f aca="false">IF(SMALL($AA448:$CH448,4)&gt;=9999,"",INDEX(Presupuesto!$C:$C,SMALL($AA448:$CH448,4)))</f>
        <v>0</v>
      </c>
      <c r="L448" s="1" t="n">
        <f aca="false">IF(SMALL($AA448:$CH448,5)&gt;=9999,"",INDEX(Presupuesto!$C:$C,SMALL($AA448:$CH448,5)))</f>
        <v>0</v>
      </c>
      <c r="M448" s="1" t="n">
        <f aca="false">IF(SMALL($AA448:$CH448,6)&gt;=9999,"",INDEX(Presupuesto!$C:$C,SMALL($AA448:$CH448,6)))</f>
        <v>0</v>
      </c>
      <c r="N448" s="1" t="n">
        <f aca="false">IF(SMALL($AA448:$CH448,7)&gt;=9999,"",INDEX(Presupuesto!$C:$C,SMALL($AA448:$CH448,7)))</f>
        <v>0</v>
      </c>
      <c r="O448" s="1" t="n">
        <f aca="false">IF(SMALL($AA448:$CH448,8)&gt;=9999,"",INDEX(Presupuesto!$C:$C,SMALL($AA448:$CH448,8)))</f>
        <v>0</v>
      </c>
      <c r="P448" s="1" t="n">
        <f aca="false">IF(SMALL($AA448:$CH448,9)&gt;=9999,"",INDEX(Presupuesto!$C:$C,SMALL($AA448:$CH448,9)))</f>
        <v>0</v>
      </c>
      <c r="Q448" s="1" t="n">
        <f aca="false">IF(SMALL($AA448:$CH448,10)&gt;=9999,"",INDEX(Presupuesto!$C:$C,SMALL($AA448:$CH448,10)))</f>
        <v>0</v>
      </c>
      <c r="AA448" s="0" t="n">
        <f aca="false">IF(Presupuesto!$B$7='Flujo de Pagos'!$E448,7,9999)</f>
        <v>9999</v>
      </c>
      <c r="AB448" s="0" t="n">
        <f aca="false">IF(Presupuesto!$B$8='Flujo de Pagos'!$E448,8,9999)</f>
        <v>9999</v>
      </c>
      <c r="AC448" s="0" t="n">
        <f aca="false">IF(Presupuesto!$B$9='Flujo de Pagos'!$E448,9,9999)</f>
        <v>9999</v>
      </c>
      <c r="AD448" s="0" t="n">
        <f aca="false">IF(Presupuesto!$B$10='Flujo de Pagos'!$E448,10,9999)</f>
        <v>9999</v>
      </c>
      <c r="AE448" s="0" t="n">
        <f aca="false">IF(Presupuesto!$B$11='Flujo de Pagos'!$E448,11,9999)</f>
        <v>9999</v>
      </c>
      <c r="AF448" s="0" t="n">
        <f aca="false">IF(Presupuesto!$B$12='Flujo de Pagos'!$E448,12,9999)</f>
        <v>12</v>
      </c>
      <c r="AG448" s="0" t="n">
        <f aca="false">IF(Presupuesto!$B$13='Flujo de Pagos'!$E448,13,9999)</f>
        <v>13</v>
      </c>
      <c r="AH448" s="0" t="n">
        <f aca="false">IF(Presupuesto!$B$14='Flujo de Pagos'!$E448,14,9999)</f>
        <v>14</v>
      </c>
      <c r="AI448" s="0" t="n">
        <f aca="false">IF(Presupuesto!$B$15='Flujo de Pagos'!$E448,15,9999)</f>
        <v>15</v>
      </c>
      <c r="AJ448" s="0" t="n">
        <f aca="false">IF(Presupuesto!$B$16='Flujo de Pagos'!$E448,16,9999)</f>
        <v>16</v>
      </c>
      <c r="AK448" s="0" t="n">
        <f aca="false">IF(Presupuesto!$B$17='Flujo de Pagos'!$E448,17,9999)</f>
        <v>17</v>
      </c>
      <c r="AL448" s="0" t="n">
        <f aca="false">IF(Presupuesto!$B$18='Flujo de Pagos'!$E448,18,9999)</f>
        <v>18</v>
      </c>
      <c r="AM448" s="0" t="n">
        <f aca="false">IF(Presupuesto!$B$19='Flujo de Pagos'!$E448,19,9999)</f>
        <v>19</v>
      </c>
      <c r="AN448" s="0" t="n">
        <f aca="false">IF(Presupuesto!$B$20='Flujo de Pagos'!$E448,20,9999)</f>
        <v>20</v>
      </c>
      <c r="AO448" s="0" t="n">
        <f aca="false">IF(Presupuesto!$B$21='Flujo de Pagos'!$E448,21,9999)</f>
        <v>21</v>
      </c>
      <c r="AP448" s="0" t="n">
        <f aca="false">IF(Presupuesto!$B$22='Flujo de Pagos'!$E448,22,9999)</f>
        <v>22</v>
      </c>
      <c r="AQ448" s="0" t="n">
        <f aca="false">IF(Presupuesto!$B$23='Flujo de Pagos'!$E448,23,9999)</f>
        <v>23</v>
      </c>
      <c r="AR448" s="0" t="n">
        <f aca="false">IF(Presupuesto!$B$24='Flujo de Pagos'!$E448,24,9999)</f>
        <v>24</v>
      </c>
      <c r="AS448" s="0" t="n">
        <f aca="false">IF(Presupuesto!$B$25='Flujo de Pagos'!$E448,25,9999)</f>
        <v>25</v>
      </c>
      <c r="AT448" s="0" t="n">
        <f aca="false">IF(Presupuesto!$B$26='Flujo de Pagos'!$E448,26,9999)</f>
        <v>26</v>
      </c>
      <c r="AU448" s="0" t="n">
        <f aca="false">IF(Presupuesto!$B$27='Flujo de Pagos'!$E448,27,9999)</f>
        <v>27</v>
      </c>
      <c r="AV448" s="0" t="n">
        <f aca="false">IF(Presupuesto!$B$28='Flujo de Pagos'!$E448,28,9999)</f>
        <v>28</v>
      </c>
      <c r="AW448" s="0" t="n">
        <f aca="false">IF(Presupuesto!$B$29='Flujo de Pagos'!$E448,29,9999)</f>
        <v>29</v>
      </c>
      <c r="AX448" s="0" t="n">
        <f aca="false">IF(Presupuesto!$B$30='Flujo de Pagos'!$E448,30,9999)</f>
        <v>30</v>
      </c>
      <c r="AY448" s="0" t="n">
        <f aca="false">IF(Presupuesto!$B$31='Flujo de Pagos'!$E448,31,9999)</f>
        <v>31</v>
      </c>
      <c r="AZ448" s="0" t="n">
        <f aca="false">IF(Presupuesto!$B$32='Flujo de Pagos'!$E448,32,9999)</f>
        <v>32</v>
      </c>
      <c r="BA448" s="0" t="n">
        <f aca="false">IF(Presupuesto!$B$33='Flujo de Pagos'!$E448,33,9999)</f>
        <v>33</v>
      </c>
      <c r="BB448" s="0" t="n">
        <f aca="false">IF(Presupuesto!$B$34='Flujo de Pagos'!$E448,34,9999)</f>
        <v>34</v>
      </c>
      <c r="BC448" s="0" t="n">
        <f aca="false">IF(Presupuesto!$B$35='Flujo de Pagos'!$E448,35,9999)</f>
        <v>35</v>
      </c>
      <c r="BD448" s="0" t="n">
        <f aca="false">IF(Presupuesto!$B$36='Flujo de Pagos'!$E448,36,9999)</f>
        <v>36</v>
      </c>
      <c r="BE448" s="0" t="n">
        <f aca="false">IF(Presupuesto!$B$37='Flujo de Pagos'!$E448,37,9999)</f>
        <v>37</v>
      </c>
      <c r="BF448" s="0" t="n">
        <f aca="false">IF(Presupuesto!$B$38='Flujo de Pagos'!$E448,38,9999)</f>
        <v>38</v>
      </c>
      <c r="BG448" s="0" t="n">
        <f aca="false">IF(Presupuesto!$B$39='Flujo de Pagos'!$E448,39,9999)</f>
        <v>39</v>
      </c>
      <c r="BH448" s="0" t="n">
        <f aca="false">IF(Presupuesto!$B$40='Flujo de Pagos'!$E448,40,9999)</f>
        <v>40</v>
      </c>
      <c r="BI448" s="0" t="n">
        <f aca="false">IF(Presupuesto!$B$41='Flujo de Pagos'!$E448,41,9999)</f>
        <v>41</v>
      </c>
      <c r="BJ448" s="0" t="n">
        <f aca="false">IF(Presupuesto!$B$42='Flujo de Pagos'!$E448,42,9999)</f>
        <v>42</v>
      </c>
      <c r="BK448" s="0" t="n">
        <f aca="false">IF(Presupuesto!$B$43='Flujo de Pagos'!$E448,43,9999)</f>
        <v>43</v>
      </c>
      <c r="BL448" s="0" t="n">
        <f aca="false">IF(Presupuesto!$B$44='Flujo de Pagos'!$E448,44,9999)</f>
        <v>44</v>
      </c>
      <c r="BM448" s="0" t="n">
        <f aca="false">IF(Presupuesto!$B$45='Flujo de Pagos'!$E448,45,9999)</f>
        <v>45</v>
      </c>
      <c r="BN448" s="0" t="n">
        <f aca="false">IF(Presupuesto!$B$46='Flujo de Pagos'!$E448,46,9999)</f>
        <v>46</v>
      </c>
      <c r="BO448" s="0" t="n">
        <f aca="false">IF(Presupuesto!$B$47='Flujo de Pagos'!$E448,47,9999)</f>
        <v>47</v>
      </c>
      <c r="BP448" s="0" t="n">
        <f aca="false">IF(Presupuesto!$B$48='Flujo de Pagos'!$E448,48,9999)</f>
        <v>48</v>
      </c>
      <c r="BQ448" s="0" t="n">
        <f aca="false">IF(Presupuesto!$B$49='Flujo de Pagos'!$E448,49,9999)</f>
        <v>49</v>
      </c>
      <c r="BR448" s="0" t="n">
        <f aca="false">IF(Presupuesto!$B$50='Flujo de Pagos'!$E448,50,9999)</f>
        <v>50</v>
      </c>
      <c r="BS448" s="0" t="n">
        <f aca="false">IF(Presupuesto!$B$51='Flujo de Pagos'!$E448,51,9999)</f>
        <v>51</v>
      </c>
      <c r="BT448" s="0" t="n">
        <f aca="false">IF(Presupuesto!$B$52='Flujo de Pagos'!$E448,52,9999)</f>
        <v>52</v>
      </c>
      <c r="BU448" s="0" t="n">
        <f aca="false">IF(Presupuesto!$B$53='Flujo de Pagos'!$E448,53,9999)</f>
        <v>53</v>
      </c>
      <c r="BV448" s="0" t="n">
        <f aca="false">IF(Presupuesto!$B$54='Flujo de Pagos'!$E448,54,9999)</f>
        <v>54</v>
      </c>
      <c r="BW448" s="0" t="n">
        <f aca="false">IF(Presupuesto!$B$55='Flujo de Pagos'!$E448,55,9999)</f>
        <v>55</v>
      </c>
      <c r="BX448" s="0" t="n">
        <f aca="false">IF(Presupuesto!$B$56='Flujo de Pagos'!$E448,56,9999)</f>
        <v>56</v>
      </c>
      <c r="BY448" s="0" t="n">
        <f aca="false">IF(Presupuesto!$B$57='Flujo de Pagos'!$E448,57,9999)</f>
        <v>57</v>
      </c>
      <c r="BZ448" s="0" t="n">
        <f aca="false">IF(Presupuesto!$B$58='Flujo de Pagos'!$E448,58,9999)</f>
        <v>58</v>
      </c>
      <c r="CA448" s="0" t="n">
        <f aca="false">IF(Presupuesto!$B$59='Flujo de Pagos'!$E448,59,9999)</f>
        <v>59</v>
      </c>
      <c r="CB448" s="0" t="n">
        <f aca="false">IF(Presupuesto!$B$60='Flujo de Pagos'!$E448,60,9999)</f>
        <v>60</v>
      </c>
      <c r="CC448" s="0" t="n">
        <f aca="false">IF(Presupuesto!$B$61='Flujo de Pagos'!$E448,61,9999)</f>
        <v>61</v>
      </c>
      <c r="CD448" s="0" t="n">
        <f aca="false">IF(Presupuesto!$B$62='Flujo de Pagos'!$E448,62,9999)</f>
        <v>62</v>
      </c>
      <c r="CE448" s="0" t="n">
        <f aca="false">IF(Presupuesto!$B$63='Flujo de Pagos'!$E448,63,9999)</f>
        <v>63</v>
      </c>
      <c r="CF448" s="0" t="n">
        <f aca="false">IF(Presupuesto!$B$64='Flujo de Pagos'!$E448,64,9999)</f>
        <v>64</v>
      </c>
      <c r="CG448" s="0" t="n">
        <f aca="false">IF(Presupuesto!$B$65='Flujo de Pagos'!$E448,65,9999)</f>
        <v>65</v>
      </c>
      <c r="CH448" s="0" t="n">
        <f aca="false">IF(Presupuesto!$B$66='Flujo de Pagos'!$E448,66,9999)</f>
        <v>66</v>
      </c>
    </row>
    <row r="449" customFormat="false" ht="15" hidden="false" customHeight="true" outlineLevel="0" collapsed="false">
      <c r="B449" s="1" t="n">
        <f aca="false">IF(AND('Flujo de Pagos'!E454=Carátula!$B$2,'Flujo de Pagos'!F454=Carátula!$B$4,'Flujo de Pagos'!H454&lt;&gt;""),454,99999)</f>
        <v>99999</v>
      </c>
      <c r="H449" s="1" t="n">
        <f aca="false">IF(SMALL($AA449:$CH449,1)&gt;=9999,"",INDEX(Presupuesto!$C:$C,SMALL($AA449:$CH449,1)))</f>
        <v>0</v>
      </c>
      <c r="I449" s="1" t="n">
        <f aca="false">IF(SMALL($AA449:$CH449,2)&gt;=9999,"",INDEX(Presupuesto!$C:$C,SMALL($AA449:$CH449,2)))</f>
        <v>0</v>
      </c>
      <c r="J449" s="1" t="n">
        <f aca="false">IF(SMALL($AA449:$CH449,3)&gt;=9999,"",INDEX(Presupuesto!$C:$C,SMALL($AA449:$CH449,3)))</f>
        <v>0</v>
      </c>
      <c r="K449" s="1" t="n">
        <f aca="false">IF(SMALL($AA449:$CH449,4)&gt;=9999,"",INDEX(Presupuesto!$C:$C,SMALL($AA449:$CH449,4)))</f>
        <v>0</v>
      </c>
      <c r="L449" s="1" t="n">
        <f aca="false">IF(SMALL($AA449:$CH449,5)&gt;=9999,"",INDEX(Presupuesto!$C:$C,SMALL($AA449:$CH449,5)))</f>
        <v>0</v>
      </c>
      <c r="M449" s="1" t="n">
        <f aca="false">IF(SMALL($AA449:$CH449,6)&gt;=9999,"",INDEX(Presupuesto!$C:$C,SMALL($AA449:$CH449,6)))</f>
        <v>0</v>
      </c>
      <c r="N449" s="1" t="n">
        <f aca="false">IF(SMALL($AA449:$CH449,7)&gt;=9999,"",INDEX(Presupuesto!$C:$C,SMALL($AA449:$CH449,7)))</f>
        <v>0</v>
      </c>
      <c r="O449" s="1" t="n">
        <f aca="false">IF(SMALL($AA449:$CH449,8)&gt;=9999,"",INDEX(Presupuesto!$C:$C,SMALL($AA449:$CH449,8)))</f>
        <v>0</v>
      </c>
      <c r="P449" s="1" t="n">
        <f aca="false">IF(SMALL($AA449:$CH449,9)&gt;=9999,"",INDEX(Presupuesto!$C:$C,SMALL($AA449:$CH449,9)))</f>
        <v>0</v>
      </c>
      <c r="Q449" s="1" t="n">
        <f aca="false">IF(SMALL($AA449:$CH449,10)&gt;=9999,"",INDEX(Presupuesto!$C:$C,SMALL($AA449:$CH449,10)))</f>
        <v>0</v>
      </c>
      <c r="AA449" s="0" t="n">
        <f aca="false">IF(Presupuesto!$B$7='Flujo de Pagos'!$E449,7,9999)</f>
        <v>9999</v>
      </c>
      <c r="AB449" s="0" t="n">
        <f aca="false">IF(Presupuesto!$B$8='Flujo de Pagos'!$E449,8,9999)</f>
        <v>9999</v>
      </c>
      <c r="AC449" s="0" t="n">
        <f aca="false">IF(Presupuesto!$B$9='Flujo de Pagos'!$E449,9,9999)</f>
        <v>9999</v>
      </c>
      <c r="AD449" s="0" t="n">
        <f aca="false">IF(Presupuesto!$B$10='Flujo de Pagos'!$E449,10,9999)</f>
        <v>9999</v>
      </c>
      <c r="AE449" s="0" t="n">
        <f aca="false">IF(Presupuesto!$B$11='Flujo de Pagos'!$E449,11,9999)</f>
        <v>9999</v>
      </c>
      <c r="AF449" s="0" t="n">
        <f aca="false">IF(Presupuesto!$B$12='Flujo de Pagos'!$E449,12,9999)</f>
        <v>12</v>
      </c>
      <c r="AG449" s="0" t="n">
        <f aca="false">IF(Presupuesto!$B$13='Flujo de Pagos'!$E449,13,9999)</f>
        <v>13</v>
      </c>
      <c r="AH449" s="0" t="n">
        <f aca="false">IF(Presupuesto!$B$14='Flujo de Pagos'!$E449,14,9999)</f>
        <v>14</v>
      </c>
      <c r="AI449" s="0" t="n">
        <f aca="false">IF(Presupuesto!$B$15='Flujo de Pagos'!$E449,15,9999)</f>
        <v>15</v>
      </c>
      <c r="AJ449" s="0" t="n">
        <f aca="false">IF(Presupuesto!$B$16='Flujo de Pagos'!$E449,16,9999)</f>
        <v>16</v>
      </c>
      <c r="AK449" s="0" t="n">
        <f aca="false">IF(Presupuesto!$B$17='Flujo de Pagos'!$E449,17,9999)</f>
        <v>17</v>
      </c>
      <c r="AL449" s="0" t="n">
        <f aca="false">IF(Presupuesto!$B$18='Flujo de Pagos'!$E449,18,9999)</f>
        <v>18</v>
      </c>
      <c r="AM449" s="0" t="n">
        <f aca="false">IF(Presupuesto!$B$19='Flujo de Pagos'!$E449,19,9999)</f>
        <v>19</v>
      </c>
      <c r="AN449" s="0" t="n">
        <f aca="false">IF(Presupuesto!$B$20='Flujo de Pagos'!$E449,20,9999)</f>
        <v>20</v>
      </c>
      <c r="AO449" s="0" t="n">
        <f aca="false">IF(Presupuesto!$B$21='Flujo de Pagos'!$E449,21,9999)</f>
        <v>21</v>
      </c>
      <c r="AP449" s="0" t="n">
        <f aca="false">IF(Presupuesto!$B$22='Flujo de Pagos'!$E449,22,9999)</f>
        <v>22</v>
      </c>
      <c r="AQ449" s="0" t="n">
        <f aca="false">IF(Presupuesto!$B$23='Flujo de Pagos'!$E449,23,9999)</f>
        <v>23</v>
      </c>
      <c r="AR449" s="0" t="n">
        <f aca="false">IF(Presupuesto!$B$24='Flujo de Pagos'!$E449,24,9999)</f>
        <v>24</v>
      </c>
      <c r="AS449" s="0" t="n">
        <f aca="false">IF(Presupuesto!$B$25='Flujo de Pagos'!$E449,25,9999)</f>
        <v>25</v>
      </c>
      <c r="AT449" s="0" t="n">
        <f aca="false">IF(Presupuesto!$B$26='Flujo de Pagos'!$E449,26,9999)</f>
        <v>26</v>
      </c>
      <c r="AU449" s="0" t="n">
        <f aca="false">IF(Presupuesto!$B$27='Flujo de Pagos'!$E449,27,9999)</f>
        <v>27</v>
      </c>
      <c r="AV449" s="0" t="n">
        <f aca="false">IF(Presupuesto!$B$28='Flujo de Pagos'!$E449,28,9999)</f>
        <v>28</v>
      </c>
      <c r="AW449" s="0" t="n">
        <f aca="false">IF(Presupuesto!$B$29='Flujo de Pagos'!$E449,29,9999)</f>
        <v>29</v>
      </c>
      <c r="AX449" s="0" t="n">
        <f aca="false">IF(Presupuesto!$B$30='Flujo de Pagos'!$E449,30,9999)</f>
        <v>30</v>
      </c>
      <c r="AY449" s="0" t="n">
        <f aca="false">IF(Presupuesto!$B$31='Flujo de Pagos'!$E449,31,9999)</f>
        <v>31</v>
      </c>
      <c r="AZ449" s="0" t="n">
        <f aca="false">IF(Presupuesto!$B$32='Flujo de Pagos'!$E449,32,9999)</f>
        <v>32</v>
      </c>
      <c r="BA449" s="0" t="n">
        <f aca="false">IF(Presupuesto!$B$33='Flujo de Pagos'!$E449,33,9999)</f>
        <v>33</v>
      </c>
      <c r="BB449" s="0" t="n">
        <f aca="false">IF(Presupuesto!$B$34='Flujo de Pagos'!$E449,34,9999)</f>
        <v>34</v>
      </c>
      <c r="BC449" s="0" t="n">
        <f aca="false">IF(Presupuesto!$B$35='Flujo de Pagos'!$E449,35,9999)</f>
        <v>35</v>
      </c>
      <c r="BD449" s="0" t="n">
        <f aca="false">IF(Presupuesto!$B$36='Flujo de Pagos'!$E449,36,9999)</f>
        <v>36</v>
      </c>
      <c r="BE449" s="0" t="n">
        <f aca="false">IF(Presupuesto!$B$37='Flujo de Pagos'!$E449,37,9999)</f>
        <v>37</v>
      </c>
      <c r="BF449" s="0" t="n">
        <f aca="false">IF(Presupuesto!$B$38='Flujo de Pagos'!$E449,38,9999)</f>
        <v>38</v>
      </c>
      <c r="BG449" s="0" t="n">
        <f aca="false">IF(Presupuesto!$B$39='Flujo de Pagos'!$E449,39,9999)</f>
        <v>39</v>
      </c>
      <c r="BH449" s="0" t="n">
        <f aca="false">IF(Presupuesto!$B$40='Flujo de Pagos'!$E449,40,9999)</f>
        <v>40</v>
      </c>
      <c r="BI449" s="0" t="n">
        <f aca="false">IF(Presupuesto!$B$41='Flujo de Pagos'!$E449,41,9999)</f>
        <v>41</v>
      </c>
      <c r="BJ449" s="0" t="n">
        <f aca="false">IF(Presupuesto!$B$42='Flujo de Pagos'!$E449,42,9999)</f>
        <v>42</v>
      </c>
      <c r="BK449" s="0" t="n">
        <f aca="false">IF(Presupuesto!$B$43='Flujo de Pagos'!$E449,43,9999)</f>
        <v>43</v>
      </c>
      <c r="BL449" s="0" t="n">
        <f aca="false">IF(Presupuesto!$B$44='Flujo de Pagos'!$E449,44,9999)</f>
        <v>44</v>
      </c>
      <c r="BM449" s="0" t="n">
        <f aca="false">IF(Presupuesto!$B$45='Flujo de Pagos'!$E449,45,9999)</f>
        <v>45</v>
      </c>
      <c r="BN449" s="0" t="n">
        <f aca="false">IF(Presupuesto!$B$46='Flujo de Pagos'!$E449,46,9999)</f>
        <v>46</v>
      </c>
      <c r="BO449" s="0" t="n">
        <f aca="false">IF(Presupuesto!$B$47='Flujo de Pagos'!$E449,47,9999)</f>
        <v>47</v>
      </c>
      <c r="BP449" s="0" t="n">
        <f aca="false">IF(Presupuesto!$B$48='Flujo de Pagos'!$E449,48,9999)</f>
        <v>48</v>
      </c>
      <c r="BQ449" s="0" t="n">
        <f aca="false">IF(Presupuesto!$B$49='Flujo de Pagos'!$E449,49,9999)</f>
        <v>49</v>
      </c>
      <c r="BR449" s="0" t="n">
        <f aca="false">IF(Presupuesto!$B$50='Flujo de Pagos'!$E449,50,9999)</f>
        <v>50</v>
      </c>
      <c r="BS449" s="0" t="n">
        <f aca="false">IF(Presupuesto!$B$51='Flujo de Pagos'!$E449,51,9999)</f>
        <v>51</v>
      </c>
      <c r="BT449" s="0" t="n">
        <f aca="false">IF(Presupuesto!$B$52='Flujo de Pagos'!$E449,52,9999)</f>
        <v>52</v>
      </c>
      <c r="BU449" s="0" t="n">
        <f aca="false">IF(Presupuesto!$B$53='Flujo de Pagos'!$E449,53,9999)</f>
        <v>53</v>
      </c>
      <c r="BV449" s="0" t="n">
        <f aca="false">IF(Presupuesto!$B$54='Flujo de Pagos'!$E449,54,9999)</f>
        <v>54</v>
      </c>
      <c r="BW449" s="0" t="n">
        <f aca="false">IF(Presupuesto!$B$55='Flujo de Pagos'!$E449,55,9999)</f>
        <v>55</v>
      </c>
      <c r="BX449" s="0" t="n">
        <f aca="false">IF(Presupuesto!$B$56='Flujo de Pagos'!$E449,56,9999)</f>
        <v>56</v>
      </c>
      <c r="BY449" s="0" t="n">
        <f aca="false">IF(Presupuesto!$B$57='Flujo de Pagos'!$E449,57,9999)</f>
        <v>57</v>
      </c>
      <c r="BZ449" s="0" t="n">
        <f aca="false">IF(Presupuesto!$B$58='Flujo de Pagos'!$E449,58,9999)</f>
        <v>58</v>
      </c>
      <c r="CA449" s="0" t="n">
        <f aca="false">IF(Presupuesto!$B$59='Flujo de Pagos'!$E449,59,9999)</f>
        <v>59</v>
      </c>
      <c r="CB449" s="0" t="n">
        <f aca="false">IF(Presupuesto!$B$60='Flujo de Pagos'!$E449,60,9999)</f>
        <v>60</v>
      </c>
      <c r="CC449" s="0" t="n">
        <f aca="false">IF(Presupuesto!$B$61='Flujo de Pagos'!$E449,61,9999)</f>
        <v>61</v>
      </c>
      <c r="CD449" s="0" t="n">
        <f aca="false">IF(Presupuesto!$B$62='Flujo de Pagos'!$E449,62,9999)</f>
        <v>62</v>
      </c>
      <c r="CE449" s="0" t="n">
        <f aca="false">IF(Presupuesto!$B$63='Flujo de Pagos'!$E449,63,9999)</f>
        <v>63</v>
      </c>
      <c r="CF449" s="0" t="n">
        <f aca="false">IF(Presupuesto!$B$64='Flujo de Pagos'!$E449,64,9999)</f>
        <v>64</v>
      </c>
      <c r="CG449" s="0" t="n">
        <f aca="false">IF(Presupuesto!$B$65='Flujo de Pagos'!$E449,65,9999)</f>
        <v>65</v>
      </c>
      <c r="CH449" s="0" t="n">
        <f aca="false">IF(Presupuesto!$B$66='Flujo de Pagos'!$E449,66,9999)</f>
        <v>66</v>
      </c>
    </row>
    <row r="450" customFormat="false" ht="15" hidden="false" customHeight="true" outlineLevel="0" collapsed="false">
      <c r="B450" s="1" t="n">
        <f aca="false">IF(AND('Flujo de Pagos'!E455=Carátula!$B$2,'Flujo de Pagos'!F455=Carátula!$B$4,'Flujo de Pagos'!H455&lt;&gt;""),455,99999)</f>
        <v>99999</v>
      </c>
      <c r="H450" s="1" t="n">
        <f aca="false">IF(SMALL($AA450:$CH450,1)&gt;=9999,"",INDEX(Presupuesto!$C:$C,SMALL($AA450:$CH450,1)))</f>
        <v>0</v>
      </c>
      <c r="I450" s="1" t="n">
        <f aca="false">IF(SMALL($AA450:$CH450,2)&gt;=9999,"",INDEX(Presupuesto!$C:$C,SMALL($AA450:$CH450,2)))</f>
        <v>0</v>
      </c>
      <c r="J450" s="1" t="n">
        <f aca="false">IF(SMALL($AA450:$CH450,3)&gt;=9999,"",INDEX(Presupuesto!$C:$C,SMALL($AA450:$CH450,3)))</f>
        <v>0</v>
      </c>
      <c r="K450" s="1" t="n">
        <f aca="false">IF(SMALL($AA450:$CH450,4)&gt;=9999,"",INDEX(Presupuesto!$C:$C,SMALL($AA450:$CH450,4)))</f>
        <v>0</v>
      </c>
      <c r="L450" s="1" t="n">
        <f aca="false">IF(SMALL($AA450:$CH450,5)&gt;=9999,"",INDEX(Presupuesto!$C:$C,SMALL($AA450:$CH450,5)))</f>
        <v>0</v>
      </c>
      <c r="M450" s="1" t="n">
        <f aca="false">IF(SMALL($AA450:$CH450,6)&gt;=9999,"",INDEX(Presupuesto!$C:$C,SMALL($AA450:$CH450,6)))</f>
        <v>0</v>
      </c>
      <c r="N450" s="1" t="n">
        <f aca="false">IF(SMALL($AA450:$CH450,7)&gt;=9999,"",INDEX(Presupuesto!$C:$C,SMALL($AA450:$CH450,7)))</f>
        <v>0</v>
      </c>
      <c r="O450" s="1" t="n">
        <f aca="false">IF(SMALL($AA450:$CH450,8)&gt;=9999,"",INDEX(Presupuesto!$C:$C,SMALL($AA450:$CH450,8)))</f>
        <v>0</v>
      </c>
      <c r="P450" s="1" t="n">
        <f aca="false">IF(SMALL($AA450:$CH450,9)&gt;=9999,"",INDEX(Presupuesto!$C:$C,SMALL($AA450:$CH450,9)))</f>
        <v>0</v>
      </c>
      <c r="Q450" s="1" t="n">
        <f aca="false">IF(SMALL($AA450:$CH450,10)&gt;=9999,"",INDEX(Presupuesto!$C:$C,SMALL($AA450:$CH450,10)))</f>
        <v>0</v>
      </c>
      <c r="AA450" s="0" t="n">
        <f aca="false">IF(Presupuesto!$B$7='Flujo de Pagos'!$E450,7,9999)</f>
        <v>9999</v>
      </c>
      <c r="AB450" s="0" t="n">
        <f aca="false">IF(Presupuesto!$B$8='Flujo de Pagos'!$E450,8,9999)</f>
        <v>9999</v>
      </c>
      <c r="AC450" s="0" t="n">
        <f aca="false">IF(Presupuesto!$B$9='Flujo de Pagos'!$E450,9,9999)</f>
        <v>9999</v>
      </c>
      <c r="AD450" s="0" t="n">
        <f aca="false">IF(Presupuesto!$B$10='Flujo de Pagos'!$E450,10,9999)</f>
        <v>9999</v>
      </c>
      <c r="AE450" s="0" t="n">
        <f aca="false">IF(Presupuesto!$B$11='Flujo de Pagos'!$E450,11,9999)</f>
        <v>9999</v>
      </c>
      <c r="AF450" s="0" t="n">
        <f aca="false">IF(Presupuesto!$B$12='Flujo de Pagos'!$E450,12,9999)</f>
        <v>12</v>
      </c>
      <c r="AG450" s="0" t="n">
        <f aca="false">IF(Presupuesto!$B$13='Flujo de Pagos'!$E450,13,9999)</f>
        <v>13</v>
      </c>
      <c r="AH450" s="0" t="n">
        <f aca="false">IF(Presupuesto!$B$14='Flujo de Pagos'!$E450,14,9999)</f>
        <v>14</v>
      </c>
      <c r="AI450" s="0" t="n">
        <f aca="false">IF(Presupuesto!$B$15='Flujo de Pagos'!$E450,15,9999)</f>
        <v>15</v>
      </c>
      <c r="AJ450" s="0" t="n">
        <f aca="false">IF(Presupuesto!$B$16='Flujo de Pagos'!$E450,16,9999)</f>
        <v>16</v>
      </c>
      <c r="AK450" s="0" t="n">
        <f aca="false">IF(Presupuesto!$B$17='Flujo de Pagos'!$E450,17,9999)</f>
        <v>17</v>
      </c>
      <c r="AL450" s="0" t="n">
        <f aca="false">IF(Presupuesto!$B$18='Flujo de Pagos'!$E450,18,9999)</f>
        <v>18</v>
      </c>
      <c r="AM450" s="0" t="n">
        <f aca="false">IF(Presupuesto!$B$19='Flujo de Pagos'!$E450,19,9999)</f>
        <v>19</v>
      </c>
      <c r="AN450" s="0" t="n">
        <f aca="false">IF(Presupuesto!$B$20='Flujo de Pagos'!$E450,20,9999)</f>
        <v>20</v>
      </c>
      <c r="AO450" s="0" t="n">
        <f aca="false">IF(Presupuesto!$B$21='Flujo de Pagos'!$E450,21,9999)</f>
        <v>21</v>
      </c>
      <c r="AP450" s="0" t="n">
        <f aca="false">IF(Presupuesto!$B$22='Flujo de Pagos'!$E450,22,9999)</f>
        <v>22</v>
      </c>
      <c r="AQ450" s="0" t="n">
        <f aca="false">IF(Presupuesto!$B$23='Flujo de Pagos'!$E450,23,9999)</f>
        <v>23</v>
      </c>
      <c r="AR450" s="0" t="n">
        <f aca="false">IF(Presupuesto!$B$24='Flujo de Pagos'!$E450,24,9999)</f>
        <v>24</v>
      </c>
      <c r="AS450" s="0" t="n">
        <f aca="false">IF(Presupuesto!$B$25='Flujo de Pagos'!$E450,25,9999)</f>
        <v>25</v>
      </c>
      <c r="AT450" s="0" t="n">
        <f aca="false">IF(Presupuesto!$B$26='Flujo de Pagos'!$E450,26,9999)</f>
        <v>26</v>
      </c>
      <c r="AU450" s="0" t="n">
        <f aca="false">IF(Presupuesto!$B$27='Flujo de Pagos'!$E450,27,9999)</f>
        <v>27</v>
      </c>
      <c r="AV450" s="0" t="n">
        <f aca="false">IF(Presupuesto!$B$28='Flujo de Pagos'!$E450,28,9999)</f>
        <v>28</v>
      </c>
      <c r="AW450" s="0" t="n">
        <f aca="false">IF(Presupuesto!$B$29='Flujo de Pagos'!$E450,29,9999)</f>
        <v>29</v>
      </c>
      <c r="AX450" s="0" t="n">
        <f aca="false">IF(Presupuesto!$B$30='Flujo de Pagos'!$E450,30,9999)</f>
        <v>30</v>
      </c>
      <c r="AY450" s="0" t="n">
        <f aca="false">IF(Presupuesto!$B$31='Flujo de Pagos'!$E450,31,9999)</f>
        <v>31</v>
      </c>
      <c r="AZ450" s="0" t="n">
        <f aca="false">IF(Presupuesto!$B$32='Flujo de Pagos'!$E450,32,9999)</f>
        <v>32</v>
      </c>
      <c r="BA450" s="0" t="n">
        <f aca="false">IF(Presupuesto!$B$33='Flujo de Pagos'!$E450,33,9999)</f>
        <v>33</v>
      </c>
      <c r="BB450" s="0" t="n">
        <f aca="false">IF(Presupuesto!$B$34='Flujo de Pagos'!$E450,34,9999)</f>
        <v>34</v>
      </c>
      <c r="BC450" s="0" t="n">
        <f aca="false">IF(Presupuesto!$B$35='Flujo de Pagos'!$E450,35,9999)</f>
        <v>35</v>
      </c>
      <c r="BD450" s="0" t="n">
        <f aca="false">IF(Presupuesto!$B$36='Flujo de Pagos'!$E450,36,9999)</f>
        <v>36</v>
      </c>
      <c r="BE450" s="0" t="n">
        <f aca="false">IF(Presupuesto!$B$37='Flujo de Pagos'!$E450,37,9999)</f>
        <v>37</v>
      </c>
      <c r="BF450" s="0" t="n">
        <f aca="false">IF(Presupuesto!$B$38='Flujo de Pagos'!$E450,38,9999)</f>
        <v>38</v>
      </c>
      <c r="BG450" s="0" t="n">
        <f aca="false">IF(Presupuesto!$B$39='Flujo de Pagos'!$E450,39,9999)</f>
        <v>39</v>
      </c>
      <c r="BH450" s="0" t="n">
        <f aca="false">IF(Presupuesto!$B$40='Flujo de Pagos'!$E450,40,9999)</f>
        <v>40</v>
      </c>
      <c r="BI450" s="0" t="n">
        <f aca="false">IF(Presupuesto!$B$41='Flujo de Pagos'!$E450,41,9999)</f>
        <v>41</v>
      </c>
      <c r="BJ450" s="0" t="n">
        <f aca="false">IF(Presupuesto!$B$42='Flujo de Pagos'!$E450,42,9999)</f>
        <v>42</v>
      </c>
      <c r="BK450" s="0" t="n">
        <f aca="false">IF(Presupuesto!$B$43='Flujo de Pagos'!$E450,43,9999)</f>
        <v>43</v>
      </c>
      <c r="BL450" s="0" t="n">
        <f aca="false">IF(Presupuesto!$B$44='Flujo de Pagos'!$E450,44,9999)</f>
        <v>44</v>
      </c>
      <c r="BM450" s="0" t="n">
        <f aca="false">IF(Presupuesto!$B$45='Flujo de Pagos'!$E450,45,9999)</f>
        <v>45</v>
      </c>
      <c r="BN450" s="0" t="n">
        <f aca="false">IF(Presupuesto!$B$46='Flujo de Pagos'!$E450,46,9999)</f>
        <v>46</v>
      </c>
      <c r="BO450" s="0" t="n">
        <f aca="false">IF(Presupuesto!$B$47='Flujo de Pagos'!$E450,47,9999)</f>
        <v>47</v>
      </c>
      <c r="BP450" s="0" t="n">
        <f aca="false">IF(Presupuesto!$B$48='Flujo de Pagos'!$E450,48,9999)</f>
        <v>48</v>
      </c>
      <c r="BQ450" s="0" t="n">
        <f aca="false">IF(Presupuesto!$B$49='Flujo de Pagos'!$E450,49,9999)</f>
        <v>49</v>
      </c>
      <c r="BR450" s="0" t="n">
        <f aca="false">IF(Presupuesto!$B$50='Flujo de Pagos'!$E450,50,9999)</f>
        <v>50</v>
      </c>
      <c r="BS450" s="0" t="n">
        <f aca="false">IF(Presupuesto!$B$51='Flujo de Pagos'!$E450,51,9999)</f>
        <v>51</v>
      </c>
      <c r="BT450" s="0" t="n">
        <f aca="false">IF(Presupuesto!$B$52='Flujo de Pagos'!$E450,52,9999)</f>
        <v>52</v>
      </c>
      <c r="BU450" s="0" t="n">
        <f aca="false">IF(Presupuesto!$B$53='Flujo de Pagos'!$E450,53,9999)</f>
        <v>53</v>
      </c>
      <c r="BV450" s="0" t="n">
        <f aca="false">IF(Presupuesto!$B$54='Flujo de Pagos'!$E450,54,9999)</f>
        <v>54</v>
      </c>
      <c r="BW450" s="0" t="n">
        <f aca="false">IF(Presupuesto!$B$55='Flujo de Pagos'!$E450,55,9999)</f>
        <v>55</v>
      </c>
      <c r="BX450" s="0" t="n">
        <f aca="false">IF(Presupuesto!$B$56='Flujo de Pagos'!$E450,56,9999)</f>
        <v>56</v>
      </c>
      <c r="BY450" s="0" t="n">
        <f aca="false">IF(Presupuesto!$B$57='Flujo de Pagos'!$E450,57,9999)</f>
        <v>57</v>
      </c>
      <c r="BZ450" s="0" t="n">
        <f aca="false">IF(Presupuesto!$B$58='Flujo de Pagos'!$E450,58,9999)</f>
        <v>58</v>
      </c>
      <c r="CA450" s="0" t="n">
        <f aca="false">IF(Presupuesto!$B$59='Flujo de Pagos'!$E450,59,9999)</f>
        <v>59</v>
      </c>
      <c r="CB450" s="0" t="n">
        <f aca="false">IF(Presupuesto!$B$60='Flujo de Pagos'!$E450,60,9999)</f>
        <v>60</v>
      </c>
      <c r="CC450" s="0" t="n">
        <f aca="false">IF(Presupuesto!$B$61='Flujo de Pagos'!$E450,61,9999)</f>
        <v>61</v>
      </c>
      <c r="CD450" s="0" t="n">
        <f aca="false">IF(Presupuesto!$B$62='Flujo de Pagos'!$E450,62,9999)</f>
        <v>62</v>
      </c>
      <c r="CE450" s="0" t="n">
        <f aca="false">IF(Presupuesto!$B$63='Flujo de Pagos'!$E450,63,9999)</f>
        <v>63</v>
      </c>
      <c r="CF450" s="0" t="n">
        <f aca="false">IF(Presupuesto!$B$64='Flujo de Pagos'!$E450,64,9999)</f>
        <v>64</v>
      </c>
      <c r="CG450" s="0" t="n">
        <f aca="false">IF(Presupuesto!$B$65='Flujo de Pagos'!$E450,65,9999)</f>
        <v>65</v>
      </c>
      <c r="CH450" s="0" t="n">
        <f aca="false">IF(Presupuesto!$B$66='Flujo de Pagos'!$E450,66,9999)</f>
        <v>66</v>
      </c>
    </row>
    <row r="451" customFormat="false" ht="15" hidden="false" customHeight="true" outlineLevel="0" collapsed="false">
      <c r="B451" s="1" t="n">
        <f aca="false">IF(AND('Flujo de Pagos'!E456=Carátula!$B$2,'Flujo de Pagos'!F456=Carátula!$B$4,'Flujo de Pagos'!H456&lt;&gt;""),456,99999)</f>
        <v>99999</v>
      </c>
      <c r="H451" s="1" t="n">
        <f aca="false">IF(SMALL($AA451:$CH451,1)&gt;=9999,"",INDEX(Presupuesto!$C:$C,SMALL($AA451:$CH451,1)))</f>
        <v>0</v>
      </c>
      <c r="I451" s="1" t="n">
        <f aca="false">IF(SMALL($AA451:$CH451,2)&gt;=9999,"",INDEX(Presupuesto!$C:$C,SMALL($AA451:$CH451,2)))</f>
        <v>0</v>
      </c>
      <c r="J451" s="1" t="n">
        <f aca="false">IF(SMALL($AA451:$CH451,3)&gt;=9999,"",INDEX(Presupuesto!$C:$C,SMALL($AA451:$CH451,3)))</f>
        <v>0</v>
      </c>
      <c r="K451" s="1" t="n">
        <f aca="false">IF(SMALL($AA451:$CH451,4)&gt;=9999,"",INDEX(Presupuesto!$C:$C,SMALL($AA451:$CH451,4)))</f>
        <v>0</v>
      </c>
      <c r="L451" s="1" t="n">
        <f aca="false">IF(SMALL($AA451:$CH451,5)&gt;=9999,"",INDEX(Presupuesto!$C:$C,SMALL($AA451:$CH451,5)))</f>
        <v>0</v>
      </c>
      <c r="M451" s="1" t="n">
        <f aca="false">IF(SMALL($AA451:$CH451,6)&gt;=9999,"",INDEX(Presupuesto!$C:$C,SMALL($AA451:$CH451,6)))</f>
        <v>0</v>
      </c>
      <c r="N451" s="1" t="n">
        <f aca="false">IF(SMALL($AA451:$CH451,7)&gt;=9999,"",INDEX(Presupuesto!$C:$C,SMALL($AA451:$CH451,7)))</f>
        <v>0</v>
      </c>
      <c r="O451" s="1" t="n">
        <f aca="false">IF(SMALL($AA451:$CH451,8)&gt;=9999,"",INDEX(Presupuesto!$C:$C,SMALL($AA451:$CH451,8)))</f>
        <v>0</v>
      </c>
      <c r="P451" s="1" t="n">
        <f aca="false">IF(SMALL($AA451:$CH451,9)&gt;=9999,"",INDEX(Presupuesto!$C:$C,SMALL($AA451:$CH451,9)))</f>
        <v>0</v>
      </c>
      <c r="Q451" s="1" t="n">
        <f aca="false">IF(SMALL($AA451:$CH451,10)&gt;=9999,"",INDEX(Presupuesto!$C:$C,SMALL($AA451:$CH451,10)))</f>
        <v>0</v>
      </c>
      <c r="AA451" s="0" t="n">
        <f aca="false">IF(Presupuesto!$B$7='Flujo de Pagos'!$E451,7,9999)</f>
        <v>9999</v>
      </c>
      <c r="AB451" s="0" t="n">
        <f aca="false">IF(Presupuesto!$B$8='Flujo de Pagos'!$E451,8,9999)</f>
        <v>9999</v>
      </c>
      <c r="AC451" s="0" t="n">
        <f aca="false">IF(Presupuesto!$B$9='Flujo de Pagos'!$E451,9,9999)</f>
        <v>9999</v>
      </c>
      <c r="AD451" s="0" t="n">
        <f aca="false">IF(Presupuesto!$B$10='Flujo de Pagos'!$E451,10,9999)</f>
        <v>9999</v>
      </c>
      <c r="AE451" s="0" t="n">
        <f aca="false">IF(Presupuesto!$B$11='Flujo de Pagos'!$E451,11,9999)</f>
        <v>9999</v>
      </c>
      <c r="AF451" s="0" t="n">
        <f aca="false">IF(Presupuesto!$B$12='Flujo de Pagos'!$E451,12,9999)</f>
        <v>12</v>
      </c>
      <c r="AG451" s="0" t="n">
        <f aca="false">IF(Presupuesto!$B$13='Flujo de Pagos'!$E451,13,9999)</f>
        <v>13</v>
      </c>
      <c r="AH451" s="0" t="n">
        <f aca="false">IF(Presupuesto!$B$14='Flujo de Pagos'!$E451,14,9999)</f>
        <v>14</v>
      </c>
      <c r="AI451" s="0" t="n">
        <f aca="false">IF(Presupuesto!$B$15='Flujo de Pagos'!$E451,15,9999)</f>
        <v>15</v>
      </c>
      <c r="AJ451" s="0" t="n">
        <f aca="false">IF(Presupuesto!$B$16='Flujo de Pagos'!$E451,16,9999)</f>
        <v>16</v>
      </c>
      <c r="AK451" s="0" t="n">
        <f aca="false">IF(Presupuesto!$B$17='Flujo de Pagos'!$E451,17,9999)</f>
        <v>17</v>
      </c>
      <c r="AL451" s="0" t="n">
        <f aca="false">IF(Presupuesto!$B$18='Flujo de Pagos'!$E451,18,9999)</f>
        <v>18</v>
      </c>
      <c r="AM451" s="0" t="n">
        <f aca="false">IF(Presupuesto!$B$19='Flujo de Pagos'!$E451,19,9999)</f>
        <v>19</v>
      </c>
      <c r="AN451" s="0" t="n">
        <f aca="false">IF(Presupuesto!$B$20='Flujo de Pagos'!$E451,20,9999)</f>
        <v>20</v>
      </c>
      <c r="AO451" s="0" t="n">
        <f aca="false">IF(Presupuesto!$B$21='Flujo de Pagos'!$E451,21,9999)</f>
        <v>21</v>
      </c>
      <c r="AP451" s="0" t="n">
        <f aca="false">IF(Presupuesto!$B$22='Flujo de Pagos'!$E451,22,9999)</f>
        <v>22</v>
      </c>
      <c r="AQ451" s="0" t="n">
        <f aca="false">IF(Presupuesto!$B$23='Flujo de Pagos'!$E451,23,9999)</f>
        <v>23</v>
      </c>
      <c r="AR451" s="0" t="n">
        <f aca="false">IF(Presupuesto!$B$24='Flujo de Pagos'!$E451,24,9999)</f>
        <v>24</v>
      </c>
      <c r="AS451" s="0" t="n">
        <f aca="false">IF(Presupuesto!$B$25='Flujo de Pagos'!$E451,25,9999)</f>
        <v>25</v>
      </c>
      <c r="AT451" s="0" t="n">
        <f aca="false">IF(Presupuesto!$B$26='Flujo de Pagos'!$E451,26,9999)</f>
        <v>26</v>
      </c>
      <c r="AU451" s="0" t="n">
        <f aca="false">IF(Presupuesto!$B$27='Flujo de Pagos'!$E451,27,9999)</f>
        <v>27</v>
      </c>
      <c r="AV451" s="0" t="n">
        <f aca="false">IF(Presupuesto!$B$28='Flujo de Pagos'!$E451,28,9999)</f>
        <v>28</v>
      </c>
      <c r="AW451" s="0" t="n">
        <f aca="false">IF(Presupuesto!$B$29='Flujo de Pagos'!$E451,29,9999)</f>
        <v>29</v>
      </c>
      <c r="AX451" s="0" t="n">
        <f aca="false">IF(Presupuesto!$B$30='Flujo de Pagos'!$E451,30,9999)</f>
        <v>30</v>
      </c>
      <c r="AY451" s="0" t="n">
        <f aca="false">IF(Presupuesto!$B$31='Flujo de Pagos'!$E451,31,9999)</f>
        <v>31</v>
      </c>
      <c r="AZ451" s="0" t="n">
        <f aca="false">IF(Presupuesto!$B$32='Flujo de Pagos'!$E451,32,9999)</f>
        <v>32</v>
      </c>
      <c r="BA451" s="0" t="n">
        <f aca="false">IF(Presupuesto!$B$33='Flujo de Pagos'!$E451,33,9999)</f>
        <v>33</v>
      </c>
      <c r="BB451" s="0" t="n">
        <f aca="false">IF(Presupuesto!$B$34='Flujo de Pagos'!$E451,34,9999)</f>
        <v>34</v>
      </c>
      <c r="BC451" s="0" t="n">
        <f aca="false">IF(Presupuesto!$B$35='Flujo de Pagos'!$E451,35,9999)</f>
        <v>35</v>
      </c>
      <c r="BD451" s="0" t="n">
        <f aca="false">IF(Presupuesto!$B$36='Flujo de Pagos'!$E451,36,9999)</f>
        <v>36</v>
      </c>
      <c r="BE451" s="0" t="n">
        <f aca="false">IF(Presupuesto!$B$37='Flujo de Pagos'!$E451,37,9999)</f>
        <v>37</v>
      </c>
      <c r="BF451" s="0" t="n">
        <f aca="false">IF(Presupuesto!$B$38='Flujo de Pagos'!$E451,38,9999)</f>
        <v>38</v>
      </c>
      <c r="BG451" s="0" t="n">
        <f aca="false">IF(Presupuesto!$B$39='Flujo de Pagos'!$E451,39,9999)</f>
        <v>39</v>
      </c>
      <c r="BH451" s="0" t="n">
        <f aca="false">IF(Presupuesto!$B$40='Flujo de Pagos'!$E451,40,9999)</f>
        <v>40</v>
      </c>
      <c r="BI451" s="0" t="n">
        <f aca="false">IF(Presupuesto!$B$41='Flujo de Pagos'!$E451,41,9999)</f>
        <v>41</v>
      </c>
      <c r="BJ451" s="0" t="n">
        <f aca="false">IF(Presupuesto!$B$42='Flujo de Pagos'!$E451,42,9999)</f>
        <v>42</v>
      </c>
      <c r="BK451" s="0" t="n">
        <f aca="false">IF(Presupuesto!$B$43='Flujo de Pagos'!$E451,43,9999)</f>
        <v>43</v>
      </c>
      <c r="BL451" s="0" t="n">
        <f aca="false">IF(Presupuesto!$B$44='Flujo de Pagos'!$E451,44,9999)</f>
        <v>44</v>
      </c>
      <c r="BM451" s="0" t="n">
        <f aca="false">IF(Presupuesto!$B$45='Flujo de Pagos'!$E451,45,9999)</f>
        <v>45</v>
      </c>
      <c r="BN451" s="0" t="n">
        <f aca="false">IF(Presupuesto!$B$46='Flujo de Pagos'!$E451,46,9999)</f>
        <v>46</v>
      </c>
      <c r="BO451" s="0" t="n">
        <f aca="false">IF(Presupuesto!$B$47='Flujo de Pagos'!$E451,47,9999)</f>
        <v>47</v>
      </c>
      <c r="BP451" s="0" t="n">
        <f aca="false">IF(Presupuesto!$B$48='Flujo de Pagos'!$E451,48,9999)</f>
        <v>48</v>
      </c>
      <c r="BQ451" s="0" t="n">
        <f aca="false">IF(Presupuesto!$B$49='Flujo de Pagos'!$E451,49,9999)</f>
        <v>49</v>
      </c>
      <c r="BR451" s="0" t="n">
        <f aca="false">IF(Presupuesto!$B$50='Flujo de Pagos'!$E451,50,9999)</f>
        <v>50</v>
      </c>
      <c r="BS451" s="0" t="n">
        <f aca="false">IF(Presupuesto!$B$51='Flujo de Pagos'!$E451,51,9999)</f>
        <v>51</v>
      </c>
      <c r="BT451" s="0" t="n">
        <f aca="false">IF(Presupuesto!$B$52='Flujo de Pagos'!$E451,52,9999)</f>
        <v>52</v>
      </c>
      <c r="BU451" s="0" t="n">
        <f aca="false">IF(Presupuesto!$B$53='Flujo de Pagos'!$E451,53,9999)</f>
        <v>53</v>
      </c>
      <c r="BV451" s="0" t="n">
        <f aca="false">IF(Presupuesto!$B$54='Flujo de Pagos'!$E451,54,9999)</f>
        <v>54</v>
      </c>
      <c r="BW451" s="0" t="n">
        <f aca="false">IF(Presupuesto!$B$55='Flujo de Pagos'!$E451,55,9999)</f>
        <v>55</v>
      </c>
      <c r="BX451" s="0" t="n">
        <f aca="false">IF(Presupuesto!$B$56='Flujo de Pagos'!$E451,56,9999)</f>
        <v>56</v>
      </c>
      <c r="BY451" s="0" t="n">
        <f aca="false">IF(Presupuesto!$B$57='Flujo de Pagos'!$E451,57,9999)</f>
        <v>57</v>
      </c>
      <c r="BZ451" s="0" t="n">
        <f aca="false">IF(Presupuesto!$B$58='Flujo de Pagos'!$E451,58,9999)</f>
        <v>58</v>
      </c>
      <c r="CA451" s="0" t="n">
        <f aca="false">IF(Presupuesto!$B$59='Flujo de Pagos'!$E451,59,9999)</f>
        <v>59</v>
      </c>
      <c r="CB451" s="0" t="n">
        <f aca="false">IF(Presupuesto!$B$60='Flujo de Pagos'!$E451,60,9999)</f>
        <v>60</v>
      </c>
      <c r="CC451" s="0" t="n">
        <f aca="false">IF(Presupuesto!$B$61='Flujo de Pagos'!$E451,61,9999)</f>
        <v>61</v>
      </c>
      <c r="CD451" s="0" t="n">
        <f aca="false">IF(Presupuesto!$B$62='Flujo de Pagos'!$E451,62,9999)</f>
        <v>62</v>
      </c>
      <c r="CE451" s="0" t="n">
        <f aca="false">IF(Presupuesto!$B$63='Flujo de Pagos'!$E451,63,9999)</f>
        <v>63</v>
      </c>
      <c r="CF451" s="0" t="n">
        <f aca="false">IF(Presupuesto!$B$64='Flujo de Pagos'!$E451,64,9999)</f>
        <v>64</v>
      </c>
      <c r="CG451" s="0" t="n">
        <f aca="false">IF(Presupuesto!$B$65='Flujo de Pagos'!$E451,65,9999)</f>
        <v>65</v>
      </c>
      <c r="CH451" s="0" t="n">
        <f aca="false">IF(Presupuesto!$B$66='Flujo de Pagos'!$E451,66,9999)</f>
        <v>66</v>
      </c>
    </row>
    <row r="452" customFormat="false" ht="15" hidden="false" customHeight="true" outlineLevel="0" collapsed="false">
      <c r="B452" s="1" t="n">
        <f aca="false">IF(AND('Flujo de Pagos'!E457=Carátula!$B$2,'Flujo de Pagos'!F457=Carátula!$B$4,'Flujo de Pagos'!H457&lt;&gt;""),457,99999)</f>
        <v>99999</v>
      </c>
      <c r="H452" s="1" t="n">
        <f aca="false">IF(SMALL($AA452:$CH452,1)&gt;=9999,"",INDEX(Presupuesto!$C:$C,SMALL($AA452:$CH452,1)))</f>
        <v>0</v>
      </c>
      <c r="I452" s="1" t="n">
        <f aca="false">IF(SMALL($AA452:$CH452,2)&gt;=9999,"",INDEX(Presupuesto!$C:$C,SMALL($AA452:$CH452,2)))</f>
        <v>0</v>
      </c>
      <c r="J452" s="1" t="n">
        <f aca="false">IF(SMALL($AA452:$CH452,3)&gt;=9999,"",INDEX(Presupuesto!$C:$C,SMALL($AA452:$CH452,3)))</f>
        <v>0</v>
      </c>
      <c r="K452" s="1" t="n">
        <f aca="false">IF(SMALL($AA452:$CH452,4)&gt;=9999,"",INDEX(Presupuesto!$C:$C,SMALL($AA452:$CH452,4)))</f>
        <v>0</v>
      </c>
      <c r="L452" s="1" t="n">
        <f aca="false">IF(SMALL($AA452:$CH452,5)&gt;=9999,"",INDEX(Presupuesto!$C:$C,SMALL($AA452:$CH452,5)))</f>
        <v>0</v>
      </c>
      <c r="M452" s="1" t="n">
        <f aca="false">IF(SMALL($AA452:$CH452,6)&gt;=9999,"",INDEX(Presupuesto!$C:$C,SMALL($AA452:$CH452,6)))</f>
        <v>0</v>
      </c>
      <c r="N452" s="1" t="n">
        <f aca="false">IF(SMALL($AA452:$CH452,7)&gt;=9999,"",INDEX(Presupuesto!$C:$C,SMALL($AA452:$CH452,7)))</f>
        <v>0</v>
      </c>
      <c r="O452" s="1" t="n">
        <f aca="false">IF(SMALL($AA452:$CH452,8)&gt;=9999,"",INDEX(Presupuesto!$C:$C,SMALL($AA452:$CH452,8)))</f>
        <v>0</v>
      </c>
      <c r="P452" s="1" t="n">
        <f aca="false">IF(SMALL($AA452:$CH452,9)&gt;=9999,"",INDEX(Presupuesto!$C:$C,SMALL($AA452:$CH452,9)))</f>
        <v>0</v>
      </c>
      <c r="Q452" s="1" t="n">
        <f aca="false">IF(SMALL($AA452:$CH452,10)&gt;=9999,"",INDEX(Presupuesto!$C:$C,SMALL($AA452:$CH452,10)))</f>
        <v>0</v>
      </c>
      <c r="AA452" s="0" t="n">
        <f aca="false">IF(Presupuesto!$B$7='Flujo de Pagos'!$E452,7,9999)</f>
        <v>9999</v>
      </c>
      <c r="AB452" s="0" t="n">
        <f aca="false">IF(Presupuesto!$B$8='Flujo de Pagos'!$E452,8,9999)</f>
        <v>9999</v>
      </c>
      <c r="AC452" s="0" t="n">
        <f aca="false">IF(Presupuesto!$B$9='Flujo de Pagos'!$E452,9,9999)</f>
        <v>9999</v>
      </c>
      <c r="AD452" s="0" t="n">
        <f aca="false">IF(Presupuesto!$B$10='Flujo de Pagos'!$E452,10,9999)</f>
        <v>9999</v>
      </c>
      <c r="AE452" s="0" t="n">
        <f aca="false">IF(Presupuesto!$B$11='Flujo de Pagos'!$E452,11,9999)</f>
        <v>9999</v>
      </c>
      <c r="AF452" s="0" t="n">
        <f aca="false">IF(Presupuesto!$B$12='Flujo de Pagos'!$E452,12,9999)</f>
        <v>12</v>
      </c>
      <c r="AG452" s="0" t="n">
        <f aca="false">IF(Presupuesto!$B$13='Flujo de Pagos'!$E452,13,9999)</f>
        <v>13</v>
      </c>
      <c r="AH452" s="0" t="n">
        <f aca="false">IF(Presupuesto!$B$14='Flujo de Pagos'!$E452,14,9999)</f>
        <v>14</v>
      </c>
      <c r="AI452" s="0" t="n">
        <f aca="false">IF(Presupuesto!$B$15='Flujo de Pagos'!$E452,15,9999)</f>
        <v>15</v>
      </c>
      <c r="AJ452" s="0" t="n">
        <f aca="false">IF(Presupuesto!$B$16='Flujo de Pagos'!$E452,16,9999)</f>
        <v>16</v>
      </c>
      <c r="AK452" s="0" t="n">
        <f aca="false">IF(Presupuesto!$B$17='Flujo de Pagos'!$E452,17,9999)</f>
        <v>17</v>
      </c>
      <c r="AL452" s="0" t="n">
        <f aca="false">IF(Presupuesto!$B$18='Flujo de Pagos'!$E452,18,9999)</f>
        <v>18</v>
      </c>
      <c r="AM452" s="0" t="n">
        <f aca="false">IF(Presupuesto!$B$19='Flujo de Pagos'!$E452,19,9999)</f>
        <v>19</v>
      </c>
      <c r="AN452" s="0" t="n">
        <f aca="false">IF(Presupuesto!$B$20='Flujo de Pagos'!$E452,20,9999)</f>
        <v>20</v>
      </c>
      <c r="AO452" s="0" t="n">
        <f aca="false">IF(Presupuesto!$B$21='Flujo de Pagos'!$E452,21,9999)</f>
        <v>21</v>
      </c>
      <c r="AP452" s="0" t="n">
        <f aca="false">IF(Presupuesto!$B$22='Flujo de Pagos'!$E452,22,9999)</f>
        <v>22</v>
      </c>
      <c r="AQ452" s="0" t="n">
        <f aca="false">IF(Presupuesto!$B$23='Flujo de Pagos'!$E452,23,9999)</f>
        <v>23</v>
      </c>
      <c r="AR452" s="0" t="n">
        <f aca="false">IF(Presupuesto!$B$24='Flujo de Pagos'!$E452,24,9999)</f>
        <v>24</v>
      </c>
      <c r="AS452" s="0" t="n">
        <f aca="false">IF(Presupuesto!$B$25='Flujo de Pagos'!$E452,25,9999)</f>
        <v>25</v>
      </c>
      <c r="AT452" s="0" t="n">
        <f aca="false">IF(Presupuesto!$B$26='Flujo de Pagos'!$E452,26,9999)</f>
        <v>26</v>
      </c>
      <c r="AU452" s="0" t="n">
        <f aca="false">IF(Presupuesto!$B$27='Flujo de Pagos'!$E452,27,9999)</f>
        <v>27</v>
      </c>
      <c r="AV452" s="0" t="n">
        <f aca="false">IF(Presupuesto!$B$28='Flujo de Pagos'!$E452,28,9999)</f>
        <v>28</v>
      </c>
      <c r="AW452" s="0" t="n">
        <f aca="false">IF(Presupuesto!$B$29='Flujo de Pagos'!$E452,29,9999)</f>
        <v>29</v>
      </c>
      <c r="AX452" s="0" t="n">
        <f aca="false">IF(Presupuesto!$B$30='Flujo de Pagos'!$E452,30,9999)</f>
        <v>30</v>
      </c>
      <c r="AY452" s="0" t="n">
        <f aca="false">IF(Presupuesto!$B$31='Flujo de Pagos'!$E452,31,9999)</f>
        <v>31</v>
      </c>
      <c r="AZ452" s="0" t="n">
        <f aca="false">IF(Presupuesto!$B$32='Flujo de Pagos'!$E452,32,9999)</f>
        <v>32</v>
      </c>
      <c r="BA452" s="0" t="n">
        <f aca="false">IF(Presupuesto!$B$33='Flujo de Pagos'!$E452,33,9999)</f>
        <v>33</v>
      </c>
      <c r="BB452" s="0" t="n">
        <f aca="false">IF(Presupuesto!$B$34='Flujo de Pagos'!$E452,34,9999)</f>
        <v>34</v>
      </c>
      <c r="BC452" s="0" t="n">
        <f aca="false">IF(Presupuesto!$B$35='Flujo de Pagos'!$E452,35,9999)</f>
        <v>35</v>
      </c>
      <c r="BD452" s="0" t="n">
        <f aca="false">IF(Presupuesto!$B$36='Flujo de Pagos'!$E452,36,9999)</f>
        <v>36</v>
      </c>
      <c r="BE452" s="0" t="n">
        <f aca="false">IF(Presupuesto!$B$37='Flujo de Pagos'!$E452,37,9999)</f>
        <v>37</v>
      </c>
      <c r="BF452" s="0" t="n">
        <f aca="false">IF(Presupuesto!$B$38='Flujo de Pagos'!$E452,38,9999)</f>
        <v>38</v>
      </c>
      <c r="BG452" s="0" t="n">
        <f aca="false">IF(Presupuesto!$B$39='Flujo de Pagos'!$E452,39,9999)</f>
        <v>39</v>
      </c>
      <c r="BH452" s="0" t="n">
        <f aca="false">IF(Presupuesto!$B$40='Flujo de Pagos'!$E452,40,9999)</f>
        <v>40</v>
      </c>
      <c r="BI452" s="0" t="n">
        <f aca="false">IF(Presupuesto!$B$41='Flujo de Pagos'!$E452,41,9999)</f>
        <v>41</v>
      </c>
      <c r="BJ452" s="0" t="n">
        <f aca="false">IF(Presupuesto!$B$42='Flujo de Pagos'!$E452,42,9999)</f>
        <v>42</v>
      </c>
      <c r="BK452" s="0" t="n">
        <f aca="false">IF(Presupuesto!$B$43='Flujo de Pagos'!$E452,43,9999)</f>
        <v>43</v>
      </c>
      <c r="BL452" s="0" t="n">
        <f aca="false">IF(Presupuesto!$B$44='Flujo de Pagos'!$E452,44,9999)</f>
        <v>44</v>
      </c>
      <c r="BM452" s="0" t="n">
        <f aca="false">IF(Presupuesto!$B$45='Flujo de Pagos'!$E452,45,9999)</f>
        <v>45</v>
      </c>
      <c r="BN452" s="0" t="n">
        <f aca="false">IF(Presupuesto!$B$46='Flujo de Pagos'!$E452,46,9999)</f>
        <v>46</v>
      </c>
      <c r="BO452" s="0" t="n">
        <f aca="false">IF(Presupuesto!$B$47='Flujo de Pagos'!$E452,47,9999)</f>
        <v>47</v>
      </c>
      <c r="BP452" s="0" t="n">
        <f aca="false">IF(Presupuesto!$B$48='Flujo de Pagos'!$E452,48,9999)</f>
        <v>48</v>
      </c>
      <c r="BQ452" s="0" t="n">
        <f aca="false">IF(Presupuesto!$B$49='Flujo de Pagos'!$E452,49,9999)</f>
        <v>49</v>
      </c>
      <c r="BR452" s="0" t="n">
        <f aca="false">IF(Presupuesto!$B$50='Flujo de Pagos'!$E452,50,9999)</f>
        <v>50</v>
      </c>
      <c r="BS452" s="0" t="n">
        <f aca="false">IF(Presupuesto!$B$51='Flujo de Pagos'!$E452,51,9999)</f>
        <v>51</v>
      </c>
      <c r="BT452" s="0" t="n">
        <f aca="false">IF(Presupuesto!$B$52='Flujo de Pagos'!$E452,52,9999)</f>
        <v>52</v>
      </c>
      <c r="BU452" s="0" t="n">
        <f aca="false">IF(Presupuesto!$B$53='Flujo de Pagos'!$E452,53,9999)</f>
        <v>53</v>
      </c>
      <c r="BV452" s="0" t="n">
        <f aca="false">IF(Presupuesto!$B$54='Flujo de Pagos'!$E452,54,9999)</f>
        <v>54</v>
      </c>
      <c r="BW452" s="0" t="n">
        <f aca="false">IF(Presupuesto!$B$55='Flujo de Pagos'!$E452,55,9999)</f>
        <v>55</v>
      </c>
      <c r="BX452" s="0" t="n">
        <f aca="false">IF(Presupuesto!$B$56='Flujo de Pagos'!$E452,56,9999)</f>
        <v>56</v>
      </c>
      <c r="BY452" s="0" t="n">
        <f aca="false">IF(Presupuesto!$B$57='Flujo de Pagos'!$E452,57,9999)</f>
        <v>57</v>
      </c>
      <c r="BZ452" s="0" t="n">
        <f aca="false">IF(Presupuesto!$B$58='Flujo de Pagos'!$E452,58,9999)</f>
        <v>58</v>
      </c>
      <c r="CA452" s="0" t="n">
        <f aca="false">IF(Presupuesto!$B$59='Flujo de Pagos'!$E452,59,9999)</f>
        <v>59</v>
      </c>
      <c r="CB452" s="0" t="n">
        <f aca="false">IF(Presupuesto!$B$60='Flujo de Pagos'!$E452,60,9999)</f>
        <v>60</v>
      </c>
      <c r="CC452" s="0" t="n">
        <f aca="false">IF(Presupuesto!$B$61='Flujo de Pagos'!$E452,61,9999)</f>
        <v>61</v>
      </c>
      <c r="CD452" s="0" t="n">
        <f aca="false">IF(Presupuesto!$B$62='Flujo de Pagos'!$E452,62,9999)</f>
        <v>62</v>
      </c>
      <c r="CE452" s="0" t="n">
        <f aca="false">IF(Presupuesto!$B$63='Flujo de Pagos'!$E452,63,9999)</f>
        <v>63</v>
      </c>
      <c r="CF452" s="0" t="n">
        <f aca="false">IF(Presupuesto!$B$64='Flujo de Pagos'!$E452,64,9999)</f>
        <v>64</v>
      </c>
      <c r="CG452" s="0" t="n">
        <f aca="false">IF(Presupuesto!$B$65='Flujo de Pagos'!$E452,65,9999)</f>
        <v>65</v>
      </c>
      <c r="CH452" s="0" t="n">
        <f aca="false">IF(Presupuesto!$B$66='Flujo de Pagos'!$E452,66,9999)</f>
        <v>66</v>
      </c>
    </row>
    <row r="453" customFormat="false" ht="15" hidden="false" customHeight="true" outlineLevel="0" collapsed="false">
      <c r="B453" s="1" t="n">
        <f aca="false">IF(AND('Flujo de Pagos'!E458=Carátula!$B$2,'Flujo de Pagos'!F458=Carátula!$B$4,'Flujo de Pagos'!H458&lt;&gt;""),458,99999)</f>
        <v>99999</v>
      </c>
      <c r="H453" s="1" t="n">
        <f aca="false">IF(SMALL($AA453:$CH453,1)&gt;=9999,"",INDEX(Presupuesto!$C:$C,SMALL($AA453:$CH453,1)))</f>
        <v>0</v>
      </c>
      <c r="I453" s="1" t="n">
        <f aca="false">IF(SMALL($AA453:$CH453,2)&gt;=9999,"",INDEX(Presupuesto!$C:$C,SMALL($AA453:$CH453,2)))</f>
        <v>0</v>
      </c>
      <c r="J453" s="1" t="n">
        <f aca="false">IF(SMALL($AA453:$CH453,3)&gt;=9999,"",INDEX(Presupuesto!$C:$C,SMALL($AA453:$CH453,3)))</f>
        <v>0</v>
      </c>
      <c r="K453" s="1" t="n">
        <f aca="false">IF(SMALL($AA453:$CH453,4)&gt;=9999,"",INDEX(Presupuesto!$C:$C,SMALL($AA453:$CH453,4)))</f>
        <v>0</v>
      </c>
      <c r="L453" s="1" t="n">
        <f aca="false">IF(SMALL($AA453:$CH453,5)&gt;=9999,"",INDEX(Presupuesto!$C:$C,SMALL($AA453:$CH453,5)))</f>
        <v>0</v>
      </c>
      <c r="M453" s="1" t="n">
        <f aca="false">IF(SMALL($AA453:$CH453,6)&gt;=9999,"",INDEX(Presupuesto!$C:$C,SMALL($AA453:$CH453,6)))</f>
        <v>0</v>
      </c>
      <c r="N453" s="1" t="n">
        <f aca="false">IF(SMALL($AA453:$CH453,7)&gt;=9999,"",INDEX(Presupuesto!$C:$C,SMALL($AA453:$CH453,7)))</f>
        <v>0</v>
      </c>
      <c r="O453" s="1" t="n">
        <f aca="false">IF(SMALL($AA453:$CH453,8)&gt;=9999,"",INDEX(Presupuesto!$C:$C,SMALL($AA453:$CH453,8)))</f>
        <v>0</v>
      </c>
      <c r="P453" s="1" t="n">
        <f aca="false">IF(SMALL($AA453:$CH453,9)&gt;=9999,"",INDEX(Presupuesto!$C:$C,SMALL($AA453:$CH453,9)))</f>
        <v>0</v>
      </c>
      <c r="Q453" s="1" t="n">
        <f aca="false">IF(SMALL($AA453:$CH453,10)&gt;=9999,"",INDEX(Presupuesto!$C:$C,SMALL($AA453:$CH453,10)))</f>
        <v>0</v>
      </c>
      <c r="AA453" s="0" t="n">
        <f aca="false">IF(Presupuesto!$B$7='Flujo de Pagos'!$E453,7,9999)</f>
        <v>9999</v>
      </c>
      <c r="AB453" s="0" t="n">
        <f aca="false">IF(Presupuesto!$B$8='Flujo de Pagos'!$E453,8,9999)</f>
        <v>9999</v>
      </c>
      <c r="AC453" s="0" t="n">
        <f aca="false">IF(Presupuesto!$B$9='Flujo de Pagos'!$E453,9,9999)</f>
        <v>9999</v>
      </c>
      <c r="AD453" s="0" t="n">
        <f aca="false">IF(Presupuesto!$B$10='Flujo de Pagos'!$E453,10,9999)</f>
        <v>9999</v>
      </c>
      <c r="AE453" s="0" t="n">
        <f aca="false">IF(Presupuesto!$B$11='Flujo de Pagos'!$E453,11,9999)</f>
        <v>9999</v>
      </c>
      <c r="AF453" s="0" t="n">
        <f aca="false">IF(Presupuesto!$B$12='Flujo de Pagos'!$E453,12,9999)</f>
        <v>12</v>
      </c>
      <c r="AG453" s="0" t="n">
        <f aca="false">IF(Presupuesto!$B$13='Flujo de Pagos'!$E453,13,9999)</f>
        <v>13</v>
      </c>
      <c r="AH453" s="0" t="n">
        <f aca="false">IF(Presupuesto!$B$14='Flujo de Pagos'!$E453,14,9999)</f>
        <v>14</v>
      </c>
      <c r="AI453" s="0" t="n">
        <f aca="false">IF(Presupuesto!$B$15='Flujo de Pagos'!$E453,15,9999)</f>
        <v>15</v>
      </c>
      <c r="AJ453" s="0" t="n">
        <f aca="false">IF(Presupuesto!$B$16='Flujo de Pagos'!$E453,16,9999)</f>
        <v>16</v>
      </c>
      <c r="AK453" s="0" t="n">
        <f aca="false">IF(Presupuesto!$B$17='Flujo de Pagos'!$E453,17,9999)</f>
        <v>17</v>
      </c>
      <c r="AL453" s="0" t="n">
        <f aca="false">IF(Presupuesto!$B$18='Flujo de Pagos'!$E453,18,9999)</f>
        <v>18</v>
      </c>
      <c r="AM453" s="0" t="n">
        <f aca="false">IF(Presupuesto!$B$19='Flujo de Pagos'!$E453,19,9999)</f>
        <v>19</v>
      </c>
      <c r="AN453" s="0" t="n">
        <f aca="false">IF(Presupuesto!$B$20='Flujo de Pagos'!$E453,20,9999)</f>
        <v>20</v>
      </c>
      <c r="AO453" s="0" t="n">
        <f aca="false">IF(Presupuesto!$B$21='Flujo de Pagos'!$E453,21,9999)</f>
        <v>21</v>
      </c>
      <c r="AP453" s="0" t="n">
        <f aca="false">IF(Presupuesto!$B$22='Flujo de Pagos'!$E453,22,9999)</f>
        <v>22</v>
      </c>
      <c r="AQ453" s="0" t="n">
        <f aca="false">IF(Presupuesto!$B$23='Flujo de Pagos'!$E453,23,9999)</f>
        <v>23</v>
      </c>
      <c r="AR453" s="0" t="n">
        <f aca="false">IF(Presupuesto!$B$24='Flujo de Pagos'!$E453,24,9999)</f>
        <v>24</v>
      </c>
      <c r="AS453" s="0" t="n">
        <f aca="false">IF(Presupuesto!$B$25='Flujo de Pagos'!$E453,25,9999)</f>
        <v>25</v>
      </c>
      <c r="AT453" s="0" t="n">
        <f aca="false">IF(Presupuesto!$B$26='Flujo de Pagos'!$E453,26,9999)</f>
        <v>26</v>
      </c>
      <c r="AU453" s="0" t="n">
        <f aca="false">IF(Presupuesto!$B$27='Flujo de Pagos'!$E453,27,9999)</f>
        <v>27</v>
      </c>
      <c r="AV453" s="0" t="n">
        <f aca="false">IF(Presupuesto!$B$28='Flujo de Pagos'!$E453,28,9999)</f>
        <v>28</v>
      </c>
      <c r="AW453" s="0" t="n">
        <f aca="false">IF(Presupuesto!$B$29='Flujo de Pagos'!$E453,29,9999)</f>
        <v>29</v>
      </c>
      <c r="AX453" s="0" t="n">
        <f aca="false">IF(Presupuesto!$B$30='Flujo de Pagos'!$E453,30,9999)</f>
        <v>30</v>
      </c>
      <c r="AY453" s="0" t="n">
        <f aca="false">IF(Presupuesto!$B$31='Flujo de Pagos'!$E453,31,9999)</f>
        <v>31</v>
      </c>
      <c r="AZ453" s="0" t="n">
        <f aca="false">IF(Presupuesto!$B$32='Flujo de Pagos'!$E453,32,9999)</f>
        <v>32</v>
      </c>
      <c r="BA453" s="0" t="n">
        <f aca="false">IF(Presupuesto!$B$33='Flujo de Pagos'!$E453,33,9999)</f>
        <v>33</v>
      </c>
      <c r="BB453" s="0" t="n">
        <f aca="false">IF(Presupuesto!$B$34='Flujo de Pagos'!$E453,34,9999)</f>
        <v>34</v>
      </c>
      <c r="BC453" s="0" t="n">
        <f aca="false">IF(Presupuesto!$B$35='Flujo de Pagos'!$E453,35,9999)</f>
        <v>35</v>
      </c>
      <c r="BD453" s="0" t="n">
        <f aca="false">IF(Presupuesto!$B$36='Flujo de Pagos'!$E453,36,9999)</f>
        <v>36</v>
      </c>
      <c r="BE453" s="0" t="n">
        <f aca="false">IF(Presupuesto!$B$37='Flujo de Pagos'!$E453,37,9999)</f>
        <v>37</v>
      </c>
      <c r="BF453" s="0" t="n">
        <f aca="false">IF(Presupuesto!$B$38='Flujo de Pagos'!$E453,38,9999)</f>
        <v>38</v>
      </c>
      <c r="BG453" s="0" t="n">
        <f aca="false">IF(Presupuesto!$B$39='Flujo de Pagos'!$E453,39,9999)</f>
        <v>39</v>
      </c>
      <c r="BH453" s="0" t="n">
        <f aca="false">IF(Presupuesto!$B$40='Flujo de Pagos'!$E453,40,9999)</f>
        <v>40</v>
      </c>
      <c r="BI453" s="0" t="n">
        <f aca="false">IF(Presupuesto!$B$41='Flujo de Pagos'!$E453,41,9999)</f>
        <v>41</v>
      </c>
      <c r="BJ453" s="0" t="n">
        <f aca="false">IF(Presupuesto!$B$42='Flujo de Pagos'!$E453,42,9999)</f>
        <v>42</v>
      </c>
      <c r="BK453" s="0" t="n">
        <f aca="false">IF(Presupuesto!$B$43='Flujo de Pagos'!$E453,43,9999)</f>
        <v>43</v>
      </c>
      <c r="BL453" s="0" t="n">
        <f aca="false">IF(Presupuesto!$B$44='Flujo de Pagos'!$E453,44,9999)</f>
        <v>44</v>
      </c>
      <c r="BM453" s="0" t="n">
        <f aca="false">IF(Presupuesto!$B$45='Flujo de Pagos'!$E453,45,9999)</f>
        <v>45</v>
      </c>
      <c r="BN453" s="0" t="n">
        <f aca="false">IF(Presupuesto!$B$46='Flujo de Pagos'!$E453,46,9999)</f>
        <v>46</v>
      </c>
      <c r="BO453" s="0" t="n">
        <f aca="false">IF(Presupuesto!$B$47='Flujo de Pagos'!$E453,47,9999)</f>
        <v>47</v>
      </c>
      <c r="BP453" s="0" t="n">
        <f aca="false">IF(Presupuesto!$B$48='Flujo de Pagos'!$E453,48,9999)</f>
        <v>48</v>
      </c>
      <c r="BQ453" s="0" t="n">
        <f aca="false">IF(Presupuesto!$B$49='Flujo de Pagos'!$E453,49,9999)</f>
        <v>49</v>
      </c>
      <c r="BR453" s="0" t="n">
        <f aca="false">IF(Presupuesto!$B$50='Flujo de Pagos'!$E453,50,9999)</f>
        <v>50</v>
      </c>
      <c r="BS453" s="0" t="n">
        <f aca="false">IF(Presupuesto!$B$51='Flujo de Pagos'!$E453,51,9999)</f>
        <v>51</v>
      </c>
      <c r="BT453" s="0" t="n">
        <f aca="false">IF(Presupuesto!$B$52='Flujo de Pagos'!$E453,52,9999)</f>
        <v>52</v>
      </c>
      <c r="BU453" s="0" t="n">
        <f aca="false">IF(Presupuesto!$B$53='Flujo de Pagos'!$E453,53,9999)</f>
        <v>53</v>
      </c>
      <c r="BV453" s="0" t="n">
        <f aca="false">IF(Presupuesto!$B$54='Flujo de Pagos'!$E453,54,9999)</f>
        <v>54</v>
      </c>
      <c r="BW453" s="0" t="n">
        <f aca="false">IF(Presupuesto!$B$55='Flujo de Pagos'!$E453,55,9999)</f>
        <v>55</v>
      </c>
      <c r="BX453" s="0" t="n">
        <f aca="false">IF(Presupuesto!$B$56='Flujo de Pagos'!$E453,56,9999)</f>
        <v>56</v>
      </c>
      <c r="BY453" s="0" t="n">
        <f aca="false">IF(Presupuesto!$B$57='Flujo de Pagos'!$E453,57,9999)</f>
        <v>57</v>
      </c>
      <c r="BZ453" s="0" t="n">
        <f aca="false">IF(Presupuesto!$B$58='Flujo de Pagos'!$E453,58,9999)</f>
        <v>58</v>
      </c>
      <c r="CA453" s="0" t="n">
        <f aca="false">IF(Presupuesto!$B$59='Flujo de Pagos'!$E453,59,9999)</f>
        <v>59</v>
      </c>
      <c r="CB453" s="0" t="n">
        <f aca="false">IF(Presupuesto!$B$60='Flujo de Pagos'!$E453,60,9999)</f>
        <v>60</v>
      </c>
      <c r="CC453" s="0" t="n">
        <f aca="false">IF(Presupuesto!$B$61='Flujo de Pagos'!$E453,61,9999)</f>
        <v>61</v>
      </c>
      <c r="CD453" s="0" t="n">
        <f aca="false">IF(Presupuesto!$B$62='Flujo de Pagos'!$E453,62,9999)</f>
        <v>62</v>
      </c>
      <c r="CE453" s="0" t="n">
        <f aca="false">IF(Presupuesto!$B$63='Flujo de Pagos'!$E453,63,9999)</f>
        <v>63</v>
      </c>
      <c r="CF453" s="0" t="n">
        <f aca="false">IF(Presupuesto!$B$64='Flujo de Pagos'!$E453,64,9999)</f>
        <v>64</v>
      </c>
      <c r="CG453" s="0" t="n">
        <f aca="false">IF(Presupuesto!$B$65='Flujo de Pagos'!$E453,65,9999)</f>
        <v>65</v>
      </c>
      <c r="CH453" s="0" t="n">
        <f aca="false">IF(Presupuesto!$B$66='Flujo de Pagos'!$E453,66,9999)</f>
        <v>66</v>
      </c>
    </row>
    <row r="454" customFormat="false" ht="15" hidden="false" customHeight="true" outlineLevel="0" collapsed="false">
      <c r="B454" s="1" t="n">
        <f aca="false">IF(AND('Flujo de Pagos'!E459=Carátula!$B$2,'Flujo de Pagos'!F459=Carátula!$B$4,'Flujo de Pagos'!H459&lt;&gt;""),459,99999)</f>
        <v>99999</v>
      </c>
      <c r="H454" s="1" t="n">
        <f aca="false">IF(SMALL($AA454:$CH454,1)&gt;=9999,"",INDEX(Presupuesto!$C:$C,SMALL($AA454:$CH454,1)))</f>
        <v>0</v>
      </c>
      <c r="I454" s="1" t="n">
        <f aca="false">IF(SMALL($AA454:$CH454,2)&gt;=9999,"",INDEX(Presupuesto!$C:$C,SMALL($AA454:$CH454,2)))</f>
        <v>0</v>
      </c>
      <c r="J454" s="1" t="n">
        <f aca="false">IF(SMALL($AA454:$CH454,3)&gt;=9999,"",INDEX(Presupuesto!$C:$C,SMALL($AA454:$CH454,3)))</f>
        <v>0</v>
      </c>
      <c r="K454" s="1" t="n">
        <f aca="false">IF(SMALL($AA454:$CH454,4)&gt;=9999,"",INDEX(Presupuesto!$C:$C,SMALL($AA454:$CH454,4)))</f>
        <v>0</v>
      </c>
      <c r="L454" s="1" t="n">
        <f aca="false">IF(SMALL($AA454:$CH454,5)&gt;=9999,"",INDEX(Presupuesto!$C:$C,SMALL($AA454:$CH454,5)))</f>
        <v>0</v>
      </c>
      <c r="M454" s="1" t="n">
        <f aca="false">IF(SMALL($AA454:$CH454,6)&gt;=9999,"",INDEX(Presupuesto!$C:$C,SMALL($AA454:$CH454,6)))</f>
        <v>0</v>
      </c>
      <c r="N454" s="1" t="n">
        <f aca="false">IF(SMALL($AA454:$CH454,7)&gt;=9999,"",INDEX(Presupuesto!$C:$C,SMALL($AA454:$CH454,7)))</f>
        <v>0</v>
      </c>
      <c r="O454" s="1" t="n">
        <f aca="false">IF(SMALL($AA454:$CH454,8)&gt;=9999,"",INDEX(Presupuesto!$C:$C,SMALL($AA454:$CH454,8)))</f>
        <v>0</v>
      </c>
      <c r="P454" s="1" t="n">
        <f aca="false">IF(SMALL($AA454:$CH454,9)&gt;=9999,"",INDEX(Presupuesto!$C:$C,SMALL($AA454:$CH454,9)))</f>
        <v>0</v>
      </c>
      <c r="Q454" s="1" t="n">
        <f aca="false">IF(SMALL($AA454:$CH454,10)&gt;=9999,"",INDEX(Presupuesto!$C:$C,SMALL($AA454:$CH454,10)))</f>
        <v>0</v>
      </c>
      <c r="AA454" s="0" t="n">
        <f aca="false">IF(Presupuesto!$B$7='Flujo de Pagos'!$E454,7,9999)</f>
        <v>9999</v>
      </c>
      <c r="AB454" s="0" t="n">
        <f aca="false">IF(Presupuesto!$B$8='Flujo de Pagos'!$E454,8,9999)</f>
        <v>9999</v>
      </c>
      <c r="AC454" s="0" t="n">
        <f aca="false">IF(Presupuesto!$B$9='Flujo de Pagos'!$E454,9,9999)</f>
        <v>9999</v>
      </c>
      <c r="AD454" s="0" t="n">
        <f aca="false">IF(Presupuesto!$B$10='Flujo de Pagos'!$E454,10,9999)</f>
        <v>9999</v>
      </c>
      <c r="AE454" s="0" t="n">
        <f aca="false">IF(Presupuesto!$B$11='Flujo de Pagos'!$E454,11,9999)</f>
        <v>9999</v>
      </c>
      <c r="AF454" s="0" t="n">
        <f aca="false">IF(Presupuesto!$B$12='Flujo de Pagos'!$E454,12,9999)</f>
        <v>12</v>
      </c>
      <c r="AG454" s="0" t="n">
        <f aca="false">IF(Presupuesto!$B$13='Flujo de Pagos'!$E454,13,9999)</f>
        <v>13</v>
      </c>
      <c r="AH454" s="0" t="n">
        <f aca="false">IF(Presupuesto!$B$14='Flujo de Pagos'!$E454,14,9999)</f>
        <v>14</v>
      </c>
      <c r="AI454" s="0" t="n">
        <f aca="false">IF(Presupuesto!$B$15='Flujo de Pagos'!$E454,15,9999)</f>
        <v>15</v>
      </c>
      <c r="AJ454" s="0" t="n">
        <f aca="false">IF(Presupuesto!$B$16='Flujo de Pagos'!$E454,16,9999)</f>
        <v>16</v>
      </c>
      <c r="AK454" s="0" t="n">
        <f aca="false">IF(Presupuesto!$B$17='Flujo de Pagos'!$E454,17,9999)</f>
        <v>17</v>
      </c>
      <c r="AL454" s="0" t="n">
        <f aca="false">IF(Presupuesto!$B$18='Flujo de Pagos'!$E454,18,9999)</f>
        <v>18</v>
      </c>
      <c r="AM454" s="0" t="n">
        <f aca="false">IF(Presupuesto!$B$19='Flujo de Pagos'!$E454,19,9999)</f>
        <v>19</v>
      </c>
      <c r="AN454" s="0" t="n">
        <f aca="false">IF(Presupuesto!$B$20='Flujo de Pagos'!$E454,20,9999)</f>
        <v>20</v>
      </c>
      <c r="AO454" s="0" t="n">
        <f aca="false">IF(Presupuesto!$B$21='Flujo de Pagos'!$E454,21,9999)</f>
        <v>21</v>
      </c>
      <c r="AP454" s="0" t="n">
        <f aca="false">IF(Presupuesto!$B$22='Flujo de Pagos'!$E454,22,9999)</f>
        <v>22</v>
      </c>
      <c r="AQ454" s="0" t="n">
        <f aca="false">IF(Presupuesto!$B$23='Flujo de Pagos'!$E454,23,9999)</f>
        <v>23</v>
      </c>
      <c r="AR454" s="0" t="n">
        <f aca="false">IF(Presupuesto!$B$24='Flujo de Pagos'!$E454,24,9999)</f>
        <v>24</v>
      </c>
      <c r="AS454" s="0" t="n">
        <f aca="false">IF(Presupuesto!$B$25='Flujo de Pagos'!$E454,25,9999)</f>
        <v>25</v>
      </c>
      <c r="AT454" s="0" t="n">
        <f aca="false">IF(Presupuesto!$B$26='Flujo de Pagos'!$E454,26,9999)</f>
        <v>26</v>
      </c>
      <c r="AU454" s="0" t="n">
        <f aca="false">IF(Presupuesto!$B$27='Flujo de Pagos'!$E454,27,9999)</f>
        <v>27</v>
      </c>
      <c r="AV454" s="0" t="n">
        <f aca="false">IF(Presupuesto!$B$28='Flujo de Pagos'!$E454,28,9999)</f>
        <v>28</v>
      </c>
      <c r="AW454" s="0" t="n">
        <f aca="false">IF(Presupuesto!$B$29='Flujo de Pagos'!$E454,29,9999)</f>
        <v>29</v>
      </c>
      <c r="AX454" s="0" t="n">
        <f aca="false">IF(Presupuesto!$B$30='Flujo de Pagos'!$E454,30,9999)</f>
        <v>30</v>
      </c>
      <c r="AY454" s="0" t="n">
        <f aca="false">IF(Presupuesto!$B$31='Flujo de Pagos'!$E454,31,9999)</f>
        <v>31</v>
      </c>
      <c r="AZ454" s="0" t="n">
        <f aca="false">IF(Presupuesto!$B$32='Flujo de Pagos'!$E454,32,9999)</f>
        <v>32</v>
      </c>
      <c r="BA454" s="0" t="n">
        <f aca="false">IF(Presupuesto!$B$33='Flujo de Pagos'!$E454,33,9999)</f>
        <v>33</v>
      </c>
      <c r="BB454" s="0" t="n">
        <f aca="false">IF(Presupuesto!$B$34='Flujo de Pagos'!$E454,34,9999)</f>
        <v>34</v>
      </c>
      <c r="BC454" s="0" t="n">
        <f aca="false">IF(Presupuesto!$B$35='Flujo de Pagos'!$E454,35,9999)</f>
        <v>35</v>
      </c>
      <c r="BD454" s="0" t="n">
        <f aca="false">IF(Presupuesto!$B$36='Flujo de Pagos'!$E454,36,9999)</f>
        <v>36</v>
      </c>
      <c r="BE454" s="0" t="n">
        <f aca="false">IF(Presupuesto!$B$37='Flujo de Pagos'!$E454,37,9999)</f>
        <v>37</v>
      </c>
      <c r="BF454" s="0" t="n">
        <f aca="false">IF(Presupuesto!$B$38='Flujo de Pagos'!$E454,38,9999)</f>
        <v>38</v>
      </c>
      <c r="BG454" s="0" t="n">
        <f aca="false">IF(Presupuesto!$B$39='Flujo de Pagos'!$E454,39,9999)</f>
        <v>39</v>
      </c>
      <c r="BH454" s="0" t="n">
        <f aca="false">IF(Presupuesto!$B$40='Flujo de Pagos'!$E454,40,9999)</f>
        <v>40</v>
      </c>
      <c r="BI454" s="0" t="n">
        <f aca="false">IF(Presupuesto!$B$41='Flujo de Pagos'!$E454,41,9999)</f>
        <v>41</v>
      </c>
      <c r="BJ454" s="0" t="n">
        <f aca="false">IF(Presupuesto!$B$42='Flujo de Pagos'!$E454,42,9999)</f>
        <v>42</v>
      </c>
      <c r="BK454" s="0" t="n">
        <f aca="false">IF(Presupuesto!$B$43='Flujo de Pagos'!$E454,43,9999)</f>
        <v>43</v>
      </c>
      <c r="BL454" s="0" t="n">
        <f aca="false">IF(Presupuesto!$B$44='Flujo de Pagos'!$E454,44,9999)</f>
        <v>44</v>
      </c>
      <c r="BM454" s="0" t="n">
        <f aca="false">IF(Presupuesto!$B$45='Flujo de Pagos'!$E454,45,9999)</f>
        <v>45</v>
      </c>
      <c r="BN454" s="0" t="n">
        <f aca="false">IF(Presupuesto!$B$46='Flujo de Pagos'!$E454,46,9999)</f>
        <v>46</v>
      </c>
      <c r="BO454" s="0" t="n">
        <f aca="false">IF(Presupuesto!$B$47='Flujo de Pagos'!$E454,47,9999)</f>
        <v>47</v>
      </c>
      <c r="BP454" s="0" t="n">
        <f aca="false">IF(Presupuesto!$B$48='Flujo de Pagos'!$E454,48,9999)</f>
        <v>48</v>
      </c>
      <c r="BQ454" s="0" t="n">
        <f aca="false">IF(Presupuesto!$B$49='Flujo de Pagos'!$E454,49,9999)</f>
        <v>49</v>
      </c>
      <c r="BR454" s="0" t="n">
        <f aca="false">IF(Presupuesto!$B$50='Flujo de Pagos'!$E454,50,9999)</f>
        <v>50</v>
      </c>
      <c r="BS454" s="0" t="n">
        <f aca="false">IF(Presupuesto!$B$51='Flujo de Pagos'!$E454,51,9999)</f>
        <v>51</v>
      </c>
      <c r="BT454" s="0" t="n">
        <f aca="false">IF(Presupuesto!$B$52='Flujo de Pagos'!$E454,52,9999)</f>
        <v>52</v>
      </c>
      <c r="BU454" s="0" t="n">
        <f aca="false">IF(Presupuesto!$B$53='Flujo de Pagos'!$E454,53,9999)</f>
        <v>53</v>
      </c>
      <c r="BV454" s="0" t="n">
        <f aca="false">IF(Presupuesto!$B$54='Flujo de Pagos'!$E454,54,9999)</f>
        <v>54</v>
      </c>
      <c r="BW454" s="0" t="n">
        <f aca="false">IF(Presupuesto!$B$55='Flujo de Pagos'!$E454,55,9999)</f>
        <v>55</v>
      </c>
      <c r="BX454" s="0" t="n">
        <f aca="false">IF(Presupuesto!$B$56='Flujo de Pagos'!$E454,56,9999)</f>
        <v>56</v>
      </c>
      <c r="BY454" s="0" t="n">
        <f aca="false">IF(Presupuesto!$B$57='Flujo de Pagos'!$E454,57,9999)</f>
        <v>57</v>
      </c>
      <c r="BZ454" s="0" t="n">
        <f aca="false">IF(Presupuesto!$B$58='Flujo de Pagos'!$E454,58,9999)</f>
        <v>58</v>
      </c>
      <c r="CA454" s="0" t="n">
        <f aca="false">IF(Presupuesto!$B$59='Flujo de Pagos'!$E454,59,9999)</f>
        <v>59</v>
      </c>
      <c r="CB454" s="0" t="n">
        <f aca="false">IF(Presupuesto!$B$60='Flujo de Pagos'!$E454,60,9999)</f>
        <v>60</v>
      </c>
      <c r="CC454" s="0" t="n">
        <f aca="false">IF(Presupuesto!$B$61='Flujo de Pagos'!$E454,61,9999)</f>
        <v>61</v>
      </c>
      <c r="CD454" s="0" t="n">
        <f aca="false">IF(Presupuesto!$B$62='Flujo de Pagos'!$E454,62,9999)</f>
        <v>62</v>
      </c>
      <c r="CE454" s="0" t="n">
        <f aca="false">IF(Presupuesto!$B$63='Flujo de Pagos'!$E454,63,9999)</f>
        <v>63</v>
      </c>
      <c r="CF454" s="0" t="n">
        <f aca="false">IF(Presupuesto!$B$64='Flujo de Pagos'!$E454,64,9999)</f>
        <v>64</v>
      </c>
      <c r="CG454" s="0" t="n">
        <f aca="false">IF(Presupuesto!$B$65='Flujo de Pagos'!$E454,65,9999)</f>
        <v>65</v>
      </c>
      <c r="CH454" s="0" t="n">
        <f aca="false">IF(Presupuesto!$B$66='Flujo de Pagos'!$E454,66,9999)</f>
        <v>66</v>
      </c>
    </row>
    <row r="455" customFormat="false" ht="15" hidden="false" customHeight="true" outlineLevel="0" collapsed="false">
      <c r="B455" s="1" t="n">
        <f aca="false">IF(AND('Flujo de Pagos'!E460=Carátula!$B$2,'Flujo de Pagos'!F460=Carátula!$B$4,'Flujo de Pagos'!H460&lt;&gt;""),460,99999)</f>
        <v>99999</v>
      </c>
      <c r="H455" s="1" t="n">
        <f aca="false">IF(SMALL($AA455:$CH455,1)&gt;=9999,"",INDEX(Presupuesto!$C:$C,SMALL($AA455:$CH455,1)))</f>
        <v>0</v>
      </c>
      <c r="I455" s="1" t="n">
        <f aca="false">IF(SMALL($AA455:$CH455,2)&gt;=9999,"",INDEX(Presupuesto!$C:$C,SMALL($AA455:$CH455,2)))</f>
        <v>0</v>
      </c>
      <c r="J455" s="1" t="n">
        <f aca="false">IF(SMALL($AA455:$CH455,3)&gt;=9999,"",INDEX(Presupuesto!$C:$C,SMALL($AA455:$CH455,3)))</f>
        <v>0</v>
      </c>
      <c r="K455" s="1" t="n">
        <f aca="false">IF(SMALL($AA455:$CH455,4)&gt;=9999,"",INDEX(Presupuesto!$C:$C,SMALL($AA455:$CH455,4)))</f>
        <v>0</v>
      </c>
      <c r="L455" s="1" t="n">
        <f aca="false">IF(SMALL($AA455:$CH455,5)&gt;=9999,"",INDEX(Presupuesto!$C:$C,SMALL($AA455:$CH455,5)))</f>
        <v>0</v>
      </c>
      <c r="M455" s="1" t="n">
        <f aca="false">IF(SMALL($AA455:$CH455,6)&gt;=9999,"",INDEX(Presupuesto!$C:$C,SMALL($AA455:$CH455,6)))</f>
        <v>0</v>
      </c>
      <c r="N455" s="1" t="n">
        <f aca="false">IF(SMALL($AA455:$CH455,7)&gt;=9999,"",INDEX(Presupuesto!$C:$C,SMALL($AA455:$CH455,7)))</f>
        <v>0</v>
      </c>
      <c r="O455" s="1" t="n">
        <f aca="false">IF(SMALL($AA455:$CH455,8)&gt;=9999,"",INDEX(Presupuesto!$C:$C,SMALL($AA455:$CH455,8)))</f>
        <v>0</v>
      </c>
      <c r="P455" s="1" t="n">
        <f aca="false">IF(SMALL($AA455:$CH455,9)&gt;=9999,"",INDEX(Presupuesto!$C:$C,SMALL($AA455:$CH455,9)))</f>
        <v>0</v>
      </c>
      <c r="Q455" s="1" t="n">
        <f aca="false">IF(SMALL($AA455:$CH455,10)&gt;=9999,"",INDEX(Presupuesto!$C:$C,SMALL($AA455:$CH455,10)))</f>
        <v>0</v>
      </c>
      <c r="AA455" s="0" t="n">
        <f aca="false">IF(Presupuesto!$B$7='Flujo de Pagos'!$E455,7,9999)</f>
        <v>9999</v>
      </c>
      <c r="AB455" s="0" t="n">
        <f aca="false">IF(Presupuesto!$B$8='Flujo de Pagos'!$E455,8,9999)</f>
        <v>9999</v>
      </c>
      <c r="AC455" s="0" t="n">
        <f aca="false">IF(Presupuesto!$B$9='Flujo de Pagos'!$E455,9,9999)</f>
        <v>9999</v>
      </c>
      <c r="AD455" s="0" t="n">
        <f aca="false">IF(Presupuesto!$B$10='Flujo de Pagos'!$E455,10,9999)</f>
        <v>9999</v>
      </c>
      <c r="AE455" s="0" t="n">
        <f aca="false">IF(Presupuesto!$B$11='Flujo de Pagos'!$E455,11,9999)</f>
        <v>9999</v>
      </c>
      <c r="AF455" s="0" t="n">
        <f aca="false">IF(Presupuesto!$B$12='Flujo de Pagos'!$E455,12,9999)</f>
        <v>12</v>
      </c>
      <c r="AG455" s="0" t="n">
        <f aca="false">IF(Presupuesto!$B$13='Flujo de Pagos'!$E455,13,9999)</f>
        <v>13</v>
      </c>
      <c r="AH455" s="0" t="n">
        <f aca="false">IF(Presupuesto!$B$14='Flujo de Pagos'!$E455,14,9999)</f>
        <v>14</v>
      </c>
      <c r="AI455" s="0" t="n">
        <f aca="false">IF(Presupuesto!$B$15='Flujo de Pagos'!$E455,15,9999)</f>
        <v>15</v>
      </c>
      <c r="AJ455" s="0" t="n">
        <f aca="false">IF(Presupuesto!$B$16='Flujo de Pagos'!$E455,16,9999)</f>
        <v>16</v>
      </c>
      <c r="AK455" s="0" t="n">
        <f aca="false">IF(Presupuesto!$B$17='Flujo de Pagos'!$E455,17,9999)</f>
        <v>17</v>
      </c>
      <c r="AL455" s="0" t="n">
        <f aca="false">IF(Presupuesto!$B$18='Flujo de Pagos'!$E455,18,9999)</f>
        <v>18</v>
      </c>
      <c r="AM455" s="0" t="n">
        <f aca="false">IF(Presupuesto!$B$19='Flujo de Pagos'!$E455,19,9999)</f>
        <v>19</v>
      </c>
      <c r="AN455" s="0" t="n">
        <f aca="false">IF(Presupuesto!$B$20='Flujo de Pagos'!$E455,20,9999)</f>
        <v>20</v>
      </c>
      <c r="AO455" s="0" t="n">
        <f aca="false">IF(Presupuesto!$B$21='Flujo de Pagos'!$E455,21,9999)</f>
        <v>21</v>
      </c>
      <c r="AP455" s="0" t="n">
        <f aca="false">IF(Presupuesto!$B$22='Flujo de Pagos'!$E455,22,9999)</f>
        <v>22</v>
      </c>
      <c r="AQ455" s="0" t="n">
        <f aca="false">IF(Presupuesto!$B$23='Flujo de Pagos'!$E455,23,9999)</f>
        <v>23</v>
      </c>
      <c r="AR455" s="0" t="n">
        <f aca="false">IF(Presupuesto!$B$24='Flujo de Pagos'!$E455,24,9999)</f>
        <v>24</v>
      </c>
      <c r="AS455" s="0" t="n">
        <f aca="false">IF(Presupuesto!$B$25='Flujo de Pagos'!$E455,25,9999)</f>
        <v>25</v>
      </c>
      <c r="AT455" s="0" t="n">
        <f aca="false">IF(Presupuesto!$B$26='Flujo de Pagos'!$E455,26,9999)</f>
        <v>26</v>
      </c>
      <c r="AU455" s="0" t="n">
        <f aca="false">IF(Presupuesto!$B$27='Flujo de Pagos'!$E455,27,9999)</f>
        <v>27</v>
      </c>
      <c r="AV455" s="0" t="n">
        <f aca="false">IF(Presupuesto!$B$28='Flujo de Pagos'!$E455,28,9999)</f>
        <v>28</v>
      </c>
      <c r="AW455" s="0" t="n">
        <f aca="false">IF(Presupuesto!$B$29='Flujo de Pagos'!$E455,29,9999)</f>
        <v>29</v>
      </c>
      <c r="AX455" s="0" t="n">
        <f aca="false">IF(Presupuesto!$B$30='Flujo de Pagos'!$E455,30,9999)</f>
        <v>30</v>
      </c>
      <c r="AY455" s="0" t="n">
        <f aca="false">IF(Presupuesto!$B$31='Flujo de Pagos'!$E455,31,9999)</f>
        <v>31</v>
      </c>
      <c r="AZ455" s="0" t="n">
        <f aca="false">IF(Presupuesto!$B$32='Flujo de Pagos'!$E455,32,9999)</f>
        <v>32</v>
      </c>
      <c r="BA455" s="0" t="n">
        <f aca="false">IF(Presupuesto!$B$33='Flujo de Pagos'!$E455,33,9999)</f>
        <v>33</v>
      </c>
      <c r="BB455" s="0" t="n">
        <f aca="false">IF(Presupuesto!$B$34='Flujo de Pagos'!$E455,34,9999)</f>
        <v>34</v>
      </c>
      <c r="BC455" s="0" t="n">
        <f aca="false">IF(Presupuesto!$B$35='Flujo de Pagos'!$E455,35,9999)</f>
        <v>35</v>
      </c>
      <c r="BD455" s="0" t="n">
        <f aca="false">IF(Presupuesto!$B$36='Flujo de Pagos'!$E455,36,9999)</f>
        <v>36</v>
      </c>
      <c r="BE455" s="0" t="n">
        <f aca="false">IF(Presupuesto!$B$37='Flujo de Pagos'!$E455,37,9999)</f>
        <v>37</v>
      </c>
      <c r="BF455" s="0" t="n">
        <f aca="false">IF(Presupuesto!$B$38='Flujo de Pagos'!$E455,38,9999)</f>
        <v>38</v>
      </c>
      <c r="BG455" s="0" t="n">
        <f aca="false">IF(Presupuesto!$B$39='Flujo de Pagos'!$E455,39,9999)</f>
        <v>39</v>
      </c>
      <c r="BH455" s="0" t="n">
        <f aca="false">IF(Presupuesto!$B$40='Flujo de Pagos'!$E455,40,9999)</f>
        <v>40</v>
      </c>
      <c r="BI455" s="0" t="n">
        <f aca="false">IF(Presupuesto!$B$41='Flujo de Pagos'!$E455,41,9999)</f>
        <v>41</v>
      </c>
      <c r="BJ455" s="0" t="n">
        <f aca="false">IF(Presupuesto!$B$42='Flujo de Pagos'!$E455,42,9999)</f>
        <v>42</v>
      </c>
      <c r="BK455" s="0" t="n">
        <f aca="false">IF(Presupuesto!$B$43='Flujo de Pagos'!$E455,43,9999)</f>
        <v>43</v>
      </c>
      <c r="BL455" s="0" t="n">
        <f aca="false">IF(Presupuesto!$B$44='Flujo de Pagos'!$E455,44,9999)</f>
        <v>44</v>
      </c>
      <c r="BM455" s="0" t="n">
        <f aca="false">IF(Presupuesto!$B$45='Flujo de Pagos'!$E455,45,9999)</f>
        <v>45</v>
      </c>
      <c r="BN455" s="0" t="n">
        <f aca="false">IF(Presupuesto!$B$46='Flujo de Pagos'!$E455,46,9999)</f>
        <v>46</v>
      </c>
      <c r="BO455" s="0" t="n">
        <f aca="false">IF(Presupuesto!$B$47='Flujo de Pagos'!$E455,47,9999)</f>
        <v>47</v>
      </c>
      <c r="BP455" s="0" t="n">
        <f aca="false">IF(Presupuesto!$B$48='Flujo de Pagos'!$E455,48,9999)</f>
        <v>48</v>
      </c>
      <c r="BQ455" s="0" t="n">
        <f aca="false">IF(Presupuesto!$B$49='Flujo de Pagos'!$E455,49,9999)</f>
        <v>49</v>
      </c>
      <c r="BR455" s="0" t="n">
        <f aca="false">IF(Presupuesto!$B$50='Flujo de Pagos'!$E455,50,9999)</f>
        <v>50</v>
      </c>
      <c r="BS455" s="0" t="n">
        <f aca="false">IF(Presupuesto!$B$51='Flujo de Pagos'!$E455,51,9999)</f>
        <v>51</v>
      </c>
      <c r="BT455" s="0" t="n">
        <f aca="false">IF(Presupuesto!$B$52='Flujo de Pagos'!$E455,52,9999)</f>
        <v>52</v>
      </c>
      <c r="BU455" s="0" t="n">
        <f aca="false">IF(Presupuesto!$B$53='Flujo de Pagos'!$E455,53,9999)</f>
        <v>53</v>
      </c>
      <c r="BV455" s="0" t="n">
        <f aca="false">IF(Presupuesto!$B$54='Flujo de Pagos'!$E455,54,9999)</f>
        <v>54</v>
      </c>
      <c r="BW455" s="0" t="n">
        <f aca="false">IF(Presupuesto!$B$55='Flujo de Pagos'!$E455,55,9999)</f>
        <v>55</v>
      </c>
      <c r="BX455" s="0" t="n">
        <f aca="false">IF(Presupuesto!$B$56='Flujo de Pagos'!$E455,56,9999)</f>
        <v>56</v>
      </c>
      <c r="BY455" s="0" t="n">
        <f aca="false">IF(Presupuesto!$B$57='Flujo de Pagos'!$E455,57,9999)</f>
        <v>57</v>
      </c>
      <c r="BZ455" s="0" t="n">
        <f aca="false">IF(Presupuesto!$B$58='Flujo de Pagos'!$E455,58,9999)</f>
        <v>58</v>
      </c>
      <c r="CA455" s="0" t="n">
        <f aca="false">IF(Presupuesto!$B$59='Flujo de Pagos'!$E455,59,9999)</f>
        <v>59</v>
      </c>
      <c r="CB455" s="0" t="n">
        <f aca="false">IF(Presupuesto!$B$60='Flujo de Pagos'!$E455,60,9999)</f>
        <v>60</v>
      </c>
      <c r="CC455" s="0" t="n">
        <f aca="false">IF(Presupuesto!$B$61='Flujo de Pagos'!$E455,61,9999)</f>
        <v>61</v>
      </c>
      <c r="CD455" s="0" t="n">
        <f aca="false">IF(Presupuesto!$B$62='Flujo de Pagos'!$E455,62,9999)</f>
        <v>62</v>
      </c>
      <c r="CE455" s="0" t="n">
        <f aca="false">IF(Presupuesto!$B$63='Flujo de Pagos'!$E455,63,9999)</f>
        <v>63</v>
      </c>
      <c r="CF455" s="0" t="n">
        <f aca="false">IF(Presupuesto!$B$64='Flujo de Pagos'!$E455,64,9999)</f>
        <v>64</v>
      </c>
      <c r="CG455" s="0" t="n">
        <f aca="false">IF(Presupuesto!$B$65='Flujo de Pagos'!$E455,65,9999)</f>
        <v>65</v>
      </c>
      <c r="CH455" s="0" t="n">
        <f aca="false">IF(Presupuesto!$B$66='Flujo de Pagos'!$E455,66,9999)</f>
        <v>66</v>
      </c>
    </row>
    <row r="456" customFormat="false" ht="15" hidden="false" customHeight="true" outlineLevel="0" collapsed="false">
      <c r="B456" s="1" t="n">
        <f aca="false">IF(AND('Flujo de Pagos'!E461=Carátula!$B$2,'Flujo de Pagos'!F461=Carátula!$B$4,'Flujo de Pagos'!H461&lt;&gt;""),461,99999)</f>
        <v>99999</v>
      </c>
      <c r="H456" s="1" t="n">
        <f aca="false">IF(SMALL($AA456:$CH456,1)&gt;=9999,"",INDEX(Presupuesto!$C:$C,SMALL($AA456:$CH456,1)))</f>
        <v>0</v>
      </c>
      <c r="I456" s="1" t="n">
        <f aca="false">IF(SMALL($AA456:$CH456,2)&gt;=9999,"",INDEX(Presupuesto!$C:$C,SMALL($AA456:$CH456,2)))</f>
        <v>0</v>
      </c>
      <c r="J456" s="1" t="n">
        <f aca="false">IF(SMALL($AA456:$CH456,3)&gt;=9999,"",INDEX(Presupuesto!$C:$C,SMALL($AA456:$CH456,3)))</f>
        <v>0</v>
      </c>
      <c r="K456" s="1" t="n">
        <f aca="false">IF(SMALL($AA456:$CH456,4)&gt;=9999,"",INDEX(Presupuesto!$C:$C,SMALL($AA456:$CH456,4)))</f>
        <v>0</v>
      </c>
      <c r="L456" s="1" t="n">
        <f aca="false">IF(SMALL($AA456:$CH456,5)&gt;=9999,"",INDEX(Presupuesto!$C:$C,SMALL($AA456:$CH456,5)))</f>
        <v>0</v>
      </c>
      <c r="M456" s="1" t="n">
        <f aca="false">IF(SMALL($AA456:$CH456,6)&gt;=9999,"",INDEX(Presupuesto!$C:$C,SMALL($AA456:$CH456,6)))</f>
        <v>0</v>
      </c>
      <c r="N456" s="1" t="n">
        <f aca="false">IF(SMALL($AA456:$CH456,7)&gt;=9999,"",INDEX(Presupuesto!$C:$C,SMALL($AA456:$CH456,7)))</f>
        <v>0</v>
      </c>
      <c r="O456" s="1" t="n">
        <f aca="false">IF(SMALL($AA456:$CH456,8)&gt;=9999,"",INDEX(Presupuesto!$C:$C,SMALL($AA456:$CH456,8)))</f>
        <v>0</v>
      </c>
      <c r="P456" s="1" t="n">
        <f aca="false">IF(SMALL($AA456:$CH456,9)&gt;=9999,"",INDEX(Presupuesto!$C:$C,SMALL($AA456:$CH456,9)))</f>
        <v>0</v>
      </c>
      <c r="Q456" s="1" t="n">
        <f aca="false">IF(SMALL($AA456:$CH456,10)&gt;=9999,"",INDEX(Presupuesto!$C:$C,SMALL($AA456:$CH456,10)))</f>
        <v>0</v>
      </c>
      <c r="AA456" s="0" t="n">
        <f aca="false">IF(Presupuesto!$B$7='Flujo de Pagos'!$E456,7,9999)</f>
        <v>9999</v>
      </c>
      <c r="AB456" s="0" t="n">
        <f aca="false">IF(Presupuesto!$B$8='Flujo de Pagos'!$E456,8,9999)</f>
        <v>9999</v>
      </c>
      <c r="AC456" s="0" t="n">
        <f aca="false">IF(Presupuesto!$B$9='Flujo de Pagos'!$E456,9,9999)</f>
        <v>9999</v>
      </c>
      <c r="AD456" s="0" t="n">
        <f aca="false">IF(Presupuesto!$B$10='Flujo de Pagos'!$E456,10,9999)</f>
        <v>9999</v>
      </c>
      <c r="AE456" s="0" t="n">
        <f aca="false">IF(Presupuesto!$B$11='Flujo de Pagos'!$E456,11,9999)</f>
        <v>9999</v>
      </c>
      <c r="AF456" s="0" t="n">
        <f aca="false">IF(Presupuesto!$B$12='Flujo de Pagos'!$E456,12,9999)</f>
        <v>12</v>
      </c>
      <c r="AG456" s="0" t="n">
        <f aca="false">IF(Presupuesto!$B$13='Flujo de Pagos'!$E456,13,9999)</f>
        <v>13</v>
      </c>
      <c r="AH456" s="0" t="n">
        <f aca="false">IF(Presupuesto!$B$14='Flujo de Pagos'!$E456,14,9999)</f>
        <v>14</v>
      </c>
      <c r="AI456" s="0" t="n">
        <f aca="false">IF(Presupuesto!$B$15='Flujo de Pagos'!$E456,15,9999)</f>
        <v>15</v>
      </c>
      <c r="AJ456" s="0" t="n">
        <f aca="false">IF(Presupuesto!$B$16='Flujo de Pagos'!$E456,16,9999)</f>
        <v>16</v>
      </c>
      <c r="AK456" s="0" t="n">
        <f aca="false">IF(Presupuesto!$B$17='Flujo de Pagos'!$E456,17,9999)</f>
        <v>17</v>
      </c>
      <c r="AL456" s="0" t="n">
        <f aca="false">IF(Presupuesto!$B$18='Flujo de Pagos'!$E456,18,9999)</f>
        <v>18</v>
      </c>
      <c r="AM456" s="0" t="n">
        <f aca="false">IF(Presupuesto!$B$19='Flujo de Pagos'!$E456,19,9999)</f>
        <v>19</v>
      </c>
      <c r="AN456" s="0" t="n">
        <f aca="false">IF(Presupuesto!$B$20='Flujo de Pagos'!$E456,20,9999)</f>
        <v>20</v>
      </c>
      <c r="AO456" s="0" t="n">
        <f aca="false">IF(Presupuesto!$B$21='Flujo de Pagos'!$E456,21,9999)</f>
        <v>21</v>
      </c>
      <c r="AP456" s="0" t="n">
        <f aca="false">IF(Presupuesto!$B$22='Flujo de Pagos'!$E456,22,9999)</f>
        <v>22</v>
      </c>
      <c r="AQ456" s="0" t="n">
        <f aca="false">IF(Presupuesto!$B$23='Flujo de Pagos'!$E456,23,9999)</f>
        <v>23</v>
      </c>
      <c r="AR456" s="0" t="n">
        <f aca="false">IF(Presupuesto!$B$24='Flujo de Pagos'!$E456,24,9999)</f>
        <v>24</v>
      </c>
      <c r="AS456" s="0" t="n">
        <f aca="false">IF(Presupuesto!$B$25='Flujo de Pagos'!$E456,25,9999)</f>
        <v>25</v>
      </c>
      <c r="AT456" s="0" t="n">
        <f aca="false">IF(Presupuesto!$B$26='Flujo de Pagos'!$E456,26,9999)</f>
        <v>26</v>
      </c>
      <c r="AU456" s="0" t="n">
        <f aca="false">IF(Presupuesto!$B$27='Flujo de Pagos'!$E456,27,9999)</f>
        <v>27</v>
      </c>
      <c r="AV456" s="0" t="n">
        <f aca="false">IF(Presupuesto!$B$28='Flujo de Pagos'!$E456,28,9999)</f>
        <v>28</v>
      </c>
      <c r="AW456" s="0" t="n">
        <f aca="false">IF(Presupuesto!$B$29='Flujo de Pagos'!$E456,29,9999)</f>
        <v>29</v>
      </c>
      <c r="AX456" s="0" t="n">
        <f aca="false">IF(Presupuesto!$B$30='Flujo de Pagos'!$E456,30,9999)</f>
        <v>30</v>
      </c>
      <c r="AY456" s="0" t="n">
        <f aca="false">IF(Presupuesto!$B$31='Flujo de Pagos'!$E456,31,9999)</f>
        <v>31</v>
      </c>
      <c r="AZ456" s="0" t="n">
        <f aca="false">IF(Presupuesto!$B$32='Flujo de Pagos'!$E456,32,9999)</f>
        <v>32</v>
      </c>
      <c r="BA456" s="0" t="n">
        <f aca="false">IF(Presupuesto!$B$33='Flujo de Pagos'!$E456,33,9999)</f>
        <v>33</v>
      </c>
      <c r="BB456" s="0" t="n">
        <f aca="false">IF(Presupuesto!$B$34='Flujo de Pagos'!$E456,34,9999)</f>
        <v>34</v>
      </c>
      <c r="BC456" s="0" t="n">
        <f aca="false">IF(Presupuesto!$B$35='Flujo de Pagos'!$E456,35,9999)</f>
        <v>35</v>
      </c>
      <c r="BD456" s="0" t="n">
        <f aca="false">IF(Presupuesto!$B$36='Flujo de Pagos'!$E456,36,9999)</f>
        <v>36</v>
      </c>
      <c r="BE456" s="0" t="n">
        <f aca="false">IF(Presupuesto!$B$37='Flujo de Pagos'!$E456,37,9999)</f>
        <v>37</v>
      </c>
      <c r="BF456" s="0" t="n">
        <f aca="false">IF(Presupuesto!$B$38='Flujo de Pagos'!$E456,38,9999)</f>
        <v>38</v>
      </c>
      <c r="BG456" s="0" t="n">
        <f aca="false">IF(Presupuesto!$B$39='Flujo de Pagos'!$E456,39,9999)</f>
        <v>39</v>
      </c>
      <c r="BH456" s="0" t="n">
        <f aca="false">IF(Presupuesto!$B$40='Flujo de Pagos'!$E456,40,9999)</f>
        <v>40</v>
      </c>
      <c r="BI456" s="0" t="n">
        <f aca="false">IF(Presupuesto!$B$41='Flujo de Pagos'!$E456,41,9999)</f>
        <v>41</v>
      </c>
      <c r="BJ456" s="0" t="n">
        <f aca="false">IF(Presupuesto!$B$42='Flujo de Pagos'!$E456,42,9999)</f>
        <v>42</v>
      </c>
      <c r="BK456" s="0" t="n">
        <f aca="false">IF(Presupuesto!$B$43='Flujo de Pagos'!$E456,43,9999)</f>
        <v>43</v>
      </c>
      <c r="BL456" s="0" t="n">
        <f aca="false">IF(Presupuesto!$B$44='Flujo de Pagos'!$E456,44,9999)</f>
        <v>44</v>
      </c>
      <c r="BM456" s="0" t="n">
        <f aca="false">IF(Presupuesto!$B$45='Flujo de Pagos'!$E456,45,9999)</f>
        <v>45</v>
      </c>
      <c r="BN456" s="0" t="n">
        <f aca="false">IF(Presupuesto!$B$46='Flujo de Pagos'!$E456,46,9999)</f>
        <v>46</v>
      </c>
      <c r="BO456" s="0" t="n">
        <f aca="false">IF(Presupuesto!$B$47='Flujo de Pagos'!$E456,47,9999)</f>
        <v>47</v>
      </c>
      <c r="BP456" s="0" t="n">
        <f aca="false">IF(Presupuesto!$B$48='Flujo de Pagos'!$E456,48,9999)</f>
        <v>48</v>
      </c>
      <c r="BQ456" s="0" t="n">
        <f aca="false">IF(Presupuesto!$B$49='Flujo de Pagos'!$E456,49,9999)</f>
        <v>49</v>
      </c>
      <c r="BR456" s="0" t="n">
        <f aca="false">IF(Presupuesto!$B$50='Flujo de Pagos'!$E456,50,9999)</f>
        <v>50</v>
      </c>
      <c r="BS456" s="0" t="n">
        <f aca="false">IF(Presupuesto!$B$51='Flujo de Pagos'!$E456,51,9999)</f>
        <v>51</v>
      </c>
      <c r="BT456" s="0" t="n">
        <f aca="false">IF(Presupuesto!$B$52='Flujo de Pagos'!$E456,52,9999)</f>
        <v>52</v>
      </c>
      <c r="BU456" s="0" t="n">
        <f aca="false">IF(Presupuesto!$B$53='Flujo de Pagos'!$E456,53,9999)</f>
        <v>53</v>
      </c>
      <c r="BV456" s="0" t="n">
        <f aca="false">IF(Presupuesto!$B$54='Flujo de Pagos'!$E456,54,9999)</f>
        <v>54</v>
      </c>
      <c r="BW456" s="0" t="n">
        <f aca="false">IF(Presupuesto!$B$55='Flujo de Pagos'!$E456,55,9999)</f>
        <v>55</v>
      </c>
      <c r="BX456" s="0" t="n">
        <f aca="false">IF(Presupuesto!$B$56='Flujo de Pagos'!$E456,56,9999)</f>
        <v>56</v>
      </c>
      <c r="BY456" s="0" t="n">
        <f aca="false">IF(Presupuesto!$B$57='Flujo de Pagos'!$E456,57,9999)</f>
        <v>57</v>
      </c>
      <c r="BZ456" s="0" t="n">
        <f aca="false">IF(Presupuesto!$B$58='Flujo de Pagos'!$E456,58,9999)</f>
        <v>58</v>
      </c>
      <c r="CA456" s="0" t="n">
        <f aca="false">IF(Presupuesto!$B$59='Flujo de Pagos'!$E456,59,9999)</f>
        <v>59</v>
      </c>
      <c r="CB456" s="0" t="n">
        <f aca="false">IF(Presupuesto!$B$60='Flujo de Pagos'!$E456,60,9999)</f>
        <v>60</v>
      </c>
      <c r="CC456" s="0" t="n">
        <f aca="false">IF(Presupuesto!$B$61='Flujo de Pagos'!$E456,61,9999)</f>
        <v>61</v>
      </c>
      <c r="CD456" s="0" t="n">
        <f aca="false">IF(Presupuesto!$B$62='Flujo de Pagos'!$E456,62,9999)</f>
        <v>62</v>
      </c>
      <c r="CE456" s="0" t="n">
        <f aca="false">IF(Presupuesto!$B$63='Flujo de Pagos'!$E456,63,9999)</f>
        <v>63</v>
      </c>
      <c r="CF456" s="0" t="n">
        <f aca="false">IF(Presupuesto!$B$64='Flujo de Pagos'!$E456,64,9999)</f>
        <v>64</v>
      </c>
      <c r="CG456" s="0" t="n">
        <f aca="false">IF(Presupuesto!$B$65='Flujo de Pagos'!$E456,65,9999)</f>
        <v>65</v>
      </c>
      <c r="CH456" s="0" t="n">
        <f aca="false">IF(Presupuesto!$B$66='Flujo de Pagos'!$E456,66,9999)</f>
        <v>66</v>
      </c>
    </row>
    <row r="457" customFormat="false" ht="15" hidden="false" customHeight="true" outlineLevel="0" collapsed="false">
      <c r="B457" s="1" t="n">
        <f aca="false">IF(AND('Flujo de Pagos'!E462=Carátula!$B$2,'Flujo de Pagos'!F462=Carátula!$B$4,'Flujo de Pagos'!H462&lt;&gt;""),462,99999)</f>
        <v>99999</v>
      </c>
      <c r="H457" s="1" t="n">
        <f aca="false">IF(SMALL($AA457:$CH457,1)&gt;=9999,"",INDEX(Presupuesto!$C:$C,SMALL($AA457:$CH457,1)))</f>
        <v>0</v>
      </c>
      <c r="I457" s="1" t="n">
        <f aca="false">IF(SMALL($AA457:$CH457,2)&gt;=9999,"",INDEX(Presupuesto!$C:$C,SMALL($AA457:$CH457,2)))</f>
        <v>0</v>
      </c>
      <c r="J457" s="1" t="n">
        <f aca="false">IF(SMALL($AA457:$CH457,3)&gt;=9999,"",INDEX(Presupuesto!$C:$C,SMALL($AA457:$CH457,3)))</f>
        <v>0</v>
      </c>
      <c r="K457" s="1" t="n">
        <f aca="false">IF(SMALL($AA457:$CH457,4)&gt;=9999,"",INDEX(Presupuesto!$C:$C,SMALL($AA457:$CH457,4)))</f>
        <v>0</v>
      </c>
      <c r="L457" s="1" t="n">
        <f aca="false">IF(SMALL($AA457:$CH457,5)&gt;=9999,"",INDEX(Presupuesto!$C:$C,SMALL($AA457:$CH457,5)))</f>
        <v>0</v>
      </c>
      <c r="M457" s="1" t="n">
        <f aca="false">IF(SMALL($AA457:$CH457,6)&gt;=9999,"",INDEX(Presupuesto!$C:$C,SMALL($AA457:$CH457,6)))</f>
        <v>0</v>
      </c>
      <c r="N457" s="1" t="n">
        <f aca="false">IF(SMALL($AA457:$CH457,7)&gt;=9999,"",INDEX(Presupuesto!$C:$C,SMALL($AA457:$CH457,7)))</f>
        <v>0</v>
      </c>
      <c r="O457" s="1" t="n">
        <f aca="false">IF(SMALL($AA457:$CH457,8)&gt;=9999,"",INDEX(Presupuesto!$C:$C,SMALL($AA457:$CH457,8)))</f>
        <v>0</v>
      </c>
      <c r="P457" s="1" t="n">
        <f aca="false">IF(SMALL($AA457:$CH457,9)&gt;=9999,"",INDEX(Presupuesto!$C:$C,SMALL($AA457:$CH457,9)))</f>
        <v>0</v>
      </c>
      <c r="Q457" s="1" t="n">
        <f aca="false">IF(SMALL($AA457:$CH457,10)&gt;=9999,"",INDEX(Presupuesto!$C:$C,SMALL($AA457:$CH457,10)))</f>
        <v>0</v>
      </c>
      <c r="AA457" s="0" t="n">
        <f aca="false">IF(Presupuesto!$B$7='Flujo de Pagos'!$E457,7,9999)</f>
        <v>9999</v>
      </c>
      <c r="AB457" s="0" t="n">
        <f aca="false">IF(Presupuesto!$B$8='Flujo de Pagos'!$E457,8,9999)</f>
        <v>9999</v>
      </c>
      <c r="AC457" s="0" t="n">
        <f aca="false">IF(Presupuesto!$B$9='Flujo de Pagos'!$E457,9,9999)</f>
        <v>9999</v>
      </c>
      <c r="AD457" s="0" t="n">
        <f aca="false">IF(Presupuesto!$B$10='Flujo de Pagos'!$E457,10,9999)</f>
        <v>9999</v>
      </c>
      <c r="AE457" s="0" t="n">
        <f aca="false">IF(Presupuesto!$B$11='Flujo de Pagos'!$E457,11,9999)</f>
        <v>9999</v>
      </c>
      <c r="AF457" s="0" t="n">
        <f aca="false">IF(Presupuesto!$B$12='Flujo de Pagos'!$E457,12,9999)</f>
        <v>12</v>
      </c>
      <c r="AG457" s="0" t="n">
        <f aca="false">IF(Presupuesto!$B$13='Flujo de Pagos'!$E457,13,9999)</f>
        <v>13</v>
      </c>
      <c r="AH457" s="0" t="n">
        <f aca="false">IF(Presupuesto!$B$14='Flujo de Pagos'!$E457,14,9999)</f>
        <v>14</v>
      </c>
      <c r="AI457" s="0" t="n">
        <f aca="false">IF(Presupuesto!$B$15='Flujo de Pagos'!$E457,15,9999)</f>
        <v>15</v>
      </c>
      <c r="AJ457" s="0" t="n">
        <f aca="false">IF(Presupuesto!$B$16='Flujo de Pagos'!$E457,16,9999)</f>
        <v>16</v>
      </c>
      <c r="AK457" s="0" t="n">
        <f aca="false">IF(Presupuesto!$B$17='Flujo de Pagos'!$E457,17,9999)</f>
        <v>17</v>
      </c>
      <c r="AL457" s="0" t="n">
        <f aca="false">IF(Presupuesto!$B$18='Flujo de Pagos'!$E457,18,9999)</f>
        <v>18</v>
      </c>
      <c r="AM457" s="0" t="n">
        <f aca="false">IF(Presupuesto!$B$19='Flujo de Pagos'!$E457,19,9999)</f>
        <v>19</v>
      </c>
      <c r="AN457" s="0" t="n">
        <f aca="false">IF(Presupuesto!$B$20='Flujo de Pagos'!$E457,20,9999)</f>
        <v>20</v>
      </c>
      <c r="AO457" s="0" t="n">
        <f aca="false">IF(Presupuesto!$B$21='Flujo de Pagos'!$E457,21,9999)</f>
        <v>21</v>
      </c>
      <c r="AP457" s="0" t="n">
        <f aca="false">IF(Presupuesto!$B$22='Flujo de Pagos'!$E457,22,9999)</f>
        <v>22</v>
      </c>
      <c r="AQ457" s="0" t="n">
        <f aca="false">IF(Presupuesto!$B$23='Flujo de Pagos'!$E457,23,9999)</f>
        <v>23</v>
      </c>
      <c r="AR457" s="0" t="n">
        <f aca="false">IF(Presupuesto!$B$24='Flujo de Pagos'!$E457,24,9999)</f>
        <v>24</v>
      </c>
      <c r="AS457" s="0" t="n">
        <f aca="false">IF(Presupuesto!$B$25='Flujo de Pagos'!$E457,25,9999)</f>
        <v>25</v>
      </c>
      <c r="AT457" s="0" t="n">
        <f aca="false">IF(Presupuesto!$B$26='Flujo de Pagos'!$E457,26,9999)</f>
        <v>26</v>
      </c>
      <c r="AU457" s="0" t="n">
        <f aca="false">IF(Presupuesto!$B$27='Flujo de Pagos'!$E457,27,9999)</f>
        <v>27</v>
      </c>
      <c r="AV457" s="0" t="n">
        <f aca="false">IF(Presupuesto!$B$28='Flujo de Pagos'!$E457,28,9999)</f>
        <v>28</v>
      </c>
      <c r="AW457" s="0" t="n">
        <f aca="false">IF(Presupuesto!$B$29='Flujo de Pagos'!$E457,29,9999)</f>
        <v>29</v>
      </c>
      <c r="AX457" s="0" t="n">
        <f aca="false">IF(Presupuesto!$B$30='Flujo de Pagos'!$E457,30,9999)</f>
        <v>30</v>
      </c>
      <c r="AY457" s="0" t="n">
        <f aca="false">IF(Presupuesto!$B$31='Flujo de Pagos'!$E457,31,9999)</f>
        <v>31</v>
      </c>
      <c r="AZ457" s="0" t="n">
        <f aca="false">IF(Presupuesto!$B$32='Flujo de Pagos'!$E457,32,9999)</f>
        <v>32</v>
      </c>
      <c r="BA457" s="0" t="n">
        <f aca="false">IF(Presupuesto!$B$33='Flujo de Pagos'!$E457,33,9999)</f>
        <v>33</v>
      </c>
      <c r="BB457" s="0" t="n">
        <f aca="false">IF(Presupuesto!$B$34='Flujo de Pagos'!$E457,34,9999)</f>
        <v>34</v>
      </c>
      <c r="BC457" s="0" t="n">
        <f aca="false">IF(Presupuesto!$B$35='Flujo de Pagos'!$E457,35,9999)</f>
        <v>35</v>
      </c>
      <c r="BD457" s="0" t="n">
        <f aca="false">IF(Presupuesto!$B$36='Flujo de Pagos'!$E457,36,9999)</f>
        <v>36</v>
      </c>
      <c r="BE457" s="0" t="n">
        <f aca="false">IF(Presupuesto!$B$37='Flujo de Pagos'!$E457,37,9999)</f>
        <v>37</v>
      </c>
      <c r="BF457" s="0" t="n">
        <f aca="false">IF(Presupuesto!$B$38='Flujo de Pagos'!$E457,38,9999)</f>
        <v>38</v>
      </c>
      <c r="BG457" s="0" t="n">
        <f aca="false">IF(Presupuesto!$B$39='Flujo de Pagos'!$E457,39,9999)</f>
        <v>39</v>
      </c>
      <c r="BH457" s="0" t="n">
        <f aca="false">IF(Presupuesto!$B$40='Flujo de Pagos'!$E457,40,9999)</f>
        <v>40</v>
      </c>
      <c r="BI457" s="0" t="n">
        <f aca="false">IF(Presupuesto!$B$41='Flujo de Pagos'!$E457,41,9999)</f>
        <v>41</v>
      </c>
      <c r="BJ457" s="0" t="n">
        <f aca="false">IF(Presupuesto!$B$42='Flujo de Pagos'!$E457,42,9999)</f>
        <v>42</v>
      </c>
      <c r="BK457" s="0" t="n">
        <f aca="false">IF(Presupuesto!$B$43='Flujo de Pagos'!$E457,43,9999)</f>
        <v>43</v>
      </c>
      <c r="BL457" s="0" t="n">
        <f aca="false">IF(Presupuesto!$B$44='Flujo de Pagos'!$E457,44,9999)</f>
        <v>44</v>
      </c>
      <c r="BM457" s="0" t="n">
        <f aca="false">IF(Presupuesto!$B$45='Flujo de Pagos'!$E457,45,9999)</f>
        <v>45</v>
      </c>
      <c r="BN457" s="0" t="n">
        <f aca="false">IF(Presupuesto!$B$46='Flujo de Pagos'!$E457,46,9999)</f>
        <v>46</v>
      </c>
      <c r="BO457" s="0" t="n">
        <f aca="false">IF(Presupuesto!$B$47='Flujo de Pagos'!$E457,47,9999)</f>
        <v>47</v>
      </c>
      <c r="BP457" s="0" t="n">
        <f aca="false">IF(Presupuesto!$B$48='Flujo de Pagos'!$E457,48,9999)</f>
        <v>48</v>
      </c>
      <c r="BQ457" s="0" t="n">
        <f aca="false">IF(Presupuesto!$B$49='Flujo de Pagos'!$E457,49,9999)</f>
        <v>49</v>
      </c>
      <c r="BR457" s="0" t="n">
        <f aca="false">IF(Presupuesto!$B$50='Flujo de Pagos'!$E457,50,9999)</f>
        <v>50</v>
      </c>
      <c r="BS457" s="0" t="n">
        <f aca="false">IF(Presupuesto!$B$51='Flujo de Pagos'!$E457,51,9999)</f>
        <v>51</v>
      </c>
      <c r="BT457" s="0" t="n">
        <f aca="false">IF(Presupuesto!$B$52='Flujo de Pagos'!$E457,52,9999)</f>
        <v>52</v>
      </c>
      <c r="BU457" s="0" t="n">
        <f aca="false">IF(Presupuesto!$B$53='Flujo de Pagos'!$E457,53,9999)</f>
        <v>53</v>
      </c>
      <c r="BV457" s="0" t="n">
        <f aca="false">IF(Presupuesto!$B$54='Flujo de Pagos'!$E457,54,9999)</f>
        <v>54</v>
      </c>
      <c r="BW457" s="0" t="n">
        <f aca="false">IF(Presupuesto!$B$55='Flujo de Pagos'!$E457,55,9999)</f>
        <v>55</v>
      </c>
      <c r="BX457" s="0" t="n">
        <f aca="false">IF(Presupuesto!$B$56='Flujo de Pagos'!$E457,56,9999)</f>
        <v>56</v>
      </c>
      <c r="BY457" s="0" t="n">
        <f aca="false">IF(Presupuesto!$B$57='Flujo de Pagos'!$E457,57,9999)</f>
        <v>57</v>
      </c>
      <c r="BZ457" s="0" t="n">
        <f aca="false">IF(Presupuesto!$B$58='Flujo de Pagos'!$E457,58,9999)</f>
        <v>58</v>
      </c>
      <c r="CA457" s="0" t="n">
        <f aca="false">IF(Presupuesto!$B$59='Flujo de Pagos'!$E457,59,9999)</f>
        <v>59</v>
      </c>
      <c r="CB457" s="0" t="n">
        <f aca="false">IF(Presupuesto!$B$60='Flujo de Pagos'!$E457,60,9999)</f>
        <v>60</v>
      </c>
      <c r="CC457" s="0" t="n">
        <f aca="false">IF(Presupuesto!$B$61='Flujo de Pagos'!$E457,61,9999)</f>
        <v>61</v>
      </c>
      <c r="CD457" s="0" t="n">
        <f aca="false">IF(Presupuesto!$B$62='Flujo de Pagos'!$E457,62,9999)</f>
        <v>62</v>
      </c>
      <c r="CE457" s="0" t="n">
        <f aca="false">IF(Presupuesto!$B$63='Flujo de Pagos'!$E457,63,9999)</f>
        <v>63</v>
      </c>
      <c r="CF457" s="0" t="n">
        <f aca="false">IF(Presupuesto!$B$64='Flujo de Pagos'!$E457,64,9999)</f>
        <v>64</v>
      </c>
      <c r="CG457" s="0" t="n">
        <f aca="false">IF(Presupuesto!$B$65='Flujo de Pagos'!$E457,65,9999)</f>
        <v>65</v>
      </c>
      <c r="CH457" s="0" t="n">
        <f aca="false">IF(Presupuesto!$B$66='Flujo de Pagos'!$E457,66,9999)</f>
        <v>66</v>
      </c>
    </row>
    <row r="458" customFormat="false" ht="15" hidden="false" customHeight="true" outlineLevel="0" collapsed="false">
      <c r="B458" s="1" t="n">
        <f aca="false">IF(AND('Flujo de Pagos'!E463=Carátula!$B$2,'Flujo de Pagos'!F463=Carátula!$B$4,'Flujo de Pagos'!H463&lt;&gt;""),463,99999)</f>
        <v>99999</v>
      </c>
      <c r="H458" s="1" t="n">
        <f aca="false">IF(SMALL($AA458:$CH458,1)&gt;=9999,"",INDEX(Presupuesto!$C:$C,SMALL($AA458:$CH458,1)))</f>
        <v>0</v>
      </c>
      <c r="I458" s="1" t="n">
        <f aca="false">IF(SMALL($AA458:$CH458,2)&gt;=9999,"",INDEX(Presupuesto!$C:$C,SMALL($AA458:$CH458,2)))</f>
        <v>0</v>
      </c>
      <c r="J458" s="1" t="n">
        <f aca="false">IF(SMALL($AA458:$CH458,3)&gt;=9999,"",INDEX(Presupuesto!$C:$C,SMALL($AA458:$CH458,3)))</f>
        <v>0</v>
      </c>
      <c r="K458" s="1" t="n">
        <f aca="false">IF(SMALL($AA458:$CH458,4)&gt;=9999,"",INDEX(Presupuesto!$C:$C,SMALL($AA458:$CH458,4)))</f>
        <v>0</v>
      </c>
      <c r="L458" s="1" t="n">
        <f aca="false">IF(SMALL($AA458:$CH458,5)&gt;=9999,"",INDEX(Presupuesto!$C:$C,SMALL($AA458:$CH458,5)))</f>
        <v>0</v>
      </c>
      <c r="M458" s="1" t="n">
        <f aca="false">IF(SMALL($AA458:$CH458,6)&gt;=9999,"",INDEX(Presupuesto!$C:$C,SMALL($AA458:$CH458,6)))</f>
        <v>0</v>
      </c>
      <c r="N458" s="1" t="n">
        <f aca="false">IF(SMALL($AA458:$CH458,7)&gt;=9999,"",INDEX(Presupuesto!$C:$C,SMALL($AA458:$CH458,7)))</f>
        <v>0</v>
      </c>
      <c r="O458" s="1" t="n">
        <f aca="false">IF(SMALL($AA458:$CH458,8)&gt;=9999,"",INDEX(Presupuesto!$C:$C,SMALL($AA458:$CH458,8)))</f>
        <v>0</v>
      </c>
      <c r="P458" s="1" t="n">
        <f aca="false">IF(SMALL($AA458:$CH458,9)&gt;=9999,"",INDEX(Presupuesto!$C:$C,SMALL($AA458:$CH458,9)))</f>
        <v>0</v>
      </c>
      <c r="Q458" s="1" t="n">
        <f aca="false">IF(SMALL($AA458:$CH458,10)&gt;=9999,"",INDEX(Presupuesto!$C:$C,SMALL($AA458:$CH458,10)))</f>
        <v>0</v>
      </c>
      <c r="AA458" s="0" t="n">
        <f aca="false">IF(Presupuesto!$B$7='Flujo de Pagos'!$E458,7,9999)</f>
        <v>9999</v>
      </c>
      <c r="AB458" s="0" t="n">
        <f aca="false">IF(Presupuesto!$B$8='Flujo de Pagos'!$E458,8,9999)</f>
        <v>9999</v>
      </c>
      <c r="AC458" s="0" t="n">
        <f aca="false">IF(Presupuesto!$B$9='Flujo de Pagos'!$E458,9,9999)</f>
        <v>9999</v>
      </c>
      <c r="AD458" s="0" t="n">
        <f aca="false">IF(Presupuesto!$B$10='Flujo de Pagos'!$E458,10,9999)</f>
        <v>9999</v>
      </c>
      <c r="AE458" s="0" t="n">
        <f aca="false">IF(Presupuesto!$B$11='Flujo de Pagos'!$E458,11,9999)</f>
        <v>9999</v>
      </c>
      <c r="AF458" s="0" t="n">
        <f aca="false">IF(Presupuesto!$B$12='Flujo de Pagos'!$E458,12,9999)</f>
        <v>12</v>
      </c>
      <c r="AG458" s="0" t="n">
        <f aca="false">IF(Presupuesto!$B$13='Flujo de Pagos'!$E458,13,9999)</f>
        <v>13</v>
      </c>
      <c r="AH458" s="0" t="n">
        <f aca="false">IF(Presupuesto!$B$14='Flujo de Pagos'!$E458,14,9999)</f>
        <v>14</v>
      </c>
      <c r="AI458" s="0" t="n">
        <f aca="false">IF(Presupuesto!$B$15='Flujo de Pagos'!$E458,15,9999)</f>
        <v>15</v>
      </c>
      <c r="AJ458" s="0" t="n">
        <f aca="false">IF(Presupuesto!$B$16='Flujo de Pagos'!$E458,16,9999)</f>
        <v>16</v>
      </c>
      <c r="AK458" s="0" t="n">
        <f aca="false">IF(Presupuesto!$B$17='Flujo de Pagos'!$E458,17,9999)</f>
        <v>17</v>
      </c>
      <c r="AL458" s="0" t="n">
        <f aca="false">IF(Presupuesto!$B$18='Flujo de Pagos'!$E458,18,9999)</f>
        <v>18</v>
      </c>
      <c r="AM458" s="0" t="n">
        <f aca="false">IF(Presupuesto!$B$19='Flujo de Pagos'!$E458,19,9999)</f>
        <v>19</v>
      </c>
      <c r="AN458" s="0" t="n">
        <f aca="false">IF(Presupuesto!$B$20='Flujo de Pagos'!$E458,20,9999)</f>
        <v>20</v>
      </c>
      <c r="AO458" s="0" t="n">
        <f aca="false">IF(Presupuesto!$B$21='Flujo de Pagos'!$E458,21,9999)</f>
        <v>21</v>
      </c>
      <c r="AP458" s="0" t="n">
        <f aca="false">IF(Presupuesto!$B$22='Flujo de Pagos'!$E458,22,9999)</f>
        <v>22</v>
      </c>
      <c r="AQ458" s="0" t="n">
        <f aca="false">IF(Presupuesto!$B$23='Flujo de Pagos'!$E458,23,9999)</f>
        <v>23</v>
      </c>
      <c r="AR458" s="0" t="n">
        <f aca="false">IF(Presupuesto!$B$24='Flujo de Pagos'!$E458,24,9999)</f>
        <v>24</v>
      </c>
      <c r="AS458" s="0" t="n">
        <f aca="false">IF(Presupuesto!$B$25='Flujo de Pagos'!$E458,25,9999)</f>
        <v>25</v>
      </c>
      <c r="AT458" s="0" t="n">
        <f aca="false">IF(Presupuesto!$B$26='Flujo de Pagos'!$E458,26,9999)</f>
        <v>26</v>
      </c>
      <c r="AU458" s="0" t="n">
        <f aca="false">IF(Presupuesto!$B$27='Flujo de Pagos'!$E458,27,9999)</f>
        <v>27</v>
      </c>
      <c r="AV458" s="0" t="n">
        <f aca="false">IF(Presupuesto!$B$28='Flujo de Pagos'!$E458,28,9999)</f>
        <v>28</v>
      </c>
      <c r="AW458" s="0" t="n">
        <f aca="false">IF(Presupuesto!$B$29='Flujo de Pagos'!$E458,29,9999)</f>
        <v>29</v>
      </c>
      <c r="AX458" s="0" t="n">
        <f aca="false">IF(Presupuesto!$B$30='Flujo de Pagos'!$E458,30,9999)</f>
        <v>30</v>
      </c>
      <c r="AY458" s="0" t="n">
        <f aca="false">IF(Presupuesto!$B$31='Flujo de Pagos'!$E458,31,9999)</f>
        <v>31</v>
      </c>
      <c r="AZ458" s="0" t="n">
        <f aca="false">IF(Presupuesto!$B$32='Flujo de Pagos'!$E458,32,9999)</f>
        <v>32</v>
      </c>
      <c r="BA458" s="0" t="n">
        <f aca="false">IF(Presupuesto!$B$33='Flujo de Pagos'!$E458,33,9999)</f>
        <v>33</v>
      </c>
      <c r="BB458" s="0" t="n">
        <f aca="false">IF(Presupuesto!$B$34='Flujo de Pagos'!$E458,34,9999)</f>
        <v>34</v>
      </c>
      <c r="BC458" s="0" t="n">
        <f aca="false">IF(Presupuesto!$B$35='Flujo de Pagos'!$E458,35,9999)</f>
        <v>35</v>
      </c>
      <c r="BD458" s="0" t="n">
        <f aca="false">IF(Presupuesto!$B$36='Flujo de Pagos'!$E458,36,9999)</f>
        <v>36</v>
      </c>
      <c r="BE458" s="0" t="n">
        <f aca="false">IF(Presupuesto!$B$37='Flujo de Pagos'!$E458,37,9999)</f>
        <v>37</v>
      </c>
      <c r="BF458" s="0" t="n">
        <f aca="false">IF(Presupuesto!$B$38='Flujo de Pagos'!$E458,38,9999)</f>
        <v>38</v>
      </c>
      <c r="BG458" s="0" t="n">
        <f aca="false">IF(Presupuesto!$B$39='Flujo de Pagos'!$E458,39,9999)</f>
        <v>39</v>
      </c>
      <c r="BH458" s="0" t="n">
        <f aca="false">IF(Presupuesto!$B$40='Flujo de Pagos'!$E458,40,9999)</f>
        <v>40</v>
      </c>
      <c r="BI458" s="0" t="n">
        <f aca="false">IF(Presupuesto!$B$41='Flujo de Pagos'!$E458,41,9999)</f>
        <v>41</v>
      </c>
      <c r="BJ458" s="0" t="n">
        <f aca="false">IF(Presupuesto!$B$42='Flujo de Pagos'!$E458,42,9999)</f>
        <v>42</v>
      </c>
      <c r="BK458" s="0" t="n">
        <f aca="false">IF(Presupuesto!$B$43='Flujo de Pagos'!$E458,43,9999)</f>
        <v>43</v>
      </c>
      <c r="BL458" s="0" t="n">
        <f aca="false">IF(Presupuesto!$B$44='Flujo de Pagos'!$E458,44,9999)</f>
        <v>44</v>
      </c>
      <c r="BM458" s="0" t="n">
        <f aca="false">IF(Presupuesto!$B$45='Flujo de Pagos'!$E458,45,9999)</f>
        <v>45</v>
      </c>
      <c r="BN458" s="0" t="n">
        <f aca="false">IF(Presupuesto!$B$46='Flujo de Pagos'!$E458,46,9999)</f>
        <v>46</v>
      </c>
      <c r="BO458" s="0" t="n">
        <f aca="false">IF(Presupuesto!$B$47='Flujo de Pagos'!$E458,47,9999)</f>
        <v>47</v>
      </c>
      <c r="BP458" s="0" t="n">
        <f aca="false">IF(Presupuesto!$B$48='Flujo de Pagos'!$E458,48,9999)</f>
        <v>48</v>
      </c>
      <c r="BQ458" s="0" t="n">
        <f aca="false">IF(Presupuesto!$B$49='Flujo de Pagos'!$E458,49,9999)</f>
        <v>49</v>
      </c>
      <c r="BR458" s="0" t="n">
        <f aca="false">IF(Presupuesto!$B$50='Flujo de Pagos'!$E458,50,9999)</f>
        <v>50</v>
      </c>
      <c r="BS458" s="0" t="n">
        <f aca="false">IF(Presupuesto!$B$51='Flujo de Pagos'!$E458,51,9999)</f>
        <v>51</v>
      </c>
      <c r="BT458" s="0" t="n">
        <f aca="false">IF(Presupuesto!$B$52='Flujo de Pagos'!$E458,52,9999)</f>
        <v>52</v>
      </c>
      <c r="BU458" s="0" t="n">
        <f aca="false">IF(Presupuesto!$B$53='Flujo de Pagos'!$E458,53,9999)</f>
        <v>53</v>
      </c>
      <c r="BV458" s="0" t="n">
        <f aca="false">IF(Presupuesto!$B$54='Flujo de Pagos'!$E458,54,9999)</f>
        <v>54</v>
      </c>
      <c r="BW458" s="0" t="n">
        <f aca="false">IF(Presupuesto!$B$55='Flujo de Pagos'!$E458,55,9999)</f>
        <v>55</v>
      </c>
      <c r="BX458" s="0" t="n">
        <f aca="false">IF(Presupuesto!$B$56='Flujo de Pagos'!$E458,56,9999)</f>
        <v>56</v>
      </c>
      <c r="BY458" s="0" t="n">
        <f aca="false">IF(Presupuesto!$B$57='Flujo de Pagos'!$E458,57,9999)</f>
        <v>57</v>
      </c>
      <c r="BZ458" s="0" t="n">
        <f aca="false">IF(Presupuesto!$B$58='Flujo de Pagos'!$E458,58,9999)</f>
        <v>58</v>
      </c>
      <c r="CA458" s="0" t="n">
        <f aca="false">IF(Presupuesto!$B$59='Flujo de Pagos'!$E458,59,9999)</f>
        <v>59</v>
      </c>
      <c r="CB458" s="0" t="n">
        <f aca="false">IF(Presupuesto!$B$60='Flujo de Pagos'!$E458,60,9999)</f>
        <v>60</v>
      </c>
      <c r="CC458" s="0" t="n">
        <f aca="false">IF(Presupuesto!$B$61='Flujo de Pagos'!$E458,61,9999)</f>
        <v>61</v>
      </c>
      <c r="CD458" s="0" t="n">
        <f aca="false">IF(Presupuesto!$B$62='Flujo de Pagos'!$E458,62,9999)</f>
        <v>62</v>
      </c>
      <c r="CE458" s="0" t="n">
        <f aca="false">IF(Presupuesto!$B$63='Flujo de Pagos'!$E458,63,9999)</f>
        <v>63</v>
      </c>
      <c r="CF458" s="0" t="n">
        <f aca="false">IF(Presupuesto!$B$64='Flujo de Pagos'!$E458,64,9999)</f>
        <v>64</v>
      </c>
      <c r="CG458" s="0" t="n">
        <f aca="false">IF(Presupuesto!$B$65='Flujo de Pagos'!$E458,65,9999)</f>
        <v>65</v>
      </c>
      <c r="CH458" s="0" t="n">
        <f aca="false">IF(Presupuesto!$B$66='Flujo de Pagos'!$E458,66,9999)</f>
        <v>66</v>
      </c>
    </row>
    <row r="459" customFormat="false" ht="15" hidden="false" customHeight="true" outlineLevel="0" collapsed="false">
      <c r="B459" s="1" t="n">
        <f aca="false">IF(AND('Flujo de Pagos'!E464=Carátula!$B$2,'Flujo de Pagos'!F464=Carátula!$B$4,'Flujo de Pagos'!H464&lt;&gt;""),464,99999)</f>
        <v>99999</v>
      </c>
      <c r="H459" s="1" t="n">
        <f aca="false">IF(SMALL($AA459:$CH459,1)&gt;=9999,"",INDEX(Presupuesto!$C:$C,SMALL($AA459:$CH459,1)))</f>
        <v>0</v>
      </c>
      <c r="I459" s="1" t="n">
        <f aca="false">IF(SMALL($AA459:$CH459,2)&gt;=9999,"",INDEX(Presupuesto!$C:$C,SMALL($AA459:$CH459,2)))</f>
        <v>0</v>
      </c>
      <c r="J459" s="1" t="n">
        <f aca="false">IF(SMALL($AA459:$CH459,3)&gt;=9999,"",INDEX(Presupuesto!$C:$C,SMALL($AA459:$CH459,3)))</f>
        <v>0</v>
      </c>
      <c r="K459" s="1" t="n">
        <f aca="false">IF(SMALL($AA459:$CH459,4)&gt;=9999,"",INDEX(Presupuesto!$C:$C,SMALL($AA459:$CH459,4)))</f>
        <v>0</v>
      </c>
      <c r="L459" s="1" t="n">
        <f aca="false">IF(SMALL($AA459:$CH459,5)&gt;=9999,"",INDEX(Presupuesto!$C:$C,SMALL($AA459:$CH459,5)))</f>
        <v>0</v>
      </c>
      <c r="M459" s="1" t="n">
        <f aca="false">IF(SMALL($AA459:$CH459,6)&gt;=9999,"",INDEX(Presupuesto!$C:$C,SMALL($AA459:$CH459,6)))</f>
        <v>0</v>
      </c>
      <c r="N459" s="1" t="n">
        <f aca="false">IF(SMALL($AA459:$CH459,7)&gt;=9999,"",INDEX(Presupuesto!$C:$C,SMALL($AA459:$CH459,7)))</f>
        <v>0</v>
      </c>
      <c r="O459" s="1" t="n">
        <f aca="false">IF(SMALL($AA459:$CH459,8)&gt;=9999,"",INDEX(Presupuesto!$C:$C,SMALL($AA459:$CH459,8)))</f>
        <v>0</v>
      </c>
      <c r="P459" s="1" t="n">
        <f aca="false">IF(SMALL($AA459:$CH459,9)&gt;=9999,"",INDEX(Presupuesto!$C:$C,SMALL($AA459:$CH459,9)))</f>
        <v>0</v>
      </c>
      <c r="Q459" s="1" t="n">
        <f aca="false">IF(SMALL($AA459:$CH459,10)&gt;=9999,"",INDEX(Presupuesto!$C:$C,SMALL($AA459:$CH459,10)))</f>
        <v>0</v>
      </c>
      <c r="AA459" s="0" t="n">
        <f aca="false">IF(Presupuesto!$B$7='Flujo de Pagos'!$E459,7,9999)</f>
        <v>9999</v>
      </c>
      <c r="AB459" s="0" t="n">
        <f aca="false">IF(Presupuesto!$B$8='Flujo de Pagos'!$E459,8,9999)</f>
        <v>9999</v>
      </c>
      <c r="AC459" s="0" t="n">
        <f aca="false">IF(Presupuesto!$B$9='Flujo de Pagos'!$E459,9,9999)</f>
        <v>9999</v>
      </c>
      <c r="AD459" s="0" t="n">
        <f aca="false">IF(Presupuesto!$B$10='Flujo de Pagos'!$E459,10,9999)</f>
        <v>9999</v>
      </c>
      <c r="AE459" s="0" t="n">
        <f aca="false">IF(Presupuesto!$B$11='Flujo de Pagos'!$E459,11,9999)</f>
        <v>9999</v>
      </c>
      <c r="AF459" s="0" t="n">
        <f aca="false">IF(Presupuesto!$B$12='Flujo de Pagos'!$E459,12,9999)</f>
        <v>12</v>
      </c>
      <c r="AG459" s="0" t="n">
        <f aca="false">IF(Presupuesto!$B$13='Flujo de Pagos'!$E459,13,9999)</f>
        <v>13</v>
      </c>
      <c r="AH459" s="0" t="n">
        <f aca="false">IF(Presupuesto!$B$14='Flujo de Pagos'!$E459,14,9999)</f>
        <v>14</v>
      </c>
      <c r="AI459" s="0" t="n">
        <f aca="false">IF(Presupuesto!$B$15='Flujo de Pagos'!$E459,15,9999)</f>
        <v>15</v>
      </c>
      <c r="AJ459" s="0" t="n">
        <f aca="false">IF(Presupuesto!$B$16='Flujo de Pagos'!$E459,16,9999)</f>
        <v>16</v>
      </c>
      <c r="AK459" s="0" t="n">
        <f aca="false">IF(Presupuesto!$B$17='Flujo de Pagos'!$E459,17,9999)</f>
        <v>17</v>
      </c>
      <c r="AL459" s="0" t="n">
        <f aca="false">IF(Presupuesto!$B$18='Flujo de Pagos'!$E459,18,9999)</f>
        <v>18</v>
      </c>
      <c r="AM459" s="0" t="n">
        <f aca="false">IF(Presupuesto!$B$19='Flujo de Pagos'!$E459,19,9999)</f>
        <v>19</v>
      </c>
      <c r="AN459" s="0" t="n">
        <f aca="false">IF(Presupuesto!$B$20='Flujo de Pagos'!$E459,20,9999)</f>
        <v>20</v>
      </c>
      <c r="AO459" s="0" t="n">
        <f aca="false">IF(Presupuesto!$B$21='Flujo de Pagos'!$E459,21,9999)</f>
        <v>21</v>
      </c>
      <c r="AP459" s="0" t="n">
        <f aca="false">IF(Presupuesto!$B$22='Flujo de Pagos'!$E459,22,9999)</f>
        <v>22</v>
      </c>
      <c r="AQ459" s="0" t="n">
        <f aca="false">IF(Presupuesto!$B$23='Flujo de Pagos'!$E459,23,9999)</f>
        <v>23</v>
      </c>
      <c r="AR459" s="0" t="n">
        <f aca="false">IF(Presupuesto!$B$24='Flujo de Pagos'!$E459,24,9999)</f>
        <v>24</v>
      </c>
      <c r="AS459" s="0" t="n">
        <f aca="false">IF(Presupuesto!$B$25='Flujo de Pagos'!$E459,25,9999)</f>
        <v>25</v>
      </c>
      <c r="AT459" s="0" t="n">
        <f aca="false">IF(Presupuesto!$B$26='Flujo de Pagos'!$E459,26,9999)</f>
        <v>26</v>
      </c>
      <c r="AU459" s="0" t="n">
        <f aca="false">IF(Presupuesto!$B$27='Flujo de Pagos'!$E459,27,9999)</f>
        <v>27</v>
      </c>
      <c r="AV459" s="0" t="n">
        <f aca="false">IF(Presupuesto!$B$28='Flujo de Pagos'!$E459,28,9999)</f>
        <v>28</v>
      </c>
      <c r="AW459" s="0" t="n">
        <f aca="false">IF(Presupuesto!$B$29='Flujo de Pagos'!$E459,29,9999)</f>
        <v>29</v>
      </c>
      <c r="AX459" s="0" t="n">
        <f aca="false">IF(Presupuesto!$B$30='Flujo de Pagos'!$E459,30,9999)</f>
        <v>30</v>
      </c>
      <c r="AY459" s="0" t="n">
        <f aca="false">IF(Presupuesto!$B$31='Flujo de Pagos'!$E459,31,9999)</f>
        <v>31</v>
      </c>
      <c r="AZ459" s="0" t="n">
        <f aca="false">IF(Presupuesto!$B$32='Flujo de Pagos'!$E459,32,9999)</f>
        <v>32</v>
      </c>
      <c r="BA459" s="0" t="n">
        <f aca="false">IF(Presupuesto!$B$33='Flujo de Pagos'!$E459,33,9999)</f>
        <v>33</v>
      </c>
      <c r="BB459" s="0" t="n">
        <f aca="false">IF(Presupuesto!$B$34='Flujo de Pagos'!$E459,34,9999)</f>
        <v>34</v>
      </c>
      <c r="BC459" s="0" t="n">
        <f aca="false">IF(Presupuesto!$B$35='Flujo de Pagos'!$E459,35,9999)</f>
        <v>35</v>
      </c>
      <c r="BD459" s="0" t="n">
        <f aca="false">IF(Presupuesto!$B$36='Flujo de Pagos'!$E459,36,9999)</f>
        <v>36</v>
      </c>
      <c r="BE459" s="0" t="n">
        <f aca="false">IF(Presupuesto!$B$37='Flujo de Pagos'!$E459,37,9999)</f>
        <v>37</v>
      </c>
      <c r="BF459" s="0" t="n">
        <f aca="false">IF(Presupuesto!$B$38='Flujo de Pagos'!$E459,38,9999)</f>
        <v>38</v>
      </c>
      <c r="BG459" s="0" t="n">
        <f aca="false">IF(Presupuesto!$B$39='Flujo de Pagos'!$E459,39,9999)</f>
        <v>39</v>
      </c>
      <c r="BH459" s="0" t="n">
        <f aca="false">IF(Presupuesto!$B$40='Flujo de Pagos'!$E459,40,9999)</f>
        <v>40</v>
      </c>
      <c r="BI459" s="0" t="n">
        <f aca="false">IF(Presupuesto!$B$41='Flujo de Pagos'!$E459,41,9999)</f>
        <v>41</v>
      </c>
      <c r="BJ459" s="0" t="n">
        <f aca="false">IF(Presupuesto!$B$42='Flujo de Pagos'!$E459,42,9999)</f>
        <v>42</v>
      </c>
      <c r="BK459" s="0" t="n">
        <f aca="false">IF(Presupuesto!$B$43='Flujo de Pagos'!$E459,43,9999)</f>
        <v>43</v>
      </c>
      <c r="BL459" s="0" t="n">
        <f aca="false">IF(Presupuesto!$B$44='Flujo de Pagos'!$E459,44,9999)</f>
        <v>44</v>
      </c>
      <c r="BM459" s="0" t="n">
        <f aca="false">IF(Presupuesto!$B$45='Flujo de Pagos'!$E459,45,9999)</f>
        <v>45</v>
      </c>
      <c r="BN459" s="0" t="n">
        <f aca="false">IF(Presupuesto!$B$46='Flujo de Pagos'!$E459,46,9999)</f>
        <v>46</v>
      </c>
      <c r="BO459" s="0" t="n">
        <f aca="false">IF(Presupuesto!$B$47='Flujo de Pagos'!$E459,47,9999)</f>
        <v>47</v>
      </c>
      <c r="BP459" s="0" t="n">
        <f aca="false">IF(Presupuesto!$B$48='Flujo de Pagos'!$E459,48,9999)</f>
        <v>48</v>
      </c>
      <c r="BQ459" s="0" t="n">
        <f aca="false">IF(Presupuesto!$B$49='Flujo de Pagos'!$E459,49,9999)</f>
        <v>49</v>
      </c>
      <c r="BR459" s="0" t="n">
        <f aca="false">IF(Presupuesto!$B$50='Flujo de Pagos'!$E459,50,9999)</f>
        <v>50</v>
      </c>
      <c r="BS459" s="0" t="n">
        <f aca="false">IF(Presupuesto!$B$51='Flujo de Pagos'!$E459,51,9999)</f>
        <v>51</v>
      </c>
      <c r="BT459" s="0" t="n">
        <f aca="false">IF(Presupuesto!$B$52='Flujo de Pagos'!$E459,52,9999)</f>
        <v>52</v>
      </c>
      <c r="BU459" s="0" t="n">
        <f aca="false">IF(Presupuesto!$B$53='Flujo de Pagos'!$E459,53,9999)</f>
        <v>53</v>
      </c>
      <c r="BV459" s="0" t="n">
        <f aca="false">IF(Presupuesto!$B$54='Flujo de Pagos'!$E459,54,9999)</f>
        <v>54</v>
      </c>
      <c r="BW459" s="0" t="n">
        <f aca="false">IF(Presupuesto!$B$55='Flujo de Pagos'!$E459,55,9999)</f>
        <v>55</v>
      </c>
      <c r="BX459" s="0" t="n">
        <f aca="false">IF(Presupuesto!$B$56='Flujo de Pagos'!$E459,56,9999)</f>
        <v>56</v>
      </c>
      <c r="BY459" s="0" t="n">
        <f aca="false">IF(Presupuesto!$B$57='Flujo de Pagos'!$E459,57,9999)</f>
        <v>57</v>
      </c>
      <c r="BZ459" s="0" t="n">
        <f aca="false">IF(Presupuesto!$B$58='Flujo de Pagos'!$E459,58,9999)</f>
        <v>58</v>
      </c>
      <c r="CA459" s="0" t="n">
        <f aca="false">IF(Presupuesto!$B$59='Flujo de Pagos'!$E459,59,9999)</f>
        <v>59</v>
      </c>
      <c r="CB459" s="0" t="n">
        <f aca="false">IF(Presupuesto!$B$60='Flujo de Pagos'!$E459,60,9999)</f>
        <v>60</v>
      </c>
      <c r="CC459" s="0" t="n">
        <f aca="false">IF(Presupuesto!$B$61='Flujo de Pagos'!$E459,61,9999)</f>
        <v>61</v>
      </c>
      <c r="CD459" s="0" t="n">
        <f aca="false">IF(Presupuesto!$B$62='Flujo de Pagos'!$E459,62,9999)</f>
        <v>62</v>
      </c>
      <c r="CE459" s="0" t="n">
        <f aca="false">IF(Presupuesto!$B$63='Flujo de Pagos'!$E459,63,9999)</f>
        <v>63</v>
      </c>
      <c r="CF459" s="0" t="n">
        <f aca="false">IF(Presupuesto!$B$64='Flujo de Pagos'!$E459,64,9999)</f>
        <v>64</v>
      </c>
      <c r="CG459" s="0" t="n">
        <f aca="false">IF(Presupuesto!$B$65='Flujo de Pagos'!$E459,65,9999)</f>
        <v>65</v>
      </c>
      <c r="CH459" s="0" t="n">
        <f aca="false">IF(Presupuesto!$B$66='Flujo de Pagos'!$E459,66,9999)</f>
        <v>66</v>
      </c>
    </row>
    <row r="460" customFormat="false" ht="15" hidden="false" customHeight="true" outlineLevel="0" collapsed="false">
      <c r="B460" s="1" t="n">
        <f aca="false">IF(AND('Flujo de Pagos'!E465=Carátula!$B$2,'Flujo de Pagos'!F465=Carátula!$B$4,'Flujo de Pagos'!H465&lt;&gt;""),465,99999)</f>
        <v>99999</v>
      </c>
      <c r="H460" s="1" t="n">
        <f aca="false">IF(SMALL($AA460:$CH460,1)&gt;=9999,"",INDEX(Presupuesto!$C:$C,SMALL($AA460:$CH460,1)))</f>
        <v>0</v>
      </c>
      <c r="I460" s="1" t="n">
        <f aca="false">IF(SMALL($AA460:$CH460,2)&gt;=9999,"",INDEX(Presupuesto!$C:$C,SMALL($AA460:$CH460,2)))</f>
        <v>0</v>
      </c>
      <c r="J460" s="1" t="n">
        <f aca="false">IF(SMALL($AA460:$CH460,3)&gt;=9999,"",INDEX(Presupuesto!$C:$C,SMALL($AA460:$CH460,3)))</f>
        <v>0</v>
      </c>
      <c r="K460" s="1" t="n">
        <f aca="false">IF(SMALL($AA460:$CH460,4)&gt;=9999,"",INDEX(Presupuesto!$C:$C,SMALL($AA460:$CH460,4)))</f>
        <v>0</v>
      </c>
      <c r="L460" s="1" t="n">
        <f aca="false">IF(SMALL($AA460:$CH460,5)&gt;=9999,"",INDEX(Presupuesto!$C:$C,SMALL($AA460:$CH460,5)))</f>
        <v>0</v>
      </c>
      <c r="M460" s="1" t="n">
        <f aca="false">IF(SMALL($AA460:$CH460,6)&gt;=9999,"",INDEX(Presupuesto!$C:$C,SMALL($AA460:$CH460,6)))</f>
        <v>0</v>
      </c>
      <c r="N460" s="1" t="n">
        <f aca="false">IF(SMALL($AA460:$CH460,7)&gt;=9999,"",INDEX(Presupuesto!$C:$C,SMALL($AA460:$CH460,7)))</f>
        <v>0</v>
      </c>
      <c r="O460" s="1" t="n">
        <f aca="false">IF(SMALL($AA460:$CH460,8)&gt;=9999,"",INDEX(Presupuesto!$C:$C,SMALL($AA460:$CH460,8)))</f>
        <v>0</v>
      </c>
      <c r="P460" s="1" t="n">
        <f aca="false">IF(SMALL($AA460:$CH460,9)&gt;=9999,"",INDEX(Presupuesto!$C:$C,SMALL($AA460:$CH460,9)))</f>
        <v>0</v>
      </c>
      <c r="Q460" s="1" t="n">
        <f aca="false">IF(SMALL($AA460:$CH460,10)&gt;=9999,"",INDEX(Presupuesto!$C:$C,SMALL($AA460:$CH460,10)))</f>
        <v>0</v>
      </c>
      <c r="AA460" s="0" t="n">
        <f aca="false">IF(Presupuesto!$B$7='Flujo de Pagos'!$E460,7,9999)</f>
        <v>9999</v>
      </c>
      <c r="AB460" s="0" t="n">
        <f aca="false">IF(Presupuesto!$B$8='Flujo de Pagos'!$E460,8,9999)</f>
        <v>9999</v>
      </c>
      <c r="AC460" s="0" t="n">
        <f aca="false">IF(Presupuesto!$B$9='Flujo de Pagos'!$E460,9,9999)</f>
        <v>9999</v>
      </c>
      <c r="AD460" s="0" t="n">
        <f aca="false">IF(Presupuesto!$B$10='Flujo de Pagos'!$E460,10,9999)</f>
        <v>9999</v>
      </c>
      <c r="AE460" s="0" t="n">
        <f aca="false">IF(Presupuesto!$B$11='Flujo de Pagos'!$E460,11,9999)</f>
        <v>9999</v>
      </c>
      <c r="AF460" s="0" t="n">
        <f aca="false">IF(Presupuesto!$B$12='Flujo de Pagos'!$E460,12,9999)</f>
        <v>12</v>
      </c>
      <c r="AG460" s="0" t="n">
        <f aca="false">IF(Presupuesto!$B$13='Flujo de Pagos'!$E460,13,9999)</f>
        <v>13</v>
      </c>
      <c r="AH460" s="0" t="n">
        <f aca="false">IF(Presupuesto!$B$14='Flujo de Pagos'!$E460,14,9999)</f>
        <v>14</v>
      </c>
      <c r="AI460" s="0" t="n">
        <f aca="false">IF(Presupuesto!$B$15='Flujo de Pagos'!$E460,15,9999)</f>
        <v>15</v>
      </c>
      <c r="AJ460" s="0" t="n">
        <f aca="false">IF(Presupuesto!$B$16='Flujo de Pagos'!$E460,16,9999)</f>
        <v>16</v>
      </c>
      <c r="AK460" s="0" t="n">
        <f aca="false">IF(Presupuesto!$B$17='Flujo de Pagos'!$E460,17,9999)</f>
        <v>17</v>
      </c>
      <c r="AL460" s="0" t="n">
        <f aca="false">IF(Presupuesto!$B$18='Flujo de Pagos'!$E460,18,9999)</f>
        <v>18</v>
      </c>
      <c r="AM460" s="0" t="n">
        <f aca="false">IF(Presupuesto!$B$19='Flujo de Pagos'!$E460,19,9999)</f>
        <v>19</v>
      </c>
      <c r="AN460" s="0" t="n">
        <f aca="false">IF(Presupuesto!$B$20='Flujo de Pagos'!$E460,20,9999)</f>
        <v>20</v>
      </c>
      <c r="AO460" s="0" t="n">
        <f aca="false">IF(Presupuesto!$B$21='Flujo de Pagos'!$E460,21,9999)</f>
        <v>21</v>
      </c>
      <c r="AP460" s="0" t="n">
        <f aca="false">IF(Presupuesto!$B$22='Flujo de Pagos'!$E460,22,9999)</f>
        <v>22</v>
      </c>
      <c r="AQ460" s="0" t="n">
        <f aca="false">IF(Presupuesto!$B$23='Flujo de Pagos'!$E460,23,9999)</f>
        <v>23</v>
      </c>
      <c r="AR460" s="0" t="n">
        <f aca="false">IF(Presupuesto!$B$24='Flujo de Pagos'!$E460,24,9999)</f>
        <v>24</v>
      </c>
      <c r="AS460" s="0" t="n">
        <f aca="false">IF(Presupuesto!$B$25='Flujo de Pagos'!$E460,25,9999)</f>
        <v>25</v>
      </c>
      <c r="AT460" s="0" t="n">
        <f aca="false">IF(Presupuesto!$B$26='Flujo de Pagos'!$E460,26,9999)</f>
        <v>26</v>
      </c>
      <c r="AU460" s="0" t="n">
        <f aca="false">IF(Presupuesto!$B$27='Flujo de Pagos'!$E460,27,9999)</f>
        <v>27</v>
      </c>
      <c r="AV460" s="0" t="n">
        <f aca="false">IF(Presupuesto!$B$28='Flujo de Pagos'!$E460,28,9999)</f>
        <v>28</v>
      </c>
      <c r="AW460" s="0" t="n">
        <f aca="false">IF(Presupuesto!$B$29='Flujo de Pagos'!$E460,29,9999)</f>
        <v>29</v>
      </c>
      <c r="AX460" s="0" t="n">
        <f aca="false">IF(Presupuesto!$B$30='Flujo de Pagos'!$E460,30,9999)</f>
        <v>30</v>
      </c>
      <c r="AY460" s="0" t="n">
        <f aca="false">IF(Presupuesto!$B$31='Flujo de Pagos'!$E460,31,9999)</f>
        <v>31</v>
      </c>
      <c r="AZ460" s="0" t="n">
        <f aca="false">IF(Presupuesto!$B$32='Flujo de Pagos'!$E460,32,9999)</f>
        <v>32</v>
      </c>
      <c r="BA460" s="0" t="n">
        <f aca="false">IF(Presupuesto!$B$33='Flujo de Pagos'!$E460,33,9999)</f>
        <v>33</v>
      </c>
      <c r="BB460" s="0" t="n">
        <f aca="false">IF(Presupuesto!$B$34='Flujo de Pagos'!$E460,34,9999)</f>
        <v>34</v>
      </c>
      <c r="BC460" s="0" t="n">
        <f aca="false">IF(Presupuesto!$B$35='Flujo de Pagos'!$E460,35,9999)</f>
        <v>35</v>
      </c>
      <c r="BD460" s="0" t="n">
        <f aca="false">IF(Presupuesto!$B$36='Flujo de Pagos'!$E460,36,9999)</f>
        <v>36</v>
      </c>
      <c r="BE460" s="0" t="n">
        <f aca="false">IF(Presupuesto!$B$37='Flujo de Pagos'!$E460,37,9999)</f>
        <v>37</v>
      </c>
      <c r="BF460" s="0" t="n">
        <f aca="false">IF(Presupuesto!$B$38='Flujo de Pagos'!$E460,38,9999)</f>
        <v>38</v>
      </c>
      <c r="BG460" s="0" t="n">
        <f aca="false">IF(Presupuesto!$B$39='Flujo de Pagos'!$E460,39,9999)</f>
        <v>39</v>
      </c>
      <c r="BH460" s="0" t="n">
        <f aca="false">IF(Presupuesto!$B$40='Flujo de Pagos'!$E460,40,9999)</f>
        <v>40</v>
      </c>
      <c r="BI460" s="0" t="n">
        <f aca="false">IF(Presupuesto!$B$41='Flujo de Pagos'!$E460,41,9999)</f>
        <v>41</v>
      </c>
      <c r="BJ460" s="0" t="n">
        <f aca="false">IF(Presupuesto!$B$42='Flujo de Pagos'!$E460,42,9999)</f>
        <v>42</v>
      </c>
      <c r="BK460" s="0" t="n">
        <f aca="false">IF(Presupuesto!$B$43='Flujo de Pagos'!$E460,43,9999)</f>
        <v>43</v>
      </c>
      <c r="BL460" s="0" t="n">
        <f aca="false">IF(Presupuesto!$B$44='Flujo de Pagos'!$E460,44,9999)</f>
        <v>44</v>
      </c>
      <c r="BM460" s="0" t="n">
        <f aca="false">IF(Presupuesto!$B$45='Flujo de Pagos'!$E460,45,9999)</f>
        <v>45</v>
      </c>
      <c r="BN460" s="0" t="n">
        <f aca="false">IF(Presupuesto!$B$46='Flujo de Pagos'!$E460,46,9999)</f>
        <v>46</v>
      </c>
      <c r="BO460" s="0" t="n">
        <f aca="false">IF(Presupuesto!$B$47='Flujo de Pagos'!$E460,47,9999)</f>
        <v>47</v>
      </c>
      <c r="BP460" s="0" t="n">
        <f aca="false">IF(Presupuesto!$B$48='Flujo de Pagos'!$E460,48,9999)</f>
        <v>48</v>
      </c>
      <c r="BQ460" s="0" t="n">
        <f aca="false">IF(Presupuesto!$B$49='Flujo de Pagos'!$E460,49,9999)</f>
        <v>49</v>
      </c>
      <c r="BR460" s="0" t="n">
        <f aca="false">IF(Presupuesto!$B$50='Flujo de Pagos'!$E460,50,9999)</f>
        <v>50</v>
      </c>
      <c r="BS460" s="0" t="n">
        <f aca="false">IF(Presupuesto!$B$51='Flujo de Pagos'!$E460,51,9999)</f>
        <v>51</v>
      </c>
      <c r="BT460" s="0" t="n">
        <f aca="false">IF(Presupuesto!$B$52='Flujo de Pagos'!$E460,52,9999)</f>
        <v>52</v>
      </c>
      <c r="BU460" s="0" t="n">
        <f aca="false">IF(Presupuesto!$B$53='Flujo de Pagos'!$E460,53,9999)</f>
        <v>53</v>
      </c>
      <c r="BV460" s="0" t="n">
        <f aca="false">IF(Presupuesto!$B$54='Flujo de Pagos'!$E460,54,9999)</f>
        <v>54</v>
      </c>
      <c r="BW460" s="0" t="n">
        <f aca="false">IF(Presupuesto!$B$55='Flujo de Pagos'!$E460,55,9999)</f>
        <v>55</v>
      </c>
      <c r="BX460" s="0" t="n">
        <f aca="false">IF(Presupuesto!$B$56='Flujo de Pagos'!$E460,56,9999)</f>
        <v>56</v>
      </c>
      <c r="BY460" s="0" t="n">
        <f aca="false">IF(Presupuesto!$B$57='Flujo de Pagos'!$E460,57,9999)</f>
        <v>57</v>
      </c>
      <c r="BZ460" s="0" t="n">
        <f aca="false">IF(Presupuesto!$B$58='Flujo de Pagos'!$E460,58,9999)</f>
        <v>58</v>
      </c>
      <c r="CA460" s="0" t="n">
        <f aca="false">IF(Presupuesto!$B$59='Flujo de Pagos'!$E460,59,9999)</f>
        <v>59</v>
      </c>
      <c r="CB460" s="0" t="n">
        <f aca="false">IF(Presupuesto!$B$60='Flujo de Pagos'!$E460,60,9999)</f>
        <v>60</v>
      </c>
      <c r="CC460" s="0" t="n">
        <f aca="false">IF(Presupuesto!$B$61='Flujo de Pagos'!$E460,61,9999)</f>
        <v>61</v>
      </c>
      <c r="CD460" s="0" t="n">
        <f aca="false">IF(Presupuesto!$B$62='Flujo de Pagos'!$E460,62,9999)</f>
        <v>62</v>
      </c>
      <c r="CE460" s="0" t="n">
        <f aca="false">IF(Presupuesto!$B$63='Flujo de Pagos'!$E460,63,9999)</f>
        <v>63</v>
      </c>
      <c r="CF460" s="0" t="n">
        <f aca="false">IF(Presupuesto!$B$64='Flujo de Pagos'!$E460,64,9999)</f>
        <v>64</v>
      </c>
      <c r="CG460" s="0" t="n">
        <f aca="false">IF(Presupuesto!$B$65='Flujo de Pagos'!$E460,65,9999)</f>
        <v>65</v>
      </c>
      <c r="CH460" s="0" t="n">
        <f aca="false">IF(Presupuesto!$B$66='Flujo de Pagos'!$E460,66,9999)</f>
        <v>66</v>
      </c>
    </row>
    <row r="461" customFormat="false" ht="15" hidden="false" customHeight="true" outlineLevel="0" collapsed="false">
      <c r="B461" s="1" t="n">
        <f aca="false">IF(AND('Flujo de Pagos'!E466=Carátula!$B$2,'Flujo de Pagos'!F466=Carátula!$B$4,'Flujo de Pagos'!H466&lt;&gt;""),466,99999)</f>
        <v>99999</v>
      </c>
      <c r="H461" s="1" t="n">
        <f aca="false">IF(SMALL($AA461:$CH461,1)&gt;=9999,"",INDEX(Presupuesto!$C:$C,SMALL($AA461:$CH461,1)))</f>
        <v>0</v>
      </c>
      <c r="I461" s="1" t="n">
        <f aca="false">IF(SMALL($AA461:$CH461,2)&gt;=9999,"",INDEX(Presupuesto!$C:$C,SMALL($AA461:$CH461,2)))</f>
        <v>0</v>
      </c>
      <c r="J461" s="1" t="n">
        <f aca="false">IF(SMALL($AA461:$CH461,3)&gt;=9999,"",INDEX(Presupuesto!$C:$C,SMALL($AA461:$CH461,3)))</f>
        <v>0</v>
      </c>
      <c r="K461" s="1" t="n">
        <f aca="false">IF(SMALL($AA461:$CH461,4)&gt;=9999,"",INDEX(Presupuesto!$C:$C,SMALL($AA461:$CH461,4)))</f>
        <v>0</v>
      </c>
      <c r="L461" s="1" t="n">
        <f aca="false">IF(SMALL($AA461:$CH461,5)&gt;=9999,"",INDEX(Presupuesto!$C:$C,SMALL($AA461:$CH461,5)))</f>
        <v>0</v>
      </c>
      <c r="M461" s="1" t="n">
        <f aca="false">IF(SMALL($AA461:$CH461,6)&gt;=9999,"",INDEX(Presupuesto!$C:$C,SMALL($AA461:$CH461,6)))</f>
        <v>0</v>
      </c>
      <c r="N461" s="1" t="n">
        <f aca="false">IF(SMALL($AA461:$CH461,7)&gt;=9999,"",INDEX(Presupuesto!$C:$C,SMALL($AA461:$CH461,7)))</f>
        <v>0</v>
      </c>
      <c r="O461" s="1" t="n">
        <f aca="false">IF(SMALL($AA461:$CH461,8)&gt;=9999,"",INDEX(Presupuesto!$C:$C,SMALL($AA461:$CH461,8)))</f>
        <v>0</v>
      </c>
      <c r="P461" s="1" t="n">
        <f aca="false">IF(SMALL($AA461:$CH461,9)&gt;=9999,"",INDEX(Presupuesto!$C:$C,SMALL($AA461:$CH461,9)))</f>
        <v>0</v>
      </c>
      <c r="Q461" s="1" t="n">
        <f aca="false">IF(SMALL($AA461:$CH461,10)&gt;=9999,"",INDEX(Presupuesto!$C:$C,SMALL($AA461:$CH461,10)))</f>
        <v>0</v>
      </c>
      <c r="AA461" s="0" t="n">
        <f aca="false">IF(Presupuesto!$B$7='Flujo de Pagos'!$E461,7,9999)</f>
        <v>9999</v>
      </c>
      <c r="AB461" s="0" t="n">
        <f aca="false">IF(Presupuesto!$B$8='Flujo de Pagos'!$E461,8,9999)</f>
        <v>9999</v>
      </c>
      <c r="AC461" s="0" t="n">
        <f aca="false">IF(Presupuesto!$B$9='Flujo de Pagos'!$E461,9,9999)</f>
        <v>9999</v>
      </c>
      <c r="AD461" s="0" t="n">
        <f aca="false">IF(Presupuesto!$B$10='Flujo de Pagos'!$E461,10,9999)</f>
        <v>9999</v>
      </c>
      <c r="AE461" s="0" t="n">
        <f aca="false">IF(Presupuesto!$B$11='Flujo de Pagos'!$E461,11,9999)</f>
        <v>9999</v>
      </c>
      <c r="AF461" s="0" t="n">
        <f aca="false">IF(Presupuesto!$B$12='Flujo de Pagos'!$E461,12,9999)</f>
        <v>12</v>
      </c>
      <c r="AG461" s="0" t="n">
        <f aca="false">IF(Presupuesto!$B$13='Flujo de Pagos'!$E461,13,9999)</f>
        <v>13</v>
      </c>
      <c r="AH461" s="0" t="n">
        <f aca="false">IF(Presupuesto!$B$14='Flujo de Pagos'!$E461,14,9999)</f>
        <v>14</v>
      </c>
      <c r="AI461" s="0" t="n">
        <f aca="false">IF(Presupuesto!$B$15='Flujo de Pagos'!$E461,15,9999)</f>
        <v>15</v>
      </c>
      <c r="AJ461" s="0" t="n">
        <f aca="false">IF(Presupuesto!$B$16='Flujo de Pagos'!$E461,16,9999)</f>
        <v>16</v>
      </c>
      <c r="AK461" s="0" t="n">
        <f aca="false">IF(Presupuesto!$B$17='Flujo de Pagos'!$E461,17,9999)</f>
        <v>17</v>
      </c>
      <c r="AL461" s="0" t="n">
        <f aca="false">IF(Presupuesto!$B$18='Flujo de Pagos'!$E461,18,9999)</f>
        <v>18</v>
      </c>
      <c r="AM461" s="0" t="n">
        <f aca="false">IF(Presupuesto!$B$19='Flujo de Pagos'!$E461,19,9999)</f>
        <v>19</v>
      </c>
      <c r="AN461" s="0" t="n">
        <f aca="false">IF(Presupuesto!$B$20='Flujo de Pagos'!$E461,20,9999)</f>
        <v>20</v>
      </c>
      <c r="AO461" s="0" t="n">
        <f aca="false">IF(Presupuesto!$B$21='Flujo de Pagos'!$E461,21,9999)</f>
        <v>21</v>
      </c>
      <c r="AP461" s="0" t="n">
        <f aca="false">IF(Presupuesto!$B$22='Flujo de Pagos'!$E461,22,9999)</f>
        <v>22</v>
      </c>
      <c r="AQ461" s="0" t="n">
        <f aca="false">IF(Presupuesto!$B$23='Flujo de Pagos'!$E461,23,9999)</f>
        <v>23</v>
      </c>
      <c r="AR461" s="0" t="n">
        <f aca="false">IF(Presupuesto!$B$24='Flujo de Pagos'!$E461,24,9999)</f>
        <v>24</v>
      </c>
      <c r="AS461" s="0" t="n">
        <f aca="false">IF(Presupuesto!$B$25='Flujo de Pagos'!$E461,25,9999)</f>
        <v>25</v>
      </c>
      <c r="AT461" s="0" t="n">
        <f aca="false">IF(Presupuesto!$B$26='Flujo de Pagos'!$E461,26,9999)</f>
        <v>26</v>
      </c>
      <c r="AU461" s="0" t="n">
        <f aca="false">IF(Presupuesto!$B$27='Flujo de Pagos'!$E461,27,9999)</f>
        <v>27</v>
      </c>
      <c r="AV461" s="0" t="n">
        <f aca="false">IF(Presupuesto!$B$28='Flujo de Pagos'!$E461,28,9999)</f>
        <v>28</v>
      </c>
      <c r="AW461" s="0" t="n">
        <f aca="false">IF(Presupuesto!$B$29='Flujo de Pagos'!$E461,29,9999)</f>
        <v>29</v>
      </c>
      <c r="AX461" s="0" t="n">
        <f aca="false">IF(Presupuesto!$B$30='Flujo de Pagos'!$E461,30,9999)</f>
        <v>30</v>
      </c>
      <c r="AY461" s="0" t="n">
        <f aca="false">IF(Presupuesto!$B$31='Flujo de Pagos'!$E461,31,9999)</f>
        <v>31</v>
      </c>
      <c r="AZ461" s="0" t="n">
        <f aca="false">IF(Presupuesto!$B$32='Flujo de Pagos'!$E461,32,9999)</f>
        <v>32</v>
      </c>
      <c r="BA461" s="0" t="n">
        <f aca="false">IF(Presupuesto!$B$33='Flujo de Pagos'!$E461,33,9999)</f>
        <v>33</v>
      </c>
      <c r="BB461" s="0" t="n">
        <f aca="false">IF(Presupuesto!$B$34='Flujo de Pagos'!$E461,34,9999)</f>
        <v>34</v>
      </c>
      <c r="BC461" s="0" t="n">
        <f aca="false">IF(Presupuesto!$B$35='Flujo de Pagos'!$E461,35,9999)</f>
        <v>35</v>
      </c>
      <c r="BD461" s="0" t="n">
        <f aca="false">IF(Presupuesto!$B$36='Flujo de Pagos'!$E461,36,9999)</f>
        <v>36</v>
      </c>
      <c r="BE461" s="0" t="n">
        <f aca="false">IF(Presupuesto!$B$37='Flujo de Pagos'!$E461,37,9999)</f>
        <v>37</v>
      </c>
      <c r="BF461" s="0" t="n">
        <f aca="false">IF(Presupuesto!$B$38='Flujo de Pagos'!$E461,38,9999)</f>
        <v>38</v>
      </c>
      <c r="BG461" s="0" t="n">
        <f aca="false">IF(Presupuesto!$B$39='Flujo de Pagos'!$E461,39,9999)</f>
        <v>39</v>
      </c>
      <c r="BH461" s="0" t="n">
        <f aca="false">IF(Presupuesto!$B$40='Flujo de Pagos'!$E461,40,9999)</f>
        <v>40</v>
      </c>
      <c r="BI461" s="0" t="n">
        <f aca="false">IF(Presupuesto!$B$41='Flujo de Pagos'!$E461,41,9999)</f>
        <v>41</v>
      </c>
      <c r="BJ461" s="0" t="n">
        <f aca="false">IF(Presupuesto!$B$42='Flujo de Pagos'!$E461,42,9999)</f>
        <v>42</v>
      </c>
      <c r="BK461" s="0" t="n">
        <f aca="false">IF(Presupuesto!$B$43='Flujo de Pagos'!$E461,43,9999)</f>
        <v>43</v>
      </c>
      <c r="BL461" s="0" t="n">
        <f aca="false">IF(Presupuesto!$B$44='Flujo de Pagos'!$E461,44,9999)</f>
        <v>44</v>
      </c>
      <c r="BM461" s="0" t="n">
        <f aca="false">IF(Presupuesto!$B$45='Flujo de Pagos'!$E461,45,9999)</f>
        <v>45</v>
      </c>
      <c r="BN461" s="0" t="n">
        <f aca="false">IF(Presupuesto!$B$46='Flujo de Pagos'!$E461,46,9999)</f>
        <v>46</v>
      </c>
      <c r="BO461" s="0" t="n">
        <f aca="false">IF(Presupuesto!$B$47='Flujo de Pagos'!$E461,47,9999)</f>
        <v>47</v>
      </c>
      <c r="BP461" s="0" t="n">
        <f aca="false">IF(Presupuesto!$B$48='Flujo de Pagos'!$E461,48,9999)</f>
        <v>48</v>
      </c>
      <c r="BQ461" s="0" t="n">
        <f aca="false">IF(Presupuesto!$B$49='Flujo de Pagos'!$E461,49,9999)</f>
        <v>49</v>
      </c>
      <c r="BR461" s="0" t="n">
        <f aca="false">IF(Presupuesto!$B$50='Flujo de Pagos'!$E461,50,9999)</f>
        <v>50</v>
      </c>
      <c r="BS461" s="0" t="n">
        <f aca="false">IF(Presupuesto!$B$51='Flujo de Pagos'!$E461,51,9999)</f>
        <v>51</v>
      </c>
      <c r="BT461" s="0" t="n">
        <f aca="false">IF(Presupuesto!$B$52='Flujo de Pagos'!$E461,52,9999)</f>
        <v>52</v>
      </c>
      <c r="BU461" s="0" t="n">
        <f aca="false">IF(Presupuesto!$B$53='Flujo de Pagos'!$E461,53,9999)</f>
        <v>53</v>
      </c>
      <c r="BV461" s="0" t="n">
        <f aca="false">IF(Presupuesto!$B$54='Flujo de Pagos'!$E461,54,9999)</f>
        <v>54</v>
      </c>
      <c r="BW461" s="0" t="n">
        <f aca="false">IF(Presupuesto!$B$55='Flujo de Pagos'!$E461,55,9999)</f>
        <v>55</v>
      </c>
      <c r="BX461" s="0" t="n">
        <f aca="false">IF(Presupuesto!$B$56='Flujo de Pagos'!$E461,56,9999)</f>
        <v>56</v>
      </c>
      <c r="BY461" s="0" t="n">
        <f aca="false">IF(Presupuesto!$B$57='Flujo de Pagos'!$E461,57,9999)</f>
        <v>57</v>
      </c>
      <c r="BZ461" s="0" t="n">
        <f aca="false">IF(Presupuesto!$B$58='Flujo de Pagos'!$E461,58,9999)</f>
        <v>58</v>
      </c>
      <c r="CA461" s="0" t="n">
        <f aca="false">IF(Presupuesto!$B$59='Flujo de Pagos'!$E461,59,9999)</f>
        <v>59</v>
      </c>
      <c r="CB461" s="0" t="n">
        <f aca="false">IF(Presupuesto!$B$60='Flujo de Pagos'!$E461,60,9999)</f>
        <v>60</v>
      </c>
      <c r="CC461" s="0" t="n">
        <f aca="false">IF(Presupuesto!$B$61='Flujo de Pagos'!$E461,61,9999)</f>
        <v>61</v>
      </c>
      <c r="CD461" s="0" t="n">
        <f aca="false">IF(Presupuesto!$B$62='Flujo de Pagos'!$E461,62,9999)</f>
        <v>62</v>
      </c>
      <c r="CE461" s="0" t="n">
        <f aca="false">IF(Presupuesto!$B$63='Flujo de Pagos'!$E461,63,9999)</f>
        <v>63</v>
      </c>
      <c r="CF461" s="0" t="n">
        <f aca="false">IF(Presupuesto!$B$64='Flujo de Pagos'!$E461,64,9999)</f>
        <v>64</v>
      </c>
      <c r="CG461" s="0" t="n">
        <f aca="false">IF(Presupuesto!$B$65='Flujo de Pagos'!$E461,65,9999)</f>
        <v>65</v>
      </c>
      <c r="CH461" s="0" t="n">
        <f aca="false">IF(Presupuesto!$B$66='Flujo de Pagos'!$E461,66,9999)</f>
        <v>66</v>
      </c>
    </row>
    <row r="462" customFormat="false" ht="15" hidden="false" customHeight="true" outlineLevel="0" collapsed="false">
      <c r="B462" s="1" t="n">
        <f aca="false">IF(AND('Flujo de Pagos'!E467=Carátula!$B$2,'Flujo de Pagos'!F467=Carátula!$B$4,'Flujo de Pagos'!H467&lt;&gt;""),467,99999)</f>
        <v>99999</v>
      </c>
      <c r="H462" s="1" t="n">
        <f aca="false">IF(SMALL($AA462:$CH462,1)&gt;=9999,"",INDEX(Presupuesto!$C:$C,SMALL($AA462:$CH462,1)))</f>
        <v>0</v>
      </c>
      <c r="I462" s="1" t="n">
        <f aca="false">IF(SMALL($AA462:$CH462,2)&gt;=9999,"",INDEX(Presupuesto!$C:$C,SMALL($AA462:$CH462,2)))</f>
        <v>0</v>
      </c>
      <c r="J462" s="1" t="n">
        <f aca="false">IF(SMALL($AA462:$CH462,3)&gt;=9999,"",INDEX(Presupuesto!$C:$C,SMALL($AA462:$CH462,3)))</f>
        <v>0</v>
      </c>
      <c r="K462" s="1" t="n">
        <f aca="false">IF(SMALL($AA462:$CH462,4)&gt;=9999,"",INDEX(Presupuesto!$C:$C,SMALL($AA462:$CH462,4)))</f>
        <v>0</v>
      </c>
      <c r="L462" s="1" t="n">
        <f aca="false">IF(SMALL($AA462:$CH462,5)&gt;=9999,"",INDEX(Presupuesto!$C:$C,SMALL($AA462:$CH462,5)))</f>
        <v>0</v>
      </c>
      <c r="M462" s="1" t="n">
        <f aca="false">IF(SMALL($AA462:$CH462,6)&gt;=9999,"",INDEX(Presupuesto!$C:$C,SMALL($AA462:$CH462,6)))</f>
        <v>0</v>
      </c>
      <c r="N462" s="1" t="n">
        <f aca="false">IF(SMALL($AA462:$CH462,7)&gt;=9999,"",INDEX(Presupuesto!$C:$C,SMALL($AA462:$CH462,7)))</f>
        <v>0</v>
      </c>
      <c r="O462" s="1" t="n">
        <f aca="false">IF(SMALL($AA462:$CH462,8)&gt;=9999,"",INDEX(Presupuesto!$C:$C,SMALL($AA462:$CH462,8)))</f>
        <v>0</v>
      </c>
      <c r="P462" s="1" t="n">
        <f aca="false">IF(SMALL($AA462:$CH462,9)&gt;=9999,"",INDEX(Presupuesto!$C:$C,SMALL($AA462:$CH462,9)))</f>
        <v>0</v>
      </c>
      <c r="Q462" s="1" t="n">
        <f aca="false">IF(SMALL($AA462:$CH462,10)&gt;=9999,"",INDEX(Presupuesto!$C:$C,SMALL($AA462:$CH462,10)))</f>
        <v>0</v>
      </c>
      <c r="AA462" s="0" t="n">
        <f aca="false">IF(Presupuesto!$B$7='Flujo de Pagos'!$E462,7,9999)</f>
        <v>9999</v>
      </c>
      <c r="AB462" s="0" t="n">
        <f aca="false">IF(Presupuesto!$B$8='Flujo de Pagos'!$E462,8,9999)</f>
        <v>9999</v>
      </c>
      <c r="AC462" s="0" t="n">
        <f aca="false">IF(Presupuesto!$B$9='Flujo de Pagos'!$E462,9,9999)</f>
        <v>9999</v>
      </c>
      <c r="AD462" s="0" t="n">
        <f aca="false">IF(Presupuesto!$B$10='Flujo de Pagos'!$E462,10,9999)</f>
        <v>9999</v>
      </c>
      <c r="AE462" s="0" t="n">
        <f aca="false">IF(Presupuesto!$B$11='Flujo de Pagos'!$E462,11,9999)</f>
        <v>9999</v>
      </c>
      <c r="AF462" s="0" t="n">
        <f aca="false">IF(Presupuesto!$B$12='Flujo de Pagos'!$E462,12,9999)</f>
        <v>12</v>
      </c>
      <c r="AG462" s="0" t="n">
        <f aca="false">IF(Presupuesto!$B$13='Flujo de Pagos'!$E462,13,9999)</f>
        <v>13</v>
      </c>
      <c r="AH462" s="0" t="n">
        <f aca="false">IF(Presupuesto!$B$14='Flujo de Pagos'!$E462,14,9999)</f>
        <v>14</v>
      </c>
      <c r="AI462" s="0" t="n">
        <f aca="false">IF(Presupuesto!$B$15='Flujo de Pagos'!$E462,15,9999)</f>
        <v>15</v>
      </c>
      <c r="AJ462" s="0" t="n">
        <f aca="false">IF(Presupuesto!$B$16='Flujo de Pagos'!$E462,16,9999)</f>
        <v>16</v>
      </c>
      <c r="AK462" s="0" t="n">
        <f aca="false">IF(Presupuesto!$B$17='Flujo de Pagos'!$E462,17,9999)</f>
        <v>17</v>
      </c>
      <c r="AL462" s="0" t="n">
        <f aca="false">IF(Presupuesto!$B$18='Flujo de Pagos'!$E462,18,9999)</f>
        <v>18</v>
      </c>
      <c r="AM462" s="0" t="n">
        <f aca="false">IF(Presupuesto!$B$19='Flujo de Pagos'!$E462,19,9999)</f>
        <v>19</v>
      </c>
      <c r="AN462" s="0" t="n">
        <f aca="false">IF(Presupuesto!$B$20='Flujo de Pagos'!$E462,20,9999)</f>
        <v>20</v>
      </c>
      <c r="AO462" s="0" t="n">
        <f aca="false">IF(Presupuesto!$B$21='Flujo de Pagos'!$E462,21,9999)</f>
        <v>21</v>
      </c>
      <c r="AP462" s="0" t="n">
        <f aca="false">IF(Presupuesto!$B$22='Flujo de Pagos'!$E462,22,9999)</f>
        <v>22</v>
      </c>
      <c r="AQ462" s="0" t="n">
        <f aca="false">IF(Presupuesto!$B$23='Flujo de Pagos'!$E462,23,9999)</f>
        <v>23</v>
      </c>
      <c r="AR462" s="0" t="n">
        <f aca="false">IF(Presupuesto!$B$24='Flujo de Pagos'!$E462,24,9999)</f>
        <v>24</v>
      </c>
      <c r="AS462" s="0" t="n">
        <f aca="false">IF(Presupuesto!$B$25='Flujo de Pagos'!$E462,25,9999)</f>
        <v>25</v>
      </c>
      <c r="AT462" s="0" t="n">
        <f aca="false">IF(Presupuesto!$B$26='Flujo de Pagos'!$E462,26,9999)</f>
        <v>26</v>
      </c>
      <c r="AU462" s="0" t="n">
        <f aca="false">IF(Presupuesto!$B$27='Flujo de Pagos'!$E462,27,9999)</f>
        <v>27</v>
      </c>
      <c r="AV462" s="0" t="n">
        <f aca="false">IF(Presupuesto!$B$28='Flujo de Pagos'!$E462,28,9999)</f>
        <v>28</v>
      </c>
      <c r="AW462" s="0" t="n">
        <f aca="false">IF(Presupuesto!$B$29='Flujo de Pagos'!$E462,29,9999)</f>
        <v>29</v>
      </c>
      <c r="AX462" s="0" t="n">
        <f aca="false">IF(Presupuesto!$B$30='Flujo de Pagos'!$E462,30,9999)</f>
        <v>30</v>
      </c>
      <c r="AY462" s="0" t="n">
        <f aca="false">IF(Presupuesto!$B$31='Flujo de Pagos'!$E462,31,9999)</f>
        <v>31</v>
      </c>
      <c r="AZ462" s="0" t="n">
        <f aca="false">IF(Presupuesto!$B$32='Flujo de Pagos'!$E462,32,9999)</f>
        <v>32</v>
      </c>
      <c r="BA462" s="0" t="n">
        <f aca="false">IF(Presupuesto!$B$33='Flujo de Pagos'!$E462,33,9999)</f>
        <v>33</v>
      </c>
      <c r="BB462" s="0" t="n">
        <f aca="false">IF(Presupuesto!$B$34='Flujo de Pagos'!$E462,34,9999)</f>
        <v>34</v>
      </c>
      <c r="BC462" s="0" t="n">
        <f aca="false">IF(Presupuesto!$B$35='Flujo de Pagos'!$E462,35,9999)</f>
        <v>35</v>
      </c>
      <c r="BD462" s="0" t="n">
        <f aca="false">IF(Presupuesto!$B$36='Flujo de Pagos'!$E462,36,9999)</f>
        <v>36</v>
      </c>
      <c r="BE462" s="0" t="n">
        <f aca="false">IF(Presupuesto!$B$37='Flujo de Pagos'!$E462,37,9999)</f>
        <v>37</v>
      </c>
      <c r="BF462" s="0" t="n">
        <f aca="false">IF(Presupuesto!$B$38='Flujo de Pagos'!$E462,38,9999)</f>
        <v>38</v>
      </c>
      <c r="BG462" s="0" t="n">
        <f aca="false">IF(Presupuesto!$B$39='Flujo de Pagos'!$E462,39,9999)</f>
        <v>39</v>
      </c>
      <c r="BH462" s="0" t="n">
        <f aca="false">IF(Presupuesto!$B$40='Flujo de Pagos'!$E462,40,9999)</f>
        <v>40</v>
      </c>
      <c r="BI462" s="0" t="n">
        <f aca="false">IF(Presupuesto!$B$41='Flujo de Pagos'!$E462,41,9999)</f>
        <v>41</v>
      </c>
      <c r="BJ462" s="0" t="n">
        <f aca="false">IF(Presupuesto!$B$42='Flujo de Pagos'!$E462,42,9999)</f>
        <v>42</v>
      </c>
      <c r="BK462" s="0" t="n">
        <f aca="false">IF(Presupuesto!$B$43='Flujo de Pagos'!$E462,43,9999)</f>
        <v>43</v>
      </c>
      <c r="BL462" s="0" t="n">
        <f aca="false">IF(Presupuesto!$B$44='Flujo de Pagos'!$E462,44,9999)</f>
        <v>44</v>
      </c>
      <c r="BM462" s="0" t="n">
        <f aca="false">IF(Presupuesto!$B$45='Flujo de Pagos'!$E462,45,9999)</f>
        <v>45</v>
      </c>
      <c r="BN462" s="0" t="n">
        <f aca="false">IF(Presupuesto!$B$46='Flujo de Pagos'!$E462,46,9999)</f>
        <v>46</v>
      </c>
      <c r="BO462" s="0" t="n">
        <f aca="false">IF(Presupuesto!$B$47='Flujo de Pagos'!$E462,47,9999)</f>
        <v>47</v>
      </c>
      <c r="BP462" s="0" t="n">
        <f aca="false">IF(Presupuesto!$B$48='Flujo de Pagos'!$E462,48,9999)</f>
        <v>48</v>
      </c>
      <c r="BQ462" s="0" t="n">
        <f aca="false">IF(Presupuesto!$B$49='Flujo de Pagos'!$E462,49,9999)</f>
        <v>49</v>
      </c>
      <c r="BR462" s="0" t="n">
        <f aca="false">IF(Presupuesto!$B$50='Flujo de Pagos'!$E462,50,9999)</f>
        <v>50</v>
      </c>
      <c r="BS462" s="0" t="n">
        <f aca="false">IF(Presupuesto!$B$51='Flujo de Pagos'!$E462,51,9999)</f>
        <v>51</v>
      </c>
      <c r="BT462" s="0" t="n">
        <f aca="false">IF(Presupuesto!$B$52='Flujo de Pagos'!$E462,52,9999)</f>
        <v>52</v>
      </c>
      <c r="BU462" s="0" t="n">
        <f aca="false">IF(Presupuesto!$B$53='Flujo de Pagos'!$E462,53,9999)</f>
        <v>53</v>
      </c>
      <c r="BV462" s="0" t="n">
        <f aca="false">IF(Presupuesto!$B$54='Flujo de Pagos'!$E462,54,9999)</f>
        <v>54</v>
      </c>
      <c r="BW462" s="0" t="n">
        <f aca="false">IF(Presupuesto!$B$55='Flujo de Pagos'!$E462,55,9999)</f>
        <v>55</v>
      </c>
      <c r="BX462" s="0" t="n">
        <f aca="false">IF(Presupuesto!$B$56='Flujo de Pagos'!$E462,56,9999)</f>
        <v>56</v>
      </c>
      <c r="BY462" s="0" t="n">
        <f aca="false">IF(Presupuesto!$B$57='Flujo de Pagos'!$E462,57,9999)</f>
        <v>57</v>
      </c>
      <c r="BZ462" s="0" t="n">
        <f aca="false">IF(Presupuesto!$B$58='Flujo de Pagos'!$E462,58,9999)</f>
        <v>58</v>
      </c>
      <c r="CA462" s="0" t="n">
        <f aca="false">IF(Presupuesto!$B$59='Flujo de Pagos'!$E462,59,9999)</f>
        <v>59</v>
      </c>
      <c r="CB462" s="0" t="n">
        <f aca="false">IF(Presupuesto!$B$60='Flujo de Pagos'!$E462,60,9999)</f>
        <v>60</v>
      </c>
      <c r="CC462" s="0" t="n">
        <f aca="false">IF(Presupuesto!$B$61='Flujo de Pagos'!$E462,61,9999)</f>
        <v>61</v>
      </c>
      <c r="CD462" s="0" t="n">
        <f aca="false">IF(Presupuesto!$B$62='Flujo de Pagos'!$E462,62,9999)</f>
        <v>62</v>
      </c>
      <c r="CE462" s="0" t="n">
        <f aca="false">IF(Presupuesto!$B$63='Flujo de Pagos'!$E462,63,9999)</f>
        <v>63</v>
      </c>
      <c r="CF462" s="0" t="n">
        <f aca="false">IF(Presupuesto!$B$64='Flujo de Pagos'!$E462,64,9999)</f>
        <v>64</v>
      </c>
      <c r="CG462" s="0" t="n">
        <f aca="false">IF(Presupuesto!$B$65='Flujo de Pagos'!$E462,65,9999)</f>
        <v>65</v>
      </c>
      <c r="CH462" s="0" t="n">
        <f aca="false">IF(Presupuesto!$B$66='Flujo de Pagos'!$E462,66,9999)</f>
        <v>66</v>
      </c>
    </row>
    <row r="463" customFormat="false" ht="15" hidden="false" customHeight="true" outlineLevel="0" collapsed="false">
      <c r="B463" s="1" t="n">
        <f aca="false">IF(AND('Flujo de Pagos'!E468=Carátula!$B$2,'Flujo de Pagos'!F468=Carátula!$B$4,'Flujo de Pagos'!H468&lt;&gt;""),468,99999)</f>
        <v>99999</v>
      </c>
      <c r="H463" s="1" t="n">
        <f aca="false">IF(SMALL($AA463:$CH463,1)&gt;=9999,"",INDEX(Presupuesto!$C:$C,SMALL($AA463:$CH463,1)))</f>
        <v>0</v>
      </c>
      <c r="I463" s="1" t="n">
        <f aca="false">IF(SMALL($AA463:$CH463,2)&gt;=9999,"",INDEX(Presupuesto!$C:$C,SMALL($AA463:$CH463,2)))</f>
        <v>0</v>
      </c>
      <c r="J463" s="1" t="n">
        <f aca="false">IF(SMALL($AA463:$CH463,3)&gt;=9999,"",INDEX(Presupuesto!$C:$C,SMALL($AA463:$CH463,3)))</f>
        <v>0</v>
      </c>
      <c r="K463" s="1" t="n">
        <f aca="false">IF(SMALL($AA463:$CH463,4)&gt;=9999,"",INDEX(Presupuesto!$C:$C,SMALL($AA463:$CH463,4)))</f>
        <v>0</v>
      </c>
      <c r="L463" s="1" t="n">
        <f aca="false">IF(SMALL($AA463:$CH463,5)&gt;=9999,"",INDEX(Presupuesto!$C:$C,SMALL($AA463:$CH463,5)))</f>
        <v>0</v>
      </c>
      <c r="M463" s="1" t="n">
        <f aca="false">IF(SMALL($AA463:$CH463,6)&gt;=9999,"",INDEX(Presupuesto!$C:$C,SMALL($AA463:$CH463,6)))</f>
        <v>0</v>
      </c>
      <c r="N463" s="1" t="n">
        <f aca="false">IF(SMALL($AA463:$CH463,7)&gt;=9999,"",INDEX(Presupuesto!$C:$C,SMALL($AA463:$CH463,7)))</f>
        <v>0</v>
      </c>
      <c r="O463" s="1" t="n">
        <f aca="false">IF(SMALL($AA463:$CH463,8)&gt;=9999,"",INDEX(Presupuesto!$C:$C,SMALL($AA463:$CH463,8)))</f>
        <v>0</v>
      </c>
      <c r="P463" s="1" t="n">
        <f aca="false">IF(SMALL($AA463:$CH463,9)&gt;=9999,"",INDEX(Presupuesto!$C:$C,SMALL($AA463:$CH463,9)))</f>
        <v>0</v>
      </c>
      <c r="Q463" s="1" t="n">
        <f aca="false">IF(SMALL($AA463:$CH463,10)&gt;=9999,"",INDEX(Presupuesto!$C:$C,SMALL($AA463:$CH463,10)))</f>
        <v>0</v>
      </c>
      <c r="AA463" s="0" t="n">
        <f aca="false">IF(Presupuesto!$B$7='Flujo de Pagos'!$E463,7,9999)</f>
        <v>9999</v>
      </c>
      <c r="AB463" s="0" t="n">
        <f aca="false">IF(Presupuesto!$B$8='Flujo de Pagos'!$E463,8,9999)</f>
        <v>9999</v>
      </c>
      <c r="AC463" s="0" t="n">
        <f aca="false">IF(Presupuesto!$B$9='Flujo de Pagos'!$E463,9,9999)</f>
        <v>9999</v>
      </c>
      <c r="AD463" s="0" t="n">
        <f aca="false">IF(Presupuesto!$B$10='Flujo de Pagos'!$E463,10,9999)</f>
        <v>9999</v>
      </c>
      <c r="AE463" s="0" t="n">
        <f aca="false">IF(Presupuesto!$B$11='Flujo de Pagos'!$E463,11,9999)</f>
        <v>9999</v>
      </c>
      <c r="AF463" s="0" t="n">
        <f aca="false">IF(Presupuesto!$B$12='Flujo de Pagos'!$E463,12,9999)</f>
        <v>12</v>
      </c>
      <c r="AG463" s="0" t="n">
        <f aca="false">IF(Presupuesto!$B$13='Flujo de Pagos'!$E463,13,9999)</f>
        <v>13</v>
      </c>
      <c r="AH463" s="0" t="n">
        <f aca="false">IF(Presupuesto!$B$14='Flujo de Pagos'!$E463,14,9999)</f>
        <v>14</v>
      </c>
      <c r="AI463" s="0" t="n">
        <f aca="false">IF(Presupuesto!$B$15='Flujo de Pagos'!$E463,15,9999)</f>
        <v>15</v>
      </c>
      <c r="AJ463" s="0" t="n">
        <f aca="false">IF(Presupuesto!$B$16='Flujo de Pagos'!$E463,16,9999)</f>
        <v>16</v>
      </c>
      <c r="AK463" s="0" t="n">
        <f aca="false">IF(Presupuesto!$B$17='Flujo de Pagos'!$E463,17,9999)</f>
        <v>17</v>
      </c>
      <c r="AL463" s="0" t="n">
        <f aca="false">IF(Presupuesto!$B$18='Flujo de Pagos'!$E463,18,9999)</f>
        <v>18</v>
      </c>
      <c r="AM463" s="0" t="n">
        <f aca="false">IF(Presupuesto!$B$19='Flujo de Pagos'!$E463,19,9999)</f>
        <v>19</v>
      </c>
      <c r="AN463" s="0" t="n">
        <f aca="false">IF(Presupuesto!$B$20='Flujo de Pagos'!$E463,20,9999)</f>
        <v>20</v>
      </c>
      <c r="AO463" s="0" t="n">
        <f aca="false">IF(Presupuesto!$B$21='Flujo de Pagos'!$E463,21,9999)</f>
        <v>21</v>
      </c>
      <c r="AP463" s="0" t="n">
        <f aca="false">IF(Presupuesto!$B$22='Flujo de Pagos'!$E463,22,9999)</f>
        <v>22</v>
      </c>
      <c r="AQ463" s="0" t="n">
        <f aca="false">IF(Presupuesto!$B$23='Flujo de Pagos'!$E463,23,9999)</f>
        <v>23</v>
      </c>
      <c r="AR463" s="0" t="n">
        <f aca="false">IF(Presupuesto!$B$24='Flujo de Pagos'!$E463,24,9999)</f>
        <v>24</v>
      </c>
      <c r="AS463" s="0" t="n">
        <f aca="false">IF(Presupuesto!$B$25='Flujo de Pagos'!$E463,25,9999)</f>
        <v>25</v>
      </c>
      <c r="AT463" s="0" t="n">
        <f aca="false">IF(Presupuesto!$B$26='Flujo de Pagos'!$E463,26,9999)</f>
        <v>26</v>
      </c>
      <c r="AU463" s="0" t="n">
        <f aca="false">IF(Presupuesto!$B$27='Flujo de Pagos'!$E463,27,9999)</f>
        <v>27</v>
      </c>
      <c r="AV463" s="0" t="n">
        <f aca="false">IF(Presupuesto!$B$28='Flujo de Pagos'!$E463,28,9999)</f>
        <v>28</v>
      </c>
      <c r="AW463" s="0" t="n">
        <f aca="false">IF(Presupuesto!$B$29='Flujo de Pagos'!$E463,29,9999)</f>
        <v>29</v>
      </c>
      <c r="AX463" s="0" t="n">
        <f aca="false">IF(Presupuesto!$B$30='Flujo de Pagos'!$E463,30,9999)</f>
        <v>30</v>
      </c>
      <c r="AY463" s="0" t="n">
        <f aca="false">IF(Presupuesto!$B$31='Flujo de Pagos'!$E463,31,9999)</f>
        <v>31</v>
      </c>
      <c r="AZ463" s="0" t="n">
        <f aca="false">IF(Presupuesto!$B$32='Flujo de Pagos'!$E463,32,9999)</f>
        <v>32</v>
      </c>
      <c r="BA463" s="0" t="n">
        <f aca="false">IF(Presupuesto!$B$33='Flujo de Pagos'!$E463,33,9999)</f>
        <v>33</v>
      </c>
      <c r="BB463" s="0" t="n">
        <f aca="false">IF(Presupuesto!$B$34='Flujo de Pagos'!$E463,34,9999)</f>
        <v>34</v>
      </c>
      <c r="BC463" s="0" t="n">
        <f aca="false">IF(Presupuesto!$B$35='Flujo de Pagos'!$E463,35,9999)</f>
        <v>35</v>
      </c>
      <c r="BD463" s="0" t="n">
        <f aca="false">IF(Presupuesto!$B$36='Flujo de Pagos'!$E463,36,9999)</f>
        <v>36</v>
      </c>
      <c r="BE463" s="0" t="n">
        <f aca="false">IF(Presupuesto!$B$37='Flujo de Pagos'!$E463,37,9999)</f>
        <v>37</v>
      </c>
      <c r="BF463" s="0" t="n">
        <f aca="false">IF(Presupuesto!$B$38='Flujo de Pagos'!$E463,38,9999)</f>
        <v>38</v>
      </c>
      <c r="BG463" s="0" t="n">
        <f aca="false">IF(Presupuesto!$B$39='Flujo de Pagos'!$E463,39,9999)</f>
        <v>39</v>
      </c>
      <c r="BH463" s="0" t="n">
        <f aca="false">IF(Presupuesto!$B$40='Flujo de Pagos'!$E463,40,9999)</f>
        <v>40</v>
      </c>
      <c r="BI463" s="0" t="n">
        <f aca="false">IF(Presupuesto!$B$41='Flujo de Pagos'!$E463,41,9999)</f>
        <v>41</v>
      </c>
      <c r="BJ463" s="0" t="n">
        <f aca="false">IF(Presupuesto!$B$42='Flujo de Pagos'!$E463,42,9999)</f>
        <v>42</v>
      </c>
      <c r="BK463" s="0" t="n">
        <f aca="false">IF(Presupuesto!$B$43='Flujo de Pagos'!$E463,43,9999)</f>
        <v>43</v>
      </c>
      <c r="BL463" s="0" t="n">
        <f aca="false">IF(Presupuesto!$B$44='Flujo de Pagos'!$E463,44,9999)</f>
        <v>44</v>
      </c>
      <c r="BM463" s="0" t="n">
        <f aca="false">IF(Presupuesto!$B$45='Flujo de Pagos'!$E463,45,9999)</f>
        <v>45</v>
      </c>
      <c r="BN463" s="0" t="n">
        <f aca="false">IF(Presupuesto!$B$46='Flujo de Pagos'!$E463,46,9999)</f>
        <v>46</v>
      </c>
      <c r="BO463" s="0" t="n">
        <f aca="false">IF(Presupuesto!$B$47='Flujo de Pagos'!$E463,47,9999)</f>
        <v>47</v>
      </c>
      <c r="BP463" s="0" t="n">
        <f aca="false">IF(Presupuesto!$B$48='Flujo de Pagos'!$E463,48,9999)</f>
        <v>48</v>
      </c>
      <c r="BQ463" s="0" t="n">
        <f aca="false">IF(Presupuesto!$B$49='Flujo de Pagos'!$E463,49,9999)</f>
        <v>49</v>
      </c>
      <c r="BR463" s="0" t="n">
        <f aca="false">IF(Presupuesto!$B$50='Flujo de Pagos'!$E463,50,9999)</f>
        <v>50</v>
      </c>
      <c r="BS463" s="0" t="n">
        <f aca="false">IF(Presupuesto!$B$51='Flujo de Pagos'!$E463,51,9999)</f>
        <v>51</v>
      </c>
      <c r="BT463" s="0" t="n">
        <f aca="false">IF(Presupuesto!$B$52='Flujo de Pagos'!$E463,52,9999)</f>
        <v>52</v>
      </c>
      <c r="BU463" s="0" t="n">
        <f aca="false">IF(Presupuesto!$B$53='Flujo de Pagos'!$E463,53,9999)</f>
        <v>53</v>
      </c>
      <c r="BV463" s="0" t="n">
        <f aca="false">IF(Presupuesto!$B$54='Flujo de Pagos'!$E463,54,9999)</f>
        <v>54</v>
      </c>
      <c r="BW463" s="0" t="n">
        <f aca="false">IF(Presupuesto!$B$55='Flujo de Pagos'!$E463,55,9999)</f>
        <v>55</v>
      </c>
      <c r="BX463" s="0" t="n">
        <f aca="false">IF(Presupuesto!$B$56='Flujo de Pagos'!$E463,56,9999)</f>
        <v>56</v>
      </c>
      <c r="BY463" s="0" t="n">
        <f aca="false">IF(Presupuesto!$B$57='Flujo de Pagos'!$E463,57,9999)</f>
        <v>57</v>
      </c>
      <c r="BZ463" s="0" t="n">
        <f aca="false">IF(Presupuesto!$B$58='Flujo de Pagos'!$E463,58,9999)</f>
        <v>58</v>
      </c>
      <c r="CA463" s="0" t="n">
        <f aca="false">IF(Presupuesto!$B$59='Flujo de Pagos'!$E463,59,9999)</f>
        <v>59</v>
      </c>
      <c r="CB463" s="0" t="n">
        <f aca="false">IF(Presupuesto!$B$60='Flujo de Pagos'!$E463,60,9999)</f>
        <v>60</v>
      </c>
      <c r="CC463" s="0" t="n">
        <f aca="false">IF(Presupuesto!$B$61='Flujo de Pagos'!$E463,61,9999)</f>
        <v>61</v>
      </c>
      <c r="CD463" s="0" t="n">
        <f aca="false">IF(Presupuesto!$B$62='Flujo de Pagos'!$E463,62,9999)</f>
        <v>62</v>
      </c>
      <c r="CE463" s="0" t="n">
        <f aca="false">IF(Presupuesto!$B$63='Flujo de Pagos'!$E463,63,9999)</f>
        <v>63</v>
      </c>
      <c r="CF463" s="0" t="n">
        <f aca="false">IF(Presupuesto!$B$64='Flujo de Pagos'!$E463,64,9999)</f>
        <v>64</v>
      </c>
      <c r="CG463" s="0" t="n">
        <f aca="false">IF(Presupuesto!$B$65='Flujo de Pagos'!$E463,65,9999)</f>
        <v>65</v>
      </c>
      <c r="CH463" s="0" t="n">
        <f aca="false">IF(Presupuesto!$B$66='Flujo de Pagos'!$E463,66,9999)</f>
        <v>66</v>
      </c>
    </row>
    <row r="464" customFormat="false" ht="15" hidden="false" customHeight="true" outlineLevel="0" collapsed="false">
      <c r="B464" s="1" t="n">
        <f aca="false">IF(AND('Flujo de Pagos'!E469=Carátula!$B$2,'Flujo de Pagos'!F469=Carátula!$B$4,'Flujo de Pagos'!H469&lt;&gt;""),469,99999)</f>
        <v>99999</v>
      </c>
      <c r="H464" s="1" t="n">
        <f aca="false">IF(SMALL($AA464:$CH464,1)&gt;=9999,"",INDEX(Presupuesto!$C:$C,SMALL($AA464:$CH464,1)))</f>
        <v>0</v>
      </c>
      <c r="I464" s="1" t="n">
        <f aca="false">IF(SMALL($AA464:$CH464,2)&gt;=9999,"",INDEX(Presupuesto!$C:$C,SMALL($AA464:$CH464,2)))</f>
        <v>0</v>
      </c>
      <c r="J464" s="1" t="n">
        <f aca="false">IF(SMALL($AA464:$CH464,3)&gt;=9999,"",INDEX(Presupuesto!$C:$C,SMALL($AA464:$CH464,3)))</f>
        <v>0</v>
      </c>
      <c r="K464" s="1" t="n">
        <f aca="false">IF(SMALL($AA464:$CH464,4)&gt;=9999,"",INDEX(Presupuesto!$C:$C,SMALL($AA464:$CH464,4)))</f>
        <v>0</v>
      </c>
      <c r="L464" s="1" t="n">
        <f aca="false">IF(SMALL($AA464:$CH464,5)&gt;=9999,"",INDEX(Presupuesto!$C:$C,SMALL($AA464:$CH464,5)))</f>
        <v>0</v>
      </c>
      <c r="M464" s="1" t="n">
        <f aca="false">IF(SMALL($AA464:$CH464,6)&gt;=9999,"",INDEX(Presupuesto!$C:$C,SMALL($AA464:$CH464,6)))</f>
        <v>0</v>
      </c>
      <c r="N464" s="1" t="n">
        <f aca="false">IF(SMALL($AA464:$CH464,7)&gt;=9999,"",INDEX(Presupuesto!$C:$C,SMALL($AA464:$CH464,7)))</f>
        <v>0</v>
      </c>
      <c r="O464" s="1" t="n">
        <f aca="false">IF(SMALL($AA464:$CH464,8)&gt;=9999,"",INDEX(Presupuesto!$C:$C,SMALL($AA464:$CH464,8)))</f>
        <v>0</v>
      </c>
      <c r="P464" s="1" t="n">
        <f aca="false">IF(SMALL($AA464:$CH464,9)&gt;=9999,"",INDEX(Presupuesto!$C:$C,SMALL($AA464:$CH464,9)))</f>
        <v>0</v>
      </c>
      <c r="Q464" s="1" t="n">
        <f aca="false">IF(SMALL($AA464:$CH464,10)&gt;=9999,"",INDEX(Presupuesto!$C:$C,SMALL($AA464:$CH464,10)))</f>
        <v>0</v>
      </c>
      <c r="AA464" s="0" t="n">
        <f aca="false">IF(Presupuesto!$B$7='Flujo de Pagos'!$E464,7,9999)</f>
        <v>9999</v>
      </c>
      <c r="AB464" s="0" t="n">
        <f aca="false">IF(Presupuesto!$B$8='Flujo de Pagos'!$E464,8,9999)</f>
        <v>9999</v>
      </c>
      <c r="AC464" s="0" t="n">
        <f aca="false">IF(Presupuesto!$B$9='Flujo de Pagos'!$E464,9,9999)</f>
        <v>9999</v>
      </c>
      <c r="AD464" s="0" t="n">
        <f aca="false">IF(Presupuesto!$B$10='Flujo de Pagos'!$E464,10,9999)</f>
        <v>9999</v>
      </c>
      <c r="AE464" s="0" t="n">
        <f aca="false">IF(Presupuesto!$B$11='Flujo de Pagos'!$E464,11,9999)</f>
        <v>9999</v>
      </c>
      <c r="AF464" s="0" t="n">
        <f aca="false">IF(Presupuesto!$B$12='Flujo de Pagos'!$E464,12,9999)</f>
        <v>12</v>
      </c>
      <c r="AG464" s="0" t="n">
        <f aca="false">IF(Presupuesto!$B$13='Flujo de Pagos'!$E464,13,9999)</f>
        <v>13</v>
      </c>
      <c r="AH464" s="0" t="n">
        <f aca="false">IF(Presupuesto!$B$14='Flujo de Pagos'!$E464,14,9999)</f>
        <v>14</v>
      </c>
      <c r="AI464" s="0" t="n">
        <f aca="false">IF(Presupuesto!$B$15='Flujo de Pagos'!$E464,15,9999)</f>
        <v>15</v>
      </c>
      <c r="AJ464" s="0" t="n">
        <f aca="false">IF(Presupuesto!$B$16='Flujo de Pagos'!$E464,16,9999)</f>
        <v>16</v>
      </c>
      <c r="AK464" s="0" t="n">
        <f aca="false">IF(Presupuesto!$B$17='Flujo de Pagos'!$E464,17,9999)</f>
        <v>17</v>
      </c>
      <c r="AL464" s="0" t="n">
        <f aca="false">IF(Presupuesto!$B$18='Flujo de Pagos'!$E464,18,9999)</f>
        <v>18</v>
      </c>
      <c r="AM464" s="0" t="n">
        <f aca="false">IF(Presupuesto!$B$19='Flujo de Pagos'!$E464,19,9999)</f>
        <v>19</v>
      </c>
      <c r="AN464" s="0" t="n">
        <f aca="false">IF(Presupuesto!$B$20='Flujo de Pagos'!$E464,20,9999)</f>
        <v>20</v>
      </c>
      <c r="AO464" s="0" t="n">
        <f aca="false">IF(Presupuesto!$B$21='Flujo de Pagos'!$E464,21,9999)</f>
        <v>21</v>
      </c>
      <c r="AP464" s="0" t="n">
        <f aca="false">IF(Presupuesto!$B$22='Flujo de Pagos'!$E464,22,9999)</f>
        <v>22</v>
      </c>
      <c r="AQ464" s="0" t="n">
        <f aca="false">IF(Presupuesto!$B$23='Flujo de Pagos'!$E464,23,9999)</f>
        <v>23</v>
      </c>
      <c r="AR464" s="0" t="n">
        <f aca="false">IF(Presupuesto!$B$24='Flujo de Pagos'!$E464,24,9999)</f>
        <v>24</v>
      </c>
      <c r="AS464" s="0" t="n">
        <f aca="false">IF(Presupuesto!$B$25='Flujo de Pagos'!$E464,25,9999)</f>
        <v>25</v>
      </c>
      <c r="AT464" s="0" t="n">
        <f aca="false">IF(Presupuesto!$B$26='Flujo de Pagos'!$E464,26,9999)</f>
        <v>26</v>
      </c>
      <c r="AU464" s="0" t="n">
        <f aca="false">IF(Presupuesto!$B$27='Flujo de Pagos'!$E464,27,9999)</f>
        <v>27</v>
      </c>
      <c r="AV464" s="0" t="n">
        <f aca="false">IF(Presupuesto!$B$28='Flujo de Pagos'!$E464,28,9999)</f>
        <v>28</v>
      </c>
      <c r="AW464" s="0" t="n">
        <f aca="false">IF(Presupuesto!$B$29='Flujo de Pagos'!$E464,29,9999)</f>
        <v>29</v>
      </c>
      <c r="AX464" s="0" t="n">
        <f aca="false">IF(Presupuesto!$B$30='Flujo de Pagos'!$E464,30,9999)</f>
        <v>30</v>
      </c>
      <c r="AY464" s="0" t="n">
        <f aca="false">IF(Presupuesto!$B$31='Flujo de Pagos'!$E464,31,9999)</f>
        <v>31</v>
      </c>
      <c r="AZ464" s="0" t="n">
        <f aca="false">IF(Presupuesto!$B$32='Flujo de Pagos'!$E464,32,9999)</f>
        <v>32</v>
      </c>
      <c r="BA464" s="0" t="n">
        <f aca="false">IF(Presupuesto!$B$33='Flujo de Pagos'!$E464,33,9999)</f>
        <v>33</v>
      </c>
      <c r="BB464" s="0" t="n">
        <f aca="false">IF(Presupuesto!$B$34='Flujo de Pagos'!$E464,34,9999)</f>
        <v>34</v>
      </c>
      <c r="BC464" s="0" t="n">
        <f aca="false">IF(Presupuesto!$B$35='Flujo de Pagos'!$E464,35,9999)</f>
        <v>35</v>
      </c>
      <c r="BD464" s="0" t="n">
        <f aca="false">IF(Presupuesto!$B$36='Flujo de Pagos'!$E464,36,9999)</f>
        <v>36</v>
      </c>
      <c r="BE464" s="0" t="n">
        <f aca="false">IF(Presupuesto!$B$37='Flujo de Pagos'!$E464,37,9999)</f>
        <v>37</v>
      </c>
      <c r="BF464" s="0" t="n">
        <f aca="false">IF(Presupuesto!$B$38='Flujo de Pagos'!$E464,38,9999)</f>
        <v>38</v>
      </c>
      <c r="BG464" s="0" t="n">
        <f aca="false">IF(Presupuesto!$B$39='Flujo de Pagos'!$E464,39,9999)</f>
        <v>39</v>
      </c>
      <c r="BH464" s="0" t="n">
        <f aca="false">IF(Presupuesto!$B$40='Flujo de Pagos'!$E464,40,9999)</f>
        <v>40</v>
      </c>
      <c r="BI464" s="0" t="n">
        <f aca="false">IF(Presupuesto!$B$41='Flujo de Pagos'!$E464,41,9999)</f>
        <v>41</v>
      </c>
      <c r="BJ464" s="0" t="n">
        <f aca="false">IF(Presupuesto!$B$42='Flujo de Pagos'!$E464,42,9999)</f>
        <v>42</v>
      </c>
      <c r="BK464" s="0" t="n">
        <f aca="false">IF(Presupuesto!$B$43='Flujo de Pagos'!$E464,43,9999)</f>
        <v>43</v>
      </c>
      <c r="BL464" s="0" t="n">
        <f aca="false">IF(Presupuesto!$B$44='Flujo de Pagos'!$E464,44,9999)</f>
        <v>44</v>
      </c>
      <c r="BM464" s="0" t="n">
        <f aca="false">IF(Presupuesto!$B$45='Flujo de Pagos'!$E464,45,9999)</f>
        <v>45</v>
      </c>
      <c r="BN464" s="0" t="n">
        <f aca="false">IF(Presupuesto!$B$46='Flujo de Pagos'!$E464,46,9999)</f>
        <v>46</v>
      </c>
      <c r="BO464" s="0" t="n">
        <f aca="false">IF(Presupuesto!$B$47='Flujo de Pagos'!$E464,47,9999)</f>
        <v>47</v>
      </c>
      <c r="BP464" s="0" t="n">
        <f aca="false">IF(Presupuesto!$B$48='Flujo de Pagos'!$E464,48,9999)</f>
        <v>48</v>
      </c>
      <c r="BQ464" s="0" t="n">
        <f aca="false">IF(Presupuesto!$B$49='Flujo de Pagos'!$E464,49,9999)</f>
        <v>49</v>
      </c>
      <c r="BR464" s="0" t="n">
        <f aca="false">IF(Presupuesto!$B$50='Flujo de Pagos'!$E464,50,9999)</f>
        <v>50</v>
      </c>
      <c r="BS464" s="0" t="n">
        <f aca="false">IF(Presupuesto!$B$51='Flujo de Pagos'!$E464,51,9999)</f>
        <v>51</v>
      </c>
      <c r="BT464" s="0" t="n">
        <f aca="false">IF(Presupuesto!$B$52='Flujo de Pagos'!$E464,52,9999)</f>
        <v>52</v>
      </c>
      <c r="BU464" s="0" t="n">
        <f aca="false">IF(Presupuesto!$B$53='Flujo de Pagos'!$E464,53,9999)</f>
        <v>53</v>
      </c>
      <c r="BV464" s="0" t="n">
        <f aca="false">IF(Presupuesto!$B$54='Flujo de Pagos'!$E464,54,9999)</f>
        <v>54</v>
      </c>
      <c r="BW464" s="0" t="n">
        <f aca="false">IF(Presupuesto!$B$55='Flujo de Pagos'!$E464,55,9999)</f>
        <v>55</v>
      </c>
      <c r="BX464" s="0" t="n">
        <f aca="false">IF(Presupuesto!$B$56='Flujo de Pagos'!$E464,56,9999)</f>
        <v>56</v>
      </c>
      <c r="BY464" s="0" t="n">
        <f aca="false">IF(Presupuesto!$B$57='Flujo de Pagos'!$E464,57,9999)</f>
        <v>57</v>
      </c>
      <c r="BZ464" s="0" t="n">
        <f aca="false">IF(Presupuesto!$B$58='Flujo de Pagos'!$E464,58,9999)</f>
        <v>58</v>
      </c>
      <c r="CA464" s="0" t="n">
        <f aca="false">IF(Presupuesto!$B$59='Flujo de Pagos'!$E464,59,9999)</f>
        <v>59</v>
      </c>
      <c r="CB464" s="0" t="n">
        <f aca="false">IF(Presupuesto!$B$60='Flujo de Pagos'!$E464,60,9999)</f>
        <v>60</v>
      </c>
      <c r="CC464" s="0" t="n">
        <f aca="false">IF(Presupuesto!$B$61='Flujo de Pagos'!$E464,61,9999)</f>
        <v>61</v>
      </c>
      <c r="CD464" s="0" t="n">
        <f aca="false">IF(Presupuesto!$B$62='Flujo de Pagos'!$E464,62,9999)</f>
        <v>62</v>
      </c>
      <c r="CE464" s="0" t="n">
        <f aca="false">IF(Presupuesto!$B$63='Flujo de Pagos'!$E464,63,9999)</f>
        <v>63</v>
      </c>
      <c r="CF464" s="0" t="n">
        <f aca="false">IF(Presupuesto!$B$64='Flujo de Pagos'!$E464,64,9999)</f>
        <v>64</v>
      </c>
      <c r="CG464" s="0" t="n">
        <f aca="false">IF(Presupuesto!$B$65='Flujo de Pagos'!$E464,65,9999)</f>
        <v>65</v>
      </c>
      <c r="CH464" s="0" t="n">
        <f aca="false">IF(Presupuesto!$B$66='Flujo de Pagos'!$E464,66,9999)</f>
        <v>66</v>
      </c>
    </row>
    <row r="465" customFormat="false" ht="15" hidden="false" customHeight="true" outlineLevel="0" collapsed="false">
      <c r="B465" s="1" t="n">
        <f aca="false">IF(AND('Flujo de Pagos'!E470=Carátula!$B$2,'Flujo de Pagos'!F470=Carátula!$B$4,'Flujo de Pagos'!H470&lt;&gt;""),470,99999)</f>
        <v>99999</v>
      </c>
      <c r="H465" s="1" t="n">
        <f aca="false">IF(SMALL($AA465:$CH465,1)&gt;=9999,"",INDEX(Presupuesto!$C:$C,SMALL($AA465:$CH465,1)))</f>
        <v>0</v>
      </c>
      <c r="I465" s="1" t="n">
        <f aca="false">IF(SMALL($AA465:$CH465,2)&gt;=9999,"",INDEX(Presupuesto!$C:$C,SMALL($AA465:$CH465,2)))</f>
        <v>0</v>
      </c>
      <c r="J465" s="1" t="n">
        <f aca="false">IF(SMALL($AA465:$CH465,3)&gt;=9999,"",INDEX(Presupuesto!$C:$C,SMALL($AA465:$CH465,3)))</f>
        <v>0</v>
      </c>
      <c r="K465" s="1" t="n">
        <f aca="false">IF(SMALL($AA465:$CH465,4)&gt;=9999,"",INDEX(Presupuesto!$C:$C,SMALL($AA465:$CH465,4)))</f>
        <v>0</v>
      </c>
      <c r="L465" s="1" t="n">
        <f aca="false">IF(SMALL($AA465:$CH465,5)&gt;=9999,"",INDEX(Presupuesto!$C:$C,SMALL($AA465:$CH465,5)))</f>
        <v>0</v>
      </c>
      <c r="M465" s="1" t="n">
        <f aca="false">IF(SMALL($AA465:$CH465,6)&gt;=9999,"",INDEX(Presupuesto!$C:$C,SMALL($AA465:$CH465,6)))</f>
        <v>0</v>
      </c>
      <c r="N465" s="1" t="n">
        <f aca="false">IF(SMALL($AA465:$CH465,7)&gt;=9999,"",INDEX(Presupuesto!$C:$C,SMALL($AA465:$CH465,7)))</f>
        <v>0</v>
      </c>
      <c r="O465" s="1" t="n">
        <f aca="false">IF(SMALL($AA465:$CH465,8)&gt;=9999,"",INDEX(Presupuesto!$C:$C,SMALL($AA465:$CH465,8)))</f>
        <v>0</v>
      </c>
      <c r="P465" s="1" t="n">
        <f aca="false">IF(SMALL($AA465:$CH465,9)&gt;=9999,"",INDEX(Presupuesto!$C:$C,SMALL($AA465:$CH465,9)))</f>
        <v>0</v>
      </c>
      <c r="Q465" s="1" t="n">
        <f aca="false">IF(SMALL($AA465:$CH465,10)&gt;=9999,"",INDEX(Presupuesto!$C:$C,SMALL($AA465:$CH465,10)))</f>
        <v>0</v>
      </c>
      <c r="AA465" s="0" t="n">
        <f aca="false">IF(Presupuesto!$B$7='Flujo de Pagos'!$E465,7,9999)</f>
        <v>9999</v>
      </c>
      <c r="AB465" s="0" t="n">
        <f aca="false">IF(Presupuesto!$B$8='Flujo de Pagos'!$E465,8,9999)</f>
        <v>9999</v>
      </c>
      <c r="AC465" s="0" t="n">
        <f aca="false">IF(Presupuesto!$B$9='Flujo de Pagos'!$E465,9,9999)</f>
        <v>9999</v>
      </c>
      <c r="AD465" s="0" t="n">
        <f aca="false">IF(Presupuesto!$B$10='Flujo de Pagos'!$E465,10,9999)</f>
        <v>9999</v>
      </c>
      <c r="AE465" s="0" t="n">
        <f aca="false">IF(Presupuesto!$B$11='Flujo de Pagos'!$E465,11,9999)</f>
        <v>9999</v>
      </c>
      <c r="AF465" s="0" t="n">
        <f aca="false">IF(Presupuesto!$B$12='Flujo de Pagos'!$E465,12,9999)</f>
        <v>12</v>
      </c>
      <c r="AG465" s="0" t="n">
        <f aca="false">IF(Presupuesto!$B$13='Flujo de Pagos'!$E465,13,9999)</f>
        <v>13</v>
      </c>
      <c r="AH465" s="0" t="n">
        <f aca="false">IF(Presupuesto!$B$14='Flujo de Pagos'!$E465,14,9999)</f>
        <v>14</v>
      </c>
      <c r="AI465" s="0" t="n">
        <f aca="false">IF(Presupuesto!$B$15='Flujo de Pagos'!$E465,15,9999)</f>
        <v>15</v>
      </c>
      <c r="AJ465" s="0" t="n">
        <f aca="false">IF(Presupuesto!$B$16='Flujo de Pagos'!$E465,16,9999)</f>
        <v>16</v>
      </c>
      <c r="AK465" s="0" t="n">
        <f aca="false">IF(Presupuesto!$B$17='Flujo de Pagos'!$E465,17,9999)</f>
        <v>17</v>
      </c>
      <c r="AL465" s="0" t="n">
        <f aca="false">IF(Presupuesto!$B$18='Flujo de Pagos'!$E465,18,9999)</f>
        <v>18</v>
      </c>
      <c r="AM465" s="0" t="n">
        <f aca="false">IF(Presupuesto!$B$19='Flujo de Pagos'!$E465,19,9999)</f>
        <v>19</v>
      </c>
      <c r="AN465" s="0" t="n">
        <f aca="false">IF(Presupuesto!$B$20='Flujo de Pagos'!$E465,20,9999)</f>
        <v>20</v>
      </c>
      <c r="AO465" s="0" t="n">
        <f aca="false">IF(Presupuesto!$B$21='Flujo de Pagos'!$E465,21,9999)</f>
        <v>21</v>
      </c>
      <c r="AP465" s="0" t="n">
        <f aca="false">IF(Presupuesto!$B$22='Flujo de Pagos'!$E465,22,9999)</f>
        <v>22</v>
      </c>
      <c r="AQ465" s="0" t="n">
        <f aca="false">IF(Presupuesto!$B$23='Flujo de Pagos'!$E465,23,9999)</f>
        <v>23</v>
      </c>
      <c r="AR465" s="0" t="n">
        <f aca="false">IF(Presupuesto!$B$24='Flujo de Pagos'!$E465,24,9999)</f>
        <v>24</v>
      </c>
      <c r="AS465" s="0" t="n">
        <f aca="false">IF(Presupuesto!$B$25='Flujo de Pagos'!$E465,25,9999)</f>
        <v>25</v>
      </c>
      <c r="AT465" s="0" t="n">
        <f aca="false">IF(Presupuesto!$B$26='Flujo de Pagos'!$E465,26,9999)</f>
        <v>26</v>
      </c>
      <c r="AU465" s="0" t="n">
        <f aca="false">IF(Presupuesto!$B$27='Flujo de Pagos'!$E465,27,9999)</f>
        <v>27</v>
      </c>
      <c r="AV465" s="0" t="n">
        <f aca="false">IF(Presupuesto!$B$28='Flujo de Pagos'!$E465,28,9999)</f>
        <v>28</v>
      </c>
      <c r="AW465" s="0" t="n">
        <f aca="false">IF(Presupuesto!$B$29='Flujo de Pagos'!$E465,29,9999)</f>
        <v>29</v>
      </c>
      <c r="AX465" s="0" t="n">
        <f aca="false">IF(Presupuesto!$B$30='Flujo de Pagos'!$E465,30,9999)</f>
        <v>30</v>
      </c>
      <c r="AY465" s="0" t="n">
        <f aca="false">IF(Presupuesto!$B$31='Flujo de Pagos'!$E465,31,9999)</f>
        <v>31</v>
      </c>
      <c r="AZ465" s="0" t="n">
        <f aca="false">IF(Presupuesto!$B$32='Flujo de Pagos'!$E465,32,9999)</f>
        <v>32</v>
      </c>
      <c r="BA465" s="0" t="n">
        <f aca="false">IF(Presupuesto!$B$33='Flujo de Pagos'!$E465,33,9999)</f>
        <v>33</v>
      </c>
      <c r="BB465" s="0" t="n">
        <f aca="false">IF(Presupuesto!$B$34='Flujo de Pagos'!$E465,34,9999)</f>
        <v>34</v>
      </c>
      <c r="BC465" s="0" t="n">
        <f aca="false">IF(Presupuesto!$B$35='Flujo de Pagos'!$E465,35,9999)</f>
        <v>35</v>
      </c>
      <c r="BD465" s="0" t="n">
        <f aca="false">IF(Presupuesto!$B$36='Flujo de Pagos'!$E465,36,9999)</f>
        <v>36</v>
      </c>
      <c r="BE465" s="0" t="n">
        <f aca="false">IF(Presupuesto!$B$37='Flujo de Pagos'!$E465,37,9999)</f>
        <v>37</v>
      </c>
      <c r="BF465" s="0" t="n">
        <f aca="false">IF(Presupuesto!$B$38='Flujo de Pagos'!$E465,38,9999)</f>
        <v>38</v>
      </c>
      <c r="BG465" s="0" t="n">
        <f aca="false">IF(Presupuesto!$B$39='Flujo de Pagos'!$E465,39,9999)</f>
        <v>39</v>
      </c>
      <c r="BH465" s="0" t="n">
        <f aca="false">IF(Presupuesto!$B$40='Flujo de Pagos'!$E465,40,9999)</f>
        <v>40</v>
      </c>
      <c r="BI465" s="0" t="n">
        <f aca="false">IF(Presupuesto!$B$41='Flujo de Pagos'!$E465,41,9999)</f>
        <v>41</v>
      </c>
      <c r="BJ465" s="0" t="n">
        <f aca="false">IF(Presupuesto!$B$42='Flujo de Pagos'!$E465,42,9999)</f>
        <v>42</v>
      </c>
      <c r="BK465" s="0" t="n">
        <f aca="false">IF(Presupuesto!$B$43='Flujo de Pagos'!$E465,43,9999)</f>
        <v>43</v>
      </c>
      <c r="BL465" s="0" t="n">
        <f aca="false">IF(Presupuesto!$B$44='Flujo de Pagos'!$E465,44,9999)</f>
        <v>44</v>
      </c>
      <c r="BM465" s="0" t="n">
        <f aca="false">IF(Presupuesto!$B$45='Flujo de Pagos'!$E465,45,9999)</f>
        <v>45</v>
      </c>
      <c r="BN465" s="0" t="n">
        <f aca="false">IF(Presupuesto!$B$46='Flujo de Pagos'!$E465,46,9999)</f>
        <v>46</v>
      </c>
      <c r="BO465" s="0" t="n">
        <f aca="false">IF(Presupuesto!$B$47='Flujo de Pagos'!$E465,47,9999)</f>
        <v>47</v>
      </c>
      <c r="BP465" s="0" t="n">
        <f aca="false">IF(Presupuesto!$B$48='Flujo de Pagos'!$E465,48,9999)</f>
        <v>48</v>
      </c>
      <c r="BQ465" s="0" t="n">
        <f aca="false">IF(Presupuesto!$B$49='Flujo de Pagos'!$E465,49,9999)</f>
        <v>49</v>
      </c>
      <c r="BR465" s="0" t="n">
        <f aca="false">IF(Presupuesto!$B$50='Flujo de Pagos'!$E465,50,9999)</f>
        <v>50</v>
      </c>
      <c r="BS465" s="0" t="n">
        <f aca="false">IF(Presupuesto!$B$51='Flujo de Pagos'!$E465,51,9999)</f>
        <v>51</v>
      </c>
      <c r="BT465" s="0" t="n">
        <f aca="false">IF(Presupuesto!$B$52='Flujo de Pagos'!$E465,52,9999)</f>
        <v>52</v>
      </c>
      <c r="BU465" s="0" t="n">
        <f aca="false">IF(Presupuesto!$B$53='Flujo de Pagos'!$E465,53,9999)</f>
        <v>53</v>
      </c>
      <c r="BV465" s="0" t="n">
        <f aca="false">IF(Presupuesto!$B$54='Flujo de Pagos'!$E465,54,9999)</f>
        <v>54</v>
      </c>
      <c r="BW465" s="0" t="n">
        <f aca="false">IF(Presupuesto!$B$55='Flujo de Pagos'!$E465,55,9999)</f>
        <v>55</v>
      </c>
      <c r="BX465" s="0" t="n">
        <f aca="false">IF(Presupuesto!$B$56='Flujo de Pagos'!$E465,56,9999)</f>
        <v>56</v>
      </c>
      <c r="BY465" s="0" t="n">
        <f aca="false">IF(Presupuesto!$B$57='Flujo de Pagos'!$E465,57,9999)</f>
        <v>57</v>
      </c>
      <c r="BZ465" s="0" t="n">
        <f aca="false">IF(Presupuesto!$B$58='Flujo de Pagos'!$E465,58,9999)</f>
        <v>58</v>
      </c>
      <c r="CA465" s="0" t="n">
        <f aca="false">IF(Presupuesto!$B$59='Flujo de Pagos'!$E465,59,9999)</f>
        <v>59</v>
      </c>
      <c r="CB465" s="0" t="n">
        <f aca="false">IF(Presupuesto!$B$60='Flujo de Pagos'!$E465,60,9999)</f>
        <v>60</v>
      </c>
      <c r="CC465" s="0" t="n">
        <f aca="false">IF(Presupuesto!$B$61='Flujo de Pagos'!$E465,61,9999)</f>
        <v>61</v>
      </c>
      <c r="CD465" s="0" t="n">
        <f aca="false">IF(Presupuesto!$B$62='Flujo de Pagos'!$E465,62,9999)</f>
        <v>62</v>
      </c>
      <c r="CE465" s="0" t="n">
        <f aca="false">IF(Presupuesto!$B$63='Flujo de Pagos'!$E465,63,9999)</f>
        <v>63</v>
      </c>
      <c r="CF465" s="0" t="n">
        <f aca="false">IF(Presupuesto!$B$64='Flujo de Pagos'!$E465,64,9999)</f>
        <v>64</v>
      </c>
      <c r="CG465" s="0" t="n">
        <f aca="false">IF(Presupuesto!$B$65='Flujo de Pagos'!$E465,65,9999)</f>
        <v>65</v>
      </c>
      <c r="CH465" s="0" t="n">
        <f aca="false">IF(Presupuesto!$B$66='Flujo de Pagos'!$E465,66,9999)</f>
        <v>66</v>
      </c>
    </row>
    <row r="466" customFormat="false" ht="15" hidden="false" customHeight="true" outlineLevel="0" collapsed="false">
      <c r="B466" s="1" t="n">
        <f aca="false">IF(AND('Flujo de Pagos'!E471=Carátula!$B$2,'Flujo de Pagos'!F471=Carátula!$B$4,'Flujo de Pagos'!H471&lt;&gt;""),471,99999)</f>
        <v>99999</v>
      </c>
      <c r="H466" s="1" t="n">
        <f aca="false">IF(SMALL($AA466:$CH466,1)&gt;=9999,"",INDEX(Presupuesto!$C:$C,SMALL($AA466:$CH466,1)))</f>
        <v>0</v>
      </c>
      <c r="I466" s="1" t="n">
        <f aca="false">IF(SMALL($AA466:$CH466,2)&gt;=9999,"",INDEX(Presupuesto!$C:$C,SMALL($AA466:$CH466,2)))</f>
        <v>0</v>
      </c>
      <c r="J466" s="1" t="n">
        <f aca="false">IF(SMALL($AA466:$CH466,3)&gt;=9999,"",INDEX(Presupuesto!$C:$C,SMALL($AA466:$CH466,3)))</f>
        <v>0</v>
      </c>
      <c r="K466" s="1" t="n">
        <f aca="false">IF(SMALL($AA466:$CH466,4)&gt;=9999,"",INDEX(Presupuesto!$C:$C,SMALL($AA466:$CH466,4)))</f>
        <v>0</v>
      </c>
      <c r="L466" s="1" t="n">
        <f aca="false">IF(SMALL($AA466:$CH466,5)&gt;=9999,"",INDEX(Presupuesto!$C:$C,SMALL($AA466:$CH466,5)))</f>
        <v>0</v>
      </c>
      <c r="M466" s="1" t="n">
        <f aca="false">IF(SMALL($AA466:$CH466,6)&gt;=9999,"",INDEX(Presupuesto!$C:$C,SMALL($AA466:$CH466,6)))</f>
        <v>0</v>
      </c>
      <c r="N466" s="1" t="n">
        <f aca="false">IF(SMALL($AA466:$CH466,7)&gt;=9999,"",INDEX(Presupuesto!$C:$C,SMALL($AA466:$CH466,7)))</f>
        <v>0</v>
      </c>
      <c r="O466" s="1" t="n">
        <f aca="false">IF(SMALL($AA466:$CH466,8)&gt;=9999,"",INDEX(Presupuesto!$C:$C,SMALL($AA466:$CH466,8)))</f>
        <v>0</v>
      </c>
      <c r="P466" s="1" t="n">
        <f aca="false">IF(SMALL($AA466:$CH466,9)&gt;=9999,"",INDEX(Presupuesto!$C:$C,SMALL($AA466:$CH466,9)))</f>
        <v>0</v>
      </c>
      <c r="Q466" s="1" t="n">
        <f aca="false">IF(SMALL($AA466:$CH466,10)&gt;=9999,"",INDEX(Presupuesto!$C:$C,SMALL($AA466:$CH466,10)))</f>
        <v>0</v>
      </c>
      <c r="AA466" s="0" t="n">
        <f aca="false">IF(Presupuesto!$B$7='Flujo de Pagos'!$E466,7,9999)</f>
        <v>9999</v>
      </c>
      <c r="AB466" s="0" t="n">
        <f aca="false">IF(Presupuesto!$B$8='Flujo de Pagos'!$E466,8,9999)</f>
        <v>9999</v>
      </c>
      <c r="AC466" s="0" t="n">
        <f aca="false">IF(Presupuesto!$B$9='Flujo de Pagos'!$E466,9,9999)</f>
        <v>9999</v>
      </c>
      <c r="AD466" s="0" t="n">
        <f aca="false">IF(Presupuesto!$B$10='Flujo de Pagos'!$E466,10,9999)</f>
        <v>9999</v>
      </c>
      <c r="AE466" s="0" t="n">
        <f aca="false">IF(Presupuesto!$B$11='Flujo de Pagos'!$E466,11,9999)</f>
        <v>9999</v>
      </c>
      <c r="AF466" s="0" t="n">
        <f aca="false">IF(Presupuesto!$B$12='Flujo de Pagos'!$E466,12,9999)</f>
        <v>12</v>
      </c>
      <c r="AG466" s="0" t="n">
        <f aca="false">IF(Presupuesto!$B$13='Flujo de Pagos'!$E466,13,9999)</f>
        <v>13</v>
      </c>
      <c r="AH466" s="0" t="n">
        <f aca="false">IF(Presupuesto!$B$14='Flujo de Pagos'!$E466,14,9999)</f>
        <v>14</v>
      </c>
      <c r="AI466" s="0" t="n">
        <f aca="false">IF(Presupuesto!$B$15='Flujo de Pagos'!$E466,15,9999)</f>
        <v>15</v>
      </c>
      <c r="AJ466" s="0" t="n">
        <f aca="false">IF(Presupuesto!$B$16='Flujo de Pagos'!$E466,16,9999)</f>
        <v>16</v>
      </c>
      <c r="AK466" s="0" t="n">
        <f aca="false">IF(Presupuesto!$B$17='Flujo de Pagos'!$E466,17,9999)</f>
        <v>17</v>
      </c>
      <c r="AL466" s="0" t="n">
        <f aca="false">IF(Presupuesto!$B$18='Flujo de Pagos'!$E466,18,9999)</f>
        <v>18</v>
      </c>
      <c r="AM466" s="0" t="n">
        <f aca="false">IF(Presupuesto!$B$19='Flujo de Pagos'!$E466,19,9999)</f>
        <v>19</v>
      </c>
      <c r="AN466" s="0" t="n">
        <f aca="false">IF(Presupuesto!$B$20='Flujo de Pagos'!$E466,20,9999)</f>
        <v>20</v>
      </c>
      <c r="AO466" s="0" t="n">
        <f aca="false">IF(Presupuesto!$B$21='Flujo de Pagos'!$E466,21,9999)</f>
        <v>21</v>
      </c>
      <c r="AP466" s="0" t="n">
        <f aca="false">IF(Presupuesto!$B$22='Flujo de Pagos'!$E466,22,9999)</f>
        <v>22</v>
      </c>
      <c r="AQ466" s="0" t="n">
        <f aca="false">IF(Presupuesto!$B$23='Flujo de Pagos'!$E466,23,9999)</f>
        <v>23</v>
      </c>
      <c r="AR466" s="0" t="n">
        <f aca="false">IF(Presupuesto!$B$24='Flujo de Pagos'!$E466,24,9999)</f>
        <v>24</v>
      </c>
      <c r="AS466" s="0" t="n">
        <f aca="false">IF(Presupuesto!$B$25='Flujo de Pagos'!$E466,25,9999)</f>
        <v>25</v>
      </c>
      <c r="AT466" s="0" t="n">
        <f aca="false">IF(Presupuesto!$B$26='Flujo de Pagos'!$E466,26,9999)</f>
        <v>26</v>
      </c>
      <c r="AU466" s="0" t="n">
        <f aca="false">IF(Presupuesto!$B$27='Flujo de Pagos'!$E466,27,9999)</f>
        <v>27</v>
      </c>
      <c r="AV466" s="0" t="n">
        <f aca="false">IF(Presupuesto!$B$28='Flujo de Pagos'!$E466,28,9999)</f>
        <v>28</v>
      </c>
      <c r="AW466" s="0" t="n">
        <f aca="false">IF(Presupuesto!$B$29='Flujo de Pagos'!$E466,29,9999)</f>
        <v>29</v>
      </c>
      <c r="AX466" s="0" t="n">
        <f aca="false">IF(Presupuesto!$B$30='Flujo de Pagos'!$E466,30,9999)</f>
        <v>30</v>
      </c>
      <c r="AY466" s="0" t="n">
        <f aca="false">IF(Presupuesto!$B$31='Flujo de Pagos'!$E466,31,9999)</f>
        <v>31</v>
      </c>
      <c r="AZ466" s="0" t="n">
        <f aca="false">IF(Presupuesto!$B$32='Flujo de Pagos'!$E466,32,9999)</f>
        <v>32</v>
      </c>
      <c r="BA466" s="0" t="n">
        <f aca="false">IF(Presupuesto!$B$33='Flujo de Pagos'!$E466,33,9999)</f>
        <v>33</v>
      </c>
      <c r="BB466" s="0" t="n">
        <f aca="false">IF(Presupuesto!$B$34='Flujo de Pagos'!$E466,34,9999)</f>
        <v>34</v>
      </c>
      <c r="BC466" s="0" t="n">
        <f aca="false">IF(Presupuesto!$B$35='Flujo de Pagos'!$E466,35,9999)</f>
        <v>35</v>
      </c>
      <c r="BD466" s="0" t="n">
        <f aca="false">IF(Presupuesto!$B$36='Flujo de Pagos'!$E466,36,9999)</f>
        <v>36</v>
      </c>
      <c r="BE466" s="0" t="n">
        <f aca="false">IF(Presupuesto!$B$37='Flujo de Pagos'!$E466,37,9999)</f>
        <v>37</v>
      </c>
      <c r="BF466" s="0" t="n">
        <f aca="false">IF(Presupuesto!$B$38='Flujo de Pagos'!$E466,38,9999)</f>
        <v>38</v>
      </c>
      <c r="BG466" s="0" t="n">
        <f aca="false">IF(Presupuesto!$B$39='Flujo de Pagos'!$E466,39,9999)</f>
        <v>39</v>
      </c>
      <c r="BH466" s="0" t="n">
        <f aca="false">IF(Presupuesto!$B$40='Flujo de Pagos'!$E466,40,9999)</f>
        <v>40</v>
      </c>
      <c r="BI466" s="0" t="n">
        <f aca="false">IF(Presupuesto!$B$41='Flujo de Pagos'!$E466,41,9999)</f>
        <v>41</v>
      </c>
      <c r="BJ466" s="0" t="n">
        <f aca="false">IF(Presupuesto!$B$42='Flujo de Pagos'!$E466,42,9999)</f>
        <v>42</v>
      </c>
      <c r="BK466" s="0" t="n">
        <f aca="false">IF(Presupuesto!$B$43='Flujo de Pagos'!$E466,43,9999)</f>
        <v>43</v>
      </c>
      <c r="BL466" s="0" t="n">
        <f aca="false">IF(Presupuesto!$B$44='Flujo de Pagos'!$E466,44,9999)</f>
        <v>44</v>
      </c>
      <c r="BM466" s="0" t="n">
        <f aca="false">IF(Presupuesto!$B$45='Flujo de Pagos'!$E466,45,9999)</f>
        <v>45</v>
      </c>
      <c r="BN466" s="0" t="n">
        <f aca="false">IF(Presupuesto!$B$46='Flujo de Pagos'!$E466,46,9999)</f>
        <v>46</v>
      </c>
      <c r="BO466" s="0" t="n">
        <f aca="false">IF(Presupuesto!$B$47='Flujo de Pagos'!$E466,47,9999)</f>
        <v>47</v>
      </c>
      <c r="BP466" s="0" t="n">
        <f aca="false">IF(Presupuesto!$B$48='Flujo de Pagos'!$E466,48,9999)</f>
        <v>48</v>
      </c>
      <c r="BQ466" s="0" t="n">
        <f aca="false">IF(Presupuesto!$B$49='Flujo de Pagos'!$E466,49,9999)</f>
        <v>49</v>
      </c>
      <c r="BR466" s="0" t="n">
        <f aca="false">IF(Presupuesto!$B$50='Flujo de Pagos'!$E466,50,9999)</f>
        <v>50</v>
      </c>
      <c r="BS466" s="0" t="n">
        <f aca="false">IF(Presupuesto!$B$51='Flujo de Pagos'!$E466,51,9999)</f>
        <v>51</v>
      </c>
      <c r="BT466" s="0" t="n">
        <f aca="false">IF(Presupuesto!$B$52='Flujo de Pagos'!$E466,52,9999)</f>
        <v>52</v>
      </c>
      <c r="BU466" s="0" t="n">
        <f aca="false">IF(Presupuesto!$B$53='Flujo de Pagos'!$E466,53,9999)</f>
        <v>53</v>
      </c>
      <c r="BV466" s="0" t="n">
        <f aca="false">IF(Presupuesto!$B$54='Flujo de Pagos'!$E466,54,9999)</f>
        <v>54</v>
      </c>
      <c r="BW466" s="0" t="n">
        <f aca="false">IF(Presupuesto!$B$55='Flujo de Pagos'!$E466,55,9999)</f>
        <v>55</v>
      </c>
      <c r="BX466" s="0" t="n">
        <f aca="false">IF(Presupuesto!$B$56='Flujo de Pagos'!$E466,56,9999)</f>
        <v>56</v>
      </c>
      <c r="BY466" s="0" t="n">
        <f aca="false">IF(Presupuesto!$B$57='Flujo de Pagos'!$E466,57,9999)</f>
        <v>57</v>
      </c>
      <c r="BZ466" s="0" t="n">
        <f aca="false">IF(Presupuesto!$B$58='Flujo de Pagos'!$E466,58,9999)</f>
        <v>58</v>
      </c>
      <c r="CA466" s="0" t="n">
        <f aca="false">IF(Presupuesto!$B$59='Flujo de Pagos'!$E466,59,9999)</f>
        <v>59</v>
      </c>
      <c r="CB466" s="0" t="n">
        <f aca="false">IF(Presupuesto!$B$60='Flujo de Pagos'!$E466,60,9999)</f>
        <v>60</v>
      </c>
      <c r="CC466" s="0" t="n">
        <f aca="false">IF(Presupuesto!$B$61='Flujo de Pagos'!$E466,61,9999)</f>
        <v>61</v>
      </c>
      <c r="CD466" s="0" t="n">
        <f aca="false">IF(Presupuesto!$B$62='Flujo de Pagos'!$E466,62,9999)</f>
        <v>62</v>
      </c>
      <c r="CE466" s="0" t="n">
        <f aca="false">IF(Presupuesto!$B$63='Flujo de Pagos'!$E466,63,9999)</f>
        <v>63</v>
      </c>
      <c r="CF466" s="0" t="n">
        <f aca="false">IF(Presupuesto!$B$64='Flujo de Pagos'!$E466,64,9999)</f>
        <v>64</v>
      </c>
      <c r="CG466" s="0" t="n">
        <f aca="false">IF(Presupuesto!$B$65='Flujo de Pagos'!$E466,65,9999)</f>
        <v>65</v>
      </c>
      <c r="CH466" s="0" t="n">
        <f aca="false">IF(Presupuesto!$B$66='Flujo de Pagos'!$E466,66,9999)</f>
        <v>66</v>
      </c>
    </row>
    <row r="467" customFormat="false" ht="15" hidden="false" customHeight="true" outlineLevel="0" collapsed="false">
      <c r="B467" s="1" t="n">
        <f aca="false">IF(AND('Flujo de Pagos'!E472=Carátula!$B$2,'Flujo de Pagos'!F472=Carátula!$B$4,'Flujo de Pagos'!H472&lt;&gt;""),472,99999)</f>
        <v>99999</v>
      </c>
      <c r="H467" s="1" t="n">
        <f aca="false">IF(SMALL($AA467:$CH467,1)&gt;=9999,"",INDEX(Presupuesto!$C:$C,SMALL($AA467:$CH467,1)))</f>
        <v>0</v>
      </c>
      <c r="I467" s="1" t="n">
        <f aca="false">IF(SMALL($AA467:$CH467,2)&gt;=9999,"",INDEX(Presupuesto!$C:$C,SMALL($AA467:$CH467,2)))</f>
        <v>0</v>
      </c>
      <c r="J467" s="1" t="n">
        <f aca="false">IF(SMALL($AA467:$CH467,3)&gt;=9999,"",INDEX(Presupuesto!$C:$C,SMALL($AA467:$CH467,3)))</f>
        <v>0</v>
      </c>
      <c r="K467" s="1" t="n">
        <f aca="false">IF(SMALL($AA467:$CH467,4)&gt;=9999,"",INDEX(Presupuesto!$C:$C,SMALL($AA467:$CH467,4)))</f>
        <v>0</v>
      </c>
      <c r="L467" s="1" t="n">
        <f aca="false">IF(SMALL($AA467:$CH467,5)&gt;=9999,"",INDEX(Presupuesto!$C:$C,SMALL($AA467:$CH467,5)))</f>
        <v>0</v>
      </c>
      <c r="M467" s="1" t="n">
        <f aca="false">IF(SMALL($AA467:$CH467,6)&gt;=9999,"",INDEX(Presupuesto!$C:$C,SMALL($AA467:$CH467,6)))</f>
        <v>0</v>
      </c>
      <c r="N467" s="1" t="n">
        <f aca="false">IF(SMALL($AA467:$CH467,7)&gt;=9999,"",INDEX(Presupuesto!$C:$C,SMALL($AA467:$CH467,7)))</f>
        <v>0</v>
      </c>
      <c r="O467" s="1" t="n">
        <f aca="false">IF(SMALL($AA467:$CH467,8)&gt;=9999,"",INDEX(Presupuesto!$C:$C,SMALL($AA467:$CH467,8)))</f>
        <v>0</v>
      </c>
      <c r="P467" s="1" t="n">
        <f aca="false">IF(SMALL($AA467:$CH467,9)&gt;=9999,"",INDEX(Presupuesto!$C:$C,SMALL($AA467:$CH467,9)))</f>
        <v>0</v>
      </c>
      <c r="Q467" s="1" t="n">
        <f aca="false">IF(SMALL($AA467:$CH467,10)&gt;=9999,"",INDEX(Presupuesto!$C:$C,SMALL($AA467:$CH467,10)))</f>
        <v>0</v>
      </c>
      <c r="AA467" s="0" t="n">
        <f aca="false">IF(Presupuesto!$B$7='Flujo de Pagos'!$E467,7,9999)</f>
        <v>9999</v>
      </c>
      <c r="AB467" s="0" t="n">
        <f aca="false">IF(Presupuesto!$B$8='Flujo de Pagos'!$E467,8,9999)</f>
        <v>9999</v>
      </c>
      <c r="AC467" s="0" t="n">
        <f aca="false">IF(Presupuesto!$B$9='Flujo de Pagos'!$E467,9,9999)</f>
        <v>9999</v>
      </c>
      <c r="AD467" s="0" t="n">
        <f aca="false">IF(Presupuesto!$B$10='Flujo de Pagos'!$E467,10,9999)</f>
        <v>9999</v>
      </c>
      <c r="AE467" s="0" t="n">
        <f aca="false">IF(Presupuesto!$B$11='Flujo de Pagos'!$E467,11,9999)</f>
        <v>9999</v>
      </c>
      <c r="AF467" s="0" t="n">
        <f aca="false">IF(Presupuesto!$B$12='Flujo de Pagos'!$E467,12,9999)</f>
        <v>12</v>
      </c>
      <c r="AG467" s="0" t="n">
        <f aca="false">IF(Presupuesto!$B$13='Flujo de Pagos'!$E467,13,9999)</f>
        <v>13</v>
      </c>
      <c r="AH467" s="0" t="n">
        <f aca="false">IF(Presupuesto!$B$14='Flujo de Pagos'!$E467,14,9999)</f>
        <v>14</v>
      </c>
      <c r="AI467" s="0" t="n">
        <f aca="false">IF(Presupuesto!$B$15='Flujo de Pagos'!$E467,15,9999)</f>
        <v>15</v>
      </c>
      <c r="AJ467" s="0" t="n">
        <f aca="false">IF(Presupuesto!$B$16='Flujo de Pagos'!$E467,16,9999)</f>
        <v>16</v>
      </c>
      <c r="AK467" s="0" t="n">
        <f aca="false">IF(Presupuesto!$B$17='Flujo de Pagos'!$E467,17,9999)</f>
        <v>17</v>
      </c>
      <c r="AL467" s="0" t="n">
        <f aca="false">IF(Presupuesto!$B$18='Flujo de Pagos'!$E467,18,9999)</f>
        <v>18</v>
      </c>
      <c r="AM467" s="0" t="n">
        <f aca="false">IF(Presupuesto!$B$19='Flujo de Pagos'!$E467,19,9999)</f>
        <v>19</v>
      </c>
      <c r="AN467" s="0" t="n">
        <f aca="false">IF(Presupuesto!$B$20='Flujo de Pagos'!$E467,20,9999)</f>
        <v>20</v>
      </c>
      <c r="AO467" s="0" t="n">
        <f aca="false">IF(Presupuesto!$B$21='Flujo de Pagos'!$E467,21,9999)</f>
        <v>21</v>
      </c>
      <c r="AP467" s="0" t="n">
        <f aca="false">IF(Presupuesto!$B$22='Flujo de Pagos'!$E467,22,9999)</f>
        <v>22</v>
      </c>
      <c r="AQ467" s="0" t="n">
        <f aca="false">IF(Presupuesto!$B$23='Flujo de Pagos'!$E467,23,9999)</f>
        <v>23</v>
      </c>
      <c r="AR467" s="0" t="n">
        <f aca="false">IF(Presupuesto!$B$24='Flujo de Pagos'!$E467,24,9999)</f>
        <v>24</v>
      </c>
      <c r="AS467" s="0" t="n">
        <f aca="false">IF(Presupuesto!$B$25='Flujo de Pagos'!$E467,25,9999)</f>
        <v>25</v>
      </c>
      <c r="AT467" s="0" t="n">
        <f aca="false">IF(Presupuesto!$B$26='Flujo de Pagos'!$E467,26,9999)</f>
        <v>26</v>
      </c>
      <c r="AU467" s="0" t="n">
        <f aca="false">IF(Presupuesto!$B$27='Flujo de Pagos'!$E467,27,9999)</f>
        <v>27</v>
      </c>
      <c r="AV467" s="0" t="n">
        <f aca="false">IF(Presupuesto!$B$28='Flujo de Pagos'!$E467,28,9999)</f>
        <v>28</v>
      </c>
      <c r="AW467" s="0" t="n">
        <f aca="false">IF(Presupuesto!$B$29='Flujo de Pagos'!$E467,29,9999)</f>
        <v>29</v>
      </c>
      <c r="AX467" s="0" t="n">
        <f aca="false">IF(Presupuesto!$B$30='Flujo de Pagos'!$E467,30,9999)</f>
        <v>30</v>
      </c>
      <c r="AY467" s="0" t="n">
        <f aca="false">IF(Presupuesto!$B$31='Flujo de Pagos'!$E467,31,9999)</f>
        <v>31</v>
      </c>
      <c r="AZ467" s="0" t="n">
        <f aca="false">IF(Presupuesto!$B$32='Flujo de Pagos'!$E467,32,9999)</f>
        <v>32</v>
      </c>
      <c r="BA467" s="0" t="n">
        <f aca="false">IF(Presupuesto!$B$33='Flujo de Pagos'!$E467,33,9999)</f>
        <v>33</v>
      </c>
      <c r="BB467" s="0" t="n">
        <f aca="false">IF(Presupuesto!$B$34='Flujo de Pagos'!$E467,34,9999)</f>
        <v>34</v>
      </c>
      <c r="BC467" s="0" t="n">
        <f aca="false">IF(Presupuesto!$B$35='Flujo de Pagos'!$E467,35,9999)</f>
        <v>35</v>
      </c>
      <c r="BD467" s="0" t="n">
        <f aca="false">IF(Presupuesto!$B$36='Flujo de Pagos'!$E467,36,9999)</f>
        <v>36</v>
      </c>
      <c r="BE467" s="0" t="n">
        <f aca="false">IF(Presupuesto!$B$37='Flujo de Pagos'!$E467,37,9999)</f>
        <v>37</v>
      </c>
      <c r="BF467" s="0" t="n">
        <f aca="false">IF(Presupuesto!$B$38='Flujo de Pagos'!$E467,38,9999)</f>
        <v>38</v>
      </c>
      <c r="BG467" s="0" t="n">
        <f aca="false">IF(Presupuesto!$B$39='Flujo de Pagos'!$E467,39,9999)</f>
        <v>39</v>
      </c>
      <c r="BH467" s="0" t="n">
        <f aca="false">IF(Presupuesto!$B$40='Flujo de Pagos'!$E467,40,9999)</f>
        <v>40</v>
      </c>
      <c r="BI467" s="0" t="n">
        <f aca="false">IF(Presupuesto!$B$41='Flujo de Pagos'!$E467,41,9999)</f>
        <v>41</v>
      </c>
      <c r="BJ467" s="0" t="n">
        <f aca="false">IF(Presupuesto!$B$42='Flujo de Pagos'!$E467,42,9999)</f>
        <v>42</v>
      </c>
      <c r="BK467" s="0" t="n">
        <f aca="false">IF(Presupuesto!$B$43='Flujo de Pagos'!$E467,43,9999)</f>
        <v>43</v>
      </c>
      <c r="BL467" s="0" t="n">
        <f aca="false">IF(Presupuesto!$B$44='Flujo de Pagos'!$E467,44,9999)</f>
        <v>44</v>
      </c>
      <c r="BM467" s="0" t="n">
        <f aca="false">IF(Presupuesto!$B$45='Flujo de Pagos'!$E467,45,9999)</f>
        <v>45</v>
      </c>
      <c r="BN467" s="0" t="n">
        <f aca="false">IF(Presupuesto!$B$46='Flujo de Pagos'!$E467,46,9999)</f>
        <v>46</v>
      </c>
      <c r="BO467" s="0" t="n">
        <f aca="false">IF(Presupuesto!$B$47='Flujo de Pagos'!$E467,47,9999)</f>
        <v>47</v>
      </c>
      <c r="BP467" s="0" t="n">
        <f aca="false">IF(Presupuesto!$B$48='Flujo de Pagos'!$E467,48,9999)</f>
        <v>48</v>
      </c>
      <c r="BQ467" s="0" t="n">
        <f aca="false">IF(Presupuesto!$B$49='Flujo de Pagos'!$E467,49,9999)</f>
        <v>49</v>
      </c>
      <c r="BR467" s="0" t="n">
        <f aca="false">IF(Presupuesto!$B$50='Flujo de Pagos'!$E467,50,9999)</f>
        <v>50</v>
      </c>
      <c r="BS467" s="0" t="n">
        <f aca="false">IF(Presupuesto!$B$51='Flujo de Pagos'!$E467,51,9999)</f>
        <v>51</v>
      </c>
      <c r="BT467" s="0" t="n">
        <f aca="false">IF(Presupuesto!$B$52='Flujo de Pagos'!$E467,52,9999)</f>
        <v>52</v>
      </c>
      <c r="BU467" s="0" t="n">
        <f aca="false">IF(Presupuesto!$B$53='Flujo de Pagos'!$E467,53,9999)</f>
        <v>53</v>
      </c>
      <c r="BV467" s="0" t="n">
        <f aca="false">IF(Presupuesto!$B$54='Flujo de Pagos'!$E467,54,9999)</f>
        <v>54</v>
      </c>
      <c r="BW467" s="0" t="n">
        <f aca="false">IF(Presupuesto!$B$55='Flujo de Pagos'!$E467,55,9999)</f>
        <v>55</v>
      </c>
      <c r="BX467" s="0" t="n">
        <f aca="false">IF(Presupuesto!$B$56='Flujo de Pagos'!$E467,56,9999)</f>
        <v>56</v>
      </c>
      <c r="BY467" s="0" t="n">
        <f aca="false">IF(Presupuesto!$B$57='Flujo de Pagos'!$E467,57,9999)</f>
        <v>57</v>
      </c>
      <c r="BZ467" s="0" t="n">
        <f aca="false">IF(Presupuesto!$B$58='Flujo de Pagos'!$E467,58,9999)</f>
        <v>58</v>
      </c>
      <c r="CA467" s="0" t="n">
        <f aca="false">IF(Presupuesto!$B$59='Flujo de Pagos'!$E467,59,9999)</f>
        <v>59</v>
      </c>
      <c r="CB467" s="0" t="n">
        <f aca="false">IF(Presupuesto!$B$60='Flujo de Pagos'!$E467,60,9999)</f>
        <v>60</v>
      </c>
      <c r="CC467" s="0" t="n">
        <f aca="false">IF(Presupuesto!$B$61='Flujo de Pagos'!$E467,61,9999)</f>
        <v>61</v>
      </c>
      <c r="CD467" s="0" t="n">
        <f aca="false">IF(Presupuesto!$B$62='Flujo de Pagos'!$E467,62,9999)</f>
        <v>62</v>
      </c>
      <c r="CE467" s="0" t="n">
        <f aca="false">IF(Presupuesto!$B$63='Flujo de Pagos'!$E467,63,9999)</f>
        <v>63</v>
      </c>
      <c r="CF467" s="0" t="n">
        <f aca="false">IF(Presupuesto!$B$64='Flujo de Pagos'!$E467,64,9999)</f>
        <v>64</v>
      </c>
      <c r="CG467" s="0" t="n">
        <f aca="false">IF(Presupuesto!$B$65='Flujo de Pagos'!$E467,65,9999)</f>
        <v>65</v>
      </c>
      <c r="CH467" s="0" t="n">
        <f aca="false">IF(Presupuesto!$B$66='Flujo de Pagos'!$E467,66,9999)</f>
        <v>66</v>
      </c>
    </row>
    <row r="468" customFormat="false" ht="15" hidden="false" customHeight="true" outlineLevel="0" collapsed="false">
      <c r="B468" s="1" t="n">
        <f aca="false">IF(AND('Flujo de Pagos'!E473=Carátula!$B$2,'Flujo de Pagos'!F473=Carátula!$B$4,'Flujo de Pagos'!H473&lt;&gt;""),473,99999)</f>
        <v>99999</v>
      </c>
      <c r="H468" s="1" t="n">
        <f aca="false">IF(SMALL($AA468:$CH468,1)&gt;=9999,"",INDEX(Presupuesto!$C:$C,SMALL($AA468:$CH468,1)))</f>
        <v>0</v>
      </c>
      <c r="I468" s="1" t="n">
        <f aca="false">IF(SMALL($AA468:$CH468,2)&gt;=9999,"",INDEX(Presupuesto!$C:$C,SMALL($AA468:$CH468,2)))</f>
        <v>0</v>
      </c>
      <c r="J468" s="1" t="n">
        <f aca="false">IF(SMALL($AA468:$CH468,3)&gt;=9999,"",INDEX(Presupuesto!$C:$C,SMALL($AA468:$CH468,3)))</f>
        <v>0</v>
      </c>
      <c r="K468" s="1" t="n">
        <f aca="false">IF(SMALL($AA468:$CH468,4)&gt;=9999,"",INDEX(Presupuesto!$C:$C,SMALL($AA468:$CH468,4)))</f>
        <v>0</v>
      </c>
      <c r="L468" s="1" t="n">
        <f aca="false">IF(SMALL($AA468:$CH468,5)&gt;=9999,"",INDEX(Presupuesto!$C:$C,SMALL($AA468:$CH468,5)))</f>
        <v>0</v>
      </c>
      <c r="M468" s="1" t="n">
        <f aca="false">IF(SMALL($AA468:$CH468,6)&gt;=9999,"",INDEX(Presupuesto!$C:$C,SMALL($AA468:$CH468,6)))</f>
        <v>0</v>
      </c>
      <c r="N468" s="1" t="n">
        <f aca="false">IF(SMALL($AA468:$CH468,7)&gt;=9999,"",INDEX(Presupuesto!$C:$C,SMALL($AA468:$CH468,7)))</f>
        <v>0</v>
      </c>
      <c r="O468" s="1" t="n">
        <f aca="false">IF(SMALL($AA468:$CH468,8)&gt;=9999,"",INDEX(Presupuesto!$C:$C,SMALL($AA468:$CH468,8)))</f>
        <v>0</v>
      </c>
      <c r="P468" s="1" t="n">
        <f aca="false">IF(SMALL($AA468:$CH468,9)&gt;=9999,"",INDEX(Presupuesto!$C:$C,SMALL($AA468:$CH468,9)))</f>
        <v>0</v>
      </c>
      <c r="Q468" s="1" t="n">
        <f aca="false">IF(SMALL($AA468:$CH468,10)&gt;=9999,"",INDEX(Presupuesto!$C:$C,SMALL($AA468:$CH468,10)))</f>
        <v>0</v>
      </c>
      <c r="AA468" s="0" t="n">
        <f aca="false">IF(Presupuesto!$B$7='Flujo de Pagos'!$E468,7,9999)</f>
        <v>9999</v>
      </c>
      <c r="AB468" s="0" t="n">
        <f aca="false">IF(Presupuesto!$B$8='Flujo de Pagos'!$E468,8,9999)</f>
        <v>9999</v>
      </c>
      <c r="AC468" s="0" t="n">
        <f aca="false">IF(Presupuesto!$B$9='Flujo de Pagos'!$E468,9,9999)</f>
        <v>9999</v>
      </c>
      <c r="AD468" s="0" t="n">
        <f aca="false">IF(Presupuesto!$B$10='Flujo de Pagos'!$E468,10,9999)</f>
        <v>9999</v>
      </c>
      <c r="AE468" s="0" t="n">
        <f aca="false">IF(Presupuesto!$B$11='Flujo de Pagos'!$E468,11,9999)</f>
        <v>9999</v>
      </c>
      <c r="AF468" s="0" t="n">
        <f aca="false">IF(Presupuesto!$B$12='Flujo de Pagos'!$E468,12,9999)</f>
        <v>12</v>
      </c>
      <c r="AG468" s="0" t="n">
        <f aca="false">IF(Presupuesto!$B$13='Flujo de Pagos'!$E468,13,9999)</f>
        <v>13</v>
      </c>
      <c r="AH468" s="0" t="n">
        <f aca="false">IF(Presupuesto!$B$14='Flujo de Pagos'!$E468,14,9999)</f>
        <v>14</v>
      </c>
      <c r="AI468" s="0" t="n">
        <f aca="false">IF(Presupuesto!$B$15='Flujo de Pagos'!$E468,15,9999)</f>
        <v>15</v>
      </c>
      <c r="AJ468" s="0" t="n">
        <f aca="false">IF(Presupuesto!$B$16='Flujo de Pagos'!$E468,16,9999)</f>
        <v>16</v>
      </c>
      <c r="AK468" s="0" t="n">
        <f aca="false">IF(Presupuesto!$B$17='Flujo de Pagos'!$E468,17,9999)</f>
        <v>17</v>
      </c>
      <c r="AL468" s="0" t="n">
        <f aca="false">IF(Presupuesto!$B$18='Flujo de Pagos'!$E468,18,9999)</f>
        <v>18</v>
      </c>
      <c r="AM468" s="0" t="n">
        <f aca="false">IF(Presupuesto!$B$19='Flujo de Pagos'!$E468,19,9999)</f>
        <v>19</v>
      </c>
      <c r="AN468" s="0" t="n">
        <f aca="false">IF(Presupuesto!$B$20='Flujo de Pagos'!$E468,20,9999)</f>
        <v>20</v>
      </c>
      <c r="AO468" s="0" t="n">
        <f aca="false">IF(Presupuesto!$B$21='Flujo de Pagos'!$E468,21,9999)</f>
        <v>21</v>
      </c>
      <c r="AP468" s="0" t="n">
        <f aca="false">IF(Presupuesto!$B$22='Flujo de Pagos'!$E468,22,9999)</f>
        <v>22</v>
      </c>
      <c r="AQ468" s="0" t="n">
        <f aca="false">IF(Presupuesto!$B$23='Flujo de Pagos'!$E468,23,9999)</f>
        <v>23</v>
      </c>
      <c r="AR468" s="0" t="n">
        <f aca="false">IF(Presupuesto!$B$24='Flujo de Pagos'!$E468,24,9999)</f>
        <v>24</v>
      </c>
      <c r="AS468" s="0" t="n">
        <f aca="false">IF(Presupuesto!$B$25='Flujo de Pagos'!$E468,25,9999)</f>
        <v>25</v>
      </c>
      <c r="AT468" s="0" t="n">
        <f aca="false">IF(Presupuesto!$B$26='Flujo de Pagos'!$E468,26,9999)</f>
        <v>26</v>
      </c>
      <c r="AU468" s="0" t="n">
        <f aca="false">IF(Presupuesto!$B$27='Flujo de Pagos'!$E468,27,9999)</f>
        <v>27</v>
      </c>
      <c r="AV468" s="0" t="n">
        <f aca="false">IF(Presupuesto!$B$28='Flujo de Pagos'!$E468,28,9999)</f>
        <v>28</v>
      </c>
      <c r="AW468" s="0" t="n">
        <f aca="false">IF(Presupuesto!$B$29='Flujo de Pagos'!$E468,29,9999)</f>
        <v>29</v>
      </c>
      <c r="AX468" s="0" t="n">
        <f aca="false">IF(Presupuesto!$B$30='Flujo de Pagos'!$E468,30,9999)</f>
        <v>30</v>
      </c>
      <c r="AY468" s="0" t="n">
        <f aca="false">IF(Presupuesto!$B$31='Flujo de Pagos'!$E468,31,9999)</f>
        <v>31</v>
      </c>
      <c r="AZ468" s="0" t="n">
        <f aca="false">IF(Presupuesto!$B$32='Flujo de Pagos'!$E468,32,9999)</f>
        <v>32</v>
      </c>
      <c r="BA468" s="0" t="n">
        <f aca="false">IF(Presupuesto!$B$33='Flujo de Pagos'!$E468,33,9999)</f>
        <v>33</v>
      </c>
      <c r="BB468" s="0" t="n">
        <f aca="false">IF(Presupuesto!$B$34='Flujo de Pagos'!$E468,34,9999)</f>
        <v>34</v>
      </c>
      <c r="BC468" s="0" t="n">
        <f aca="false">IF(Presupuesto!$B$35='Flujo de Pagos'!$E468,35,9999)</f>
        <v>35</v>
      </c>
      <c r="BD468" s="0" t="n">
        <f aca="false">IF(Presupuesto!$B$36='Flujo de Pagos'!$E468,36,9999)</f>
        <v>36</v>
      </c>
      <c r="BE468" s="0" t="n">
        <f aca="false">IF(Presupuesto!$B$37='Flujo de Pagos'!$E468,37,9999)</f>
        <v>37</v>
      </c>
      <c r="BF468" s="0" t="n">
        <f aca="false">IF(Presupuesto!$B$38='Flujo de Pagos'!$E468,38,9999)</f>
        <v>38</v>
      </c>
      <c r="BG468" s="0" t="n">
        <f aca="false">IF(Presupuesto!$B$39='Flujo de Pagos'!$E468,39,9999)</f>
        <v>39</v>
      </c>
      <c r="BH468" s="0" t="n">
        <f aca="false">IF(Presupuesto!$B$40='Flujo de Pagos'!$E468,40,9999)</f>
        <v>40</v>
      </c>
      <c r="BI468" s="0" t="n">
        <f aca="false">IF(Presupuesto!$B$41='Flujo de Pagos'!$E468,41,9999)</f>
        <v>41</v>
      </c>
      <c r="BJ468" s="0" t="n">
        <f aca="false">IF(Presupuesto!$B$42='Flujo de Pagos'!$E468,42,9999)</f>
        <v>42</v>
      </c>
      <c r="BK468" s="0" t="n">
        <f aca="false">IF(Presupuesto!$B$43='Flujo de Pagos'!$E468,43,9999)</f>
        <v>43</v>
      </c>
      <c r="BL468" s="0" t="n">
        <f aca="false">IF(Presupuesto!$B$44='Flujo de Pagos'!$E468,44,9999)</f>
        <v>44</v>
      </c>
      <c r="BM468" s="0" t="n">
        <f aca="false">IF(Presupuesto!$B$45='Flujo de Pagos'!$E468,45,9999)</f>
        <v>45</v>
      </c>
      <c r="BN468" s="0" t="n">
        <f aca="false">IF(Presupuesto!$B$46='Flujo de Pagos'!$E468,46,9999)</f>
        <v>46</v>
      </c>
      <c r="BO468" s="0" t="n">
        <f aca="false">IF(Presupuesto!$B$47='Flujo de Pagos'!$E468,47,9999)</f>
        <v>47</v>
      </c>
      <c r="BP468" s="0" t="n">
        <f aca="false">IF(Presupuesto!$B$48='Flujo de Pagos'!$E468,48,9999)</f>
        <v>48</v>
      </c>
      <c r="BQ468" s="0" t="n">
        <f aca="false">IF(Presupuesto!$B$49='Flujo de Pagos'!$E468,49,9999)</f>
        <v>49</v>
      </c>
      <c r="BR468" s="0" t="n">
        <f aca="false">IF(Presupuesto!$B$50='Flujo de Pagos'!$E468,50,9999)</f>
        <v>50</v>
      </c>
      <c r="BS468" s="0" t="n">
        <f aca="false">IF(Presupuesto!$B$51='Flujo de Pagos'!$E468,51,9999)</f>
        <v>51</v>
      </c>
      <c r="BT468" s="0" t="n">
        <f aca="false">IF(Presupuesto!$B$52='Flujo de Pagos'!$E468,52,9999)</f>
        <v>52</v>
      </c>
      <c r="BU468" s="0" t="n">
        <f aca="false">IF(Presupuesto!$B$53='Flujo de Pagos'!$E468,53,9999)</f>
        <v>53</v>
      </c>
      <c r="BV468" s="0" t="n">
        <f aca="false">IF(Presupuesto!$B$54='Flujo de Pagos'!$E468,54,9999)</f>
        <v>54</v>
      </c>
      <c r="BW468" s="0" t="n">
        <f aca="false">IF(Presupuesto!$B$55='Flujo de Pagos'!$E468,55,9999)</f>
        <v>55</v>
      </c>
      <c r="BX468" s="0" t="n">
        <f aca="false">IF(Presupuesto!$B$56='Flujo de Pagos'!$E468,56,9999)</f>
        <v>56</v>
      </c>
      <c r="BY468" s="0" t="n">
        <f aca="false">IF(Presupuesto!$B$57='Flujo de Pagos'!$E468,57,9999)</f>
        <v>57</v>
      </c>
      <c r="BZ468" s="0" t="n">
        <f aca="false">IF(Presupuesto!$B$58='Flujo de Pagos'!$E468,58,9999)</f>
        <v>58</v>
      </c>
      <c r="CA468" s="0" t="n">
        <f aca="false">IF(Presupuesto!$B$59='Flujo de Pagos'!$E468,59,9999)</f>
        <v>59</v>
      </c>
      <c r="CB468" s="0" t="n">
        <f aca="false">IF(Presupuesto!$B$60='Flujo de Pagos'!$E468,60,9999)</f>
        <v>60</v>
      </c>
      <c r="CC468" s="0" t="n">
        <f aca="false">IF(Presupuesto!$B$61='Flujo de Pagos'!$E468,61,9999)</f>
        <v>61</v>
      </c>
      <c r="CD468" s="0" t="n">
        <f aca="false">IF(Presupuesto!$B$62='Flujo de Pagos'!$E468,62,9999)</f>
        <v>62</v>
      </c>
      <c r="CE468" s="0" t="n">
        <f aca="false">IF(Presupuesto!$B$63='Flujo de Pagos'!$E468,63,9999)</f>
        <v>63</v>
      </c>
      <c r="CF468" s="0" t="n">
        <f aca="false">IF(Presupuesto!$B$64='Flujo de Pagos'!$E468,64,9999)</f>
        <v>64</v>
      </c>
      <c r="CG468" s="0" t="n">
        <f aca="false">IF(Presupuesto!$B$65='Flujo de Pagos'!$E468,65,9999)</f>
        <v>65</v>
      </c>
      <c r="CH468" s="0" t="n">
        <f aca="false">IF(Presupuesto!$B$66='Flujo de Pagos'!$E468,66,9999)</f>
        <v>66</v>
      </c>
    </row>
    <row r="469" customFormat="false" ht="15" hidden="false" customHeight="true" outlineLevel="0" collapsed="false">
      <c r="B469" s="1" t="n">
        <f aca="false">IF(AND('Flujo de Pagos'!E474=Carátula!$B$2,'Flujo de Pagos'!F474=Carátula!$B$4,'Flujo de Pagos'!H474&lt;&gt;""),474,99999)</f>
        <v>99999</v>
      </c>
      <c r="H469" s="1" t="n">
        <f aca="false">IF(SMALL($AA469:$CH469,1)&gt;=9999,"",INDEX(Presupuesto!$C:$C,SMALL($AA469:$CH469,1)))</f>
        <v>0</v>
      </c>
      <c r="I469" s="1" t="n">
        <f aca="false">IF(SMALL($AA469:$CH469,2)&gt;=9999,"",INDEX(Presupuesto!$C:$C,SMALL($AA469:$CH469,2)))</f>
        <v>0</v>
      </c>
      <c r="J469" s="1" t="n">
        <f aca="false">IF(SMALL($AA469:$CH469,3)&gt;=9999,"",INDEX(Presupuesto!$C:$C,SMALL($AA469:$CH469,3)))</f>
        <v>0</v>
      </c>
      <c r="K469" s="1" t="n">
        <f aca="false">IF(SMALL($AA469:$CH469,4)&gt;=9999,"",INDEX(Presupuesto!$C:$C,SMALL($AA469:$CH469,4)))</f>
        <v>0</v>
      </c>
      <c r="L469" s="1" t="n">
        <f aca="false">IF(SMALL($AA469:$CH469,5)&gt;=9999,"",INDEX(Presupuesto!$C:$C,SMALL($AA469:$CH469,5)))</f>
        <v>0</v>
      </c>
      <c r="M469" s="1" t="n">
        <f aca="false">IF(SMALL($AA469:$CH469,6)&gt;=9999,"",INDEX(Presupuesto!$C:$C,SMALL($AA469:$CH469,6)))</f>
        <v>0</v>
      </c>
      <c r="N469" s="1" t="n">
        <f aca="false">IF(SMALL($AA469:$CH469,7)&gt;=9999,"",INDEX(Presupuesto!$C:$C,SMALL($AA469:$CH469,7)))</f>
        <v>0</v>
      </c>
      <c r="O469" s="1" t="n">
        <f aca="false">IF(SMALL($AA469:$CH469,8)&gt;=9999,"",INDEX(Presupuesto!$C:$C,SMALL($AA469:$CH469,8)))</f>
        <v>0</v>
      </c>
      <c r="P469" s="1" t="n">
        <f aca="false">IF(SMALL($AA469:$CH469,9)&gt;=9999,"",INDEX(Presupuesto!$C:$C,SMALL($AA469:$CH469,9)))</f>
        <v>0</v>
      </c>
      <c r="Q469" s="1" t="n">
        <f aca="false">IF(SMALL($AA469:$CH469,10)&gt;=9999,"",INDEX(Presupuesto!$C:$C,SMALL($AA469:$CH469,10)))</f>
        <v>0</v>
      </c>
      <c r="AA469" s="0" t="n">
        <f aca="false">IF(Presupuesto!$B$7='Flujo de Pagos'!$E469,7,9999)</f>
        <v>9999</v>
      </c>
      <c r="AB469" s="0" t="n">
        <f aca="false">IF(Presupuesto!$B$8='Flujo de Pagos'!$E469,8,9999)</f>
        <v>9999</v>
      </c>
      <c r="AC469" s="0" t="n">
        <f aca="false">IF(Presupuesto!$B$9='Flujo de Pagos'!$E469,9,9999)</f>
        <v>9999</v>
      </c>
      <c r="AD469" s="0" t="n">
        <f aca="false">IF(Presupuesto!$B$10='Flujo de Pagos'!$E469,10,9999)</f>
        <v>9999</v>
      </c>
      <c r="AE469" s="0" t="n">
        <f aca="false">IF(Presupuesto!$B$11='Flujo de Pagos'!$E469,11,9999)</f>
        <v>9999</v>
      </c>
      <c r="AF469" s="0" t="n">
        <f aca="false">IF(Presupuesto!$B$12='Flujo de Pagos'!$E469,12,9999)</f>
        <v>12</v>
      </c>
      <c r="AG469" s="0" t="n">
        <f aca="false">IF(Presupuesto!$B$13='Flujo de Pagos'!$E469,13,9999)</f>
        <v>13</v>
      </c>
      <c r="AH469" s="0" t="n">
        <f aca="false">IF(Presupuesto!$B$14='Flujo de Pagos'!$E469,14,9999)</f>
        <v>14</v>
      </c>
      <c r="AI469" s="0" t="n">
        <f aca="false">IF(Presupuesto!$B$15='Flujo de Pagos'!$E469,15,9999)</f>
        <v>15</v>
      </c>
      <c r="AJ469" s="0" t="n">
        <f aca="false">IF(Presupuesto!$B$16='Flujo de Pagos'!$E469,16,9999)</f>
        <v>16</v>
      </c>
      <c r="AK469" s="0" t="n">
        <f aca="false">IF(Presupuesto!$B$17='Flujo de Pagos'!$E469,17,9999)</f>
        <v>17</v>
      </c>
      <c r="AL469" s="0" t="n">
        <f aca="false">IF(Presupuesto!$B$18='Flujo de Pagos'!$E469,18,9999)</f>
        <v>18</v>
      </c>
      <c r="AM469" s="0" t="n">
        <f aca="false">IF(Presupuesto!$B$19='Flujo de Pagos'!$E469,19,9999)</f>
        <v>19</v>
      </c>
      <c r="AN469" s="0" t="n">
        <f aca="false">IF(Presupuesto!$B$20='Flujo de Pagos'!$E469,20,9999)</f>
        <v>20</v>
      </c>
      <c r="AO469" s="0" t="n">
        <f aca="false">IF(Presupuesto!$B$21='Flujo de Pagos'!$E469,21,9999)</f>
        <v>21</v>
      </c>
      <c r="AP469" s="0" t="n">
        <f aca="false">IF(Presupuesto!$B$22='Flujo de Pagos'!$E469,22,9999)</f>
        <v>22</v>
      </c>
      <c r="AQ469" s="0" t="n">
        <f aca="false">IF(Presupuesto!$B$23='Flujo de Pagos'!$E469,23,9999)</f>
        <v>23</v>
      </c>
      <c r="AR469" s="0" t="n">
        <f aca="false">IF(Presupuesto!$B$24='Flujo de Pagos'!$E469,24,9999)</f>
        <v>24</v>
      </c>
      <c r="AS469" s="0" t="n">
        <f aca="false">IF(Presupuesto!$B$25='Flujo de Pagos'!$E469,25,9999)</f>
        <v>25</v>
      </c>
      <c r="AT469" s="0" t="n">
        <f aca="false">IF(Presupuesto!$B$26='Flujo de Pagos'!$E469,26,9999)</f>
        <v>26</v>
      </c>
      <c r="AU469" s="0" t="n">
        <f aca="false">IF(Presupuesto!$B$27='Flujo de Pagos'!$E469,27,9999)</f>
        <v>27</v>
      </c>
      <c r="AV469" s="0" t="n">
        <f aca="false">IF(Presupuesto!$B$28='Flujo de Pagos'!$E469,28,9999)</f>
        <v>28</v>
      </c>
      <c r="AW469" s="0" t="n">
        <f aca="false">IF(Presupuesto!$B$29='Flujo de Pagos'!$E469,29,9999)</f>
        <v>29</v>
      </c>
      <c r="AX469" s="0" t="n">
        <f aca="false">IF(Presupuesto!$B$30='Flujo de Pagos'!$E469,30,9999)</f>
        <v>30</v>
      </c>
      <c r="AY469" s="0" t="n">
        <f aca="false">IF(Presupuesto!$B$31='Flujo de Pagos'!$E469,31,9999)</f>
        <v>31</v>
      </c>
      <c r="AZ469" s="0" t="n">
        <f aca="false">IF(Presupuesto!$B$32='Flujo de Pagos'!$E469,32,9999)</f>
        <v>32</v>
      </c>
      <c r="BA469" s="0" t="n">
        <f aca="false">IF(Presupuesto!$B$33='Flujo de Pagos'!$E469,33,9999)</f>
        <v>33</v>
      </c>
      <c r="BB469" s="0" t="n">
        <f aca="false">IF(Presupuesto!$B$34='Flujo de Pagos'!$E469,34,9999)</f>
        <v>34</v>
      </c>
      <c r="BC469" s="0" t="n">
        <f aca="false">IF(Presupuesto!$B$35='Flujo de Pagos'!$E469,35,9999)</f>
        <v>35</v>
      </c>
      <c r="BD469" s="0" t="n">
        <f aca="false">IF(Presupuesto!$B$36='Flujo de Pagos'!$E469,36,9999)</f>
        <v>36</v>
      </c>
      <c r="BE469" s="0" t="n">
        <f aca="false">IF(Presupuesto!$B$37='Flujo de Pagos'!$E469,37,9999)</f>
        <v>37</v>
      </c>
      <c r="BF469" s="0" t="n">
        <f aca="false">IF(Presupuesto!$B$38='Flujo de Pagos'!$E469,38,9999)</f>
        <v>38</v>
      </c>
      <c r="BG469" s="0" t="n">
        <f aca="false">IF(Presupuesto!$B$39='Flujo de Pagos'!$E469,39,9999)</f>
        <v>39</v>
      </c>
      <c r="BH469" s="0" t="n">
        <f aca="false">IF(Presupuesto!$B$40='Flujo de Pagos'!$E469,40,9999)</f>
        <v>40</v>
      </c>
      <c r="BI469" s="0" t="n">
        <f aca="false">IF(Presupuesto!$B$41='Flujo de Pagos'!$E469,41,9999)</f>
        <v>41</v>
      </c>
      <c r="BJ469" s="0" t="n">
        <f aca="false">IF(Presupuesto!$B$42='Flujo de Pagos'!$E469,42,9999)</f>
        <v>42</v>
      </c>
      <c r="BK469" s="0" t="n">
        <f aca="false">IF(Presupuesto!$B$43='Flujo de Pagos'!$E469,43,9999)</f>
        <v>43</v>
      </c>
      <c r="BL469" s="0" t="n">
        <f aca="false">IF(Presupuesto!$B$44='Flujo de Pagos'!$E469,44,9999)</f>
        <v>44</v>
      </c>
      <c r="BM469" s="0" t="n">
        <f aca="false">IF(Presupuesto!$B$45='Flujo de Pagos'!$E469,45,9999)</f>
        <v>45</v>
      </c>
      <c r="BN469" s="0" t="n">
        <f aca="false">IF(Presupuesto!$B$46='Flujo de Pagos'!$E469,46,9999)</f>
        <v>46</v>
      </c>
      <c r="BO469" s="0" t="n">
        <f aca="false">IF(Presupuesto!$B$47='Flujo de Pagos'!$E469,47,9999)</f>
        <v>47</v>
      </c>
      <c r="BP469" s="0" t="n">
        <f aca="false">IF(Presupuesto!$B$48='Flujo de Pagos'!$E469,48,9999)</f>
        <v>48</v>
      </c>
      <c r="BQ469" s="0" t="n">
        <f aca="false">IF(Presupuesto!$B$49='Flujo de Pagos'!$E469,49,9999)</f>
        <v>49</v>
      </c>
      <c r="BR469" s="0" t="n">
        <f aca="false">IF(Presupuesto!$B$50='Flujo de Pagos'!$E469,50,9999)</f>
        <v>50</v>
      </c>
      <c r="BS469" s="0" t="n">
        <f aca="false">IF(Presupuesto!$B$51='Flujo de Pagos'!$E469,51,9999)</f>
        <v>51</v>
      </c>
      <c r="BT469" s="0" t="n">
        <f aca="false">IF(Presupuesto!$B$52='Flujo de Pagos'!$E469,52,9999)</f>
        <v>52</v>
      </c>
      <c r="BU469" s="0" t="n">
        <f aca="false">IF(Presupuesto!$B$53='Flujo de Pagos'!$E469,53,9999)</f>
        <v>53</v>
      </c>
      <c r="BV469" s="0" t="n">
        <f aca="false">IF(Presupuesto!$B$54='Flujo de Pagos'!$E469,54,9999)</f>
        <v>54</v>
      </c>
      <c r="BW469" s="0" t="n">
        <f aca="false">IF(Presupuesto!$B$55='Flujo de Pagos'!$E469,55,9999)</f>
        <v>55</v>
      </c>
      <c r="BX469" s="0" t="n">
        <f aca="false">IF(Presupuesto!$B$56='Flujo de Pagos'!$E469,56,9999)</f>
        <v>56</v>
      </c>
      <c r="BY469" s="0" t="n">
        <f aca="false">IF(Presupuesto!$B$57='Flujo de Pagos'!$E469,57,9999)</f>
        <v>57</v>
      </c>
      <c r="BZ469" s="0" t="n">
        <f aca="false">IF(Presupuesto!$B$58='Flujo de Pagos'!$E469,58,9999)</f>
        <v>58</v>
      </c>
      <c r="CA469" s="0" t="n">
        <f aca="false">IF(Presupuesto!$B$59='Flujo de Pagos'!$E469,59,9999)</f>
        <v>59</v>
      </c>
      <c r="CB469" s="0" t="n">
        <f aca="false">IF(Presupuesto!$B$60='Flujo de Pagos'!$E469,60,9999)</f>
        <v>60</v>
      </c>
      <c r="CC469" s="0" t="n">
        <f aca="false">IF(Presupuesto!$B$61='Flujo de Pagos'!$E469,61,9999)</f>
        <v>61</v>
      </c>
      <c r="CD469" s="0" t="n">
        <f aca="false">IF(Presupuesto!$B$62='Flujo de Pagos'!$E469,62,9999)</f>
        <v>62</v>
      </c>
      <c r="CE469" s="0" t="n">
        <f aca="false">IF(Presupuesto!$B$63='Flujo de Pagos'!$E469,63,9999)</f>
        <v>63</v>
      </c>
      <c r="CF469" s="0" t="n">
        <f aca="false">IF(Presupuesto!$B$64='Flujo de Pagos'!$E469,64,9999)</f>
        <v>64</v>
      </c>
      <c r="CG469" s="0" t="n">
        <f aca="false">IF(Presupuesto!$B$65='Flujo de Pagos'!$E469,65,9999)</f>
        <v>65</v>
      </c>
      <c r="CH469" s="0" t="n">
        <f aca="false">IF(Presupuesto!$B$66='Flujo de Pagos'!$E469,66,9999)</f>
        <v>66</v>
      </c>
    </row>
    <row r="470" customFormat="false" ht="15" hidden="false" customHeight="true" outlineLevel="0" collapsed="false">
      <c r="B470" s="1" t="n">
        <f aca="false">IF(AND('Flujo de Pagos'!E475=Carátula!$B$2,'Flujo de Pagos'!F475=Carátula!$B$4,'Flujo de Pagos'!H475&lt;&gt;""),475,99999)</f>
        <v>99999</v>
      </c>
      <c r="H470" s="1" t="n">
        <f aca="false">IF(SMALL($AA470:$CH470,1)&gt;=9999,"",INDEX(Presupuesto!$C:$C,SMALL($AA470:$CH470,1)))</f>
        <v>0</v>
      </c>
      <c r="I470" s="1" t="n">
        <f aca="false">IF(SMALL($AA470:$CH470,2)&gt;=9999,"",INDEX(Presupuesto!$C:$C,SMALL($AA470:$CH470,2)))</f>
        <v>0</v>
      </c>
      <c r="J470" s="1" t="n">
        <f aca="false">IF(SMALL($AA470:$CH470,3)&gt;=9999,"",INDEX(Presupuesto!$C:$C,SMALL($AA470:$CH470,3)))</f>
        <v>0</v>
      </c>
      <c r="K470" s="1" t="n">
        <f aca="false">IF(SMALL($AA470:$CH470,4)&gt;=9999,"",INDEX(Presupuesto!$C:$C,SMALL($AA470:$CH470,4)))</f>
        <v>0</v>
      </c>
      <c r="L470" s="1" t="n">
        <f aca="false">IF(SMALL($AA470:$CH470,5)&gt;=9999,"",INDEX(Presupuesto!$C:$C,SMALL($AA470:$CH470,5)))</f>
        <v>0</v>
      </c>
      <c r="M470" s="1" t="n">
        <f aca="false">IF(SMALL($AA470:$CH470,6)&gt;=9999,"",INDEX(Presupuesto!$C:$C,SMALL($AA470:$CH470,6)))</f>
        <v>0</v>
      </c>
      <c r="N470" s="1" t="n">
        <f aca="false">IF(SMALL($AA470:$CH470,7)&gt;=9999,"",INDEX(Presupuesto!$C:$C,SMALL($AA470:$CH470,7)))</f>
        <v>0</v>
      </c>
      <c r="O470" s="1" t="n">
        <f aca="false">IF(SMALL($AA470:$CH470,8)&gt;=9999,"",INDEX(Presupuesto!$C:$C,SMALL($AA470:$CH470,8)))</f>
        <v>0</v>
      </c>
      <c r="P470" s="1" t="n">
        <f aca="false">IF(SMALL($AA470:$CH470,9)&gt;=9999,"",INDEX(Presupuesto!$C:$C,SMALL($AA470:$CH470,9)))</f>
        <v>0</v>
      </c>
      <c r="Q470" s="1" t="n">
        <f aca="false">IF(SMALL($AA470:$CH470,10)&gt;=9999,"",INDEX(Presupuesto!$C:$C,SMALL($AA470:$CH470,10)))</f>
        <v>0</v>
      </c>
      <c r="AA470" s="0" t="n">
        <f aca="false">IF(Presupuesto!$B$7='Flujo de Pagos'!$E470,7,9999)</f>
        <v>9999</v>
      </c>
      <c r="AB470" s="0" t="n">
        <f aca="false">IF(Presupuesto!$B$8='Flujo de Pagos'!$E470,8,9999)</f>
        <v>9999</v>
      </c>
      <c r="AC470" s="0" t="n">
        <f aca="false">IF(Presupuesto!$B$9='Flujo de Pagos'!$E470,9,9999)</f>
        <v>9999</v>
      </c>
      <c r="AD470" s="0" t="n">
        <f aca="false">IF(Presupuesto!$B$10='Flujo de Pagos'!$E470,10,9999)</f>
        <v>9999</v>
      </c>
      <c r="AE470" s="0" t="n">
        <f aca="false">IF(Presupuesto!$B$11='Flujo de Pagos'!$E470,11,9999)</f>
        <v>9999</v>
      </c>
      <c r="AF470" s="0" t="n">
        <f aca="false">IF(Presupuesto!$B$12='Flujo de Pagos'!$E470,12,9999)</f>
        <v>12</v>
      </c>
      <c r="AG470" s="0" t="n">
        <f aca="false">IF(Presupuesto!$B$13='Flujo de Pagos'!$E470,13,9999)</f>
        <v>13</v>
      </c>
      <c r="AH470" s="0" t="n">
        <f aca="false">IF(Presupuesto!$B$14='Flujo de Pagos'!$E470,14,9999)</f>
        <v>14</v>
      </c>
      <c r="AI470" s="0" t="n">
        <f aca="false">IF(Presupuesto!$B$15='Flujo de Pagos'!$E470,15,9999)</f>
        <v>15</v>
      </c>
      <c r="AJ470" s="0" t="n">
        <f aca="false">IF(Presupuesto!$B$16='Flujo de Pagos'!$E470,16,9999)</f>
        <v>16</v>
      </c>
      <c r="AK470" s="0" t="n">
        <f aca="false">IF(Presupuesto!$B$17='Flujo de Pagos'!$E470,17,9999)</f>
        <v>17</v>
      </c>
      <c r="AL470" s="0" t="n">
        <f aca="false">IF(Presupuesto!$B$18='Flujo de Pagos'!$E470,18,9999)</f>
        <v>18</v>
      </c>
      <c r="AM470" s="0" t="n">
        <f aca="false">IF(Presupuesto!$B$19='Flujo de Pagos'!$E470,19,9999)</f>
        <v>19</v>
      </c>
      <c r="AN470" s="0" t="n">
        <f aca="false">IF(Presupuesto!$B$20='Flujo de Pagos'!$E470,20,9999)</f>
        <v>20</v>
      </c>
      <c r="AO470" s="0" t="n">
        <f aca="false">IF(Presupuesto!$B$21='Flujo de Pagos'!$E470,21,9999)</f>
        <v>21</v>
      </c>
      <c r="AP470" s="0" t="n">
        <f aca="false">IF(Presupuesto!$B$22='Flujo de Pagos'!$E470,22,9999)</f>
        <v>22</v>
      </c>
      <c r="AQ470" s="0" t="n">
        <f aca="false">IF(Presupuesto!$B$23='Flujo de Pagos'!$E470,23,9999)</f>
        <v>23</v>
      </c>
      <c r="AR470" s="0" t="n">
        <f aca="false">IF(Presupuesto!$B$24='Flujo de Pagos'!$E470,24,9999)</f>
        <v>24</v>
      </c>
      <c r="AS470" s="0" t="n">
        <f aca="false">IF(Presupuesto!$B$25='Flujo de Pagos'!$E470,25,9999)</f>
        <v>25</v>
      </c>
      <c r="AT470" s="0" t="n">
        <f aca="false">IF(Presupuesto!$B$26='Flujo de Pagos'!$E470,26,9999)</f>
        <v>26</v>
      </c>
      <c r="AU470" s="0" t="n">
        <f aca="false">IF(Presupuesto!$B$27='Flujo de Pagos'!$E470,27,9999)</f>
        <v>27</v>
      </c>
      <c r="AV470" s="0" t="n">
        <f aca="false">IF(Presupuesto!$B$28='Flujo de Pagos'!$E470,28,9999)</f>
        <v>28</v>
      </c>
      <c r="AW470" s="0" t="n">
        <f aca="false">IF(Presupuesto!$B$29='Flujo de Pagos'!$E470,29,9999)</f>
        <v>29</v>
      </c>
      <c r="AX470" s="0" t="n">
        <f aca="false">IF(Presupuesto!$B$30='Flujo de Pagos'!$E470,30,9999)</f>
        <v>30</v>
      </c>
      <c r="AY470" s="0" t="n">
        <f aca="false">IF(Presupuesto!$B$31='Flujo de Pagos'!$E470,31,9999)</f>
        <v>31</v>
      </c>
      <c r="AZ470" s="0" t="n">
        <f aca="false">IF(Presupuesto!$B$32='Flujo de Pagos'!$E470,32,9999)</f>
        <v>32</v>
      </c>
      <c r="BA470" s="0" t="n">
        <f aca="false">IF(Presupuesto!$B$33='Flujo de Pagos'!$E470,33,9999)</f>
        <v>33</v>
      </c>
      <c r="BB470" s="0" t="n">
        <f aca="false">IF(Presupuesto!$B$34='Flujo de Pagos'!$E470,34,9999)</f>
        <v>34</v>
      </c>
      <c r="BC470" s="0" t="n">
        <f aca="false">IF(Presupuesto!$B$35='Flujo de Pagos'!$E470,35,9999)</f>
        <v>35</v>
      </c>
      <c r="BD470" s="0" t="n">
        <f aca="false">IF(Presupuesto!$B$36='Flujo de Pagos'!$E470,36,9999)</f>
        <v>36</v>
      </c>
      <c r="BE470" s="0" t="n">
        <f aca="false">IF(Presupuesto!$B$37='Flujo de Pagos'!$E470,37,9999)</f>
        <v>37</v>
      </c>
      <c r="BF470" s="0" t="n">
        <f aca="false">IF(Presupuesto!$B$38='Flujo de Pagos'!$E470,38,9999)</f>
        <v>38</v>
      </c>
      <c r="BG470" s="0" t="n">
        <f aca="false">IF(Presupuesto!$B$39='Flujo de Pagos'!$E470,39,9999)</f>
        <v>39</v>
      </c>
      <c r="BH470" s="0" t="n">
        <f aca="false">IF(Presupuesto!$B$40='Flujo de Pagos'!$E470,40,9999)</f>
        <v>40</v>
      </c>
      <c r="BI470" s="0" t="n">
        <f aca="false">IF(Presupuesto!$B$41='Flujo de Pagos'!$E470,41,9999)</f>
        <v>41</v>
      </c>
      <c r="BJ470" s="0" t="n">
        <f aca="false">IF(Presupuesto!$B$42='Flujo de Pagos'!$E470,42,9999)</f>
        <v>42</v>
      </c>
      <c r="BK470" s="0" t="n">
        <f aca="false">IF(Presupuesto!$B$43='Flujo de Pagos'!$E470,43,9999)</f>
        <v>43</v>
      </c>
      <c r="BL470" s="0" t="n">
        <f aca="false">IF(Presupuesto!$B$44='Flujo de Pagos'!$E470,44,9999)</f>
        <v>44</v>
      </c>
      <c r="BM470" s="0" t="n">
        <f aca="false">IF(Presupuesto!$B$45='Flujo de Pagos'!$E470,45,9999)</f>
        <v>45</v>
      </c>
      <c r="BN470" s="0" t="n">
        <f aca="false">IF(Presupuesto!$B$46='Flujo de Pagos'!$E470,46,9999)</f>
        <v>46</v>
      </c>
      <c r="BO470" s="0" t="n">
        <f aca="false">IF(Presupuesto!$B$47='Flujo de Pagos'!$E470,47,9999)</f>
        <v>47</v>
      </c>
      <c r="BP470" s="0" t="n">
        <f aca="false">IF(Presupuesto!$B$48='Flujo de Pagos'!$E470,48,9999)</f>
        <v>48</v>
      </c>
      <c r="BQ470" s="0" t="n">
        <f aca="false">IF(Presupuesto!$B$49='Flujo de Pagos'!$E470,49,9999)</f>
        <v>49</v>
      </c>
      <c r="BR470" s="0" t="n">
        <f aca="false">IF(Presupuesto!$B$50='Flujo de Pagos'!$E470,50,9999)</f>
        <v>50</v>
      </c>
      <c r="BS470" s="0" t="n">
        <f aca="false">IF(Presupuesto!$B$51='Flujo de Pagos'!$E470,51,9999)</f>
        <v>51</v>
      </c>
      <c r="BT470" s="0" t="n">
        <f aca="false">IF(Presupuesto!$B$52='Flujo de Pagos'!$E470,52,9999)</f>
        <v>52</v>
      </c>
      <c r="BU470" s="0" t="n">
        <f aca="false">IF(Presupuesto!$B$53='Flujo de Pagos'!$E470,53,9999)</f>
        <v>53</v>
      </c>
      <c r="BV470" s="0" t="n">
        <f aca="false">IF(Presupuesto!$B$54='Flujo de Pagos'!$E470,54,9999)</f>
        <v>54</v>
      </c>
      <c r="BW470" s="0" t="n">
        <f aca="false">IF(Presupuesto!$B$55='Flujo de Pagos'!$E470,55,9999)</f>
        <v>55</v>
      </c>
      <c r="BX470" s="0" t="n">
        <f aca="false">IF(Presupuesto!$B$56='Flujo de Pagos'!$E470,56,9999)</f>
        <v>56</v>
      </c>
      <c r="BY470" s="0" t="n">
        <f aca="false">IF(Presupuesto!$B$57='Flujo de Pagos'!$E470,57,9999)</f>
        <v>57</v>
      </c>
      <c r="BZ470" s="0" t="n">
        <f aca="false">IF(Presupuesto!$B$58='Flujo de Pagos'!$E470,58,9999)</f>
        <v>58</v>
      </c>
      <c r="CA470" s="0" t="n">
        <f aca="false">IF(Presupuesto!$B$59='Flujo de Pagos'!$E470,59,9999)</f>
        <v>59</v>
      </c>
      <c r="CB470" s="0" t="n">
        <f aca="false">IF(Presupuesto!$B$60='Flujo de Pagos'!$E470,60,9999)</f>
        <v>60</v>
      </c>
      <c r="CC470" s="0" t="n">
        <f aca="false">IF(Presupuesto!$B$61='Flujo de Pagos'!$E470,61,9999)</f>
        <v>61</v>
      </c>
      <c r="CD470" s="0" t="n">
        <f aca="false">IF(Presupuesto!$B$62='Flujo de Pagos'!$E470,62,9999)</f>
        <v>62</v>
      </c>
      <c r="CE470" s="0" t="n">
        <f aca="false">IF(Presupuesto!$B$63='Flujo de Pagos'!$E470,63,9999)</f>
        <v>63</v>
      </c>
      <c r="CF470" s="0" t="n">
        <f aca="false">IF(Presupuesto!$B$64='Flujo de Pagos'!$E470,64,9999)</f>
        <v>64</v>
      </c>
      <c r="CG470" s="0" t="n">
        <f aca="false">IF(Presupuesto!$B$65='Flujo de Pagos'!$E470,65,9999)</f>
        <v>65</v>
      </c>
      <c r="CH470" s="0" t="n">
        <f aca="false">IF(Presupuesto!$B$66='Flujo de Pagos'!$E470,66,9999)</f>
        <v>66</v>
      </c>
    </row>
    <row r="471" customFormat="false" ht="15" hidden="false" customHeight="true" outlineLevel="0" collapsed="false">
      <c r="B471" s="1" t="n">
        <f aca="false">IF(AND('Flujo de Pagos'!E476=Carátula!$B$2,'Flujo de Pagos'!F476=Carátula!$B$4,'Flujo de Pagos'!H476&lt;&gt;""),476,99999)</f>
        <v>99999</v>
      </c>
      <c r="H471" s="1" t="n">
        <f aca="false">IF(SMALL($AA471:$CH471,1)&gt;=9999,"",INDEX(Presupuesto!$C:$C,SMALL($AA471:$CH471,1)))</f>
        <v>0</v>
      </c>
      <c r="I471" s="1" t="n">
        <f aca="false">IF(SMALL($AA471:$CH471,2)&gt;=9999,"",INDEX(Presupuesto!$C:$C,SMALL($AA471:$CH471,2)))</f>
        <v>0</v>
      </c>
      <c r="J471" s="1" t="n">
        <f aca="false">IF(SMALL($AA471:$CH471,3)&gt;=9999,"",INDEX(Presupuesto!$C:$C,SMALL($AA471:$CH471,3)))</f>
        <v>0</v>
      </c>
      <c r="K471" s="1" t="n">
        <f aca="false">IF(SMALL($AA471:$CH471,4)&gt;=9999,"",INDEX(Presupuesto!$C:$C,SMALL($AA471:$CH471,4)))</f>
        <v>0</v>
      </c>
      <c r="L471" s="1" t="n">
        <f aca="false">IF(SMALL($AA471:$CH471,5)&gt;=9999,"",INDEX(Presupuesto!$C:$C,SMALL($AA471:$CH471,5)))</f>
        <v>0</v>
      </c>
      <c r="M471" s="1" t="n">
        <f aca="false">IF(SMALL($AA471:$CH471,6)&gt;=9999,"",INDEX(Presupuesto!$C:$C,SMALL($AA471:$CH471,6)))</f>
        <v>0</v>
      </c>
      <c r="N471" s="1" t="n">
        <f aca="false">IF(SMALL($AA471:$CH471,7)&gt;=9999,"",INDEX(Presupuesto!$C:$C,SMALL($AA471:$CH471,7)))</f>
        <v>0</v>
      </c>
      <c r="O471" s="1" t="n">
        <f aca="false">IF(SMALL($AA471:$CH471,8)&gt;=9999,"",INDEX(Presupuesto!$C:$C,SMALL($AA471:$CH471,8)))</f>
        <v>0</v>
      </c>
      <c r="P471" s="1" t="n">
        <f aca="false">IF(SMALL($AA471:$CH471,9)&gt;=9999,"",INDEX(Presupuesto!$C:$C,SMALL($AA471:$CH471,9)))</f>
        <v>0</v>
      </c>
      <c r="Q471" s="1" t="n">
        <f aca="false">IF(SMALL($AA471:$CH471,10)&gt;=9999,"",INDEX(Presupuesto!$C:$C,SMALL($AA471:$CH471,10)))</f>
        <v>0</v>
      </c>
      <c r="AA471" s="0" t="n">
        <f aca="false">IF(Presupuesto!$B$7='Flujo de Pagos'!$E471,7,9999)</f>
        <v>9999</v>
      </c>
      <c r="AB471" s="0" t="n">
        <f aca="false">IF(Presupuesto!$B$8='Flujo de Pagos'!$E471,8,9999)</f>
        <v>9999</v>
      </c>
      <c r="AC471" s="0" t="n">
        <f aca="false">IF(Presupuesto!$B$9='Flujo de Pagos'!$E471,9,9999)</f>
        <v>9999</v>
      </c>
      <c r="AD471" s="0" t="n">
        <f aca="false">IF(Presupuesto!$B$10='Flujo de Pagos'!$E471,10,9999)</f>
        <v>9999</v>
      </c>
      <c r="AE471" s="0" t="n">
        <f aca="false">IF(Presupuesto!$B$11='Flujo de Pagos'!$E471,11,9999)</f>
        <v>9999</v>
      </c>
      <c r="AF471" s="0" t="n">
        <f aca="false">IF(Presupuesto!$B$12='Flujo de Pagos'!$E471,12,9999)</f>
        <v>12</v>
      </c>
      <c r="AG471" s="0" t="n">
        <f aca="false">IF(Presupuesto!$B$13='Flujo de Pagos'!$E471,13,9999)</f>
        <v>13</v>
      </c>
      <c r="AH471" s="0" t="n">
        <f aca="false">IF(Presupuesto!$B$14='Flujo de Pagos'!$E471,14,9999)</f>
        <v>14</v>
      </c>
      <c r="AI471" s="0" t="n">
        <f aca="false">IF(Presupuesto!$B$15='Flujo de Pagos'!$E471,15,9999)</f>
        <v>15</v>
      </c>
      <c r="AJ471" s="0" t="n">
        <f aca="false">IF(Presupuesto!$B$16='Flujo de Pagos'!$E471,16,9999)</f>
        <v>16</v>
      </c>
      <c r="AK471" s="0" t="n">
        <f aca="false">IF(Presupuesto!$B$17='Flujo de Pagos'!$E471,17,9999)</f>
        <v>17</v>
      </c>
      <c r="AL471" s="0" t="n">
        <f aca="false">IF(Presupuesto!$B$18='Flujo de Pagos'!$E471,18,9999)</f>
        <v>18</v>
      </c>
      <c r="AM471" s="0" t="n">
        <f aca="false">IF(Presupuesto!$B$19='Flujo de Pagos'!$E471,19,9999)</f>
        <v>19</v>
      </c>
      <c r="AN471" s="0" t="n">
        <f aca="false">IF(Presupuesto!$B$20='Flujo de Pagos'!$E471,20,9999)</f>
        <v>20</v>
      </c>
      <c r="AO471" s="0" t="n">
        <f aca="false">IF(Presupuesto!$B$21='Flujo de Pagos'!$E471,21,9999)</f>
        <v>21</v>
      </c>
      <c r="AP471" s="0" t="n">
        <f aca="false">IF(Presupuesto!$B$22='Flujo de Pagos'!$E471,22,9999)</f>
        <v>22</v>
      </c>
      <c r="AQ471" s="0" t="n">
        <f aca="false">IF(Presupuesto!$B$23='Flujo de Pagos'!$E471,23,9999)</f>
        <v>23</v>
      </c>
      <c r="AR471" s="0" t="n">
        <f aca="false">IF(Presupuesto!$B$24='Flujo de Pagos'!$E471,24,9999)</f>
        <v>24</v>
      </c>
      <c r="AS471" s="0" t="n">
        <f aca="false">IF(Presupuesto!$B$25='Flujo de Pagos'!$E471,25,9999)</f>
        <v>25</v>
      </c>
      <c r="AT471" s="0" t="n">
        <f aca="false">IF(Presupuesto!$B$26='Flujo de Pagos'!$E471,26,9999)</f>
        <v>26</v>
      </c>
      <c r="AU471" s="0" t="n">
        <f aca="false">IF(Presupuesto!$B$27='Flujo de Pagos'!$E471,27,9999)</f>
        <v>27</v>
      </c>
      <c r="AV471" s="0" t="n">
        <f aca="false">IF(Presupuesto!$B$28='Flujo de Pagos'!$E471,28,9999)</f>
        <v>28</v>
      </c>
      <c r="AW471" s="0" t="n">
        <f aca="false">IF(Presupuesto!$B$29='Flujo de Pagos'!$E471,29,9999)</f>
        <v>29</v>
      </c>
      <c r="AX471" s="0" t="n">
        <f aca="false">IF(Presupuesto!$B$30='Flujo de Pagos'!$E471,30,9999)</f>
        <v>30</v>
      </c>
      <c r="AY471" s="0" t="n">
        <f aca="false">IF(Presupuesto!$B$31='Flujo de Pagos'!$E471,31,9999)</f>
        <v>31</v>
      </c>
      <c r="AZ471" s="0" t="n">
        <f aca="false">IF(Presupuesto!$B$32='Flujo de Pagos'!$E471,32,9999)</f>
        <v>32</v>
      </c>
      <c r="BA471" s="0" t="n">
        <f aca="false">IF(Presupuesto!$B$33='Flujo de Pagos'!$E471,33,9999)</f>
        <v>33</v>
      </c>
      <c r="BB471" s="0" t="n">
        <f aca="false">IF(Presupuesto!$B$34='Flujo de Pagos'!$E471,34,9999)</f>
        <v>34</v>
      </c>
      <c r="BC471" s="0" t="n">
        <f aca="false">IF(Presupuesto!$B$35='Flujo de Pagos'!$E471,35,9999)</f>
        <v>35</v>
      </c>
      <c r="BD471" s="0" t="n">
        <f aca="false">IF(Presupuesto!$B$36='Flujo de Pagos'!$E471,36,9999)</f>
        <v>36</v>
      </c>
      <c r="BE471" s="0" t="n">
        <f aca="false">IF(Presupuesto!$B$37='Flujo de Pagos'!$E471,37,9999)</f>
        <v>37</v>
      </c>
      <c r="BF471" s="0" t="n">
        <f aca="false">IF(Presupuesto!$B$38='Flujo de Pagos'!$E471,38,9999)</f>
        <v>38</v>
      </c>
      <c r="BG471" s="0" t="n">
        <f aca="false">IF(Presupuesto!$B$39='Flujo de Pagos'!$E471,39,9999)</f>
        <v>39</v>
      </c>
      <c r="BH471" s="0" t="n">
        <f aca="false">IF(Presupuesto!$B$40='Flujo de Pagos'!$E471,40,9999)</f>
        <v>40</v>
      </c>
      <c r="BI471" s="0" t="n">
        <f aca="false">IF(Presupuesto!$B$41='Flujo de Pagos'!$E471,41,9999)</f>
        <v>41</v>
      </c>
      <c r="BJ471" s="0" t="n">
        <f aca="false">IF(Presupuesto!$B$42='Flujo de Pagos'!$E471,42,9999)</f>
        <v>42</v>
      </c>
      <c r="BK471" s="0" t="n">
        <f aca="false">IF(Presupuesto!$B$43='Flujo de Pagos'!$E471,43,9999)</f>
        <v>43</v>
      </c>
      <c r="BL471" s="0" t="n">
        <f aca="false">IF(Presupuesto!$B$44='Flujo de Pagos'!$E471,44,9999)</f>
        <v>44</v>
      </c>
      <c r="BM471" s="0" t="n">
        <f aca="false">IF(Presupuesto!$B$45='Flujo de Pagos'!$E471,45,9999)</f>
        <v>45</v>
      </c>
      <c r="BN471" s="0" t="n">
        <f aca="false">IF(Presupuesto!$B$46='Flujo de Pagos'!$E471,46,9999)</f>
        <v>46</v>
      </c>
      <c r="BO471" s="0" t="n">
        <f aca="false">IF(Presupuesto!$B$47='Flujo de Pagos'!$E471,47,9999)</f>
        <v>47</v>
      </c>
      <c r="BP471" s="0" t="n">
        <f aca="false">IF(Presupuesto!$B$48='Flujo de Pagos'!$E471,48,9999)</f>
        <v>48</v>
      </c>
      <c r="BQ471" s="0" t="n">
        <f aca="false">IF(Presupuesto!$B$49='Flujo de Pagos'!$E471,49,9999)</f>
        <v>49</v>
      </c>
      <c r="BR471" s="0" t="n">
        <f aca="false">IF(Presupuesto!$B$50='Flujo de Pagos'!$E471,50,9999)</f>
        <v>50</v>
      </c>
      <c r="BS471" s="0" t="n">
        <f aca="false">IF(Presupuesto!$B$51='Flujo de Pagos'!$E471,51,9999)</f>
        <v>51</v>
      </c>
      <c r="BT471" s="0" t="n">
        <f aca="false">IF(Presupuesto!$B$52='Flujo de Pagos'!$E471,52,9999)</f>
        <v>52</v>
      </c>
      <c r="BU471" s="0" t="n">
        <f aca="false">IF(Presupuesto!$B$53='Flujo de Pagos'!$E471,53,9999)</f>
        <v>53</v>
      </c>
      <c r="BV471" s="0" t="n">
        <f aca="false">IF(Presupuesto!$B$54='Flujo de Pagos'!$E471,54,9999)</f>
        <v>54</v>
      </c>
      <c r="BW471" s="0" t="n">
        <f aca="false">IF(Presupuesto!$B$55='Flujo de Pagos'!$E471,55,9999)</f>
        <v>55</v>
      </c>
      <c r="BX471" s="0" t="n">
        <f aca="false">IF(Presupuesto!$B$56='Flujo de Pagos'!$E471,56,9999)</f>
        <v>56</v>
      </c>
      <c r="BY471" s="0" t="n">
        <f aca="false">IF(Presupuesto!$B$57='Flujo de Pagos'!$E471,57,9999)</f>
        <v>57</v>
      </c>
      <c r="BZ471" s="0" t="n">
        <f aca="false">IF(Presupuesto!$B$58='Flujo de Pagos'!$E471,58,9999)</f>
        <v>58</v>
      </c>
      <c r="CA471" s="0" t="n">
        <f aca="false">IF(Presupuesto!$B$59='Flujo de Pagos'!$E471,59,9999)</f>
        <v>59</v>
      </c>
      <c r="CB471" s="0" t="n">
        <f aca="false">IF(Presupuesto!$B$60='Flujo de Pagos'!$E471,60,9999)</f>
        <v>60</v>
      </c>
      <c r="CC471" s="0" t="n">
        <f aca="false">IF(Presupuesto!$B$61='Flujo de Pagos'!$E471,61,9999)</f>
        <v>61</v>
      </c>
      <c r="CD471" s="0" t="n">
        <f aca="false">IF(Presupuesto!$B$62='Flujo de Pagos'!$E471,62,9999)</f>
        <v>62</v>
      </c>
      <c r="CE471" s="0" t="n">
        <f aca="false">IF(Presupuesto!$B$63='Flujo de Pagos'!$E471,63,9999)</f>
        <v>63</v>
      </c>
      <c r="CF471" s="0" t="n">
        <f aca="false">IF(Presupuesto!$B$64='Flujo de Pagos'!$E471,64,9999)</f>
        <v>64</v>
      </c>
      <c r="CG471" s="0" t="n">
        <f aca="false">IF(Presupuesto!$B$65='Flujo de Pagos'!$E471,65,9999)</f>
        <v>65</v>
      </c>
      <c r="CH471" s="0" t="n">
        <f aca="false">IF(Presupuesto!$B$66='Flujo de Pagos'!$E471,66,9999)</f>
        <v>66</v>
      </c>
    </row>
    <row r="472" customFormat="false" ht="15" hidden="false" customHeight="true" outlineLevel="0" collapsed="false">
      <c r="B472" s="1" t="n">
        <f aca="false">IF(AND('Flujo de Pagos'!E477=Carátula!$B$2,'Flujo de Pagos'!F477=Carátula!$B$4,'Flujo de Pagos'!H477&lt;&gt;""),477,99999)</f>
        <v>99999</v>
      </c>
      <c r="H472" s="1" t="n">
        <f aca="false">IF(SMALL($AA472:$CH472,1)&gt;=9999,"",INDEX(Presupuesto!$C:$C,SMALL($AA472:$CH472,1)))</f>
        <v>0</v>
      </c>
      <c r="I472" s="1" t="n">
        <f aca="false">IF(SMALL($AA472:$CH472,2)&gt;=9999,"",INDEX(Presupuesto!$C:$C,SMALL($AA472:$CH472,2)))</f>
        <v>0</v>
      </c>
      <c r="J472" s="1" t="n">
        <f aca="false">IF(SMALL($AA472:$CH472,3)&gt;=9999,"",INDEX(Presupuesto!$C:$C,SMALL($AA472:$CH472,3)))</f>
        <v>0</v>
      </c>
      <c r="K472" s="1" t="n">
        <f aca="false">IF(SMALL($AA472:$CH472,4)&gt;=9999,"",INDEX(Presupuesto!$C:$C,SMALL($AA472:$CH472,4)))</f>
        <v>0</v>
      </c>
      <c r="L472" s="1" t="n">
        <f aca="false">IF(SMALL($AA472:$CH472,5)&gt;=9999,"",INDEX(Presupuesto!$C:$C,SMALL($AA472:$CH472,5)))</f>
        <v>0</v>
      </c>
      <c r="M472" s="1" t="n">
        <f aca="false">IF(SMALL($AA472:$CH472,6)&gt;=9999,"",INDEX(Presupuesto!$C:$C,SMALL($AA472:$CH472,6)))</f>
        <v>0</v>
      </c>
      <c r="N472" s="1" t="n">
        <f aca="false">IF(SMALL($AA472:$CH472,7)&gt;=9999,"",INDEX(Presupuesto!$C:$C,SMALL($AA472:$CH472,7)))</f>
        <v>0</v>
      </c>
      <c r="O472" s="1" t="n">
        <f aca="false">IF(SMALL($AA472:$CH472,8)&gt;=9999,"",INDEX(Presupuesto!$C:$C,SMALL($AA472:$CH472,8)))</f>
        <v>0</v>
      </c>
      <c r="P472" s="1" t="n">
        <f aca="false">IF(SMALL($AA472:$CH472,9)&gt;=9999,"",INDEX(Presupuesto!$C:$C,SMALL($AA472:$CH472,9)))</f>
        <v>0</v>
      </c>
      <c r="Q472" s="1" t="n">
        <f aca="false">IF(SMALL($AA472:$CH472,10)&gt;=9999,"",INDEX(Presupuesto!$C:$C,SMALL($AA472:$CH472,10)))</f>
        <v>0</v>
      </c>
      <c r="AA472" s="0" t="n">
        <f aca="false">IF(Presupuesto!$B$7='Flujo de Pagos'!$E472,7,9999)</f>
        <v>9999</v>
      </c>
      <c r="AB472" s="0" t="n">
        <f aca="false">IF(Presupuesto!$B$8='Flujo de Pagos'!$E472,8,9999)</f>
        <v>9999</v>
      </c>
      <c r="AC472" s="0" t="n">
        <f aca="false">IF(Presupuesto!$B$9='Flujo de Pagos'!$E472,9,9999)</f>
        <v>9999</v>
      </c>
      <c r="AD472" s="0" t="n">
        <f aca="false">IF(Presupuesto!$B$10='Flujo de Pagos'!$E472,10,9999)</f>
        <v>9999</v>
      </c>
      <c r="AE472" s="0" t="n">
        <f aca="false">IF(Presupuesto!$B$11='Flujo de Pagos'!$E472,11,9999)</f>
        <v>9999</v>
      </c>
      <c r="AF472" s="0" t="n">
        <f aca="false">IF(Presupuesto!$B$12='Flujo de Pagos'!$E472,12,9999)</f>
        <v>12</v>
      </c>
      <c r="AG472" s="0" t="n">
        <f aca="false">IF(Presupuesto!$B$13='Flujo de Pagos'!$E472,13,9999)</f>
        <v>13</v>
      </c>
      <c r="AH472" s="0" t="n">
        <f aca="false">IF(Presupuesto!$B$14='Flujo de Pagos'!$E472,14,9999)</f>
        <v>14</v>
      </c>
      <c r="AI472" s="0" t="n">
        <f aca="false">IF(Presupuesto!$B$15='Flujo de Pagos'!$E472,15,9999)</f>
        <v>15</v>
      </c>
      <c r="AJ472" s="0" t="n">
        <f aca="false">IF(Presupuesto!$B$16='Flujo de Pagos'!$E472,16,9999)</f>
        <v>16</v>
      </c>
      <c r="AK472" s="0" t="n">
        <f aca="false">IF(Presupuesto!$B$17='Flujo de Pagos'!$E472,17,9999)</f>
        <v>17</v>
      </c>
      <c r="AL472" s="0" t="n">
        <f aca="false">IF(Presupuesto!$B$18='Flujo de Pagos'!$E472,18,9999)</f>
        <v>18</v>
      </c>
      <c r="AM472" s="0" t="n">
        <f aca="false">IF(Presupuesto!$B$19='Flujo de Pagos'!$E472,19,9999)</f>
        <v>19</v>
      </c>
      <c r="AN472" s="0" t="n">
        <f aca="false">IF(Presupuesto!$B$20='Flujo de Pagos'!$E472,20,9999)</f>
        <v>20</v>
      </c>
      <c r="AO472" s="0" t="n">
        <f aca="false">IF(Presupuesto!$B$21='Flujo de Pagos'!$E472,21,9999)</f>
        <v>21</v>
      </c>
      <c r="AP472" s="0" t="n">
        <f aca="false">IF(Presupuesto!$B$22='Flujo de Pagos'!$E472,22,9999)</f>
        <v>22</v>
      </c>
      <c r="AQ472" s="0" t="n">
        <f aca="false">IF(Presupuesto!$B$23='Flujo de Pagos'!$E472,23,9999)</f>
        <v>23</v>
      </c>
      <c r="AR472" s="0" t="n">
        <f aca="false">IF(Presupuesto!$B$24='Flujo de Pagos'!$E472,24,9999)</f>
        <v>24</v>
      </c>
      <c r="AS472" s="0" t="n">
        <f aca="false">IF(Presupuesto!$B$25='Flujo de Pagos'!$E472,25,9999)</f>
        <v>25</v>
      </c>
      <c r="AT472" s="0" t="n">
        <f aca="false">IF(Presupuesto!$B$26='Flujo de Pagos'!$E472,26,9999)</f>
        <v>26</v>
      </c>
      <c r="AU472" s="0" t="n">
        <f aca="false">IF(Presupuesto!$B$27='Flujo de Pagos'!$E472,27,9999)</f>
        <v>27</v>
      </c>
      <c r="AV472" s="0" t="n">
        <f aca="false">IF(Presupuesto!$B$28='Flujo de Pagos'!$E472,28,9999)</f>
        <v>28</v>
      </c>
      <c r="AW472" s="0" t="n">
        <f aca="false">IF(Presupuesto!$B$29='Flujo de Pagos'!$E472,29,9999)</f>
        <v>29</v>
      </c>
      <c r="AX472" s="0" t="n">
        <f aca="false">IF(Presupuesto!$B$30='Flujo de Pagos'!$E472,30,9999)</f>
        <v>30</v>
      </c>
      <c r="AY472" s="0" t="n">
        <f aca="false">IF(Presupuesto!$B$31='Flujo de Pagos'!$E472,31,9999)</f>
        <v>31</v>
      </c>
      <c r="AZ472" s="0" t="n">
        <f aca="false">IF(Presupuesto!$B$32='Flujo de Pagos'!$E472,32,9999)</f>
        <v>32</v>
      </c>
      <c r="BA472" s="0" t="n">
        <f aca="false">IF(Presupuesto!$B$33='Flujo de Pagos'!$E472,33,9999)</f>
        <v>33</v>
      </c>
      <c r="BB472" s="0" t="n">
        <f aca="false">IF(Presupuesto!$B$34='Flujo de Pagos'!$E472,34,9999)</f>
        <v>34</v>
      </c>
      <c r="BC472" s="0" t="n">
        <f aca="false">IF(Presupuesto!$B$35='Flujo de Pagos'!$E472,35,9999)</f>
        <v>35</v>
      </c>
      <c r="BD472" s="0" t="n">
        <f aca="false">IF(Presupuesto!$B$36='Flujo de Pagos'!$E472,36,9999)</f>
        <v>36</v>
      </c>
      <c r="BE472" s="0" t="n">
        <f aca="false">IF(Presupuesto!$B$37='Flujo de Pagos'!$E472,37,9999)</f>
        <v>37</v>
      </c>
      <c r="BF472" s="0" t="n">
        <f aca="false">IF(Presupuesto!$B$38='Flujo de Pagos'!$E472,38,9999)</f>
        <v>38</v>
      </c>
      <c r="BG472" s="0" t="n">
        <f aca="false">IF(Presupuesto!$B$39='Flujo de Pagos'!$E472,39,9999)</f>
        <v>39</v>
      </c>
      <c r="BH472" s="0" t="n">
        <f aca="false">IF(Presupuesto!$B$40='Flujo de Pagos'!$E472,40,9999)</f>
        <v>40</v>
      </c>
      <c r="BI472" s="0" t="n">
        <f aca="false">IF(Presupuesto!$B$41='Flujo de Pagos'!$E472,41,9999)</f>
        <v>41</v>
      </c>
      <c r="BJ472" s="0" t="n">
        <f aca="false">IF(Presupuesto!$B$42='Flujo de Pagos'!$E472,42,9999)</f>
        <v>42</v>
      </c>
      <c r="BK472" s="0" t="n">
        <f aca="false">IF(Presupuesto!$B$43='Flujo de Pagos'!$E472,43,9999)</f>
        <v>43</v>
      </c>
      <c r="BL472" s="0" t="n">
        <f aca="false">IF(Presupuesto!$B$44='Flujo de Pagos'!$E472,44,9999)</f>
        <v>44</v>
      </c>
      <c r="BM472" s="0" t="n">
        <f aca="false">IF(Presupuesto!$B$45='Flujo de Pagos'!$E472,45,9999)</f>
        <v>45</v>
      </c>
      <c r="BN472" s="0" t="n">
        <f aca="false">IF(Presupuesto!$B$46='Flujo de Pagos'!$E472,46,9999)</f>
        <v>46</v>
      </c>
      <c r="BO472" s="0" t="n">
        <f aca="false">IF(Presupuesto!$B$47='Flujo de Pagos'!$E472,47,9999)</f>
        <v>47</v>
      </c>
      <c r="BP472" s="0" t="n">
        <f aca="false">IF(Presupuesto!$B$48='Flujo de Pagos'!$E472,48,9999)</f>
        <v>48</v>
      </c>
      <c r="BQ472" s="0" t="n">
        <f aca="false">IF(Presupuesto!$B$49='Flujo de Pagos'!$E472,49,9999)</f>
        <v>49</v>
      </c>
      <c r="BR472" s="0" t="n">
        <f aca="false">IF(Presupuesto!$B$50='Flujo de Pagos'!$E472,50,9999)</f>
        <v>50</v>
      </c>
      <c r="BS472" s="0" t="n">
        <f aca="false">IF(Presupuesto!$B$51='Flujo de Pagos'!$E472,51,9999)</f>
        <v>51</v>
      </c>
      <c r="BT472" s="0" t="n">
        <f aca="false">IF(Presupuesto!$B$52='Flujo de Pagos'!$E472,52,9999)</f>
        <v>52</v>
      </c>
      <c r="BU472" s="0" t="n">
        <f aca="false">IF(Presupuesto!$B$53='Flujo de Pagos'!$E472,53,9999)</f>
        <v>53</v>
      </c>
      <c r="BV472" s="0" t="n">
        <f aca="false">IF(Presupuesto!$B$54='Flujo de Pagos'!$E472,54,9999)</f>
        <v>54</v>
      </c>
      <c r="BW472" s="0" t="n">
        <f aca="false">IF(Presupuesto!$B$55='Flujo de Pagos'!$E472,55,9999)</f>
        <v>55</v>
      </c>
      <c r="BX472" s="0" t="n">
        <f aca="false">IF(Presupuesto!$B$56='Flujo de Pagos'!$E472,56,9999)</f>
        <v>56</v>
      </c>
      <c r="BY472" s="0" t="n">
        <f aca="false">IF(Presupuesto!$B$57='Flujo de Pagos'!$E472,57,9999)</f>
        <v>57</v>
      </c>
      <c r="BZ472" s="0" t="n">
        <f aca="false">IF(Presupuesto!$B$58='Flujo de Pagos'!$E472,58,9999)</f>
        <v>58</v>
      </c>
      <c r="CA472" s="0" t="n">
        <f aca="false">IF(Presupuesto!$B$59='Flujo de Pagos'!$E472,59,9999)</f>
        <v>59</v>
      </c>
      <c r="CB472" s="0" t="n">
        <f aca="false">IF(Presupuesto!$B$60='Flujo de Pagos'!$E472,60,9999)</f>
        <v>60</v>
      </c>
      <c r="CC472" s="0" t="n">
        <f aca="false">IF(Presupuesto!$B$61='Flujo de Pagos'!$E472,61,9999)</f>
        <v>61</v>
      </c>
      <c r="CD472" s="0" t="n">
        <f aca="false">IF(Presupuesto!$B$62='Flujo de Pagos'!$E472,62,9999)</f>
        <v>62</v>
      </c>
      <c r="CE472" s="0" t="n">
        <f aca="false">IF(Presupuesto!$B$63='Flujo de Pagos'!$E472,63,9999)</f>
        <v>63</v>
      </c>
      <c r="CF472" s="0" t="n">
        <f aca="false">IF(Presupuesto!$B$64='Flujo de Pagos'!$E472,64,9999)</f>
        <v>64</v>
      </c>
      <c r="CG472" s="0" t="n">
        <f aca="false">IF(Presupuesto!$B$65='Flujo de Pagos'!$E472,65,9999)</f>
        <v>65</v>
      </c>
      <c r="CH472" s="0" t="n">
        <f aca="false">IF(Presupuesto!$B$66='Flujo de Pagos'!$E472,66,9999)</f>
        <v>66</v>
      </c>
    </row>
    <row r="473" customFormat="false" ht="15" hidden="false" customHeight="true" outlineLevel="0" collapsed="false">
      <c r="B473" s="1" t="n">
        <f aca="false">IF(AND('Flujo de Pagos'!E478=Carátula!$B$2,'Flujo de Pagos'!F478=Carátula!$B$4,'Flujo de Pagos'!H478&lt;&gt;""),478,99999)</f>
        <v>99999</v>
      </c>
      <c r="H473" s="1" t="n">
        <f aca="false">IF(SMALL($AA473:$CH473,1)&gt;=9999,"",INDEX(Presupuesto!$C:$C,SMALL($AA473:$CH473,1)))</f>
        <v>0</v>
      </c>
      <c r="I473" s="1" t="n">
        <f aca="false">IF(SMALL($AA473:$CH473,2)&gt;=9999,"",INDEX(Presupuesto!$C:$C,SMALL($AA473:$CH473,2)))</f>
        <v>0</v>
      </c>
      <c r="J473" s="1" t="n">
        <f aca="false">IF(SMALL($AA473:$CH473,3)&gt;=9999,"",INDEX(Presupuesto!$C:$C,SMALL($AA473:$CH473,3)))</f>
        <v>0</v>
      </c>
      <c r="K473" s="1" t="n">
        <f aca="false">IF(SMALL($AA473:$CH473,4)&gt;=9999,"",INDEX(Presupuesto!$C:$C,SMALL($AA473:$CH473,4)))</f>
        <v>0</v>
      </c>
      <c r="L473" s="1" t="n">
        <f aca="false">IF(SMALL($AA473:$CH473,5)&gt;=9999,"",INDEX(Presupuesto!$C:$C,SMALL($AA473:$CH473,5)))</f>
        <v>0</v>
      </c>
      <c r="M473" s="1" t="n">
        <f aca="false">IF(SMALL($AA473:$CH473,6)&gt;=9999,"",INDEX(Presupuesto!$C:$C,SMALL($AA473:$CH473,6)))</f>
        <v>0</v>
      </c>
      <c r="N473" s="1" t="n">
        <f aca="false">IF(SMALL($AA473:$CH473,7)&gt;=9999,"",INDEX(Presupuesto!$C:$C,SMALL($AA473:$CH473,7)))</f>
        <v>0</v>
      </c>
      <c r="O473" s="1" t="n">
        <f aca="false">IF(SMALL($AA473:$CH473,8)&gt;=9999,"",INDEX(Presupuesto!$C:$C,SMALL($AA473:$CH473,8)))</f>
        <v>0</v>
      </c>
      <c r="P473" s="1" t="n">
        <f aca="false">IF(SMALL($AA473:$CH473,9)&gt;=9999,"",INDEX(Presupuesto!$C:$C,SMALL($AA473:$CH473,9)))</f>
        <v>0</v>
      </c>
      <c r="Q473" s="1" t="n">
        <f aca="false">IF(SMALL($AA473:$CH473,10)&gt;=9999,"",INDEX(Presupuesto!$C:$C,SMALL($AA473:$CH473,10)))</f>
        <v>0</v>
      </c>
      <c r="AA473" s="0" t="n">
        <f aca="false">IF(Presupuesto!$B$7='Flujo de Pagos'!$E473,7,9999)</f>
        <v>9999</v>
      </c>
      <c r="AB473" s="0" t="n">
        <f aca="false">IF(Presupuesto!$B$8='Flujo de Pagos'!$E473,8,9999)</f>
        <v>9999</v>
      </c>
      <c r="AC473" s="0" t="n">
        <f aca="false">IF(Presupuesto!$B$9='Flujo de Pagos'!$E473,9,9999)</f>
        <v>9999</v>
      </c>
      <c r="AD473" s="0" t="n">
        <f aca="false">IF(Presupuesto!$B$10='Flujo de Pagos'!$E473,10,9999)</f>
        <v>9999</v>
      </c>
      <c r="AE473" s="0" t="n">
        <f aca="false">IF(Presupuesto!$B$11='Flujo de Pagos'!$E473,11,9999)</f>
        <v>9999</v>
      </c>
      <c r="AF473" s="0" t="n">
        <f aca="false">IF(Presupuesto!$B$12='Flujo de Pagos'!$E473,12,9999)</f>
        <v>12</v>
      </c>
      <c r="AG473" s="0" t="n">
        <f aca="false">IF(Presupuesto!$B$13='Flujo de Pagos'!$E473,13,9999)</f>
        <v>13</v>
      </c>
      <c r="AH473" s="0" t="n">
        <f aca="false">IF(Presupuesto!$B$14='Flujo de Pagos'!$E473,14,9999)</f>
        <v>14</v>
      </c>
      <c r="AI473" s="0" t="n">
        <f aca="false">IF(Presupuesto!$B$15='Flujo de Pagos'!$E473,15,9999)</f>
        <v>15</v>
      </c>
      <c r="AJ473" s="0" t="n">
        <f aca="false">IF(Presupuesto!$B$16='Flujo de Pagos'!$E473,16,9999)</f>
        <v>16</v>
      </c>
      <c r="AK473" s="0" t="n">
        <f aca="false">IF(Presupuesto!$B$17='Flujo de Pagos'!$E473,17,9999)</f>
        <v>17</v>
      </c>
      <c r="AL473" s="0" t="n">
        <f aca="false">IF(Presupuesto!$B$18='Flujo de Pagos'!$E473,18,9999)</f>
        <v>18</v>
      </c>
      <c r="AM473" s="0" t="n">
        <f aca="false">IF(Presupuesto!$B$19='Flujo de Pagos'!$E473,19,9999)</f>
        <v>19</v>
      </c>
      <c r="AN473" s="0" t="n">
        <f aca="false">IF(Presupuesto!$B$20='Flujo de Pagos'!$E473,20,9999)</f>
        <v>20</v>
      </c>
      <c r="AO473" s="0" t="n">
        <f aca="false">IF(Presupuesto!$B$21='Flujo de Pagos'!$E473,21,9999)</f>
        <v>21</v>
      </c>
      <c r="AP473" s="0" t="n">
        <f aca="false">IF(Presupuesto!$B$22='Flujo de Pagos'!$E473,22,9999)</f>
        <v>22</v>
      </c>
      <c r="AQ473" s="0" t="n">
        <f aca="false">IF(Presupuesto!$B$23='Flujo de Pagos'!$E473,23,9999)</f>
        <v>23</v>
      </c>
      <c r="AR473" s="0" t="n">
        <f aca="false">IF(Presupuesto!$B$24='Flujo de Pagos'!$E473,24,9999)</f>
        <v>24</v>
      </c>
      <c r="AS473" s="0" t="n">
        <f aca="false">IF(Presupuesto!$B$25='Flujo de Pagos'!$E473,25,9999)</f>
        <v>25</v>
      </c>
      <c r="AT473" s="0" t="n">
        <f aca="false">IF(Presupuesto!$B$26='Flujo de Pagos'!$E473,26,9999)</f>
        <v>26</v>
      </c>
      <c r="AU473" s="0" t="n">
        <f aca="false">IF(Presupuesto!$B$27='Flujo de Pagos'!$E473,27,9999)</f>
        <v>27</v>
      </c>
      <c r="AV473" s="0" t="n">
        <f aca="false">IF(Presupuesto!$B$28='Flujo de Pagos'!$E473,28,9999)</f>
        <v>28</v>
      </c>
      <c r="AW473" s="0" t="n">
        <f aca="false">IF(Presupuesto!$B$29='Flujo de Pagos'!$E473,29,9999)</f>
        <v>29</v>
      </c>
      <c r="AX473" s="0" t="n">
        <f aca="false">IF(Presupuesto!$B$30='Flujo de Pagos'!$E473,30,9999)</f>
        <v>30</v>
      </c>
      <c r="AY473" s="0" t="n">
        <f aca="false">IF(Presupuesto!$B$31='Flujo de Pagos'!$E473,31,9999)</f>
        <v>31</v>
      </c>
      <c r="AZ473" s="0" t="n">
        <f aca="false">IF(Presupuesto!$B$32='Flujo de Pagos'!$E473,32,9999)</f>
        <v>32</v>
      </c>
      <c r="BA473" s="0" t="n">
        <f aca="false">IF(Presupuesto!$B$33='Flujo de Pagos'!$E473,33,9999)</f>
        <v>33</v>
      </c>
      <c r="BB473" s="0" t="n">
        <f aca="false">IF(Presupuesto!$B$34='Flujo de Pagos'!$E473,34,9999)</f>
        <v>34</v>
      </c>
      <c r="BC473" s="0" t="n">
        <f aca="false">IF(Presupuesto!$B$35='Flujo de Pagos'!$E473,35,9999)</f>
        <v>35</v>
      </c>
      <c r="BD473" s="0" t="n">
        <f aca="false">IF(Presupuesto!$B$36='Flujo de Pagos'!$E473,36,9999)</f>
        <v>36</v>
      </c>
      <c r="BE473" s="0" t="n">
        <f aca="false">IF(Presupuesto!$B$37='Flujo de Pagos'!$E473,37,9999)</f>
        <v>37</v>
      </c>
      <c r="BF473" s="0" t="n">
        <f aca="false">IF(Presupuesto!$B$38='Flujo de Pagos'!$E473,38,9999)</f>
        <v>38</v>
      </c>
      <c r="BG473" s="0" t="n">
        <f aca="false">IF(Presupuesto!$B$39='Flujo de Pagos'!$E473,39,9999)</f>
        <v>39</v>
      </c>
      <c r="BH473" s="0" t="n">
        <f aca="false">IF(Presupuesto!$B$40='Flujo de Pagos'!$E473,40,9999)</f>
        <v>40</v>
      </c>
      <c r="BI473" s="0" t="n">
        <f aca="false">IF(Presupuesto!$B$41='Flujo de Pagos'!$E473,41,9999)</f>
        <v>41</v>
      </c>
      <c r="BJ473" s="0" t="n">
        <f aca="false">IF(Presupuesto!$B$42='Flujo de Pagos'!$E473,42,9999)</f>
        <v>42</v>
      </c>
      <c r="BK473" s="0" t="n">
        <f aca="false">IF(Presupuesto!$B$43='Flujo de Pagos'!$E473,43,9999)</f>
        <v>43</v>
      </c>
      <c r="BL473" s="0" t="n">
        <f aca="false">IF(Presupuesto!$B$44='Flujo de Pagos'!$E473,44,9999)</f>
        <v>44</v>
      </c>
      <c r="BM473" s="0" t="n">
        <f aca="false">IF(Presupuesto!$B$45='Flujo de Pagos'!$E473,45,9999)</f>
        <v>45</v>
      </c>
      <c r="BN473" s="0" t="n">
        <f aca="false">IF(Presupuesto!$B$46='Flujo de Pagos'!$E473,46,9999)</f>
        <v>46</v>
      </c>
      <c r="BO473" s="0" t="n">
        <f aca="false">IF(Presupuesto!$B$47='Flujo de Pagos'!$E473,47,9999)</f>
        <v>47</v>
      </c>
      <c r="BP473" s="0" t="n">
        <f aca="false">IF(Presupuesto!$B$48='Flujo de Pagos'!$E473,48,9999)</f>
        <v>48</v>
      </c>
      <c r="BQ473" s="0" t="n">
        <f aca="false">IF(Presupuesto!$B$49='Flujo de Pagos'!$E473,49,9999)</f>
        <v>49</v>
      </c>
      <c r="BR473" s="0" t="n">
        <f aca="false">IF(Presupuesto!$B$50='Flujo de Pagos'!$E473,50,9999)</f>
        <v>50</v>
      </c>
      <c r="BS473" s="0" t="n">
        <f aca="false">IF(Presupuesto!$B$51='Flujo de Pagos'!$E473,51,9999)</f>
        <v>51</v>
      </c>
      <c r="BT473" s="0" t="n">
        <f aca="false">IF(Presupuesto!$B$52='Flujo de Pagos'!$E473,52,9999)</f>
        <v>52</v>
      </c>
      <c r="BU473" s="0" t="n">
        <f aca="false">IF(Presupuesto!$B$53='Flujo de Pagos'!$E473,53,9999)</f>
        <v>53</v>
      </c>
      <c r="BV473" s="0" t="n">
        <f aca="false">IF(Presupuesto!$B$54='Flujo de Pagos'!$E473,54,9999)</f>
        <v>54</v>
      </c>
      <c r="BW473" s="0" t="n">
        <f aca="false">IF(Presupuesto!$B$55='Flujo de Pagos'!$E473,55,9999)</f>
        <v>55</v>
      </c>
      <c r="BX473" s="0" t="n">
        <f aca="false">IF(Presupuesto!$B$56='Flujo de Pagos'!$E473,56,9999)</f>
        <v>56</v>
      </c>
      <c r="BY473" s="0" t="n">
        <f aca="false">IF(Presupuesto!$B$57='Flujo de Pagos'!$E473,57,9999)</f>
        <v>57</v>
      </c>
      <c r="BZ473" s="0" t="n">
        <f aca="false">IF(Presupuesto!$B$58='Flujo de Pagos'!$E473,58,9999)</f>
        <v>58</v>
      </c>
      <c r="CA473" s="0" t="n">
        <f aca="false">IF(Presupuesto!$B$59='Flujo de Pagos'!$E473,59,9999)</f>
        <v>59</v>
      </c>
      <c r="CB473" s="0" t="n">
        <f aca="false">IF(Presupuesto!$B$60='Flujo de Pagos'!$E473,60,9999)</f>
        <v>60</v>
      </c>
      <c r="CC473" s="0" t="n">
        <f aca="false">IF(Presupuesto!$B$61='Flujo de Pagos'!$E473,61,9999)</f>
        <v>61</v>
      </c>
      <c r="CD473" s="0" t="n">
        <f aca="false">IF(Presupuesto!$B$62='Flujo de Pagos'!$E473,62,9999)</f>
        <v>62</v>
      </c>
      <c r="CE473" s="0" t="n">
        <f aca="false">IF(Presupuesto!$B$63='Flujo de Pagos'!$E473,63,9999)</f>
        <v>63</v>
      </c>
      <c r="CF473" s="0" t="n">
        <f aca="false">IF(Presupuesto!$B$64='Flujo de Pagos'!$E473,64,9999)</f>
        <v>64</v>
      </c>
      <c r="CG473" s="0" t="n">
        <f aca="false">IF(Presupuesto!$B$65='Flujo de Pagos'!$E473,65,9999)</f>
        <v>65</v>
      </c>
      <c r="CH473" s="0" t="n">
        <f aca="false">IF(Presupuesto!$B$66='Flujo de Pagos'!$E473,66,9999)</f>
        <v>66</v>
      </c>
    </row>
    <row r="474" customFormat="false" ht="15" hidden="false" customHeight="true" outlineLevel="0" collapsed="false">
      <c r="B474" s="1" t="n">
        <f aca="false">IF(AND('Flujo de Pagos'!E479=Carátula!$B$2,'Flujo de Pagos'!F479=Carátula!$B$4,'Flujo de Pagos'!H479&lt;&gt;""),479,99999)</f>
        <v>99999</v>
      </c>
      <c r="H474" s="1" t="n">
        <f aca="false">IF(SMALL($AA474:$CH474,1)&gt;=9999,"",INDEX(Presupuesto!$C:$C,SMALL($AA474:$CH474,1)))</f>
        <v>0</v>
      </c>
      <c r="I474" s="1" t="n">
        <f aca="false">IF(SMALL($AA474:$CH474,2)&gt;=9999,"",INDEX(Presupuesto!$C:$C,SMALL($AA474:$CH474,2)))</f>
        <v>0</v>
      </c>
      <c r="J474" s="1" t="n">
        <f aca="false">IF(SMALL($AA474:$CH474,3)&gt;=9999,"",INDEX(Presupuesto!$C:$C,SMALL($AA474:$CH474,3)))</f>
        <v>0</v>
      </c>
      <c r="K474" s="1" t="n">
        <f aca="false">IF(SMALL($AA474:$CH474,4)&gt;=9999,"",INDEX(Presupuesto!$C:$C,SMALL($AA474:$CH474,4)))</f>
        <v>0</v>
      </c>
      <c r="L474" s="1" t="n">
        <f aca="false">IF(SMALL($AA474:$CH474,5)&gt;=9999,"",INDEX(Presupuesto!$C:$C,SMALL($AA474:$CH474,5)))</f>
        <v>0</v>
      </c>
      <c r="M474" s="1" t="n">
        <f aca="false">IF(SMALL($AA474:$CH474,6)&gt;=9999,"",INDEX(Presupuesto!$C:$C,SMALL($AA474:$CH474,6)))</f>
        <v>0</v>
      </c>
      <c r="N474" s="1" t="n">
        <f aca="false">IF(SMALL($AA474:$CH474,7)&gt;=9999,"",INDEX(Presupuesto!$C:$C,SMALL($AA474:$CH474,7)))</f>
        <v>0</v>
      </c>
      <c r="O474" s="1" t="n">
        <f aca="false">IF(SMALL($AA474:$CH474,8)&gt;=9999,"",INDEX(Presupuesto!$C:$C,SMALL($AA474:$CH474,8)))</f>
        <v>0</v>
      </c>
      <c r="P474" s="1" t="n">
        <f aca="false">IF(SMALL($AA474:$CH474,9)&gt;=9999,"",INDEX(Presupuesto!$C:$C,SMALL($AA474:$CH474,9)))</f>
        <v>0</v>
      </c>
      <c r="Q474" s="1" t="n">
        <f aca="false">IF(SMALL($AA474:$CH474,10)&gt;=9999,"",INDEX(Presupuesto!$C:$C,SMALL($AA474:$CH474,10)))</f>
        <v>0</v>
      </c>
      <c r="AA474" s="0" t="n">
        <f aca="false">IF(Presupuesto!$B$7='Flujo de Pagos'!$E474,7,9999)</f>
        <v>9999</v>
      </c>
      <c r="AB474" s="0" t="n">
        <f aca="false">IF(Presupuesto!$B$8='Flujo de Pagos'!$E474,8,9999)</f>
        <v>9999</v>
      </c>
      <c r="AC474" s="0" t="n">
        <f aca="false">IF(Presupuesto!$B$9='Flujo de Pagos'!$E474,9,9999)</f>
        <v>9999</v>
      </c>
      <c r="AD474" s="0" t="n">
        <f aca="false">IF(Presupuesto!$B$10='Flujo de Pagos'!$E474,10,9999)</f>
        <v>9999</v>
      </c>
      <c r="AE474" s="0" t="n">
        <f aca="false">IF(Presupuesto!$B$11='Flujo de Pagos'!$E474,11,9999)</f>
        <v>9999</v>
      </c>
      <c r="AF474" s="0" t="n">
        <f aca="false">IF(Presupuesto!$B$12='Flujo de Pagos'!$E474,12,9999)</f>
        <v>12</v>
      </c>
      <c r="AG474" s="0" t="n">
        <f aca="false">IF(Presupuesto!$B$13='Flujo de Pagos'!$E474,13,9999)</f>
        <v>13</v>
      </c>
      <c r="AH474" s="0" t="n">
        <f aca="false">IF(Presupuesto!$B$14='Flujo de Pagos'!$E474,14,9999)</f>
        <v>14</v>
      </c>
      <c r="AI474" s="0" t="n">
        <f aca="false">IF(Presupuesto!$B$15='Flujo de Pagos'!$E474,15,9999)</f>
        <v>15</v>
      </c>
      <c r="AJ474" s="0" t="n">
        <f aca="false">IF(Presupuesto!$B$16='Flujo de Pagos'!$E474,16,9999)</f>
        <v>16</v>
      </c>
      <c r="AK474" s="0" t="n">
        <f aca="false">IF(Presupuesto!$B$17='Flujo de Pagos'!$E474,17,9999)</f>
        <v>17</v>
      </c>
      <c r="AL474" s="0" t="n">
        <f aca="false">IF(Presupuesto!$B$18='Flujo de Pagos'!$E474,18,9999)</f>
        <v>18</v>
      </c>
      <c r="AM474" s="0" t="n">
        <f aca="false">IF(Presupuesto!$B$19='Flujo de Pagos'!$E474,19,9999)</f>
        <v>19</v>
      </c>
      <c r="AN474" s="0" t="n">
        <f aca="false">IF(Presupuesto!$B$20='Flujo de Pagos'!$E474,20,9999)</f>
        <v>20</v>
      </c>
      <c r="AO474" s="0" t="n">
        <f aca="false">IF(Presupuesto!$B$21='Flujo de Pagos'!$E474,21,9999)</f>
        <v>21</v>
      </c>
      <c r="AP474" s="0" t="n">
        <f aca="false">IF(Presupuesto!$B$22='Flujo de Pagos'!$E474,22,9999)</f>
        <v>22</v>
      </c>
      <c r="AQ474" s="0" t="n">
        <f aca="false">IF(Presupuesto!$B$23='Flujo de Pagos'!$E474,23,9999)</f>
        <v>23</v>
      </c>
      <c r="AR474" s="0" t="n">
        <f aca="false">IF(Presupuesto!$B$24='Flujo de Pagos'!$E474,24,9999)</f>
        <v>24</v>
      </c>
      <c r="AS474" s="0" t="n">
        <f aca="false">IF(Presupuesto!$B$25='Flujo de Pagos'!$E474,25,9999)</f>
        <v>25</v>
      </c>
      <c r="AT474" s="0" t="n">
        <f aca="false">IF(Presupuesto!$B$26='Flujo de Pagos'!$E474,26,9999)</f>
        <v>26</v>
      </c>
      <c r="AU474" s="0" t="n">
        <f aca="false">IF(Presupuesto!$B$27='Flujo de Pagos'!$E474,27,9999)</f>
        <v>27</v>
      </c>
      <c r="AV474" s="0" t="n">
        <f aca="false">IF(Presupuesto!$B$28='Flujo de Pagos'!$E474,28,9999)</f>
        <v>28</v>
      </c>
      <c r="AW474" s="0" t="n">
        <f aca="false">IF(Presupuesto!$B$29='Flujo de Pagos'!$E474,29,9999)</f>
        <v>29</v>
      </c>
      <c r="AX474" s="0" t="n">
        <f aca="false">IF(Presupuesto!$B$30='Flujo de Pagos'!$E474,30,9999)</f>
        <v>30</v>
      </c>
      <c r="AY474" s="0" t="n">
        <f aca="false">IF(Presupuesto!$B$31='Flujo de Pagos'!$E474,31,9999)</f>
        <v>31</v>
      </c>
      <c r="AZ474" s="0" t="n">
        <f aca="false">IF(Presupuesto!$B$32='Flujo de Pagos'!$E474,32,9999)</f>
        <v>32</v>
      </c>
      <c r="BA474" s="0" t="n">
        <f aca="false">IF(Presupuesto!$B$33='Flujo de Pagos'!$E474,33,9999)</f>
        <v>33</v>
      </c>
      <c r="BB474" s="0" t="n">
        <f aca="false">IF(Presupuesto!$B$34='Flujo de Pagos'!$E474,34,9999)</f>
        <v>34</v>
      </c>
      <c r="BC474" s="0" t="n">
        <f aca="false">IF(Presupuesto!$B$35='Flujo de Pagos'!$E474,35,9999)</f>
        <v>35</v>
      </c>
      <c r="BD474" s="0" t="n">
        <f aca="false">IF(Presupuesto!$B$36='Flujo de Pagos'!$E474,36,9999)</f>
        <v>36</v>
      </c>
      <c r="BE474" s="0" t="n">
        <f aca="false">IF(Presupuesto!$B$37='Flujo de Pagos'!$E474,37,9999)</f>
        <v>37</v>
      </c>
      <c r="BF474" s="0" t="n">
        <f aca="false">IF(Presupuesto!$B$38='Flujo de Pagos'!$E474,38,9999)</f>
        <v>38</v>
      </c>
      <c r="BG474" s="0" t="n">
        <f aca="false">IF(Presupuesto!$B$39='Flujo de Pagos'!$E474,39,9999)</f>
        <v>39</v>
      </c>
      <c r="BH474" s="0" t="n">
        <f aca="false">IF(Presupuesto!$B$40='Flujo de Pagos'!$E474,40,9999)</f>
        <v>40</v>
      </c>
      <c r="BI474" s="0" t="n">
        <f aca="false">IF(Presupuesto!$B$41='Flujo de Pagos'!$E474,41,9999)</f>
        <v>41</v>
      </c>
      <c r="BJ474" s="0" t="n">
        <f aca="false">IF(Presupuesto!$B$42='Flujo de Pagos'!$E474,42,9999)</f>
        <v>42</v>
      </c>
      <c r="BK474" s="0" t="n">
        <f aca="false">IF(Presupuesto!$B$43='Flujo de Pagos'!$E474,43,9999)</f>
        <v>43</v>
      </c>
      <c r="BL474" s="0" t="n">
        <f aca="false">IF(Presupuesto!$B$44='Flujo de Pagos'!$E474,44,9999)</f>
        <v>44</v>
      </c>
      <c r="BM474" s="0" t="n">
        <f aca="false">IF(Presupuesto!$B$45='Flujo de Pagos'!$E474,45,9999)</f>
        <v>45</v>
      </c>
      <c r="BN474" s="0" t="n">
        <f aca="false">IF(Presupuesto!$B$46='Flujo de Pagos'!$E474,46,9999)</f>
        <v>46</v>
      </c>
      <c r="BO474" s="0" t="n">
        <f aca="false">IF(Presupuesto!$B$47='Flujo de Pagos'!$E474,47,9999)</f>
        <v>47</v>
      </c>
      <c r="BP474" s="0" t="n">
        <f aca="false">IF(Presupuesto!$B$48='Flujo de Pagos'!$E474,48,9999)</f>
        <v>48</v>
      </c>
      <c r="BQ474" s="0" t="n">
        <f aca="false">IF(Presupuesto!$B$49='Flujo de Pagos'!$E474,49,9999)</f>
        <v>49</v>
      </c>
      <c r="BR474" s="0" t="n">
        <f aca="false">IF(Presupuesto!$B$50='Flujo de Pagos'!$E474,50,9999)</f>
        <v>50</v>
      </c>
      <c r="BS474" s="0" t="n">
        <f aca="false">IF(Presupuesto!$B$51='Flujo de Pagos'!$E474,51,9999)</f>
        <v>51</v>
      </c>
      <c r="BT474" s="0" t="n">
        <f aca="false">IF(Presupuesto!$B$52='Flujo de Pagos'!$E474,52,9999)</f>
        <v>52</v>
      </c>
      <c r="BU474" s="0" t="n">
        <f aca="false">IF(Presupuesto!$B$53='Flujo de Pagos'!$E474,53,9999)</f>
        <v>53</v>
      </c>
      <c r="BV474" s="0" t="n">
        <f aca="false">IF(Presupuesto!$B$54='Flujo de Pagos'!$E474,54,9999)</f>
        <v>54</v>
      </c>
      <c r="BW474" s="0" t="n">
        <f aca="false">IF(Presupuesto!$B$55='Flujo de Pagos'!$E474,55,9999)</f>
        <v>55</v>
      </c>
      <c r="BX474" s="0" t="n">
        <f aca="false">IF(Presupuesto!$B$56='Flujo de Pagos'!$E474,56,9999)</f>
        <v>56</v>
      </c>
      <c r="BY474" s="0" t="n">
        <f aca="false">IF(Presupuesto!$B$57='Flujo de Pagos'!$E474,57,9999)</f>
        <v>57</v>
      </c>
      <c r="BZ474" s="0" t="n">
        <f aca="false">IF(Presupuesto!$B$58='Flujo de Pagos'!$E474,58,9999)</f>
        <v>58</v>
      </c>
      <c r="CA474" s="0" t="n">
        <f aca="false">IF(Presupuesto!$B$59='Flujo de Pagos'!$E474,59,9999)</f>
        <v>59</v>
      </c>
      <c r="CB474" s="0" t="n">
        <f aca="false">IF(Presupuesto!$B$60='Flujo de Pagos'!$E474,60,9999)</f>
        <v>60</v>
      </c>
      <c r="CC474" s="0" t="n">
        <f aca="false">IF(Presupuesto!$B$61='Flujo de Pagos'!$E474,61,9999)</f>
        <v>61</v>
      </c>
      <c r="CD474" s="0" t="n">
        <f aca="false">IF(Presupuesto!$B$62='Flujo de Pagos'!$E474,62,9999)</f>
        <v>62</v>
      </c>
      <c r="CE474" s="0" t="n">
        <f aca="false">IF(Presupuesto!$B$63='Flujo de Pagos'!$E474,63,9999)</f>
        <v>63</v>
      </c>
      <c r="CF474" s="0" t="n">
        <f aca="false">IF(Presupuesto!$B$64='Flujo de Pagos'!$E474,64,9999)</f>
        <v>64</v>
      </c>
      <c r="CG474" s="0" t="n">
        <f aca="false">IF(Presupuesto!$B$65='Flujo de Pagos'!$E474,65,9999)</f>
        <v>65</v>
      </c>
      <c r="CH474" s="0" t="n">
        <f aca="false">IF(Presupuesto!$B$66='Flujo de Pagos'!$E474,66,9999)</f>
        <v>66</v>
      </c>
    </row>
    <row r="475" customFormat="false" ht="15" hidden="false" customHeight="true" outlineLevel="0" collapsed="false">
      <c r="B475" s="1" t="n">
        <f aca="false">IF(AND('Flujo de Pagos'!E480=Carátula!$B$2,'Flujo de Pagos'!F480=Carátula!$B$4,'Flujo de Pagos'!H480&lt;&gt;""),480,99999)</f>
        <v>99999</v>
      </c>
      <c r="H475" s="1" t="n">
        <f aca="false">IF(SMALL($AA475:$CH475,1)&gt;=9999,"",INDEX(Presupuesto!$C:$C,SMALL($AA475:$CH475,1)))</f>
        <v>0</v>
      </c>
      <c r="I475" s="1" t="n">
        <f aca="false">IF(SMALL($AA475:$CH475,2)&gt;=9999,"",INDEX(Presupuesto!$C:$C,SMALL($AA475:$CH475,2)))</f>
        <v>0</v>
      </c>
      <c r="J475" s="1" t="n">
        <f aca="false">IF(SMALL($AA475:$CH475,3)&gt;=9999,"",INDEX(Presupuesto!$C:$C,SMALL($AA475:$CH475,3)))</f>
        <v>0</v>
      </c>
      <c r="K475" s="1" t="n">
        <f aca="false">IF(SMALL($AA475:$CH475,4)&gt;=9999,"",INDEX(Presupuesto!$C:$C,SMALL($AA475:$CH475,4)))</f>
        <v>0</v>
      </c>
      <c r="L475" s="1" t="n">
        <f aca="false">IF(SMALL($AA475:$CH475,5)&gt;=9999,"",INDEX(Presupuesto!$C:$C,SMALL($AA475:$CH475,5)))</f>
        <v>0</v>
      </c>
      <c r="M475" s="1" t="n">
        <f aca="false">IF(SMALL($AA475:$CH475,6)&gt;=9999,"",INDEX(Presupuesto!$C:$C,SMALL($AA475:$CH475,6)))</f>
        <v>0</v>
      </c>
      <c r="N475" s="1" t="n">
        <f aca="false">IF(SMALL($AA475:$CH475,7)&gt;=9999,"",INDEX(Presupuesto!$C:$C,SMALL($AA475:$CH475,7)))</f>
        <v>0</v>
      </c>
      <c r="O475" s="1" t="n">
        <f aca="false">IF(SMALL($AA475:$CH475,8)&gt;=9999,"",INDEX(Presupuesto!$C:$C,SMALL($AA475:$CH475,8)))</f>
        <v>0</v>
      </c>
      <c r="P475" s="1" t="n">
        <f aca="false">IF(SMALL($AA475:$CH475,9)&gt;=9999,"",INDEX(Presupuesto!$C:$C,SMALL($AA475:$CH475,9)))</f>
        <v>0</v>
      </c>
      <c r="Q475" s="1" t="n">
        <f aca="false">IF(SMALL($AA475:$CH475,10)&gt;=9999,"",INDEX(Presupuesto!$C:$C,SMALL($AA475:$CH475,10)))</f>
        <v>0</v>
      </c>
      <c r="AA475" s="0" t="n">
        <f aca="false">IF(Presupuesto!$B$7='Flujo de Pagos'!$E475,7,9999)</f>
        <v>9999</v>
      </c>
      <c r="AB475" s="0" t="n">
        <f aca="false">IF(Presupuesto!$B$8='Flujo de Pagos'!$E475,8,9999)</f>
        <v>9999</v>
      </c>
      <c r="AC475" s="0" t="n">
        <f aca="false">IF(Presupuesto!$B$9='Flujo de Pagos'!$E475,9,9999)</f>
        <v>9999</v>
      </c>
      <c r="AD475" s="0" t="n">
        <f aca="false">IF(Presupuesto!$B$10='Flujo de Pagos'!$E475,10,9999)</f>
        <v>9999</v>
      </c>
      <c r="AE475" s="0" t="n">
        <f aca="false">IF(Presupuesto!$B$11='Flujo de Pagos'!$E475,11,9999)</f>
        <v>9999</v>
      </c>
      <c r="AF475" s="0" t="n">
        <f aca="false">IF(Presupuesto!$B$12='Flujo de Pagos'!$E475,12,9999)</f>
        <v>12</v>
      </c>
      <c r="AG475" s="0" t="n">
        <f aca="false">IF(Presupuesto!$B$13='Flujo de Pagos'!$E475,13,9999)</f>
        <v>13</v>
      </c>
      <c r="AH475" s="0" t="n">
        <f aca="false">IF(Presupuesto!$B$14='Flujo de Pagos'!$E475,14,9999)</f>
        <v>14</v>
      </c>
      <c r="AI475" s="0" t="n">
        <f aca="false">IF(Presupuesto!$B$15='Flujo de Pagos'!$E475,15,9999)</f>
        <v>15</v>
      </c>
      <c r="AJ475" s="0" t="n">
        <f aca="false">IF(Presupuesto!$B$16='Flujo de Pagos'!$E475,16,9999)</f>
        <v>16</v>
      </c>
      <c r="AK475" s="0" t="n">
        <f aca="false">IF(Presupuesto!$B$17='Flujo de Pagos'!$E475,17,9999)</f>
        <v>17</v>
      </c>
      <c r="AL475" s="0" t="n">
        <f aca="false">IF(Presupuesto!$B$18='Flujo de Pagos'!$E475,18,9999)</f>
        <v>18</v>
      </c>
      <c r="AM475" s="0" t="n">
        <f aca="false">IF(Presupuesto!$B$19='Flujo de Pagos'!$E475,19,9999)</f>
        <v>19</v>
      </c>
      <c r="AN475" s="0" t="n">
        <f aca="false">IF(Presupuesto!$B$20='Flujo de Pagos'!$E475,20,9999)</f>
        <v>20</v>
      </c>
      <c r="AO475" s="0" t="n">
        <f aca="false">IF(Presupuesto!$B$21='Flujo de Pagos'!$E475,21,9999)</f>
        <v>21</v>
      </c>
      <c r="AP475" s="0" t="n">
        <f aca="false">IF(Presupuesto!$B$22='Flujo de Pagos'!$E475,22,9999)</f>
        <v>22</v>
      </c>
      <c r="AQ475" s="0" t="n">
        <f aca="false">IF(Presupuesto!$B$23='Flujo de Pagos'!$E475,23,9999)</f>
        <v>23</v>
      </c>
      <c r="AR475" s="0" t="n">
        <f aca="false">IF(Presupuesto!$B$24='Flujo de Pagos'!$E475,24,9999)</f>
        <v>24</v>
      </c>
      <c r="AS475" s="0" t="n">
        <f aca="false">IF(Presupuesto!$B$25='Flujo de Pagos'!$E475,25,9999)</f>
        <v>25</v>
      </c>
      <c r="AT475" s="0" t="n">
        <f aca="false">IF(Presupuesto!$B$26='Flujo de Pagos'!$E475,26,9999)</f>
        <v>26</v>
      </c>
      <c r="AU475" s="0" t="n">
        <f aca="false">IF(Presupuesto!$B$27='Flujo de Pagos'!$E475,27,9999)</f>
        <v>27</v>
      </c>
      <c r="AV475" s="0" t="n">
        <f aca="false">IF(Presupuesto!$B$28='Flujo de Pagos'!$E475,28,9999)</f>
        <v>28</v>
      </c>
      <c r="AW475" s="0" t="n">
        <f aca="false">IF(Presupuesto!$B$29='Flujo de Pagos'!$E475,29,9999)</f>
        <v>29</v>
      </c>
      <c r="AX475" s="0" t="n">
        <f aca="false">IF(Presupuesto!$B$30='Flujo de Pagos'!$E475,30,9999)</f>
        <v>30</v>
      </c>
      <c r="AY475" s="0" t="n">
        <f aca="false">IF(Presupuesto!$B$31='Flujo de Pagos'!$E475,31,9999)</f>
        <v>31</v>
      </c>
      <c r="AZ475" s="0" t="n">
        <f aca="false">IF(Presupuesto!$B$32='Flujo de Pagos'!$E475,32,9999)</f>
        <v>32</v>
      </c>
      <c r="BA475" s="0" t="n">
        <f aca="false">IF(Presupuesto!$B$33='Flujo de Pagos'!$E475,33,9999)</f>
        <v>33</v>
      </c>
      <c r="BB475" s="0" t="n">
        <f aca="false">IF(Presupuesto!$B$34='Flujo de Pagos'!$E475,34,9999)</f>
        <v>34</v>
      </c>
      <c r="BC475" s="0" t="n">
        <f aca="false">IF(Presupuesto!$B$35='Flujo de Pagos'!$E475,35,9999)</f>
        <v>35</v>
      </c>
      <c r="BD475" s="0" t="n">
        <f aca="false">IF(Presupuesto!$B$36='Flujo de Pagos'!$E475,36,9999)</f>
        <v>36</v>
      </c>
      <c r="BE475" s="0" t="n">
        <f aca="false">IF(Presupuesto!$B$37='Flujo de Pagos'!$E475,37,9999)</f>
        <v>37</v>
      </c>
      <c r="BF475" s="0" t="n">
        <f aca="false">IF(Presupuesto!$B$38='Flujo de Pagos'!$E475,38,9999)</f>
        <v>38</v>
      </c>
      <c r="BG475" s="0" t="n">
        <f aca="false">IF(Presupuesto!$B$39='Flujo de Pagos'!$E475,39,9999)</f>
        <v>39</v>
      </c>
      <c r="BH475" s="0" t="n">
        <f aca="false">IF(Presupuesto!$B$40='Flujo de Pagos'!$E475,40,9999)</f>
        <v>40</v>
      </c>
      <c r="BI475" s="0" t="n">
        <f aca="false">IF(Presupuesto!$B$41='Flujo de Pagos'!$E475,41,9999)</f>
        <v>41</v>
      </c>
      <c r="BJ475" s="0" t="n">
        <f aca="false">IF(Presupuesto!$B$42='Flujo de Pagos'!$E475,42,9999)</f>
        <v>42</v>
      </c>
      <c r="BK475" s="0" t="n">
        <f aca="false">IF(Presupuesto!$B$43='Flujo de Pagos'!$E475,43,9999)</f>
        <v>43</v>
      </c>
      <c r="BL475" s="0" t="n">
        <f aca="false">IF(Presupuesto!$B$44='Flujo de Pagos'!$E475,44,9999)</f>
        <v>44</v>
      </c>
      <c r="BM475" s="0" t="n">
        <f aca="false">IF(Presupuesto!$B$45='Flujo de Pagos'!$E475,45,9999)</f>
        <v>45</v>
      </c>
      <c r="BN475" s="0" t="n">
        <f aca="false">IF(Presupuesto!$B$46='Flujo de Pagos'!$E475,46,9999)</f>
        <v>46</v>
      </c>
      <c r="BO475" s="0" t="n">
        <f aca="false">IF(Presupuesto!$B$47='Flujo de Pagos'!$E475,47,9999)</f>
        <v>47</v>
      </c>
      <c r="BP475" s="0" t="n">
        <f aca="false">IF(Presupuesto!$B$48='Flujo de Pagos'!$E475,48,9999)</f>
        <v>48</v>
      </c>
      <c r="BQ475" s="0" t="n">
        <f aca="false">IF(Presupuesto!$B$49='Flujo de Pagos'!$E475,49,9999)</f>
        <v>49</v>
      </c>
      <c r="BR475" s="0" t="n">
        <f aca="false">IF(Presupuesto!$B$50='Flujo de Pagos'!$E475,50,9999)</f>
        <v>50</v>
      </c>
      <c r="BS475" s="0" t="n">
        <f aca="false">IF(Presupuesto!$B$51='Flujo de Pagos'!$E475,51,9999)</f>
        <v>51</v>
      </c>
      <c r="BT475" s="0" t="n">
        <f aca="false">IF(Presupuesto!$B$52='Flujo de Pagos'!$E475,52,9999)</f>
        <v>52</v>
      </c>
      <c r="BU475" s="0" t="n">
        <f aca="false">IF(Presupuesto!$B$53='Flujo de Pagos'!$E475,53,9999)</f>
        <v>53</v>
      </c>
      <c r="BV475" s="0" t="n">
        <f aca="false">IF(Presupuesto!$B$54='Flujo de Pagos'!$E475,54,9999)</f>
        <v>54</v>
      </c>
      <c r="BW475" s="0" t="n">
        <f aca="false">IF(Presupuesto!$B$55='Flujo de Pagos'!$E475,55,9999)</f>
        <v>55</v>
      </c>
      <c r="BX475" s="0" t="n">
        <f aca="false">IF(Presupuesto!$B$56='Flujo de Pagos'!$E475,56,9999)</f>
        <v>56</v>
      </c>
      <c r="BY475" s="0" t="n">
        <f aca="false">IF(Presupuesto!$B$57='Flujo de Pagos'!$E475,57,9999)</f>
        <v>57</v>
      </c>
      <c r="BZ475" s="0" t="n">
        <f aca="false">IF(Presupuesto!$B$58='Flujo de Pagos'!$E475,58,9999)</f>
        <v>58</v>
      </c>
      <c r="CA475" s="0" t="n">
        <f aca="false">IF(Presupuesto!$B$59='Flujo de Pagos'!$E475,59,9999)</f>
        <v>59</v>
      </c>
      <c r="CB475" s="0" t="n">
        <f aca="false">IF(Presupuesto!$B$60='Flujo de Pagos'!$E475,60,9999)</f>
        <v>60</v>
      </c>
      <c r="CC475" s="0" t="n">
        <f aca="false">IF(Presupuesto!$B$61='Flujo de Pagos'!$E475,61,9999)</f>
        <v>61</v>
      </c>
      <c r="CD475" s="0" t="n">
        <f aca="false">IF(Presupuesto!$B$62='Flujo de Pagos'!$E475,62,9999)</f>
        <v>62</v>
      </c>
      <c r="CE475" s="0" t="n">
        <f aca="false">IF(Presupuesto!$B$63='Flujo de Pagos'!$E475,63,9999)</f>
        <v>63</v>
      </c>
      <c r="CF475" s="0" t="n">
        <f aca="false">IF(Presupuesto!$B$64='Flujo de Pagos'!$E475,64,9999)</f>
        <v>64</v>
      </c>
      <c r="CG475" s="0" t="n">
        <f aca="false">IF(Presupuesto!$B$65='Flujo de Pagos'!$E475,65,9999)</f>
        <v>65</v>
      </c>
      <c r="CH475" s="0" t="n">
        <f aca="false">IF(Presupuesto!$B$66='Flujo de Pagos'!$E475,66,9999)</f>
        <v>66</v>
      </c>
    </row>
    <row r="476" customFormat="false" ht="15" hidden="false" customHeight="true" outlineLevel="0" collapsed="false">
      <c r="B476" s="1" t="n">
        <f aca="false">IF(AND('Flujo de Pagos'!E481=Carátula!$B$2,'Flujo de Pagos'!F481=Carátula!$B$4,'Flujo de Pagos'!H481&lt;&gt;""),481,99999)</f>
        <v>99999</v>
      </c>
      <c r="H476" s="1" t="n">
        <f aca="false">IF(SMALL($AA476:$CH476,1)&gt;=9999,"",INDEX(Presupuesto!$C:$C,SMALL($AA476:$CH476,1)))</f>
        <v>0</v>
      </c>
      <c r="I476" s="1" t="n">
        <f aca="false">IF(SMALL($AA476:$CH476,2)&gt;=9999,"",INDEX(Presupuesto!$C:$C,SMALL($AA476:$CH476,2)))</f>
        <v>0</v>
      </c>
      <c r="J476" s="1" t="n">
        <f aca="false">IF(SMALL($AA476:$CH476,3)&gt;=9999,"",INDEX(Presupuesto!$C:$C,SMALL($AA476:$CH476,3)))</f>
        <v>0</v>
      </c>
      <c r="K476" s="1" t="n">
        <f aca="false">IF(SMALL($AA476:$CH476,4)&gt;=9999,"",INDEX(Presupuesto!$C:$C,SMALL($AA476:$CH476,4)))</f>
        <v>0</v>
      </c>
      <c r="L476" s="1" t="n">
        <f aca="false">IF(SMALL($AA476:$CH476,5)&gt;=9999,"",INDEX(Presupuesto!$C:$C,SMALL($AA476:$CH476,5)))</f>
        <v>0</v>
      </c>
      <c r="M476" s="1" t="n">
        <f aca="false">IF(SMALL($AA476:$CH476,6)&gt;=9999,"",INDEX(Presupuesto!$C:$C,SMALL($AA476:$CH476,6)))</f>
        <v>0</v>
      </c>
      <c r="N476" s="1" t="n">
        <f aca="false">IF(SMALL($AA476:$CH476,7)&gt;=9999,"",INDEX(Presupuesto!$C:$C,SMALL($AA476:$CH476,7)))</f>
        <v>0</v>
      </c>
      <c r="O476" s="1" t="n">
        <f aca="false">IF(SMALL($AA476:$CH476,8)&gt;=9999,"",INDEX(Presupuesto!$C:$C,SMALL($AA476:$CH476,8)))</f>
        <v>0</v>
      </c>
      <c r="P476" s="1" t="n">
        <f aca="false">IF(SMALL($AA476:$CH476,9)&gt;=9999,"",INDEX(Presupuesto!$C:$C,SMALL($AA476:$CH476,9)))</f>
        <v>0</v>
      </c>
      <c r="Q476" s="1" t="n">
        <f aca="false">IF(SMALL($AA476:$CH476,10)&gt;=9999,"",INDEX(Presupuesto!$C:$C,SMALL($AA476:$CH476,10)))</f>
        <v>0</v>
      </c>
      <c r="AA476" s="0" t="n">
        <f aca="false">IF(Presupuesto!$B$7='Flujo de Pagos'!$E476,7,9999)</f>
        <v>9999</v>
      </c>
      <c r="AB476" s="0" t="n">
        <f aca="false">IF(Presupuesto!$B$8='Flujo de Pagos'!$E476,8,9999)</f>
        <v>9999</v>
      </c>
      <c r="AC476" s="0" t="n">
        <f aca="false">IF(Presupuesto!$B$9='Flujo de Pagos'!$E476,9,9999)</f>
        <v>9999</v>
      </c>
      <c r="AD476" s="0" t="n">
        <f aca="false">IF(Presupuesto!$B$10='Flujo de Pagos'!$E476,10,9999)</f>
        <v>9999</v>
      </c>
      <c r="AE476" s="0" t="n">
        <f aca="false">IF(Presupuesto!$B$11='Flujo de Pagos'!$E476,11,9999)</f>
        <v>9999</v>
      </c>
      <c r="AF476" s="0" t="n">
        <f aca="false">IF(Presupuesto!$B$12='Flujo de Pagos'!$E476,12,9999)</f>
        <v>12</v>
      </c>
      <c r="AG476" s="0" t="n">
        <f aca="false">IF(Presupuesto!$B$13='Flujo de Pagos'!$E476,13,9999)</f>
        <v>13</v>
      </c>
      <c r="AH476" s="0" t="n">
        <f aca="false">IF(Presupuesto!$B$14='Flujo de Pagos'!$E476,14,9999)</f>
        <v>14</v>
      </c>
      <c r="AI476" s="0" t="n">
        <f aca="false">IF(Presupuesto!$B$15='Flujo de Pagos'!$E476,15,9999)</f>
        <v>15</v>
      </c>
      <c r="AJ476" s="0" t="n">
        <f aca="false">IF(Presupuesto!$B$16='Flujo de Pagos'!$E476,16,9999)</f>
        <v>16</v>
      </c>
      <c r="AK476" s="0" t="n">
        <f aca="false">IF(Presupuesto!$B$17='Flujo de Pagos'!$E476,17,9999)</f>
        <v>17</v>
      </c>
      <c r="AL476" s="0" t="n">
        <f aca="false">IF(Presupuesto!$B$18='Flujo de Pagos'!$E476,18,9999)</f>
        <v>18</v>
      </c>
      <c r="AM476" s="0" t="n">
        <f aca="false">IF(Presupuesto!$B$19='Flujo de Pagos'!$E476,19,9999)</f>
        <v>19</v>
      </c>
      <c r="AN476" s="0" t="n">
        <f aca="false">IF(Presupuesto!$B$20='Flujo de Pagos'!$E476,20,9999)</f>
        <v>20</v>
      </c>
      <c r="AO476" s="0" t="n">
        <f aca="false">IF(Presupuesto!$B$21='Flujo de Pagos'!$E476,21,9999)</f>
        <v>21</v>
      </c>
      <c r="AP476" s="0" t="n">
        <f aca="false">IF(Presupuesto!$B$22='Flujo de Pagos'!$E476,22,9999)</f>
        <v>22</v>
      </c>
      <c r="AQ476" s="0" t="n">
        <f aca="false">IF(Presupuesto!$B$23='Flujo de Pagos'!$E476,23,9999)</f>
        <v>23</v>
      </c>
      <c r="AR476" s="0" t="n">
        <f aca="false">IF(Presupuesto!$B$24='Flujo de Pagos'!$E476,24,9999)</f>
        <v>24</v>
      </c>
      <c r="AS476" s="0" t="n">
        <f aca="false">IF(Presupuesto!$B$25='Flujo de Pagos'!$E476,25,9999)</f>
        <v>25</v>
      </c>
      <c r="AT476" s="0" t="n">
        <f aca="false">IF(Presupuesto!$B$26='Flujo de Pagos'!$E476,26,9999)</f>
        <v>26</v>
      </c>
      <c r="AU476" s="0" t="n">
        <f aca="false">IF(Presupuesto!$B$27='Flujo de Pagos'!$E476,27,9999)</f>
        <v>27</v>
      </c>
      <c r="AV476" s="0" t="n">
        <f aca="false">IF(Presupuesto!$B$28='Flujo de Pagos'!$E476,28,9999)</f>
        <v>28</v>
      </c>
      <c r="AW476" s="0" t="n">
        <f aca="false">IF(Presupuesto!$B$29='Flujo de Pagos'!$E476,29,9999)</f>
        <v>29</v>
      </c>
      <c r="AX476" s="0" t="n">
        <f aca="false">IF(Presupuesto!$B$30='Flujo de Pagos'!$E476,30,9999)</f>
        <v>30</v>
      </c>
      <c r="AY476" s="0" t="n">
        <f aca="false">IF(Presupuesto!$B$31='Flujo de Pagos'!$E476,31,9999)</f>
        <v>31</v>
      </c>
      <c r="AZ476" s="0" t="n">
        <f aca="false">IF(Presupuesto!$B$32='Flujo de Pagos'!$E476,32,9999)</f>
        <v>32</v>
      </c>
      <c r="BA476" s="0" t="n">
        <f aca="false">IF(Presupuesto!$B$33='Flujo de Pagos'!$E476,33,9999)</f>
        <v>33</v>
      </c>
      <c r="BB476" s="0" t="n">
        <f aca="false">IF(Presupuesto!$B$34='Flujo de Pagos'!$E476,34,9999)</f>
        <v>34</v>
      </c>
      <c r="BC476" s="0" t="n">
        <f aca="false">IF(Presupuesto!$B$35='Flujo de Pagos'!$E476,35,9999)</f>
        <v>35</v>
      </c>
      <c r="BD476" s="0" t="n">
        <f aca="false">IF(Presupuesto!$B$36='Flujo de Pagos'!$E476,36,9999)</f>
        <v>36</v>
      </c>
      <c r="BE476" s="0" t="n">
        <f aca="false">IF(Presupuesto!$B$37='Flujo de Pagos'!$E476,37,9999)</f>
        <v>37</v>
      </c>
      <c r="BF476" s="0" t="n">
        <f aca="false">IF(Presupuesto!$B$38='Flujo de Pagos'!$E476,38,9999)</f>
        <v>38</v>
      </c>
      <c r="BG476" s="0" t="n">
        <f aca="false">IF(Presupuesto!$B$39='Flujo de Pagos'!$E476,39,9999)</f>
        <v>39</v>
      </c>
      <c r="BH476" s="0" t="n">
        <f aca="false">IF(Presupuesto!$B$40='Flujo de Pagos'!$E476,40,9999)</f>
        <v>40</v>
      </c>
      <c r="BI476" s="0" t="n">
        <f aca="false">IF(Presupuesto!$B$41='Flujo de Pagos'!$E476,41,9999)</f>
        <v>41</v>
      </c>
      <c r="BJ476" s="0" t="n">
        <f aca="false">IF(Presupuesto!$B$42='Flujo de Pagos'!$E476,42,9999)</f>
        <v>42</v>
      </c>
      <c r="BK476" s="0" t="n">
        <f aca="false">IF(Presupuesto!$B$43='Flujo de Pagos'!$E476,43,9999)</f>
        <v>43</v>
      </c>
      <c r="BL476" s="0" t="n">
        <f aca="false">IF(Presupuesto!$B$44='Flujo de Pagos'!$E476,44,9999)</f>
        <v>44</v>
      </c>
      <c r="BM476" s="0" t="n">
        <f aca="false">IF(Presupuesto!$B$45='Flujo de Pagos'!$E476,45,9999)</f>
        <v>45</v>
      </c>
      <c r="BN476" s="0" t="n">
        <f aca="false">IF(Presupuesto!$B$46='Flujo de Pagos'!$E476,46,9999)</f>
        <v>46</v>
      </c>
      <c r="BO476" s="0" t="n">
        <f aca="false">IF(Presupuesto!$B$47='Flujo de Pagos'!$E476,47,9999)</f>
        <v>47</v>
      </c>
      <c r="BP476" s="0" t="n">
        <f aca="false">IF(Presupuesto!$B$48='Flujo de Pagos'!$E476,48,9999)</f>
        <v>48</v>
      </c>
      <c r="BQ476" s="0" t="n">
        <f aca="false">IF(Presupuesto!$B$49='Flujo de Pagos'!$E476,49,9999)</f>
        <v>49</v>
      </c>
      <c r="BR476" s="0" t="n">
        <f aca="false">IF(Presupuesto!$B$50='Flujo de Pagos'!$E476,50,9999)</f>
        <v>50</v>
      </c>
      <c r="BS476" s="0" t="n">
        <f aca="false">IF(Presupuesto!$B$51='Flujo de Pagos'!$E476,51,9999)</f>
        <v>51</v>
      </c>
      <c r="BT476" s="0" t="n">
        <f aca="false">IF(Presupuesto!$B$52='Flujo de Pagos'!$E476,52,9999)</f>
        <v>52</v>
      </c>
      <c r="BU476" s="0" t="n">
        <f aca="false">IF(Presupuesto!$B$53='Flujo de Pagos'!$E476,53,9999)</f>
        <v>53</v>
      </c>
      <c r="BV476" s="0" t="n">
        <f aca="false">IF(Presupuesto!$B$54='Flujo de Pagos'!$E476,54,9999)</f>
        <v>54</v>
      </c>
      <c r="BW476" s="0" t="n">
        <f aca="false">IF(Presupuesto!$B$55='Flujo de Pagos'!$E476,55,9999)</f>
        <v>55</v>
      </c>
      <c r="BX476" s="0" t="n">
        <f aca="false">IF(Presupuesto!$B$56='Flujo de Pagos'!$E476,56,9999)</f>
        <v>56</v>
      </c>
      <c r="BY476" s="0" t="n">
        <f aca="false">IF(Presupuesto!$B$57='Flujo de Pagos'!$E476,57,9999)</f>
        <v>57</v>
      </c>
      <c r="BZ476" s="0" t="n">
        <f aca="false">IF(Presupuesto!$B$58='Flujo de Pagos'!$E476,58,9999)</f>
        <v>58</v>
      </c>
      <c r="CA476" s="0" t="n">
        <f aca="false">IF(Presupuesto!$B$59='Flujo de Pagos'!$E476,59,9999)</f>
        <v>59</v>
      </c>
      <c r="CB476" s="0" t="n">
        <f aca="false">IF(Presupuesto!$B$60='Flujo de Pagos'!$E476,60,9999)</f>
        <v>60</v>
      </c>
      <c r="CC476" s="0" t="n">
        <f aca="false">IF(Presupuesto!$B$61='Flujo de Pagos'!$E476,61,9999)</f>
        <v>61</v>
      </c>
      <c r="CD476" s="0" t="n">
        <f aca="false">IF(Presupuesto!$B$62='Flujo de Pagos'!$E476,62,9999)</f>
        <v>62</v>
      </c>
      <c r="CE476" s="0" t="n">
        <f aca="false">IF(Presupuesto!$B$63='Flujo de Pagos'!$E476,63,9999)</f>
        <v>63</v>
      </c>
      <c r="CF476" s="0" t="n">
        <f aca="false">IF(Presupuesto!$B$64='Flujo de Pagos'!$E476,64,9999)</f>
        <v>64</v>
      </c>
      <c r="CG476" s="0" t="n">
        <f aca="false">IF(Presupuesto!$B$65='Flujo de Pagos'!$E476,65,9999)</f>
        <v>65</v>
      </c>
      <c r="CH476" s="0" t="n">
        <f aca="false">IF(Presupuesto!$B$66='Flujo de Pagos'!$E476,66,9999)</f>
        <v>66</v>
      </c>
    </row>
    <row r="477" customFormat="false" ht="15" hidden="false" customHeight="true" outlineLevel="0" collapsed="false">
      <c r="B477" s="1" t="n">
        <f aca="false">IF(AND('Flujo de Pagos'!E482=Carátula!$B$2,'Flujo de Pagos'!F482=Carátula!$B$4,'Flujo de Pagos'!H482&lt;&gt;""),482,99999)</f>
        <v>99999</v>
      </c>
      <c r="H477" s="1" t="n">
        <f aca="false">IF(SMALL($AA477:$CH477,1)&gt;=9999,"",INDEX(Presupuesto!$C:$C,SMALL($AA477:$CH477,1)))</f>
        <v>0</v>
      </c>
      <c r="I477" s="1" t="n">
        <f aca="false">IF(SMALL($AA477:$CH477,2)&gt;=9999,"",INDEX(Presupuesto!$C:$C,SMALL($AA477:$CH477,2)))</f>
        <v>0</v>
      </c>
      <c r="J477" s="1" t="n">
        <f aca="false">IF(SMALL($AA477:$CH477,3)&gt;=9999,"",INDEX(Presupuesto!$C:$C,SMALL($AA477:$CH477,3)))</f>
        <v>0</v>
      </c>
      <c r="K477" s="1" t="n">
        <f aca="false">IF(SMALL($AA477:$CH477,4)&gt;=9999,"",INDEX(Presupuesto!$C:$C,SMALL($AA477:$CH477,4)))</f>
        <v>0</v>
      </c>
      <c r="L477" s="1" t="n">
        <f aca="false">IF(SMALL($AA477:$CH477,5)&gt;=9999,"",INDEX(Presupuesto!$C:$C,SMALL($AA477:$CH477,5)))</f>
        <v>0</v>
      </c>
      <c r="M477" s="1" t="n">
        <f aca="false">IF(SMALL($AA477:$CH477,6)&gt;=9999,"",INDEX(Presupuesto!$C:$C,SMALL($AA477:$CH477,6)))</f>
        <v>0</v>
      </c>
      <c r="N477" s="1" t="n">
        <f aca="false">IF(SMALL($AA477:$CH477,7)&gt;=9999,"",INDEX(Presupuesto!$C:$C,SMALL($AA477:$CH477,7)))</f>
        <v>0</v>
      </c>
      <c r="O477" s="1" t="n">
        <f aca="false">IF(SMALL($AA477:$CH477,8)&gt;=9999,"",INDEX(Presupuesto!$C:$C,SMALL($AA477:$CH477,8)))</f>
        <v>0</v>
      </c>
      <c r="P477" s="1" t="n">
        <f aca="false">IF(SMALL($AA477:$CH477,9)&gt;=9999,"",INDEX(Presupuesto!$C:$C,SMALL($AA477:$CH477,9)))</f>
        <v>0</v>
      </c>
      <c r="Q477" s="1" t="n">
        <f aca="false">IF(SMALL($AA477:$CH477,10)&gt;=9999,"",INDEX(Presupuesto!$C:$C,SMALL($AA477:$CH477,10)))</f>
        <v>0</v>
      </c>
      <c r="AA477" s="0" t="n">
        <f aca="false">IF(Presupuesto!$B$7='Flujo de Pagos'!$E477,7,9999)</f>
        <v>9999</v>
      </c>
      <c r="AB477" s="0" t="n">
        <f aca="false">IF(Presupuesto!$B$8='Flujo de Pagos'!$E477,8,9999)</f>
        <v>9999</v>
      </c>
      <c r="AC477" s="0" t="n">
        <f aca="false">IF(Presupuesto!$B$9='Flujo de Pagos'!$E477,9,9999)</f>
        <v>9999</v>
      </c>
      <c r="AD477" s="0" t="n">
        <f aca="false">IF(Presupuesto!$B$10='Flujo de Pagos'!$E477,10,9999)</f>
        <v>9999</v>
      </c>
      <c r="AE477" s="0" t="n">
        <f aca="false">IF(Presupuesto!$B$11='Flujo de Pagos'!$E477,11,9999)</f>
        <v>9999</v>
      </c>
      <c r="AF477" s="0" t="n">
        <f aca="false">IF(Presupuesto!$B$12='Flujo de Pagos'!$E477,12,9999)</f>
        <v>12</v>
      </c>
      <c r="AG477" s="0" t="n">
        <f aca="false">IF(Presupuesto!$B$13='Flujo de Pagos'!$E477,13,9999)</f>
        <v>13</v>
      </c>
      <c r="AH477" s="0" t="n">
        <f aca="false">IF(Presupuesto!$B$14='Flujo de Pagos'!$E477,14,9999)</f>
        <v>14</v>
      </c>
      <c r="AI477" s="0" t="n">
        <f aca="false">IF(Presupuesto!$B$15='Flujo de Pagos'!$E477,15,9999)</f>
        <v>15</v>
      </c>
      <c r="AJ477" s="0" t="n">
        <f aca="false">IF(Presupuesto!$B$16='Flujo de Pagos'!$E477,16,9999)</f>
        <v>16</v>
      </c>
      <c r="AK477" s="0" t="n">
        <f aca="false">IF(Presupuesto!$B$17='Flujo de Pagos'!$E477,17,9999)</f>
        <v>17</v>
      </c>
      <c r="AL477" s="0" t="n">
        <f aca="false">IF(Presupuesto!$B$18='Flujo de Pagos'!$E477,18,9999)</f>
        <v>18</v>
      </c>
      <c r="AM477" s="0" t="n">
        <f aca="false">IF(Presupuesto!$B$19='Flujo de Pagos'!$E477,19,9999)</f>
        <v>19</v>
      </c>
      <c r="AN477" s="0" t="n">
        <f aca="false">IF(Presupuesto!$B$20='Flujo de Pagos'!$E477,20,9999)</f>
        <v>20</v>
      </c>
      <c r="AO477" s="0" t="n">
        <f aca="false">IF(Presupuesto!$B$21='Flujo de Pagos'!$E477,21,9999)</f>
        <v>21</v>
      </c>
      <c r="AP477" s="0" t="n">
        <f aca="false">IF(Presupuesto!$B$22='Flujo de Pagos'!$E477,22,9999)</f>
        <v>22</v>
      </c>
      <c r="AQ477" s="0" t="n">
        <f aca="false">IF(Presupuesto!$B$23='Flujo de Pagos'!$E477,23,9999)</f>
        <v>23</v>
      </c>
      <c r="AR477" s="0" t="n">
        <f aca="false">IF(Presupuesto!$B$24='Flujo de Pagos'!$E477,24,9999)</f>
        <v>24</v>
      </c>
      <c r="AS477" s="0" t="n">
        <f aca="false">IF(Presupuesto!$B$25='Flujo de Pagos'!$E477,25,9999)</f>
        <v>25</v>
      </c>
      <c r="AT477" s="0" t="n">
        <f aca="false">IF(Presupuesto!$B$26='Flujo de Pagos'!$E477,26,9999)</f>
        <v>26</v>
      </c>
      <c r="AU477" s="0" t="n">
        <f aca="false">IF(Presupuesto!$B$27='Flujo de Pagos'!$E477,27,9999)</f>
        <v>27</v>
      </c>
      <c r="AV477" s="0" t="n">
        <f aca="false">IF(Presupuesto!$B$28='Flujo de Pagos'!$E477,28,9999)</f>
        <v>28</v>
      </c>
      <c r="AW477" s="0" t="n">
        <f aca="false">IF(Presupuesto!$B$29='Flujo de Pagos'!$E477,29,9999)</f>
        <v>29</v>
      </c>
      <c r="AX477" s="0" t="n">
        <f aca="false">IF(Presupuesto!$B$30='Flujo de Pagos'!$E477,30,9999)</f>
        <v>30</v>
      </c>
      <c r="AY477" s="0" t="n">
        <f aca="false">IF(Presupuesto!$B$31='Flujo de Pagos'!$E477,31,9999)</f>
        <v>31</v>
      </c>
      <c r="AZ477" s="0" t="n">
        <f aca="false">IF(Presupuesto!$B$32='Flujo de Pagos'!$E477,32,9999)</f>
        <v>32</v>
      </c>
      <c r="BA477" s="0" t="n">
        <f aca="false">IF(Presupuesto!$B$33='Flujo de Pagos'!$E477,33,9999)</f>
        <v>33</v>
      </c>
      <c r="BB477" s="0" t="n">
        <f aca="false">IF(Presupuesto!$B$34='Flujo de Pagos'!$E477,34,9999)</f>
        <v>34</v>
      </c>
      <c r="BC477" s="0" t="n">
        <f aca="false">IF(Presupuesto!$B$35='Flujo de Pagos'!$E477,35,9999)</f>
        <v>35</v>
      </c>
      <c r="BD477" s="0" t="n">
        <f aca="false">IF(Presupuesto!$B$36='Flujo de Pagos'!$E477,36,9999)</f>
        <v>36</v>
      </c>
      <c r="BE477" s="0" t="n">
        <f aca="false">IF(Presupuesto!$B$37='Flujo de Pagos'!$E477,37,9999)</f>
        <v>37</v>
      </c>
      <c r="BF477" s="0" t="n">
        <f aca="false">IF(Presupuesto!$B$38='Flujo de Pagos'!$E477,38,9999)</f>
        <v>38</v>
      </c>
      <c r="BG477" s="0" t="n">
        <f aca="false">IF(Presupuesto!$B$39='Flujo de Pagos'!$E477,39,9999)</f>
        <v>39</v>
      </c>
      <c r="BH477" s="0" t="n">
        <f aca="false">IF(Presupuesto!$B$40='Flujo de Pagos'!$E477,40,9999)</f>
        <v>40</v>
      </c>
      <c r="BI477" s="0" t="n">
        <f aca="false">IF(Presupuesto!$B$41='Flujo de Pagos'!$E477,41,9999)</f>
        <v>41</v>
      </c>
      <c r="BJ477" s="0" t="n">
        <f aca="false">IF(Presupuesto!$B$42='Flujo de Pagos'!$E477,42,9999)</f>
        <v>42</v>
      </c>
      <c r="BK477" s="0" t="n">
        <f aca="false">IF(Presupuesto!$B$43='Flujo de Pagos'!$E477,43,9999)</f>
        <v>43</v>
      </c>
      <c r="BL477" s="0" t="n">
        <f aca="false">IF(Presupuesto!$B$44='Flujo de Pagos'!$E477,44,9999)</f>
        <v>44</v>
      </c>
      <c r="BM477" s="0" t="n">
        <f aca="false">IF(Presupuesto!$B$45='Flujo de Pagos'!$E477,45,9999)</f>
        <v>45</v>
      </c>
      <c r="BN477" s="0" t="n">
        <f aca="false">IF(Presupuesto!$B$46='Flujo de Pagos'!$E477,46,9999)</f>
        <v>46</v>
      </c>
      <c r="BO477" s="0" t="n">
        <f aca="false">IF(Presupuesto!$B$47='Flujo de Pagos'!$E477,47,9999)</f>
        <v>47</v>
      </c>
      <c r="BP477" s="0" t="n">
        <f aca="false">IF(Presupuesto!$B$48='Flujo de Pagos'!$E477,48,9999)</f>
        <v>48</v>
      </c>
      <c r="BQ477" s="0" t="n">
        <f aca="false">IF(Presupuesto!$B$49='Flujo de Pagos'!$E477,49,9999)</f>
        <v>49</v>
      </c>
      <c r="BR477" s="0" t="n">
        <f aca="false">IF(Presupuesto!$B$50='Flujo de Pagos'!$E477,50,9999)</f>
        <v>50</v>
      </c>
      <c r="BS477" s="0" t="n">
        <f aca="false">IF(Presupuesto!$B$51='Flujo de Pagos'!$E477,51,9999)</f>
        <v>51</v>
      </c>
      <c r="BT477" s="0" t="n">
        <f aca="false">IF(Presupuesto!$B$52='Flujo de Pagos'!$E477,52,9999)</f>
        <v>52</v>
      </c>
      <c r="BU477" s="0" t="n">
        <f aca="false">IF(Presupuesto!$B$53='Flujo de Pagos'!$E477,53,9999)</f>
        <v>53</v>
      </c>
      <c r="BV477" s="0" t="n">
        <f aca="false">IF(Presupuesto!$B$54='Flujo de Pagos'!$E477,54,9999)</f>
        <v>54</v>
      </c>
      <c r="BW477" s="0" t="n">
        <f aca="false">IF(Presupuesto!$B$55='Flujo de Pagos'!$E477,55,9999)</f>
        <v>55</v>
      </c>
      <c r="BX477" s="0" t="n">
        <f aca="false">IF(Presupuesto!$B$56='Flujo de Pagos'!$E477,56,9999)</f>
        <v>56</v>
      </c>
      <c r="BY477" s="0" t="n">
        <f aca="false">IF(Presupuesto!$B$57='Flujo de Pagos'!$E477,57,9999)</f>
        <v>57</v>
      </c>
      <c r="BZ477" s="0" t="n">
        <f aca="false">IF(Presupuesto!$B$58='Flujo de Pagos'!$E477,58,9999)</f>
        <v>58</v>
      </c>
      <c r="CA477" s="0" t="n">
        <f aca="false">IF(Presupuesto!$B$59='Flujo de Pagos'!$E477,59,9999)</f>
        <v>59</v>
      </c>
      <c r="CB477" s="0" t="n">
        <f aca="false">IF(Presupuesto!$B$60='Flujo de Pagos'!$E477,60,9999)</f>
        <v>60</v>
      </c>
      <c r="CC477" s="0" t="n">
        <f aca="false">IF(Presupuesto!$B$61='Flujo de Pagos'!$E477,61,9999)</f>
        <v>61</v>
      </c>
      <c r="CD477" s="0" t="n">
        <f aca="false">IF(Presupuesto!$B$62='Flujo de Pagos'!$E477,62,9999)</f>
        <v>62</v>
      </c>
      <c r="CE477" s="0" t="n">
        <f aca="false">IF(Presupuesto!$B$63='Flujo de Pagos'!$E477,63,9999)</f>
        <v>63</v>
      </c>
      <c r="CF477" s="0" t="n">
        <f aca="false">IF(Presupuesto!$B$64='Flujo de Pagos'!$E477,64,9999)</f>
        <v>64</v>
      </c>
      <c r="CG477" s="0" t="n">
        <f aca="false">IF(Presupuesto!$B$65='Flujo de Pagos'!$E477,65,9999)</f>
        <v>65</v>
      </c>
      <c r="CH477" s="0" t="n">
        <f aca="false">IF(Presupuesto!$B$66='Flujo de Pagos'!$E477,66,9999)</f>
        <v>66</v>
      </c>
    </row>
    <row r="478" customFormat="false" ht="15" hidden="false" customHeight="true" outlineLevel="0" collapsed="false">
      <c r="B478" s="1" t="n">
        <f aca="false">IF(AND('Flujo de Pagos'!E483=Carátula!$B$2,'Flujo de Pagos'!F483=Carátula!$B$4,'Flujo de Pagos'!H483&lt;&gt;""),483,99999)</f>
        <v>99999</v>
      </c>
      <c r="H478" s="1" t="n">
        <f aca="false">IF(SMALL($AA478:$CH478,1)&gt;=9999,"",INDEX(Presupuesto!$C:$C,SMALL($AA478:$CH478,1)))</f>
        <v>0</v>
      </c>
      <c r="I478" s="1" t="n">
        <f aca="false">IF(SMALL($AA478:$CH478,2)&gt;=9999,"",INDEX(Presupuesto!$C:$C,SMALL($AA478:$CH478,2)))</f>
        <v>0</v>
      </c>
      <c r="J478" s="1" t="n">
        <f aca="false">IF(SMALL($AA478:$CH478,3)&gt;=9999,"",INDEX(Presupuesto!$C:$C,SMALL($AA478:$CH478,3)))</f>
        <v>0</v>
      </c>
      <c r="K478" s="1" t="n">
        <f aca="false">IF(SMALL($AA478:$CH478,4)&gt;=9999,"",INDEX(Presupuesto!$C:$C,SMALL($AA478:$CH478,4)))</f>
        <v>0</v>
      </c>
      <c r="L478" s="1" t="n">
        <f aca="false">IF(SMALL($AA478:$CH478,5)&gt;=9999,"",INDEX(Presupuesto!$C:$C,SMALL($AA478:$CH478,5)))</f>
        <v>0</v>
      </c>
      <c r="M478" s="1" t="n">
        <f aca="false">IF(SMALL($AA478:$CH478,6)&gt;=9999,"",INDEX(Presupuesto!$C:$C,SMALL($AA478:$CH478,6)))</f>
        <v>0</v>
      </c>
      <c r="N478" s="1" t="n">
        <f aca="false">IF(SMALL($AA478:$CH478,7)&gt;=9999,"",INDEX(Presupuesto!$C:$C,SMALL($AA478:$CH478,7)))</f>
        <v>0</v>
      </c>
      <c r="O478" s="1" t="n">
        <f aca="false">IF(SMALL($AA478:$CH478,8)&gt;=9999,"",INDEX(Presupuesto!$C:$C,SMALL($AA478:$CH478,8)))</f>
        <v>0</v>
      </c>
      <c r="P478" s="1" t="n">
        <f aca="false">IF(SMALL($AA478:$CH478,9)&gt;=9999,"",INDEX(Presupuesto!$C:$C,SMALL($AA478:$CH478,9)))</f>
        <v>0</v>
      </c>
      <c r="Q478" s="1" t="n">
        <f aca="false">IF(SMALL($AA478:$CH478,10)&gt;=9999,"",INDEX(Presupuesto!$C:$C,SMALL($AA478:$CH478,10)))</f>
        <v>0</v>
      </c>
      <c r="AA478" s="0" t="n">
        <f aca="false">IF(Presupuesto!$B$7='Flujo de Pagos'!$E478,7,9999)</f>
        <v>9999</v>
      </c>
      <c r="AB478" s="0" t="n">
        <f aca="false">IF(Presupuesto!$B$8='Flujo de Pagos'!$E478,8,9999)</f>
        <v>9999</v>
      </c>
      <c r="AC478" s="0" t="n">
        <f aca="false">IF(Presupuesto!$B$9='Flujo de Pagos'!$E478,9,9999)</f>
        <v>9999</v>
      </c>
      <c r="AD478" s="0" t="n">
        <f aca="false">IF(Presupuesto!$B$10='Flujo de Pagos'!$E478,10,9999)</f>
        <v>9999</v>
      </c>
      <c r="AE478" s="0" t="n">
        <f aca="false">IF(Presupuesto!$B$11='Flujo de Pagos'!$E478,11,9999)</f>
        <v>9999</v>
      </c>
      <c r="AF478" s="0" t="n">
        <f aca="false">IF(Presupuesto!$B$12='Flujo de Pagos'!$E478,12,9999)</f>
        <v>12</v>
      </c>
      <c r="AG478" s="0" t="n">
        <f aca="false">IF(Presupuesto!$B$13='Flujo de Pagos'!$E478,13,9999)</f>
        <v>13</v>
      </c>
      <c r="AH478" s="0" t="n">
        <f aca="false">IF(Presupuesto!$B$14='Flujo de Pagos'!$E478,14,9999)</f>
        <v>14</v>
      </c>
      <c r="AI478" s="0" t="n">
        <f aca="false">IF(Presupuesto!$B$15='Flujo de Pagos'!$E478,15,9999)</f>
        <v>15</v>
      </c>
      <c r="AJ478" s="0" t="n">
        <f aca="false">IF(Presupuesto!$B$16='Flujo de Pagos'!$E478,16,9999)</f>
        <v>16</v>
      </c>
      <c r="AK478" s="0" t="n">
        <f aca="false">IF(Presupuesto!$B$17='Flujo de Pagos'!$E478,17,9999)</f>
        <v>17</v>
      </c>
      <c r="AL478" s="0" t="n">
        <f aca="false">IF(Presupuesto!$B$18='Flujo de Pagos'!$E478,18,9999)</f>
        <v>18</v>
      </c>
      <c r="AM478" s="0" t="n">
        <f aca="false">IF(Presupuesto!$B$19='Flujo de Pagos'!$E478,19,9999)</f>
        <v>19</v>
      </c>
      <c r="AN478" s="0" t="n">
        <f aca="false">IF(Presupuesto!$B$20='Flujo de Pagos'!$E478,20,9999)</f>
        <v>20</v>
      </c>
      <c r="AO478" s="0" t="n">
        <f aca="false">IF(Presupuesto!$B$21='Flujo de Pagos'!$E478,21,9999)</f>
        <v>21</v>
      </c>
      <c r="AP478" s="0" t="n">
        <f aca="false">IF(Presupuesto!$B$22='Flujo de Pagos'!$E478,22,9999)</f>
        <v>22</v>
      </c>
      <c r="AQ478" s="0" t="n">
        <f aca="false">IF(Presupuesto!$B$23='Flujo de Pagos'!$E478,23,9999)</f>
        <v>23</v>
      </c>
      <c r="AR478" s="0" t="n">
        <f aca="false">IF(Presupuesto!$B$24='Flujo de Pagos'!$E478,24,9999)</f>
        <v>24</v>
      </c>
      <c r="AS478" s="0" t="n">
        <f aca="false">IF(Presupuesto!$B$25='Flujo de Pagos'!$E478,25,9999)</f>
        <v>25</v>
      </c>
      <c r="AT478" s="0" t="n">
        <f aca="false">IF(Presupuesto!$B$26='Flujo de Pagos'!$E478,26,9999)</f>
        <v>26</v>
      </c>
      <c r="AU478" s="0" t="n">
        <f aca="false">IF(Presupuesto!$B$27='Flujo de Pagos'!$E478,27,9999)</f>
        <v>27</v>
      </c>
      <c r="AV478" s="0" t="n">
        <f aca="false">IF(Presupuesto!$B$28='Flujo de Pagos'!$E478,28,9999)</f>
        <v>28</v>
      </c>
      <c r="AW478" s="0" t="n">
        <f aca="false">IF(Presupuesto!$B$29='Flujo de Pagos'!$E478,29,9999)</f>
        <v>29</v>
      </c>
      <c r="AX478" s="0" t="n">
        <f aca="false">IF(Presupuesto!$B$30='Flujo de Pagos'!$E478,30,9999)</f>
        <v>30</v>
      </c>
      <c r="AY478" s="0" t="n">
        <f aca="false">IF(Presupuesto!$B$31='Flujo de Pagos'!$E478,31,9999)</f>
        <v>31</v>
      </c>
      <c r="AZ478" s="0" t="n">
        <f aca="false">IF(Presupuesto!$B$32='Flujo de Pagos'!$E478,32,9999)</f>
        <v>32</v>
      </c>
      <c r="BA478" s="0" t="n">
        <f aca="false">IF(Presupuesto!$B$33='Flujo de Pagos'!$E478,33,9999)</f>
        <v>33</v>
      </c>
      <c r="BB478" s="0" t="n">
        <f aca="false">IF(Presupuesto!$B$34='Flujo de Pagos'!$E478,34,9999)</f>
        <v>34</v>
      </c>
      <c r="BC478" s="0" t="n">
        <f aca="false">IF(Presupuesto!$B$35='Flujo de Pagos'!$E478,35,9999)</f>
        <v>35</v>
      </c>
      <c r="BD478" s="0" t="n">
        <f aca="false">IF(Presupuesto!$B$36='Flujo de Pagos'!$E478,36,9999)</f>
        <v>36</v>
      </c>
      <c r="BE478" s="0" t="n">
        <f aca="false">IF(Presupuesto!$B$37='Flujo de Pagos'!$E478,37,9999)</f>
        <v>37</v>
      </c>
      <c r="BF478" s="0" t="n">
        <f aca="false">IF(Presupuesto!$B$38='Flujo de Pagos'!$E478,38,9999)</f>
        <v>38</v>
      </c>
      <c r="BG478" s="0" t="n">
        <f aca="false">IF(Presupuesto!$B$39='Flujo de Pagos'!$E478,39,9999)</f>
        <v>39</v>
      </c>
      <c r="BH478" s="0" t="n">
        <f aca="false">IF(Presupuesto!$B$40='Flujo de Pagos'!$E478,40,9999)</f>
        <v>40</v>
      </c>
      <c r="BI478" s="0" t="n">
        <f aca="false">IF(Presupuesto!$B$41='Flujo de Pagos'!$E478,41,9999)</f>
        <v>41</v>
      </c>
      <c r="BJ478" s="0" t="n">
        <f aca="false">IF(Presupuesto!$B$42='Flujo de Pagos'!$E478,42,9999)</f>
        <v>42</v>
      </c>
      <c r="BK478" s="0" t="n">
        <f aca="false">IF(Presupuesto!$B$43='Flujo de Pagos'!$E478,43,9999)</f>
        <v>43</v>
      </c>
      <c r="BL478" s="0" t="n">
        <f aca="false">IF(Presupuesto!$B$44='Flujo de Pagos'!$E478,44,9999)</f>
        <v>44</v>
      </c>
      <c r="BM478" s="0" t="n">
        <f aca="false">IF(Presupuesto!$B$45='Flujo de Pagos'!$E478,45,9999)</f>
        <v>45</v>
      </c>
      <c r="BN478" s="0" t="n">
        <f aca="false">IF(Presupuesto!$B$46='Flujo de Pagos'!$E478,46,9999)</f>
        <v>46</v>
      </c>
      <c r="BO478" s="0" t="n">
        <f aca="false">IF(Presupuesto!$B$47='Flujo de Pagos'!$E478,47,9999)</f>
        <v>47</v>
      </c>
      <c r="BP478" s="0" t="n">
        <f aca="false">IF(Presupuesto!$B$48='Flujo de Pagos'!$E478,48,9999)</f>
        <v>48</v>
      </c>
      <c r="BQ478" s="0" t="n">
        <f aca="false">IF(Presupuesto!$B$49='Flujo de Pagos'!$E478,49,9999)</f>
        <v>49</v>
      </c>
      <c r="BR478" s="0" t="n">
        <f aca="false">IF(Presupuesto!$B$50='Flujo de Pagos'!$E478,50,9999)</f>
        <v>50</v>
      </c>
      <c r="BS478" s="0" t="n">
        <f aca="false">IF(Presupuesto!$B$51='Flujo de Pagos'!$E478,51,9999)</f>
        <v>51</v>
      </c>
      <c r="BT478" s="0" t="n">
        <f aca="false">IF(Presupuesto!$B$52='Flujo de Pagos'!$E478,52,9999)</f>
        <v>52</v>
      </c>
      <c r="BU478" s="0" t="n">
        <f aca="false">IF(Presupuesto!$B$53='Flujo de Pagos'!$E478,53,9999)</f>
        <v>53</v>
      </c>
      <c r="BV478" s="0" t="n">
        <f aca="false">IF(Presupuesto!$B$54='Flujo de Pagos'!$E478,54,9999)</f>
        <v>54</v>
      </c>
      <c r="BW478" s="0" t="n">
        <f aca="false">IF(Presupuesto!$B$55='Flujo de Pagos'!$E478,55,9999)</f>
        <v>55</v>
      </c>
      <c r="BX478" s="0" t="n">
        <f aca="false">IF(Presupuesto!$B$56='Flujo de Pagos'!$E478,56,9999)</f>
        <v>56</v>
      </c>
      <c r="BY478" s="0" t="n">
        <f aca="false">IF(Presupuesto!$B$57='Flujo de Pagos'!$E478,57,9999)</f>
        <v>57</v>
      </c>
      <c r="BZ478" s="0" t="n">
        <f aca="false">IF(Presupuesto!$B$58='Flujo de Pagos'!$E478,58,9999)</f>
        <v>58</v>
      </c>
      <c r="CA478" s="0" t="n">
        <f aca="false">IF(Presupuesto!$B$59='Flujo de Pagos'!$E478,59,9999)</f>
        <v>59</v>
      </c>
      <c r="CB478" s="0" t="n">
        <f aca="false">IF(Presupuesto!$B$60='Flujo de Pagos'!$E478,60,9999)</f>
        <v>60</v>
      </c>
      <c r="CC478" s="0" t="n">
        <f aca="false">IF(Presupuesto!$B$61='Flujo de Pagos'!$E478,61,9999)</f>
        <v>61</v>
      </c>
      <c r="CD478" s="0" t="n">
        <f aca="false">IF(Presupuesto!$B$62='Flujo de Pagos'!$E478,62,9999)</f>
        <v>62</v>
      </c>
      <c r="CE478" s="0" t="n">
        <f aca="false">IF(Presupuesto!$B$63='Flujo de Pagos'!$E478,63,9999)</f>
        <v>63</v>
      </c>
      <c r="CF478" s="0" t="n">
        <f aca="false">IF(Presupuesto!$B$64='Flujo de Pagos'!$E478,64,9999)</f>
        <v>64</v>
      </c>
      <c r="CG478" s="0" t="n">
        <f aca="false">IF(Presupuesto!$B$65='Flujo de Pagos'!$E478,65,9999)</f>
        <v>65</v>
      </c>
      <c r="CH478" s="0" t="n">
        <f aca="false">IF(Presupuesto!$B$66='Flujo de Pagos'!$E478,66,9999)</f>
        <v>66</v>
      </c>
    </row>
    <row r="479" customFormat="false" ht="15" hidden="false" customHeight="true" outlineLevel="0" collapsed="false">
      <c r="B479" s="1" t="n">
        <f aca="false">IF(AND('Flujo de Pagos'!E484=Carátula!$B$2,'Flujo de Pagos'!F484=Carátula!$B$4,'Flujo de Pagos'!H484&lt;&gt;""),484,99999)</f>
        <v>99999</v>
      </c>
      <c r="H479" s="1" t="n">
        <f aca="false">IF(SMALL($AA479:$CH479,1)&gt;=9999,"",INDEX(Presupuesto!$C:$C,SMALL($AA479:$CH479,1)))</f>
        <v>0</v>
      </c>
      <c r="I479" s="1" t="n">
        <f aca="false">IF(SMALL($AA479:$CH479,2)&gt;=9999,"",INDEX(Presupuesto!$C:$C,SMALL($AA479:$CH479,2)))</f>
        <v>0</v>
      </c>
      <c r="J479" s="1" t="n">
        <f aca="false">IF(SMALL($AA479:$CH479,3)&gt;=9999,"",INDEX(Presupuesto!$C:$C,SMALL($AA479:$CH479,3)))</f>
        <v>0</v>
      </c>
      <c r="K479" s="1" t="n">
        <f aca="false">IF(SMALL($AA479:$CH479,4)&gt;=9999,"",INDEX(Presupuesto!$C:$C,SMALL($AA479:$CH479,4)))</f>
        <v>0</v>
      </c>
      <c r="L479" s="1" t="n">
        <f aca="false">IF(SMALL($AA479:$CH479,5)&gt;=9999,"",INDEX(Presupuesto!$C:$C,SMALL($AA479:$CH479,5)))</f>
        <v>0</v>
      </c>
      <c r="M479" s="1" t="n">
        <f aca="false">IF(SMALL($AA479:$CH479,6)&gt;=9999,"",INDEX(Presupuesto!$C:$C,SMALL($AA479:$CH479,6)))</f>
        <v>0</v>
      </c>
      <c r="N479" s="1" t="n">
        <f aca="false">IF(SMALL($AA479:$CH479,7)&gt;=9999,"",INDEX(Presupuesto!$C:$C,SMALL($AA479:$CH479,7)))</f>
        <v>0</v>
      </c>
      <c r="O479" s="1" t="n">
        <f aca="false">IF(SMALL($AA479:$CH479,8)&gt;=9999,"",INDEX(Presupuesto!$C:$C,SMALL($AA479:$CH479,8)))</f>
        <v>0</v>
      </c>
      <c r="P479" s="1" t="n">
        <f aca="false">IF(SMALL($AA479:$CH479,9)&gt;=9999,"",INDEX(Presupuesto!$C:$C,SMALL($AA479:$CH479,9)))</f>
        <v>0</v>
      </c>
      <c r="Q479" s="1" t="n">
        <f aca="false">IF(SMALL($AA479:$CH479,10)&gt;=9999,"",INDEX(Presupuesto!$C:$C,SMALL($AA479:$CH479,10)))</f>
        <v>0</v>
      </c>
      <c r="AA479" s="0" t="n">
        <f aca="false">IF(Presupuesto!$B$7='Flujo de Pagos'!$E479,7,9999)</f>
        <v>9999</v>
      </c>
      <c r="AB479" s="0" t="n">
        <f aca="false">IF(Presupuesto!$B$8='Flujo de Pagos'!$E479,8,9999)</f>
        <v>9999</v>
      </c>
      <c r="AC479" s="0" t="n">
        <f aca="false">IF(Presupuesto!$B$9='Flujo de Pagos'!$E479,9,9999)</f>
        <v>9999</v>
      </c>
      <c r="AD479" s="0" t="n">
        <f aca="false">IF(Presupuesto!$B$10='Flujo de Pagos'!$E479,10,9999)</f>
        <v>9999</v>
      </c>
      <c r="AE479" s="0" t="n">
        <f aca="false">IF(Presupuesto!$B$11='Flujo de Pagos'!$E479,11,9999)</f>
        <v>9999</v>
      </c>
      <c r="AF479" s="0" t="n">
        <f aca="false">IF(Presupuesto!$B$12='Flujo de Pagos'!$E479,12,9999)</f>
        <v>12</v>
      </c>
      <c r="AG479" s="0" t="n">
        <f aca="false">IF(Presupuesto!$B$13='Flujo de Pagos'!$E479,13,9999)</f>
        <v>13</v>
      </c>
      <c r="AH479" s="0" t="n">
        <f aca="false">IF(Presupuesto!$B$14='Flujo de Pagos'!$E479,14,9999)</f>
        <v>14</v>
      </c>
      <c r="AI479" s="0" t="n">
        <f aca="false">IF(Presupuesto!$B$15='Flujo de Pagos'!$E479,15,9999)</f>
        <v>15</v>
      </c>
      <c r="AJ479" s="0" t="n">
        <f aca="false">IF(Presupuesto!$B$16='Flujo de Pagos'!$E479,16,9999)</f>
        <v>16</v>
      </c>
      <c r="AK479" s="0" t="n">
        <f aca="false">IF(Presupuesto!$B$17='Flujo de Pagos'!$E479,17,9999)</f>
        <v>17</v>
      </c>
      <c r="AL479" s="0" t="n">
        <f aca="false">IF(Presupuesto!$B$18='Flujo de Pagos'!$E479,18,9999)</f>
        <v>18</v>
      </c>
      <c r="AM479" s="0" t="n">
        <f aca="false">IF(Presupuesto!$B$19='Flujo de Pagos'!$E479,19,9999)</f>
        <v>19</v>
      </c>
      <c r="AN479" s="0" t="n">
        <f aca="false">IF(Presupuesto!$B$20='Flujo de Pagos'!$E479,20,9999)</f>
        <v>20</v>
      </c>
      <c r="AO479" s="0" t="n">
        <f aca="false">IF(Presupuesto!$B$21='Flujo de Pagos'!$E479,21,9999)</f>
        <v>21</v>
      </c>
      <c r="AP479" s="0" t="n">
        <f aca="false">IF(Presupuesto!$B$22='Flujo de Pagos'!$E479,22,9999)</f>
        <v>22</v>
      </c>
      <c r="AQ479" s="0" t="n">
        <f aca="false">IF(Presupuesto!$B$23='Flujo de Pagos'!$E479,23,9999)</f>
        <v>23</v>
      </c>
      <c r="AR479" s="0" t="n">
        <f aca="false">IF(Presupuesto!$B$24='Flujo de Pagos'!$E479,24,9999)</f>
        <v>24</v>
      </c>
      <c r="AS479" s="0" t="n">
        <f aca="false">IF(Presupuesto!$B$25='Flujo de Pagos'!$E479,25,9999)</f>
        <v>25</v>
      </c>
      <c r="AT479" s="0" t="n">
        <f aca="false">IF(Presupuesto!$B$26='Flujo de Pagos'!$E479,26,9999)</f>
        <v>26</v>
      </c>
      <c r="AU479" s="0" t="n">
        <f aca="false">IF(Presupuesto!$B$27='Flujo de Pagos'!$E479,27,9999)</f>
        <v>27</v>
      </c>
      <c r="AV479" s="0" t="n">
        <f aca="false">IF(Presupuesto!$B$28='Flujo de Pagos'!$E479,28,9999)</f>
        <v>28</v>
      </c>
      <c r="AW479" s="0" t="n">
        <f aca="false">IF(Presupuesto!$B$29='Flujo de Pagos'!$E479,29,9999)</f>
        <v>29</v>
      </c>
      <c r="AX479" s="0" t="n">
        <f aca="false">IF(Presupuesto!$B$30='Flujo de Pagos'!$E479,30,9999)</f>
        <v>30</v>
      </c>
      <c r="AY479" s="0" t="n">
        <f aca="false">IF(Presupuesto!$B$31='Flujo de Pagos'!$E479,31,9999)</f>
        <v>31</v>
      </c>
      <c r="AZ479" s="0" t="n">
        <f aca="false">IF(Presupuesto!$B$32='Flujo de Pagos'!$E479,32,9999)</f>
        <v>32</v>
      </c>
      <c r="BA479" s="0" t="n">
        <f aca="false">IF(Presupuesto!$B$33='Flujo de Pagos'!$E479,33,9999)</f>
        <v>33</v>
      </c>
      <c r="BB479" s="0" t="n">
        <f aca="false">IF(Presupuesto!$B$34='Flujo de Pagos'!$E479,34,9999)</f>
        <v>34</v>
      </c>
      <c r="BC479" s="0" t="n">
        <f aca="false">IF(Presupuesto!$B$35='Flujo de Pagos'!$E479,35,9999)</f>
        <v>35</v>
      </c>
      <c r="BD479" s="0" t="n">
        <f aca="false">IF(Presupuesto!$B$36='Flujo de Pagos'!$E479,36,9999)</f>
        <v>36</v>
      </c>
      <c r="BE479" s="0" t="n">
        <f aca="false">IF(Presupuesto!$B$37='Flujo de Pagos'!$E479,37,9999)</f>
        <v>37</v>
      </c>
      <c r="BF479" s="0" t="n">
        <f aca="false">IF(Presupuesto!$B$38='Flujo de Pagos'!$E479,38,9999)</f>
        <v>38</v>
      </c>
      <c r="BG479" s="0" t="n">
        <f aca="false">IF(Presupuesto!$B$39='Flujo de Pagos'!$E479,39,9999)</f>
        <v>39</v>
      </c>
      <c r="BH479" s="0" t="n">
        <f aca="false">IF(Presupuesto!$B$40='Flujo de Pagos'!$E479,40,9999)</f>
        <v>40</v>
      </c>
      <c r="BI479" s="0" t="n">
        <f aca="false">IF(Presupuesto!$B$41='Flujo de Pagos'!$E479,41,9999)</f>
        <v>41</v>
      </c>
      <c r="BJ479" s="0" t="n">
        <f aca="false">IF(Presupuesto!$B$42='Flujo de Pagos'!$E479,42,9999)</f>
        <v>42</v>
      </c>
      <c r="BK479" s="0" t="n">
        <f aca="false">IF(Presupuesto!$B$43='Flujo de Pagos'!$E479,43,9999)</f>
        <v>43</v>
      </c>
      <c r="BL479" s="0" t="n">
        <f aca="false">IF(Presupuesto!$B$44='Flujo de Pagos'!$E479,44,9999)</f>
        <v>44</v>
      </c>
      <c r="BM479" s="0" t="n">
        <f aca="false">IF(Presupuesto!$B$45='Flujo de Pagos'!$E479,45,9999)</f>
        <v>45</v>
      </c>
      <c r="BN479" s="0" t="n">
        <f aca="false">IF(Presupuesto!$B$46='Flujo de Pagos'!$E479,46,9999)</f>
        <v>46</v>
      </c>
      <c r="BO479" s="0" t="n">
        <f aca="false">IF(Presupuesto!$B$47='Flujo de Pagos'!$E479,47,9999)</f>
        <v>47</v>
      </c>
      <c r="BP479" s="0" t="n">
        <f aca="false">IF(Presupuesto!$B$48='Flujo de Pagos'!$E479,48,9999)</f>
        <v>48</v>
      </c>
      <c r="BQ479" s="0" t="n">
        <f aca="false">IF(Presupuesto!$B$49='Flujo de Pagos'!$E479,49,9999)</f>
        <v>49</v>
      </c>
      <c r="BR479" s="0" t="n">
        <f aca="false">IF(Presupuesto!$B$50='Flujo de Pagos'!$E479,50,9999)</f>
        <v>50</v>
      </c>
      <c r="BS479" s="0" t="n">
        <f aca="false">IF(Presupuesto!$B$51='Flujo de Pagos'!$E479,51,9999)</f>
        <v>51</v>
      </c>
      <c r="BT479" s="0" t="n">
        <f aca="false">IF(Presupuesto!$B$52='Flujo de Pagos'!$E479,52,9999)</f>
        <v>52</v>
      </c>
      <c r="BU479" s="0" t="n">
        <f aca="false">IF(Presupuesto!$B$53='Flujo de Pagos'!$E479,53,9999)</f>
        <v>53</v>
      </c>
      <c r="BV479" s="0" t="n">
        <f aca="false">IF(Presupuesto!$B$54='Flujo de Pagos'!$E479,54,9999)</f>
        <v>54</v>
      </c>
      <c r="BW479" s="0" t="n">
        <f aca="false">IF(Presupuesto!$B$55='Flujo de Pagos'!$E479,55,9999)</f>
        <v>55</v>
      </c>
      <c r="BX479" s="0" t="n">
        <f aca="false">IF(Presupuesto!$B$56='Flujo de Pagos'!$E479,56,9999)</f>
        <v>56</v>
      </c>
      <c r="BY479" s="0" t="n">
        <f aca="false">IF(Presupuesto!$B$57='Flujo de Pagos'!$E479,57,9999)</f>
        <v>57</v>
      </c>
      <c r="BZ479" s="0" t="n">
        <f aca="false">IF(Presupuesto!$B$58='Flujo de Pagos'!$E479,58,9999)</f>
        <v>58</v>
      </c>
      <c r="CA479" s="0" t="n">
        <f aca="false">IF(Presupuesto!$B$59='Flujo de Pagos'!$E479,59,9999)</f>
        <v>59</v>
      </c>
      <c r="CB479" s="0" t="n">
        <f aca="false">IF(Presupuesto!$B$60='Flujo de Pagos'!$E479,60,9999)</f>
        <v>60</v>
      </c>
      <c r="CC479" s="0" t="n">
        <f aca="false">IF(Presupuesto!$B$61='Flujo de Pagos'!$E479,61,9999)</f>
        <v>61</v>
      </c>
      <c r="CD479" s="0" t="n">
        <f aca="false">IF(Presupuesto!$B$62='Flujo de Pagos'!$E479,62,9999)</f>
        <v>62</v>
      </c>
      <c r="CE479" s="0" t="n">
        <f aca="false">IF(Presupuesto!$B$63='Flujo de Pagos'!$E479,63,9999)</f>
        <v>63</v>
      </c>
      <c r="CF479" s="0" t="n">
        <f aca="false">IF(Presupuesto!$B$64='Flujo de Pagos'!$E479,64,9999)</f>
        <v>64</v>
      </c>
      <c r="CG479" s="0" t="n">
        <f aca="false">IF(Presupuesto!$B$65='Flujo de Pagos'!$E479,65,9999)</f>
        <v>65</v>
      </c>
      <c r="CH479" s="0" t="n">
        <f aca="false">IF(Presupuesto!$B$66='Flujo de Pagos'!$E479,66,9999)</f>
        <v>66</v>
      </c>
    </row>
    <row r="480" customFormat="false" ht="15" hidden="false" customHeight="true" outlineLevel="0" collapsed="false">
      <c r="B480" s="1" t="n">
        <f aca="false">IF(AND('Flujo de Pagos'!E485=Carátula!$B$2,'Flujo de Pagos'!F485=Carátula!$B$4,'Flujo de Pagos'!H485&lt;&gt;""),485,99999)</f>
        <v>99999</v>
      </c>
      <c r="H480" s="1" t="n">
        <f aca="false">IF(SMALL($AA480:$CH480,1)&gt;=9999,"",INDEX(Presupuesto!$C:$C,SMALL($AA480:$CH480,1)))</f>
        <v>0</v>
      </c>
      <c r="I480" s="1" t="n">
        <f aca="false">IF(SMALL($AA480:$CH480,2)&gt;=9999,"",INDEX(Presupuesto!$C:$C,SMALL($AA480:$CH480,2)))</f>
        <v>0</v>
      </c>
      <c r="J480" s="1" t="n">
        <f aca="false">IF(SMALL($AA480:$CH480,3)&gt;=9999,"",INDEX(Presupuesto!$C:$C,SMALL($AA480:$CH480,3)))</f>
        <v>0</v>
      </c>
      <c r="K480" s="1" t="n">
        <f aca="false">IF(SMALL($AA480:$CH480,4)&gt;=9999,"",INDEX(Presupuesto!$C:$C,SMALL($AA480:$CH480,4)))</f>
        <v>0</v>
      </c>
      <c r="L480" s="1" t="n">
        <f aca="false">IF(SMALL($AA480:$CH480,5)&gt;=9999,"",INDEX(Presupuesto!$C:$C,SMALL($AA480:$CH480,5)))</f>
        <v>0</v>
      </c>
      <c r="M480" s="1" t="n">
        <f aca="false">IF(SMALL($AA480:$CH480,6)&gt;=9999,"",INDEX(Presupuesto!$C:$C,SMALL($AA480:$CH480,6)))</f>
        <v>0</v>
      </c>
      <c r="N480" s="1" t="n">
        <f aca="false">IF(SMALL($AA480:$CH480,7)&gt;=9999,"",INDEX(Presupuesto!$C:$C,SMALL($AA480:$CH480,7)))</f>
        <v>0</v>
      </c>
      <c r="O480" s="1" t="n">
        <f aca="false">IF(SMALL($AA480:$CH480,8)&gt;=9999,"",INDEX(Presupuesto!$C:$C,SMALL($AA480:$CH480,8)))</f>
        <v>0</v>
      </c>
      <c r="P480" s="1" t="n">
        <f aca="false">IF(SMALL($AA480:$CH480,9)&gt;=9999,"",INDEX(Presupuesto!$C:$C,SMALL($AA480:$CH480,9)))</f>
        <v>0</v>
      </c>
      <c r="Q480" s="1" t="n">
        <f aca="false">IF(SMALL($AA480:$CH480,10)&gt;=9999,"",INDEX(Presupuesto!$C:$C,SMALL($AA480:$CH480,10)))</f>
        <v>0</v>
      </c>
      <c r="AA480" s="0" t="n">
        <f aca="false">IF(Presupuesto!$B$7='Flujo de Pagos'!$E480,7,9999)</f>
        <v>9999</v>
      </c>
      <c r="AB480" s="0" t="n">
        <f aca="false">IF(Presupuesto!$B$8='Flujo de Pagos'!$E480,8,9999)</f>
        <v>9999</v>
      </c>
      <c r="AC480" s="0" t="n">
        <f aca="false">IF(Presupuesto!$B$9='Flujo de Pagos'!$E480,9,9999)</f>
        <v>9999</v>
      </c>
      <c r="AD480" s="0" t="n">
        <f aca="false">IF(Presupuesto!$B$10='Flujo de Pagos'!$E480,10,9999)</f>
        <v>9999</v>
      </c>
      <c r="AE480" s="0" t="n">
        <f aca="false">IF(Presupuesto!$B$11='Flujo de Pagos'!$E480,11,9999)</f>
        <v>9999</v>
      </c>
      <c r="AF480" s="0" t="n">
        <f aca="false">IF(Presupuesto!$B$12='Flujo de Pagos'!$E480,12,9999)</f>
        <v>12</v>
      </c>
      <c r="AG480" s="0" t="n">
        <f aca="false">IF(Presupuesto!$B$13='Flujo de Pagos'!$E480,13,9999)</f>
        <v>13</v>
      </c>
      <c r="AH480" s="0" t="n">
        <f aca="false">IF(Presupuesto!$B$14='Flujo de Pagos'!$E480,14,9999)</f>
        <v>14</v>
      </c>
      <c r="AI480" s="0" t="n">
        <f aca="false">IF(Presupuesto!$B$15='Flujo de Pagos'!$E480,15,9999)</f>
        <v>15</v>
      </c>
      <c r="AJ480" s="0" t="n">
        <f aca="false">IF(Presupuesto!$B$16='Flujo de Pagos'!$E480,16,9999)</f>
        <v>16</v>
      </c>
      <c r="AK480" s="0" t="n">
        <f aca="false">IF(Presupuesto!$B$17='Flujo de Pagos'!$E480,17,9999)</f>
        <v>17</v>
      </c>
      <c r="AL480" s="0" t="n">
        <f aca="false">IF(Presupuesto!$B$18='Flujo de Pagos'!$E480,18,9999)</f>
        <v>18</v>
      </c>
      <c r="AM480" s="0" t="n">
        <f aca="false">IF(Presupuesto!$B$19='Flujo de Pagos'!$E480,19,9999)</f>
        <v>19</v>
      </c>
      <c r="AN480" s="0" t="n">
        <f aca="false">IF(Presupuesto!$B$20='Flujo de Pagos'!$E480,20,9999)</f>
        <v>20</v>
      </c>
      <c r="AO480" s="0" t="n">
        <f aca="false">IF(Presupuesto!$B$21='Flujo de Pagos'!$E480,21,9999)</f>
        <v>21</v>
      </c>
      <c r="AP480" s="0" t="n">
        <f aca="false">IF(Presupuesto!$B$22='Flujo de Pagos'!$E480,22,9999)</f>
        <v>22</v>
      </c>
      <c r="AQ480" s="0" t="n">
        <f aca="false">IF(Presupuesto!$B$23='Flujo de Pagos'!$E480,23,9999)</f>
        <v>23</v>
      </c>
      <c r="AR480" s="0" t="n">
        <f aca="false">IF(Presupuesto!$B$24='Flujo de Pagos'!$E480,24,9999)</f>
        <v>24</v>
      </c>
      <c r="AS480" s="0" t="n">
        <f aca="false">IF(Presupuesto!$B$25='Flujo de Pagos'!$E480,25,9999)</f>
        <v>25</v>
      </c>
      <c r="AT480" s="0" t="n">
        <f aca="false">IF(Presupuesto!$B$26='Flujo de Pagos'!$E480,26,9999)</f>
        <v>26</v>
      </c>
      <c r="AU480" s="0" t="n">
        <f aca="false">IF(Presupuesto!$B$27='Flujo de Pagos'!$E480,27,9999)</f>
        <v>27</v>
      </c>
      <c r="AV480" s="0" t="n">
        <f aca="false">IF(Presupuesto!$B$28='Flujo de Pagos'!$E480,28,9999)</f>
        <v>28</v>
      </c>
      <c r="AW480" s="0" t="n">
        <f aca="false">IF(Presupuesto!$B$29='Flujo de Pagos'!$E480,29,9999)</f>
        <v>29</v>
      </c>
      <c r="AX480" s="0" t="n">
        <f aca="false">IF(Presupuesto!$B$30='Flujo de Pagos'!$E480,30,9999)</f>
        <v>30</v>
      </c>
      <c r="AY480" s="0" t="n">
        <f aca="false">IF(Presupuesto!$B$31='Flujo de Pagos'!$E480,31,9999)</f>
        <v>31</v>
      </c>
      <c r="AZ480" s="0" t="n">
        <f aca="false">IF(Presupuesto!$B$32='Flujo de Pagos'!$E480,32,9999)</f>
        <v>32</v>
      </c>
      <c r="BA480" s="0" t="n">
        <f aca="false">IF(Presupuesto!$B$33='Flujo de Pagos'!$E480,33,9999)</f>
        <v>33</v>
      </c>
      <c r="BB480" s="0" t="n">
        <f aca="false">IF(Presupuesto!$B$34='Flujo de Pagos'!$E480,34,9999)</f>
        <v>34</v>
      </c>
      <c r="BC480" s="0" t="n">
        <f aca="false">IF(Presupuesto!$B$35='Flujo de Pagos'!$E480,35,9999)</f>
        <v>35</v>
      </c>
      <c r="BD480" s="0" t="n">
        <f aca="false">IF(Presupuesto!$B$36='Flujo de Pagos'!$E480,36,9999)</f>
        <v>36</v>
      </c>
      <c r="BE480" s="0" t="n">
        <f aca="false">IF(Presupuesto!$B$37='Flujo de Pagos'!$E480,37,9999)</f>
        <v>37</v>
      </c>
      <c r="BF480" s="0" t="n">
        <f aca="false">IF(Presupuesto!$B$38='Flujo de Pagos'!$E480,38,9999)</f>
        <v>38</v>
      </c>
      <c r="BG480" s="0" t="n">
        <f aca="false">IF(Presupuesto!$B$39='Flujo de Pagos'!$E480,39,9999)</f>
        <v>39</v>
      </c>
      <c r="BH480" s="0" t="n">
        <f aca="false">IF(Presupuesto!$B$40='Flujo de Pagos'!$E480,40,9999)</f>
        <v>40</v>
      </c>
      <c r="BI480" s="0" t="n">
        <f aca="false">IF(Presupuesto!$B$41='Flujo de Pagos'!$E480,41,9999)</f>
        <v>41</v>
      </c>
      <c r="BJ480" s="0" t="n">
        <f aca="false">IF(Presupuesto!$B$42='Flujo de Pagos'!$E480,42,9999)</f>
        <v>42</v>
      </c>
      <c r="BK480" s="0" t="n">
        <f aca="false">IF(Presupuesto!$B$43='Flujo de Pagos'!$E480,43,9999)</f>
        <v>43</v>
      </c>
      <c r="BL480" s="0" t="n">
        <f aca="false">IF(Presupuesto!$B$44='Flujo de Pagos'!$E480,44,9999)</f>
        <v>44</v>
      </c>
      <c r="BM480" s="0" t="n">
        <f aca="false">IF(Presupuesto!$B$45='Flujo de Pagos'!$E480,45,9999)</f>
        <v>45</v>
      </c>
      <c r="BN480" s="0" t="n">
        <f aca="false">IF(Presupuesto!$B$46='Flujo de Pagos'!$E480,46,9999)</f>
        <v>46</v>
      </c>
      <c r="BO480" s="0" t="n">
        <f aca="false">IF(Presupuesto!$B$47='Flujo de Pagos'!$E480,47,9999)</f>
        <v>47</v>
      </c>
      <c r="BP480" s="0" t="n">
        <f aca="false">IF(Presupuesto!$B$48='Flujo de Pagos'!$E480,48,9999)</f>
        <v>48</v>
      </c>
      <c r="BQ480" s="0" t="n">
        <f aca="false">IF(Presupuesto!$B$49='Flujo de Pagos'!$E480,49,9999)</f>
        <v>49</v>
      </c>
      <c r="BR480" s="0" t="n">
        <f aca="false">IF(Presupuesto!$B$50='Flujo de Pagos'!$E480,50,9999)</f>
        <v>50</v>
      </c>
      <c r="BS480" s="0" t="n">
        <f aca="false">IF(Presupuesto!$B$51='Flujo de Pagos'!$E480,51,9999)</f>
        <v>51</v>
      </c>
      <c r="BT480" s="0" t="n">
        <f aca="false">IF(Presupuesto!$B$52='Flujo de Pagos'!$E480,52,9999)</f>
        <v>52</v>
      </c>
      <c r="BU480" s="0" t="n">
        <f aca="false">IF(Presupuesto!$B$53='Flujo de Pagos'!$E480,53,9999)</f>
        <v>53</v>
      </c>
      <c r="BV480" s="0" t="n">
        <f aca="false">IF(Presupuesto!$B$54='Flujo de Pagos'!$E480,54,9999)</f>
        <v>54</v>
      </c>
      <c r="BW480" s="0" t="n">
        <f aca="false">IF(Presupuesto!$B$55='Flujo de Pagos'!$E480,55,9999)</f>
        <v>55</v>
      </c>
      <c r="BX480" s="0" t="n">
        <f aca="false">IF(Presupuesto!$B$56='Flujo de Pagos'!$E480,56,9999)</f>
        <v>56</v>
      </c>
      <c r="BY480" s="0" t="n">
        <f aca="false">IF(Presupuesto!$B$57='Flujo de Pagos'!$E480,57,9999)</f>
        <v>57</v>
      </c>
      <c r="BZ480" s="0" t="n">
        <f aca="false">IF(Presupuesto!$B$58='Flujo de Pagos'!$E480,58,9999)</f>
        <v>58</v>
      </c>
      <c r="CA480" s="0" t="n">
        <f aca="false">IF(Presupuesto!$B$59='Flujo de Pagos'!$E480,59,9999)</f>
        <v>59</v>
      </c>
      <c r="CB480" s="0" t="n">
        <f aca="false">IF(Presupuesto!$B$60='Flujo de Pagos'!$E480,60,9999)</f>
        <v>60</v>
      </c>
      <c r="CC480" s="0" t="n">
        <f aca="false">IF(Presupuesto!$B$61='Flujo de Pagos'!$E480,61,9999)</f>
        <v>61</v>
      </c>
      <c r="CD480" s="0" t="n">
        <f aca="false">IF(Presupuesto!$B$62='Flujo de Pagos'!$E480,62,9999)</f>
        <v>62</v>
      </c>
      <c r="CE480" s="0" t="n">
        <f aca="false">IF(Presupuesto!$B$63='Flujo de Pagos'!$E480,63,9999)</f>
        <v>63</v>
      </c>
      <c r="CF480" s="0" t="n">
        <f aca="false">IF(Presupuesto!$B$64='Flujo de Pagos'!$E480,64,9999)</f>
        <v>64</v>
      </c>
      <c r="CG480" s="0" t="n">
        <f aca="false">IF(Presupuesto!$B$65='Flujo de Pagos'!$E480,65,9999)</f>
        <v>65</v>
      </c>
      <c r="CH480" s="0" t="n">
        <f aca="false">IF(Presupuesto!$B$66='Flujo de Pagos'!$E480,66,9999)</f>
        <v>66</v>
      </c>
    </row>
    <row r="481" customFormat="false" ht="15" hidden="false" customHeight="true" outlineLevel="0" collapsed="false">
      <c r="B481" s="1" t="n">
        <f aca="false">IF(AND('Flujo de Pagos'!E486=Carátula!$B$2,'Flujo de Pagos'!F486=Carátula!$B$4,'Flujo de Pagos'!H486&lt;&gt;""),486,99999)</f>
        <v>99999</v>
      </c>
      <c r="H481" s="1" t="n">
        <f aca="false">IF(SMALL($AA481:$CH481,1)&gt;=9999,"",INDEX(Presupuesto!$C:$C,SMALL($AA481:$CH481,1)))</f>
        <v>0</v>
      </c>
      <c r="I481" s="1" t="n">
        <f aca="false">IF(SMALL($AA481:$CH481,2)&gt;=9999,"",INDEX(Presupuesto!$C:$C,SMALL($AA481:$CH481,2)))</f>
        <v>0</v>
      </c>
      <c r="J481" s="1" t="n">
        <f aca="false">IF(SMALL($AA481:$CH481,3)&gt;=9999,"",INDEX(Presupuesto!$C:$C,SMALL($AA481:$CH481,3)))</f>
        <v>0</v>
      </c>
      <c r="K481" s="1" t="n">
        <f aca="false">IF(SMALL($AA481:$CH481,4)&gt;=9999,"",INDEX(Presupuesto!$C:$C,SMALL($AA481:$CH481,4)))</f>
        <v>0</v>
      </c>
      <c r="L481" s="1" t="n">
        <f aca="false">IF(SMALL($AA481:$CH481,5)&gt;=9999,"",INDEX(Presupuesto!$C:$C,SMALL($AA481:$CH481,5)))</f>
        <v>0</v>
      </c>
      <c r="M481" s="1" t="n">
        <f aca="false">IF(SMALL($AA481:$CH481,6)&gt;=9999,"",INDEX(Presupuesto!$C:$C,SMALL($AA481:$CH481,6)))</f>
        <v>0</v>
      </c>
      <c r="N481" s="1" t="n">
        <f aca="false">IF(SMALL($AA481:$CH481,7)&gt;=9999,"",INDEX(Presupuesto!$C:$C,SMALL($AA481:$CH481,7)))</f>
        <v>0</v>
      </c>
      <c r="O481" s="1" t="n">
        <f aca="false">IF(SMALL($AA481:$CH481,8)&gt;=9999,"",INDEX(Presupuesto!$C:$C,SMALL($AA481:$CH481,8)))</f>
        <v>0</v>
      </c>
      <c r="P481" s="1" t="n">
        <f aca="false">IF(SMALL($AA481:$CH481,9)&gt;=9999,"",INDEX(Presupuesto!$C:$C,SMALL($AA481:$CH481,9)))</f>
        <v>0</v>
      </c>
      <c r="Q481" s="1" t="n">
        <f aca="false">IF(SMALL($AA481:$CH481,10)&gt;=9999,"",INDEX(Presupuesto!$C:$C,SMALL($AA481:$CH481,10)))</f>
        <v>0</v>
      </c>
      <c r="AA481" s="0" t="n">
        <f aca="false">IF(Presupuesto!$B$7='Flujo de Pagos'!$E481,7,9999)</f>
        <v>9999</v>
      </c>
      <c r="AB481" s="0" t="n">
        <f aca="false">IF(Presupuesto!$B$8='Flujo de Pagos'!$E481,8,9999)</f>
        <v>9999</v>
      </c>
      <c r="AC481" s="0" t="n">
        <f aca="false">IF(Presupuesto!$B$9='Flujo de Pagos'!$E481,9,9999)</f>
        <v>9999</v>
      </c>
      <c r="AD481" s="0" t="n">
        <f aca="false">IF(Presupuesto!$B$10='Flujo de Pagos'!$E481,10,9999)</f>
        <v>9999</v>
      </c>
      <c r="AE481" s="0" t="n">
        <f aca="false">IF(Presupuesto!$B$11='Flujo de Pagos'!$E481,11,9999)</f>
        <v>9999</v>
      </c>
      <c r="AF481" s="0" t="n">
        <f aca="false">IF(Presupuesto!$B$12='Flujo de Pagos'!$E481,12,9999)</f>
        <v>12</v>
      </c>
      <c r="AG481" s="0" t="n">
        <f aca="false">IF(Presupuesto!$B$13='Flujo de Pagos'!$E481,13,9999)</f>
        <v>13</v>
      </c>
      <c r="AH481" s="0" t="n">
        <f aca="false">IF(Presupuesto!$B$14='Flujo de Pagos'!$E481,14,9999)</f>
        <v>14</v>
      </c>
      <c r="AI481" s="0" t="n">
        <f aca="false">IF(Presupuesto!$B$15='Flujo de Pagos'!$E481,15,9999)</f>
        <v>15</v>
      </c>
      <c r="AJ481" s="0" t="n">
        <f aca="false">IF(Presupuesto!$B$16='Flujo de Pagos'!$E481,16,9999)</f>
        <v>16</v>
      </c>
      <c r="AK481" s="0" t="n">
        <f aca="false">IF(Presupuesto!$B$17='Flujo de Pagos'!$E481,17,9999)</f>
        <v>17</v>
      </c>
      <c r="AL481" s="0" t="n">
        <f aca="false">IF(Presupuesto!$B$18='Flujo de Pagos'!$E481,18,9999)</f>
        <v>18</v>
      </c>
      <c r="AM481" s="0" t="n">
        <f aca="false">IF(Presupuesto!$B$19='Flujo de Pagos'!$E481,19,9999)</f>
        <v>19</v>
      </c>
      <c r="AN481" s="0" t="n">
        <f aca="false">IF(Presupuesto!$B$20='Flujo de Pagos'!$E481,20,9999)</f>
        <v>20</v>
      </c>
      <c r="AO481" s="0" t="n">
        <f aca="false">IF(Presupuesto!$B$21='Flujo de Pagos'!$E481,21,9999)</f>
        <v>21</v>
      </c>
      <c r="AP481" s="0" t="n">
        <f aca="false">IF(Presupuesto!$B$22='Flujo de Pagos'!$E481,22,9999)</f>
        <v>22</v>
      </c>
      <c r="AQ481" s="0" t="n">
        <f aca="false">IF(Presupuesto!$B$23='Flujo de Pagos'!$E481,23,9999)</f>
        <v>23</v>
      </c>
      <c r="AR481" s="0" t="n">
        <f aca="false">IF(Presupuesto!$B$24='Flujo de Pagos'!$E481,24,9999)</f>
        <v>24</v>
      </c>
      <c r="AS481" s="0" t="n">
        <f aca="false">IF(Presupuesto!$B$25='Flujo de Pagos'!$E481,25,9999)</f>
        <v>25</v>
      </c>
      <c r="AT481" s="0" t="n">
        <f aca="false">IF(Presupuesto!$B$26='Flujo de Pagos'!$E481,26,9999)</f>
        <v>26</v>
      </c>
      <c r="AU481" s="0" t="n">
        <f aca="false">IF(Presupuesto!$B$27='Flujo de Pagos'!$E481,27,9999)</f>
        <v>27</v>
      </c>
      <c r="AV481" s="0" t="n">
        <f aca="false">IF(Presupuesto!$B$28='Flujo de Pagos'!$E481,28,9999)</f>
        <v>28</v>
      </c>
      <c r="AW481" s="0" t="n">
        <f aca="false">IF(Presupuesto!$B$29='Flujo de Pagos'!$E481,29,9999)</f>
        <v>29</v>
      </c>
      <c r="AX481" s="0" t="n">
        <f aca="false">IF(Presupuesto!$B$30='Flujo de Pagos'!$E481,30,9999)</f>
        <v>30</v>
      </c>
      <c r="AY481" s="0" t="n">
        <f aca="false">IF(Presupuesto!$B$31='Flujo de Pagos'!$E481,31,9999)</f>
        <v>31</v>
      </c>
      <c r="AZ481" s="0" t="n">
        <f aca="false">IF(Presupuesto!$B$32='Flujo de Pagos'!$E481,32,9999)</f>
        <v>32</v>
      </c>
      <c r="BA481" s="0" t="n">
        <f aca="false">IF(Presupuesto!$B$33='Flujo de Pagos'!$E481,33,9999)</f>
        <v>33</v>
      </c>
      <c r="BB481" s="0" t="n">
        <f aca="false">IF(Presupuesto!$B$34='Flujo de Pagos'!$E481,34,9999)</f>
        <v>34</v>
      </c>
      <c r="BC481" s="0" t="n">
        <f aca="false">IF(Presupuesto!$B$35='Flujo de Pagos'!$E481,35,9999)</f>
        <v>35</v>
      </c>
      <c r="BD481" s="0" t="n">
        <f aca="false">IF(Presupuesto!$B$36='Flujo de Pagos'!$E481,36,9999)</f>
        <v>36</v>
      </c>
      <c r="BE481" s="0" t="n">
        <f aca="false">IF(Presupuesto!$B$37='Flujo de Pagos'!$E481,37,9999)</f>
        <v>37</v>
      </c>
      <c r="BF481" s="0" t="n">
        <f aca="false">IF(Presupuesto!$B$38='Flujo de Pagos'!$E481,38,9999)</f>
        <v>38</v>
      </c>
      <c r="BG481" s="0" t="n">
        <f aca="false">IF(Presupuesto!$B$39='Flujo de Pagos'!$E481,39,9999)</f>
        <v>39</v>
      </c>
      <c r="BH481" s="0" t="n">
        <f aca="false">IF(Presupuesto!$B$40='Flujo de Pagos'!$E481,40,9999)</f>
        <v>40</v>
      </c>
      <c r="BI481" s="0" t="n">
        <f aca="false">IF(Presupuesto!$B$41='Flujo de Pagos'!$E481,41,9999)</f>
        <v>41</v>
      </c>
      <c r="BJ481" s="0" t="n">
        <f aca="false">IF(Presupuesto!$B$42='Flujo de Pagos'!$E481,42,9999)</f>
        <v>42</v>
      </c>
      <c r="BK481" s="0" t="n">
        <f aca="false">IF(Presupuesto!$B$43='Flujo de Pagos'!$E481,43,9999)</f>
        <v>43</v>
      </c>
      <c r="BL481" s="0" t="n">
        <f aca="false">IF(Presupuesto!$B$44='Flujo de Pagos'!$E481,44,9999)</f>
        <v>44</v>
      </c>
      <c r="BM481" s="0" t="n">
        <f aca="false">IF(Presupuesto!$B$45='Flujo de Pagos'!$E481,45,9999)</f>
        <v>45</v>
      </c>
      <c r="BN481" s="0" t="n">
        <f aca="false">IF(Presupuesto!$B$46='Flujo de Pagos'!$E481,46,9999)</f>
        <v>46</v>
      </c>
      <c r="BO481" s="0" t="n">
        <f aca="false">IF(Presupuesto!$B$47='Flujo de Pagos'!$E481,47,9999)</f>
        <v>47</v>
      </c>
      <c r="BP481" s="0" t="n">
        <f aca="false">IF(Presupuesto!$B$48='Flujo de Pagos'!$E481,48,9999)</f>
        <v>48</v>
      </c>
      <c r="BQ481" s="0" t="n">
        <f aca="false">IF(Presupuesto!$B$49='Flujo de Pagos'!$E481,49,9999)</f>
        <v>49</v>
      </c>
      <c r="BR481" s="0" t="n">
        <f aca="false">IF(Presupuesto!$B$50='Flujo de Pagos'!$E481,50,9999)</f>
        <v>50</v>
      </c>
      <c r="BS481" s="0" t="n">
        <f aca="false">IF(Presupuesto!$B$51='Flujo de Pagos'!$E481,51,9999)</f>
        <v>51</v>
      </c>
      <c r="BT481" s="0" t="n">
        <f aca="false">IF(Presupuesto!$B$52='Flujo de Pagos'!$E481,52,9999)</f>
        <v>52</v>
      </c>
      <c r="BU481" s="0" t="n">
        <f aca="false">IF(Presupuesto!$B$53='Flujo de Pagos'!$E481,53,9999)</f>
        <v>53</v>
      </c>
      <c r="BV481" s="0" t="n">
        <f aca="false">IF(Presupuesto!$B$54='Flujo de Pagos'!$E481,54,9999)</f>
        <v>54</v>
      </c>
      <c r="BW481" s="0" t="n">
        <f aca="false">IF(Presupuesto!$B$55='Flujo de Pagos'!$E481,55,9999)</f>
        <v>55</v>
      </c>
      <c r="BX481" s="0" t="n">
        <f aca="false">IF(Presupuesto!$B$56='Flujo de Pagos'!$E481,56,9999)</f>
        <v>56</v>
      </c>
      <c r="BY481" s="0" t="n">
        <f aca="false">IF(Presupuesto!$B$57='Flujo de Pagos'!$E481,57,9999)</f>
        <v>57</v>
      </c>
      <c r="BZ481" s="0" t="n">
        <f aca="false">IF(Presupuesto!$B$58='Flujo de Pagos'!$E481,58,9999)</f>
        <v>58</v>
      </c>
      <c r="CA481" s="0" t="n">
        <f aca="false">IF(Presupuesto!$B$59='Flujo de Pagos'!$E481,59,9999)</f>
        <v>59</v>
      </c>
      <c r="CB481" s="0" t="n">
        <f aca="false">IF(Presupuesto!$B$60='Flujo de Pagos'!$E481,60,9999)</f>
        <v>60</v>
      </c>
      <c r="CC481" s="0" t="n">
        <f aca="false">IF(Presupuesto!$B$61='Flujo de Pagos'!$E481,61,9999)</f>
        <v>61</v>
      </c>
      <c r="CD481" s="0" t="n">
        <f aca="false">IF(Presupuesto!$B$62='Flujo de Pagos'!$E481,62,9999)</f>
        <v>62</v>
      </c>
      <c r="CE481" s="0" t="n">
        <f aca="false">IF(Presupuesto!$B$63='Flujo de Pagos'!$E481,63,9999)</f>
        <v>63</v>
      </c>
      <c r="CF481" s="0" t="n">
        <f aca="false">IF(Presupuesto!$B$64='Flujo de Pagos'!$E481,64,9999)</f>
        <v>64</v>
      </c>
      <c r="CG481" s="0" t="n">
        <f aca="false">IF(Presupuesto!$B$65='Flujo de Pagos'!$E481,65,9999)</f>
        <v>65</v>
      </c>
      <c r="CH481" s="0" t="n">
        <f aca="false">IF(Presupuesto!$B$66='Flujo de Pagos'!$E481,66,9999)</f>
        <v>66</v>
      </c>
    </row>
    <row r="482" customFormat="false" ht="15" hidden="false" customHeight="true" outlineLevel="0" collapsed="false">
      <c r="B482" s="1" t="n">
        <f aca="false">IF(AND('Flujo de Pagos'!E487=Carátula!$B$2,'Flujo de Pagos'!F487=Carátula!$B$4,'Flujo de Pagos'!H487&lt;&gt;""),487,99999)</f>
        <v>99999</v>
      </c>
      <c r="H482" s="1" t="n">
        <f aca="false">IF(SMALL($AA482:$CH482,1)&gt;=9999,"",INDEX(Presupuesto!$C:$C,SMALL($AA482:$CH482,1)))</f>
        <v>0</v>
      </c>
      <c r="I482" s="1" t="n">
        <f aca="false">IF(SMALL($AA482:$CH482,2)&gt;=9999,"",INDEX(Presupuesto!$C:$C,SMALL($AA482:$CH482,2)))</f>
        <v>0</v>
      </c>
      <c r="J482" s="1" t="n">
        <f aca="false">IF(SMALL($AA482:$CH482,3)&gt;=9999,"",INDEX(Presupuesto!$C:$C,SMALL($AA482:$CH482,3)))</f>
        <v>0</v>
      </c>
      <c r="K482" s="1" t="n">
        <f aca="false">IF(SMALL($AA482:$CH482,4)&gt;=9999,"",INDEX(Presupuesto!$C:$C,SMALL($AA482:$CH482,4)))</f>
        <v>0</v>
      </c>
      <c r="L482" s="1" t="n">
        <f aca="false">IF(SMALL($AA482:$CH482,5)&gt;=9999,"",INDEX(Presupuesto!$C:$C,SMALL($AA482:$CH482,5)))</f>
        <v>0</v>
      </c>
      <c r="M482" s="1" t="n">
        <f aca="false">IF(SMALL($AA482:$CH482,6)&gt;=9999,"",INDEX(Presupuesto!$C:$C,SMALL($AA482:$CH482,6)))</f>
        <v>0</v>
      </c>
      <c r="N482" s="1" t="n">
        <f aca="false">IF(SMALL($AA482:$CH482,7)&gt;=9999,"",INDEX(Presupuesto!$C:$C,SMALL($AA482:$CH482,7)))</f>
        <v>0</v>
      </c>
      <c r="O482" s="1" t="n">
        <f aca="false">IF(SMALL($AA482:$CH482,8)&gt;=9999,"",INDEX(Presupuesto!$C:$C,SMALL($AA482:$CH482,8)))</f>
        <v>0</v>
      </c>
      <c r="P482" s="1" t="n">
        <f aca="false">IF(SMALL($AA482:$CH482,9)&gt;=9999,"",INDEX(Presupuesto!$C:$C,SMALL($AA482:$CH482,9)))</f>
        <v>0</v>
      </c>
      <c r="Q482" s="1" t="n">
        <f aca="false">IF(SMALL($AA482:$CH482,10)&gt;=9999,"",INDEX(Presupuesto!$C:$C,SMALL($AA482:$CH482,10)))</f>
        <v>0</v>
      </c>
      <c r="AA482" s="0" t="n">
        <f aca="false">IF(Presupuesto!$B$7='Flujo de Pagos'!$E482,7,9999)</f>
        <v>9999</v>
      </c>
      <c r="AB482" s="0" t="n">
        <f aca="false">IF(Presupuesto!$B$8='Flujo de Pagos'!$E482,8,9999)</f>
        <v>9999</v>
      </c>
      <c r="AC482" s="0" t="n">
        <f aca="false">IF(Presupuesto!$B$9='Flujo de Pagos'!$E482,9,9999)</f>
        <v>9999</v>
      </c>
      <c r="AD482" s="0" t="n">
        <f aca="false">IF(Presupuesto!$B$10='Flujo de Pagos'!$E482,10,9999)</f>
        <v>9999</v>
      </c>
      <c r="AE482" s="0" t="n">
        <f aca="false">IF(Presupuesto!$B$11='Flujo de Pagos'!$E482,11,9999)</f>
        <v>9999</v>
      </c>
      <c r="AF482" s="0" t="n">
        <f aca="false">IF(Presupuesto!$B$12='Flujo de Pagos'!$E482,12,9999)</f>
        <v>12</v>
      </c>
      <c r="AG482" s="0" t="n">
        <f aca="false">IF(Presupuesto!$B$13='Flujo de Pagos'!$E482,13,9999)</f>
        <v>13</v>
      </c>
      <c r="AH482" s="0" t="n">
        <f aca="false">IF(Presupuesto!$B$14='Flujo de Pagos'!$E482,14,9999)</f>
        <v>14</v>
      </c>
      <c r="AI482" s="0" t="n">
        <f aca="false">IF(Presupuesto!$B$15='Flujo de Pagos'!$E482,15,9999)</f>
        <v>15</v>
      </c>
      <c r="AJ482" s="0" t="n">
        <f aca="false">IF(Presupuesto!$B$16='Flujo de Pagos'!$E482,16,9999)</f>
        <v>16</v>
      </c>
      <c r="AK482" s="0" t="n">
        <f aca="false">IF(Presupuesto!$B$17='Flujo de Pagos'!$E482,17,9999)</f>
        <v>17</v>
      </c>
      <c r="AL482" s="0" t="n">
        <f aca="false">IF(Presupuesto!$B$18='Flujo de Pagos'!$E482,18,9999)</f>
        <v>18</v>
      </c>
      <c r="AM482" s="0" t="n">
        <f aca="false">IF(Presupuesto!$B$19='Flujo de Pagos'!$E482,19,9999)</f>
        <v>19</v>
      </c>
      <c r="AN482" s="0" t="n">
        <f aca="false">IF(Presupuesto!$B$20='Flujo de Pagos'!$E482,20,9999)</f>
        <v>20</v>
      </c>
      <c r="AO482" s="0" t="n">
        <f aca="false">IF(Presupuesto!$B$21='Flujo de Pagos'!$E482,21,9999)</f>
        <v>21</v>
      </c>
      <c r="AP482" s="0" t="n">
        <f aca="false">IF(Presupuesto!$B$22='Flujo de Pagos'!$E482,22,9999)</f>
        <v>22</v>
      </c>
      <c r="AQ482" s="0" t="n">
        <f aca="false">IF(Presupuesto!$B$23='Flujo de Pagos'!$E482,23,9999)</f>
        <v>23</v>
      </c>
      <c r="AR482" s="0" t="n">
        <f aca="false">IF(Presupuesto!$B$24='Flujo de Pagos'!$E482,24,9999)</f>
        <v>24</v>
      </c>
      <c r="AS482" s="0" t="n">
        <f aca="false">IF(Presupuesto!$B$25='Flujo de Pagos'!$E482,25,9999)</f>
        <v>25</v>
      </c>
      <c r="AT482" s="0" t="n">
        <f aca="false">IF(Presupuesto!$B$26='Flujo de Pagos'!$E482,26,9999)</f>
        <v>26</v>
      </c>
      <c r="AU482" s="0" t="n">
        <f aca="false">IF(Presupuesto!$B$27='Flujo de Pagos'!$E482,27,9999)</f>
        <v>27</v>
      </c>
      <c r="AV482" s="0" t="n">
        <f aca="false">IF(Presupuesto!$B$28='Flujo de Pagos'!$E482,28,9999)</f>
        <v>28</v>
      </c>
      <c r="AW482" s="0" t="n">
        <f aca="false">IF(Presupuesto!$B$29='Flujo de Pagos'!$E482,29,9999)</f>
        <v>29</v>
      </c>
      <c r="AX482" s="0" t="n">
        <f aca="false">IF(Presupuesto!$B$30='Flujo de Pagos'!$E482,30,9999)</f>
        <v>30</v>
      </c>
      <c r="AY482" s="0" t="n">
        <f aca="false">IF(Presupuesto!$B$31='Flujo de Pagos'!$E482,31,9999)</f>
        <v>31</v>
      </c>
      <c r="AZ482" s="0" t="n">
        <f aca="false">IF(Presupuesto!$B$32='Flujo de Pagos'!$E482,32,9999)</f>
        <v>32</v>
      </c>
      <c r="BA482" s="0" t="n">
        <f aca="false">IF(Presupuesto!$B$33='Flujo de Pagos'!$E482,33,9999)</f>
        <v>33</v>
      </c>
      <c r="BB482" s="0" t="n">
        <f aca="false">IF(Presupuesto!$B$34='Flujo de Pagos'!$E482,34,9999)</f>
        <v>34</v>
      </c>
      <c r="BC482" s="0" t="n">
        <f aca="false">IF(Presupuesto!$B$35='Flujo de Pagos'!$E482,35,9999)</f>
        <v>35</v>
      </c>
      <c r="BD482" s="0" t="n">
        <f aca="false">IF(Presupuesto!$B$36='Flujo de Pagos'!$E482,36,9999)</f>
        <v>36</v>
      </c>
      <c r="BE482" s="0" t="n">
        <f aca="false">IF(Presupuesto!$B$37='Flujo de Pagos'!$E482,37,9999)</f>
        <v>37</v>
      </c>
      <c r="BF482" s="0" t="n">
        <f aca="false">IF(Presupuesto!$B$38='Flujo de Pagos'!$E482,38,9999)</f>
        <v>38</v>
      </c>
      <c r="BG482" s="0" t="n">
        <f aca="false">IF(Presupuesto!$B$39='Flujo de Pagos'!$E482,39,9999)</f>
        <v>39</v>
      </c>
      <c r="BH482" s="0" t="n">
        <f aca="false">IF(Presupuesto!$B$40='Flujo de Pagos'!$E482,40,9999)</f>
        <v>40</v>
      </c>
      <c r="BI482" s="0" t="n">
        <f aca="false">IF(Presupuesto!$B$41='Flujo de Pagos'!$E482,41,9999)</f>
        <v>41</v>
      </c>
      <c r="BJ482" s="0" t="n">
        <f aca="false">IF(Presupuesto!$B$42='Flujo de Pagos'!$E482,42,9999)</f>
        <v>42</v>
      </c>
      <c r="BK482" s="0" t="n">
        <f aca="false">IF(Presupuesto!$B$43='Flujo de Pagos'!$E482,43,9999)</f>
        <v>43</v>
      </c>
      <c r="BL482" s="0" t="n">
        <f aca="false">IF(Presupuesto!$B$44='Flujo de Pagos'!$E482,44,9999)</f>
        <v>44</v>
      </c>
      <c r="BM482" s="0" t="n">
        <f aca="false">IF(Presupuesto!$B$45='Flujo de Pagos'!$E482,45,9999)</f>
        <v>45</v>
      </c>
      <c r="BN482" s="0" t="n">
        <f aca="false">IF(Presupuesto!$B$46='Flujo de Pagos'!$E482,46,9999)</f>
        <v>46</v>
      </c>
      <c r="BO482" s="0" t="n">
        <f aca="false">IF(Presupuesto!$B$47='Flujo de Pagos'!$E482,47,9999)</f>
        <v>47</v>
      </c>
      <c r="BP482" s="0" t="n">
        <f aca="false">IF(Presupuesto!$B$48='Flujo de Pagos'!$E482,48,9999)</f>
        <v>48</v>
      </c>
      <c r="BQ482" s="0" t="n">
        <f aca="false">IF(Presupuesto!$B$49='Flujo de Pagos'!$E482,49,9999)</f>
        <v>49</v>
      </c>
      <c r="BR482" s="0" t="n">
        <f aca="false">IF(Presupuesto!$B$50='Flujo de Pagos'!$E482,50,9999)</f>
        <v>50</v>
      </c>
      <c r="BS482" s="0" t="n">
        <f aca="false">IF(Presupuesto!$B$51='Flujo de Pagos'!$E482,51,9999)</f>
        <v>51</v>
      </c>
      <c r="BT482" s="0" t="n">
        <f aca="false">IF(Presupuesto!$B$52='Flujo de Pagos'!$E482,52,9999)</f>
        <v>52</v>
      </c>
      <c r="BU482" s="0" t="n">
        <f aca="false">IF(Presupuesto!$B$53='Flujo de Pagos'!$E482,53,9999)</f>
        <v>53</v>
      </c>
      <c r="BV482" s="0" t="n">
        <f aca="false">IF(Presupuesto!$B$54='Flujo de Pagos'!$E482,54,9999)</f>
        <v>54</v>
      </c>
      <c r="BW482" s="0" t="n">
        <f aca="false">IF(Presupuesto!$B$55='Flujo de Pagos'!$E482,55,9999)</f>
        <v>55</v>
      </c>
      <c r="BX482" s="0" t="n">
        <f aca="false">IF(Presupuesto!$B$56='Flujo de Pagos'!$E482,56,9999)</f>
        <v>56</v>
      </c>
      <c r="BY482" s="0" t="n">
        <f aca="false">IF(Presupuesto!$B$57='Flujo de Pagos'!$E482,57,9999)</f>
        <v>57</v>
      </c>
      <c r="BZ482" s="0" t="n">
        <f aca="false">IF(Presupuesto!$B$58='Flujo de Pagos'!$E482,58,9999)</f>
        <v>58</v>
      </c>
      <c r="CA482" s="0" t="n">
        <f aca="false">IF(Presupuesto!$B$59='Flujo de Pagos'!$E482,59,9999)</f>
        <v>59</v>
      </c>
      <c r="CB482" s="0" t="n">
        <f aca="false">IF(Presupuesto!$B$60='Flujo de Pagos'!$E482,60,9999)</f>
        <v>60</v>
      </c>
      <c r="CC482" s="0" t="n">
        <f aca="false">IF(Presupuesto!$B$61='Flujo de Pagos'!$E482,61,9999)</f>
        <v>61</v>
      </c>
      <c r="CD482" s="0" t="n">
        <f aca="false">IF(Presupuesto!$B$62='Flujo de Pagos'!$E482,62,9999)</f>
        <v>62</v>
      </c>
      <c r="CE482" s="0" t="n">
        <f aca="false">IF(Presupuesto!$B$63='Flujo de Pagos'!$E482,63,9999)</f>
        <v>63</v>
      </c>
      <c r="CF482" s="0" t="n">
        <f aca="false">IF(Presupuesto!$B$64='Flujo de Pagos'!$E482,64,9999)</f>
        <v>64</v>
      </c>
      <c r="CG482" s="0" t="n">
        <f aca="false">IF(Presupuesto!$B$65='Flujo de Pagos'!$E482,65,9999)</f>
        <v>65</v>
      </c>
      <c r="CH482" s="0" t="n">
        <f aca="false">IF(Presupuesto!$B$66='Flujo de Pagos'!$E482,66,9999)</f>
        <v>66</v>
      </c>
    </row>
    <row r="483" customFormat="false" ht="15" hidden="false" customHeight="true" outlineLevel="0" collapsed="false">
      <c r="B483" s="1" t="n">
        <f aca="false">IF(AND('Flujo de Pagos'!E488=Carátula!$B$2,'Flujo de Pagos'!F488=Carátula!$B$4,'Flujo de Pagos'!H488&lt;&gt;""),488,99999)</f>
        <v>99999</v>
      </c>
      <c r="H483" s="1" t="n">
        <f aca="false">IF(SMALL($AA483:$CH483,1)&gt;=9999,"",INDEX(Presupuesto!$C:$C,SMALL($AA483:$CH483,1)))</f>
        <v>0</v>
      </c>
      <c r="I483" s="1" t="n">
        <f aca="false">IF(SMALL($AA483:$CH483,2)&gt;=9999,"",INDEX(Presupuesto!$C:$C,SMALL($AA483:$CH483,2)))</f>
        <v>0</v>
      </c>
      <c r="J483" s="1" t="n">
        <f aca="false">IF(SMALL($AA483:$CH483,3)&gt;=9999,"",INDEX(Presupuesto!$C:$C,SMALL($AA483:$CH483,3)))</f>
        <v>0</v>
      </c>
      <c r="K483" s="1" t="n">
        <f aca="false">IF(SMALL($AA483:$CH483,4)&gt;=9999,"",INDEX(Presupuesto!$C:$C,SMALL($AA483:$CH483,4)))</f>
        <v>0</v>
      </c>
      <c r="L483" s="1" t="n">
        <f aca="false">IF(SMALL($AA483:$CH483,5)&gt;=9999,"",INDEX(Presupuesto!$C:$C,SMALL($AA483:$CH483,5)))</f>
        <v>0</v>
      </c>
      <c r="M483" s="1" t="n">
        <f aca="false">IF(SMALL($AA483:$CH483,6)&gt;=9999,"",INDEX(Presupuesto!$C:$C,SMALL($AA483:$CH483,6)))</f>
        <v>0</v>
      </c>
      <c r="N483" s="1" t="n">
        <f aca="false">IF(SMALL($AA483:$CH483,7)&gt;=9999,"",INDEX(Presupuesto!$C:$C,SMALL($AA483:$CH483,7)))</f>
        <v>0</v>
      </c>
      <c r="O483" s="1" t="n">
        <f aca="false">IF(SMALL($AA483:$CH483,8)&gt;=9999,"",INDEX(Presupuesto!$C:$C,SMALL($AA483:$CH483,8)))</f>
        <v>0</v>
      </c>
      <c r="P483" s="1" t="n">
        <f aca="false">IF(SMALL($AA483:$CH483,9)&gt;=9999,"",INDEX(Presupuesto!$C:$C,SMALL($AA483:$CH483,9)))</f>
        <v>0</v>
      </c>
      <c r="Q483" s="1" t="n">
        <f aca="false">IF(SMALL($AA483:$CH483,10)&gt;=9999,"",INDEX(Presupuesto!$C:$C,SMALL($AA483:$CH483,10)))</f>
        <v>0</v>
      </c>
      <c r="AA483" s="0" t="n">
        <f aca="false">IF(Presupuesto!$B$7='Flujo de Pagos'!$E483,7,9999)</f>
        <v>9999</v>
      </c>
      <c r="AB483" s="0" t="n">
        <f aca="false">IF(Presupuesto!$B$8='Flujo de Pagos'!$E483,8,9999)</f>
        <v>9999</v>
      </c>
      <c r="AC483" s="0" t="n">
        <f aca="false">IF(Presupuesto!$B$9='Flujo de Pagos'!$E483,9,9999)</f>
        <v>9999</v>
      </c>
      <c r="AD483" s="0" t="n">
        <f aca="false">IF(Presupuesto!$B$10='Flujo de Pagos'!$E483,10,9999)</f>
        <v>9999</v>
      </c>
      <c r="AE483" s="0" t="n">
        <f aca="false">IF(Presupuesto!$B$11='Flujo de Pagos'!$E483,11,9999)</f>
        <v>9999</v>
      </c>
      <c r="AF483" s="0" t="n">
        <f aca="false">IF(Presupuesto!$B$12='Flujo de Pagos'!$E483,12,9999)</f>
        <v>12</v>
      </c>
      <c r="AG483" s="0" t="n">
        <f aca="false">IF(Presupuesto!$B$13='Flujo de Pagos'!$E483,13,9999)</f>
        <v>13</v>
      </c>
      <c r="AH483" s="0" t="n">
        <f aca="false">IF(Presupuesto!$B$14='Flujo de Pagos'!$E483,14,9999)</f>
        <v>14</v>
      </c>
      <c r="AI483" s="0" t="n">
        <f aca="false">IF(Presupuesto!$B$15='Flujo de Pagos'!$E483,15,9999)</f>
        <v>15</v>
      </c>
      <c r="AJ483" s="0" t="n">
        <f aca="false">IF(Presupuesto!$B$16='Flujo de Pagos'!$E483,16,9999)</f>
        <v>16</v>
      </c>
      <c r="AK483" s="0" t="n">
        <f aca="false">IF(Presupuesto!$B$17='Flujo de Pagos'!$E483,17,9999)</f>
        <v>17</v>
      </c>
      <c r="AL483" s="0" t="n">
        <f aca="false">IF(Presupuesto!$B$18='Flujo de Pagos'!$E483,18,9999)</f>
        <v>18</v>
      </c>
      <c r="AM483" s="0" t="n">
        <f aca="false">IF(Presupuesto!$B$19='Flujo de Pagos'!$E483,19,9999)</f>
        <v>19</v>
      </c>
      <c r="AN483" s="0" t="n">
        <f aca="false">IF(Presupuesto!$B$20='Flujo de Pagos'!$E483,20,9999)</f>
        <v>20</v>
      </c>
      <c r="AO483" s="0" t="n">
        <f aca="false">IF(Presupuesto!$B$21='Flujo de Pagos'!$E483,21,9999)</f>
        <v>21</v>
      </c>
      <c r="AP483" s="0" t="n">
        <f aca="false">IF(Presupuesto!$B$22='Flujo de Pagos'!$E483,22,9999)</f>
        <v>22</v>
      </c>
      <c r="AQ483" s="0" t="n">
        <f aca="false">IF(Presupuesto!$B$23='Flujo de Pagos'!$E483,23,9999)</f>
        <v>23</v>
      </c>
      <c r="AR483" s="0" t="n">
        <f aca="false">IF(Presupuesto!$B$24='Flujo de Pagos'!$E483,24,9999)</f>
        <v>24</v>
      </c>
      <c r="AS483" s="0" t="n">
        <f aca="false">IF(Presupuesto!$B$25='Flujo de Pagos'!$E483,25,9999)</f>
        <v>25</v>
      </c>
      <c r="AT483" s="0" t="n">
        <f aca="false">IF(Presupuesto!$B$26='Flujo de Pagos'!$E483,26,9999)</f>
        <v>26</v>
      </c>
      <c r="AU483" s="0" t="n">
        <f aca="false">IF(Presupuesto!$B$27='Flujo de Pagos'!$E483,27,9999)</f>
        <v>27</v>
      </c>
      <c r="AV483" s="0" t="n">
        <f aca="false">IF(Presupuesto!$B$28='Flujo de Pagos'!$E483,28,9999)</f>
        <v>28</v>
      </c>
      <c r="AW483" s="0" t="n">
        <f aca="false">IF(Presupuesto!$B$29='Flujo de Pagos'!$E483,29,9999)</f>
        <v>29</v>
      </c>
      <c r="AX483" s="0" t="n">
        <f aca="false">IF(Presupuesto!$B$30='Flujo de Pagos'!$E483,30,9999)</f>
        <v>30</v>
      </c>
      <c r="AY483" s="0" t="n">
        <f aca="false">IF(Presupuesto!$B$31='Flujo de Pagos'!$E483,31,9999)</f>
        <v>31</v>
      </c>
      <c r="AZ483" s="0" t="n">
        <f aca="false">IF(Presupuesto!$B$32='Flujo de Pagos'!$E483,32,9999)</f>
        <v>32</v>
      </c>
      <c r="BA483" s="0" t="n">
        <f aca="false">IF(Presupuesto!$B$33='Flujo de Pagos'!$E483,33,9999)</f>
        <v>33</v>
      </c>
      <c r="BB483" s="0" t="n">
        <f aca="false">IF(Presupuesto!$B$34='Flujo de Pagos'!$E483,34,9999)</f>
        <v>34</v>
      </c>
      <c r="BC483" s="0" t="n">
        <f aca="false">IF(Presupuesto!$B$35='Flujo de Pagos'!$E483,35,9999)</f>
        <v>35</v>
      </c>
      <c r="BD483" s="0" t="n">
        <f aca="false">IF(Presupuesto!$B$36='Flujo de Pagos'!$E483,36,9999)</f>
        <v>36</v>
      </c>
      <c r="BE483" s="0" t="n">
        <f aca="false">IF(Presupuesto!$B$37='Flujo de Pagos'!$E483,37,9999)</f>
        <v>37</v>
      </c>
      <c r="BF483" s="0" t="n">
        <f aca="false">IF(Presupuesto!$B$38='Flujo de Pagos'!$E483,38,9999)</f>
        <v>38</v>
      </c>
      <c r="BG483" s="0" t="n">
        <f aca="false">IF(Presupuesto!$B$39='Flujo de Pagos'!$E483,39,9999)</f>
        <v>39</v>
      </c>
      <c r="BH483" s="0" t="n">
        <f aca="false">IF(Presupuesto!$B$40='Flujo de Pagos'!$E483,40,9999)</f>
        <v>40</v>
      </c>
      <c r="BI483" s="0" t="n">
        <f aca="false">IF(Presupuesto!$B$41='Flujo de Pagos'!$E483,41,9999)</f>
        <v>41</v>
      </c>
      <c r="BJ483" s="0" t="n">
        <f aca="false">IF(Presupuesto!$B$42='Flujo de Pagos'!$E483,42,9999)</f>
        <v>42</v>
      </c>
      <c r="BK483" s="0" t="n">
        <f aca="false">IF(Presupuesto!$B$43='Flujo de Pagos'!$E483,43,9999)</f>
        <v>43</v>
      </c>
      <c r="BL483" s="0" t="n">
        <f aca="false">IF(Presupuesto!$B$44='Flujo de Pagos'!$E483,44,9999)</f>
        <v>44</v>
      </c>
      <c r="BM483" s="0" t="n">
        <f aca="false">IF(Presupuesto!$B$45='Flujo de Pagos'!$E483,45,9999)</f>
        <v>45</v>
      </c>
      <c r="BN483" s="0" t="n">
        <f aca="false">IF(Presupuesto!$B$46='Flujo de Pagos'!$E483,46,9999)</f>
        <v>46</v>
      </c>
      <c r="BO483" s="0" t="n">
        <f aca="false">IF(Presupuesto!$B$47='Flujo de Pagos'!$E483,47,9999)</f>
        <v>47</v>
      </c>
      <c r="BP483" s="0" t="n">
        <f aca="false">IF(Presupuesto!$B$48='Flujo de Pagos'!$E483,48,9999)</f>
        <v>48</v>
      </c>
      <c r="BQ483" s="0" t="n">
        <f aca="false">IF(Presupuesto!$B$49='Flujo de Pagos'!$E483,49,9999)</f>
        <v>49</v>
      </c>
      <c r="BR483" s="0" t="n">
        <f aca="false">IF(Presupuesto!$B$50='Flujo de Pagos'!$E483,50,9999)</f>
        <v>50</v>
      </c>
      <c r="BS483" s="0" t="n">
        <f aca="false">IF(Presupuesto!$B$51='Flujo de Pagos'!$E483,51,9999)</f>
        <v>51</v>
      </c>
      <c r="BT483" s="0" t="n">
        <f aca="false">IF(Presupuesto!$B$52='Flujo de Pagos'!$E483,52,9999)</f>
        <v>52</v>
      </c>
      <c r="BU483" s="0" t="n">
        <f aca="false">IF(Presupuesto!$B$53='Flujo de Pagos'!$E483,53,9999)</f>
        <v>53</v>
      </c>
      <c r="BV483" s="0" t="n">
        <f aca="false">IF(Presupuesto!$B$54='Flujo de Pagos'!$E483,54,9999)</f>
        <v>54</v>
      </c>
      <c r="BW483" s="0" t="n">
        <f aca="false">IF(Presupuesto!$B$55='Flujo de Pagos'!$E483,55,9999)</f>
        <v>55</v>
      </c>
      <c r="BX483" s="0" t="n">
        <f aca="false">IF(Presupuesto!$B$56='Flujo de Pagos'!$E483,56,9999)</f>
        <v>56</v>
      </c>
      <c r="BY483" s="0" t="n">
        <f aca="false">IF(Presupuesto!$B$57='Flujo de Pagos'!$E483,57,9999)</f>
        <v>57</v>
      </c>
      <c r="BZ483" s="0" t="n">
        <f aca="false">IF(Presupuesto!$B$58='Flujo de Pagos'!$E483,58,9999)</f>
        <v>58</v>
      </c>
      <c r="CA483" s="0" t="n">
        <f aca="false">IF(Presupuesto!$B$59='Flujo de Pagos'!$E483,59,9999)</f>
        <v>59</v>
      </c>
      <c r="CB483" s="0" t="n">
        <f aca="false">IF(Presupuesto!$B$60='Flujo de Pagos'!$E483,60,9999)</f>
        <v>60</v>
      </c>
      <c r="CC483" s="0" t="n">
        <f aca="false">IF(Presupuesto!$B$61='Flujo de Pagos'!$E483,61,9999)</f>
        <v>61</v>
      </c>
      <c r="CD483" s="0" t="n">
        <f aca="false">IF(Presupuesto!$B$62='Flujo de Pagos'!$E483,62,9999)</f>
        <v>62</v>
      </c>
      <c r="CE483" s="0" t="n">
        <f aca="false">IF(Presupuesto!$B$63='Flujo de Pagos'!$E483,63,9999)</f>
        <v>63</v>
      </c>
      <c r="CF483" s="0" t="n">
        <f aca="false">IF(Presupuesto!$B$64='Flujo de Pagos'!$E483,64,9999)</f>
        <v>64</v>
      </c>
      <c r="CG483" s="0" t="n">
        <f aca="false">IF(Presupuesto!$B$65='Flujo de Pagos'!$E483,65,9999)</f>
        <v>65</v>
      </c>
      <c r="CH483" s="0" t="n">
        <f aca="false">IF(Presupuesto!$B$66='Flujo de Pagos'!$E483,66,9999)</f>
        <v>66</v>
      </c>
    </row>
    <row r="484" customFormat="false" ht="15" hidden="false" customHeight="true" outlineLevel="0" collapsed="false">
      <c r="B484" s="1" t="n">
        <f aca="false">IF(AND('Flujo de Pagos'!E489=Carátula!$B$2,'Flujo de Pagos'!F489=Carátula!$B$4,'Flujo de Pagos'!H489&lt;&gt;""),489,99999)</f>
        <v>99999</v>
      </c>
      <c r="H484" s="1" t="n">
        <f aca="false">IF(SMALL($AA484:$CH484,1)&gt;=9999,"",INDEX(Presupuesto!$C:$C,SMALL($AA484:$CH484,1)))</f>
        <v>0</v>
      </c>
      <c r="I484" s="1" t="n">
        <f aca="false">IF(SMALL($AA484:$CH484,2)&gt;=9999,"",INDEX(Presupuesto!$C:$C,SMALL($AA484:$CH484,2)))</f>
        <v>0</v>
      </c>
      <c r="J484" s="1" t="n">
        <f aca="false">IF(SMALL($AA484:$CH484,3)&gt;=9999,"",INDEX(Presupuesto!$C:$C,SMALL($AA484:$CH484,3)))</f>
        <v>0</v>
      </c>
      <c r="K484" s="1" t="n">
        <f aca="false">IF(SMALL($AA484:$CH484,4)&gt;=9999,"",INDEX(Presupuesto!$C:$C,SMALL($AA484:$CH484,4)))</f>
        <v>0</v>
      </c>
      <c r="L484" s="1" t="n">
        <f aca="false">IF(SMALL($AA484:$CH484,5)&gt;=9999,"",INDEX(Presupuesto!$C:$C,SMALL($AA484:$CH484,5)))</f>
        <v>0</v>
      </c>
      <c r="M484" s="1" t="n">
        <f aca="false">IF(SMALL($AA484:$CH484,6)&gt;=9999,"",INDEX(Presupuesto!$C:$C,SMALL($AA484:$CH484,6)))</f>
        <v>0</v>
      </c>
      <c r="N484" s="1" t="n">
        <f aca="false">IF(SMALL($AA484:$CH484,7)&gt;=9999,"",INDEX(Presupuesto!$C:$C,SMALL($AA484:$CH484,7)))</f>
        <v>0</v>
      </c>
      <c r="O484" s="1" t="n">
        <f aca="false">IF(SMALL($AA484:$CH484,8)&gt;=9999,"",INDEX(Presupuesto!$C:$C,SMALL($AA484:$CH484,8)))</f>
        <v>0</v>
      </c>
      <c r="P484" s="1" t="n">
        <f aca="false">IF(SMALL($AA484:$CH484,9)&gt;=9999,"",INDEX(Presupuesto!$C:$C,SMALL($AA484:$CH484,9)))</f>
        <v>0</v>
      </c>
      <c r="Q484" s="1" t="n">
        <f aca="false">IF(SMALL($AA484:$CH484,10)&gt;=9999,"",INDEX(Presupuesto!$C:$C,SMALL($AA484:$CH484,10)))</f>
        <v>0</v>
      </c>
      <c r="AA484" s="0" t="n">
        <f aca="false">IF(Presupuesto!$B$7='Flujo de Pagos'!$E484,7,9999)</f>
        <v>9999</v>
      </c>
      <c r="AB484" s="0" t="n">
        <f aca="false">IF(Presupuesto!$B$8='Flujo de Pagos'!$E484,8,9999)</f>
        <v>9999</v>
      </c>
      <c r="AC484" s="0" t="n">
        <f aca="false">IF(Presupuesto!$B$9='Flujo de Pagos'!$E484,9,9999)</f>
        <v>9999</v>
      </c>
      <c r="AD484" s="0" t="n">
        <f aca="false">IF(Presupuesto!$B$10='Flujo de Pagos'!$E484,10,9999)</f>
        <v>9999</v>
      </c>
      <c r="AE484" s="0" t="n">
        <f aca="false">IF(Presupuesto!$B$11='Flujo de Pagos'!$E484,11,9999)</f>
        <v>9999</v>
      </c>
      <c r="AF484" s="0" t="n">
        <f aca="false">IF(Presupuesto!$B$12='Flujo de Pagos'!$E484,12,9999)</f>
        <v>12</v>
      </c>
      <c r="AG484" s="0" t="n">
        <f aca="false">IF(Presupuesto!$B$13='Flujo de Pagos'!$E484,13,9999)</f>
        <v>13</v>
      </c>
      <c r="AH484" s="0" t="n">
        <f aca="false">IF(Presupuesto!$B$14='Flujo de Pagos'!$E484,14,9999)</f>
        <v>14</v>
      </c>
      <c r="AI484" s="0" t="n">
        <f aca="false">IF(Presupuesto!$B$15='Flujo de Pagos'!$E484,15,9999)</f>
        <v>15</v>
      </c>
      <c r="AJ484" s="0" t="n">
        <f aca="false">IF(Presupuesto!$B$16='Flujo de Pagos'!$E484,16,9999)</f>
        <v>16</v>
      </c>
      <c r="AK484" s="0" t="n">
        <f aca="false">IF(Presupuesto!$B$17='Flujo de Pagos'!$E484,17,9999)</f>
        <v>17</v>
      </c>
      <c r="AL484" s="0" t="n">
        <f aca="false">IF(Presupuesto!$B$18='Flujo de Pagos'!$E484,18,9999)</f>
        <v>18</v>
      </c>
      <c r="AM484" s="0" t="n">
        <f aca="false">IF(Presupuesto!$B$19='Flujo de Pagos'!$E484,19,9999)</f>
        <v>19</v>
      </c>
      <c r="AN484" s="0" t="n">
        <f aca="false">IF(Presupuesto!$B$20='Flujo de Pagos'!$E484,20,9999)</f>
        <v>20</v>
      </c>
      <c r="AO484" s="0" t="n">
        <f aca="false">IF(Presupuesto!$B$21='Flujo de Pagos'!$E484,21,9999)</f>
        <v>21</v>
      </c>
      <c r="AP484" s="0" t="n">
        <f aca="false">IF(Presupuesto!$B$22='Flujo de Pagos'!$E484,22,9999)</f>
        <v>22</v>
      </c>
      <c r="AQ484" s="0" t="n">
        <f aca="false">IF(Presupuesto!$B$23='Flujo de Pagos'!$E484,23,9999)</f>
        <v>23</v>
      </c>
      <c r="AR484" s="0" t="n">
        <f aca="false">IF(Presupuesto!$B$24='Flujo de Pagos'!$E484,24,9999)</f>
        <v>24</v>
      </c>
      <c r="AS484" s="0" t="n">
        <f aca="false">IF(Presupuesto!$B$25='Flujo de Pagos'!$E484,25,9999)</f>
        <v>25</v>
      </c>
      <c r="AT484" s="0" t="n">
        <f aca="false">IF(Presupuesto!$B$26='Flujo de Pagos'!$E484,26,9999)</f>
        <v>26</v>
      </c>
      <c r="AU484" s="0" t="n">
        <f aca="false">IF(Presupuesto!$B$27='Flujo de Pagos'!$E484,27,9999)</f>
        <v>27</v>
      </c>
      <c r="AV484" s="0" t="n">
        <f aca="false">IF(Presupuesto!$B$28='Flujo de Pagos'!$E484,28,9999)</f>
        <v>28</v>
      </c>
      <c r="AW484" s="0" t="n">
        <f aca="false">IF(Presupuesto!$B$29='Flujo de Pagos'!$E484,29,9999)</f>
        <v>29</v>
      </c>
      <c r="AX484" s="0" t="n">
        <f aca="false">IF(Presupuesto!$B$30='Flujo de Pagos'!$E484,30,9999)</f>
        <v>30</v>
      </c>
      <c r="AY484" s="0" t="n">
        <f aca="false">IF(Presupuesto!$B$31='Flujo de Pagos'!$E484,31,9999)</f>
        <v>31</v>
      </c>
      <c r="AZ484" s="0" t="n">
        <f aca="false">IF(Presupuesto!$B$32='Flujo de Pagos'!$E484,32,9999)</f>
        <v>32</v>
      </c>
      <c r="BA484" s="0" t="n">
        <f aca="false">IF(Presupuesto!$B$33='Flujo de Pagos'!$E484,33,9999)</f>
        <v>33</v>
      </c>
      <c r="BB484" s="0" t="n">
        <f aca="false">IF(Presupuesto!$B$34='Flujo de Pagos'!$E484,34,9999)</f>
        <v>34</v>
      </c>
      <c r="BC484" s="0" t="n">
        <f aca="false">IF(Presupuesto!$B$35='Flujo de Pagos'!$E484,35,9999)</f>
        <v>35</v>
      </c>
      <c r="BD484" s="0" t="n">
        <f aca="false">IF(Presupuesto!$B$36='Flujo de Pagos'!$E484,36,9999)</f>
        <v>36</v>
      </c>
      <c r="BE484" s="0" t="n">
        <f aca="false">IF(Presupuesto!$B$37='Flujo de Pagos'!$E484,37,9999)</f>
        <v>37</v>
      </c>
      <c r="BF484" s="0" t="n">
        <f aca="false">IF(Presupuesto!$B$38='Flujo de Pagos'!$E484,38,9999)</f>
        <v>38</v>
      </c>
      <c r="BG484" s="0" t="n">
        <f aca="false">IF(Presupuesto!$B$39='Flujo de Pagos'!$E484,39,9999)</f>
        <v>39</v>
      </c>
      <c r="BH484" s="0" t="n">
        <f aca="false">IF(Presupuesto!$B$40='Flujo de Pagos'!$E484,40,9999)</f>
        <v>40</v>
      </c>
      <c r="BI484" s="0" t="n">
        <f aca="false">IF(Presupuesto!$B$41='Flujo de Pagos'!$E484,41,9999)</f>
        <v>41</v>
      </c>
      <c r="BJ484" s="0" t="n">
        <f aca="false">IF(Presupuesto!$B$42='Flujo de Pagos'!$E484,42,9999)</f>
        <v>42</v>
      </c>
      <c r="BK484" s="0" t="n">
        <f aca="false">IF(Presupuesto!$B$43='Flujo de Pagos'!$E484,43,9999)</f>
        <v>43</v>
      </c>
      <c r="BL484" s="0" t="n">
        <f aca="false">IF(Presupuesto!$B$44='Flujo de Pagos'!$E484,44,9999)</f>
        <v>44</v>
      </c>
      <c r="BM484" s="0" t="n">
        <f aca="false">IF(Presupuesto!$B$45='Flujo de Pagos'!$E484,45,9999)</f>
        <v>45</v>
      </c>
      <c r="BN484" s="0" t="n">
        <f aca="false">IF(Presupuesto!$B$46='Flujo de Pagos'!$E484,46,9999)</f>
        <v>46</v>
      </c>
      <c r="BO484" s="0" t="n">
        <f aca="false">IF(Presupuesto!$B$47='Flujo de Pagos'!$E484,47,9999)</f>
        <v>47</v>
      </c>
      <c r="BP484" s="0" t="n">
        <f aca="false">IF(Presupuesto!$B$48='Flujo de Pagos'!$E484,48,9999)</f>
        <v>48</v>
      </c>
      <c r="BQ484" s="0" t="n">
        <f aca="false">IF(Presupuesto!$B$49='Flujo de Pagos'!$E484,49,9999)</f>
        <v>49</v>
      </c>
      <c r="BR484" s="0" t="n">
        <f aca="false">IF(Presupuesto!$B$50='Flujo de Pagos'!$E484,50,9999)</f>
        <v>50</v>
      </c>
      <c r="BS484" s="0" t="n">
        <f aca="false">IF(Presupuesto!$B$51='Flujo de Pagos'!$E484,51,9999)</f>
        <v>51</v>
      </c>
      <c r="BT484" s="0" t="n">
        <f aca="false">IF(Presupuesto!$B$52='Flujo de Pagos'!$E484,52,9999)</f>
        <v>52</v>
      </c>
      <c r="BU484" s="0" t="n">
        <f aca="false">IF(Presupuesto!$B$53='Flujo de Pagos'!$E484,53,9999)</f>
        <v>53</v>
      </c>
      <c r="BV484" s="0" t="n">
        <f aca="false">IF(Presupuesto!$B$54='Flujo de Pagos'!$E484,54,9999)</f>
        <v>54</v>
      </c>
      <c r="BW484" s="0" t="n">
        <f aca="false">IF(Presupuesto!$B$55='Flujo de Pagos'!$E484,55,9999)</f>
        <v>55</v>
      </c>
      <c r="BX484" s="0" t="n">
        <f aca="false">IF(Presupuesto!$B$56='Flujo de Pagos'!$E484,56,9999)</f>
        <v>56</v>
      </c>
      <c r="BY484" s="0" t="n">
        <f aca="false">IF(Presupuesto!$B$57='Flujo de Pagos'!$E484,57,9999)</f>
        <v>57</v>
      </c>
      <c r="BZ484" s="0" t="n">
        <f aca="false">IF(Presupuesto!$B$58='Flujo de Pagos'!$E484,58,9999)</f>
        <v>58</v>
      </c>
      <c r="CA484" s="0" t="n">
        <f aca="false">IF(Presupuesto!$B$59='Flujo de Pagos'!$E484,59,9999)</f>
        <v>59</v>
      </c>
      <c r="CB484" s="0" t="n">
        <f aca="false">IF(Presupuesto!$B$60='Flujo de Pagos'!$E484,60,9999)</f>
        <v>60</v>
      </c>
      <c r="CC484" s="0" t="n">
        <f aca="false">IF(Presupuesto!$B$61='Flujo de Pagos'!$E484,61,9999)</f>
        <v>61</v>
      </c>
      <c r="CD484" s="0" t="n">
        <f aca="false">IF(Presupuesto!$B$62='Flujo de Pagos'!$E484,62,9999)</f>
        <v>62</v>
      </c>
      <c r="CE484" s="0" t="n">
        <f aca="false">IF(Presupuesto!$B$63='Flujo de Pagos'!$E484,63,9999)</f>
        <v>63</v>
      </c>
      <c r="CF484" s="0" t="n">
        <f aca="false">IF(Presupuesto!$B$64='Flujo de Pagos'!$E484,64,9999)</f>
        <v>64</v>
      </c>
      <c r="CG484" s="0" t="n">
        <f aca="false">IF(Presupuesto!$B$65='Flujo de Pagos'!$E484,65,9999)</f>
        <v>65</v>
      </c>
      <c r="CH484" s="0" t="n">
        <f aca="false">IF(Presupuesto!$B$66='Flujo de Pagos'!$E484,66,9999)</f>
        <v>66</v>
      </c>
    </row>
    <row r="485" customFormat="false" ht="15" hidden="false" customHeight="true" outlineLevel="0" collapsed="false">
      <c r="B485" s="1" t="n">
        <f aca="false">IF(AND('Flujo de Pagos'!E490=Carátula!$B$2,'Flujo de Pagos'!F490=Carátula!$B$4,'Flujo de Pagos'!H490&lt;&gt;""),490,99999)</f>
        <v>99999</v>
      </c>
      <c r="H485" s="1" t="n">
        <f aca="false">IF(SMALL($AA485:$CH485,1)&gt;=9999,"",INDEX(Presupuesto!$C:$C,SMALL($AA485:$CH485,1)))</f>
        <v>0</v>
      </c>
      <c r="I485" s="1" t="n">
        <f aca="false">IF(SMALL($AA485:$CH485,2)&gt;=9999,"",INDEX(Presupuesto!$C:$C,SMALL($AA485:$CH485,2)))</f>
        <v>0</v>
      </c>
      <c r="J485" s="1" t="n">
        <f aca="false">IF(SMALL($AA485:$CH485,3)&gt;=9999,"",INDEX(Presupuesto!$C:$C,SMALL($AA485:$CH485,3)))</f>
        <v>0</v>
      </c>
      <c r="K485" s="1" t="n">
        <f aca="false">IF(SMALL($AA485:$CH485,4)&gt;=9999,"",INDEX(Presupuesto!$C:$C,SMALL($AA485:$CH485,4)))</f>
        <v>0</v>
      </c>
      <c r="L485" s="1" t="n">
        <f aca="false">IF(SMALL($AA485:$CH485,5)&gt;=9999,"",INDEX(Presupuesto!$C:$C,SMALL($AA485:$CH485,5)))</f>
        <v>0</v>
      </c>
      <c r="M485" s="1" t="n">
        <f aca="false">IF(SMALL($AA485:$CH485,6)&gt;=9999,"",INDEX(Presupuesto!$C:$C,SMALL($AA485:$CH485,6)))</f>
        <v>0</v>
      </c>
      <c r="N485" s="1" t="n">
        <f aca="false">IF(SMALL($AA485:$CH485,7)&gt;=9999,"",INDEX(Presupuesto!$C:$C,SMALL($AA485:$CH485,7)))</f>
        <v>0</v>
      </c>
      <c r="O485" s="1" t="n">
        <f aca="false">IF(SMALL($AA485:$CH485,8)&gt;=9999,"",INDEX(Presupuesto!$C:$C,SMALL($AA485:$CH485,8)))</f>
        <v>0</v>
      </c>
      <c r="P485" s="1" t="n">
        <f aca="false">IF(SMALL($AA485:$CH485,9)&gt;=9999,"",INDEX(Presupuesto!$C:$C,SMALL($AA485:$CH485,9)))</f>
        <v>0</v>
      </c>
      <c r="Q485" s="1" t="n">
        <f aca="false">IF(SMALL($AA485:$CH485,10)&gt;=9999,"",INDEX(Presupuesto!$C:$C,SMALL($AA485:$CH485,10)))</f>
        <v>0</v>
      </c>
      <c r="AA485" s="0" t="n">
        <f aca="false">IF(Presupuesto!$B$7='Flujo de Pagos'!$E485,7,9999)</f>
        <v>9999</v>
      </c>
      <c r="AB485" s="0" t="n">
        <f aca="false">IF(Presupuesto!$B$8='Flujo de Pagos'!$E485,8,9999)</f>
        <v>9999</v>
      </c>
      <c r="AC485" s="0" t="n">
        <f aca="false">IF(Presupuesto!$B$9='Flujo de Pagos'!$E485,9,9999)</f>
        <v>9999</v>
      </c>
      <c r="AD485" s="0" t="n">
        <f aca="false">IF(Presupuesto!$B$10='Flujo de Pagos'!$E485,10,9999)</f>
        <v>9999</v>
      </c>
      <c r="AE485" s="0" t="n">
        <f aca="false">IF(Presupuesto!$B$11='Flujo de Pagos'!$E485,11,9999)</f>
        <v>9999</v>
      </c>
      <c r="AF485" s="0" t="n">
        <f aca="false">IF(Presupuesto!$B$12='Flujo de Pagos'!$E485,12,9999)</f>
        <v>12</v>
      </c>
      <c r="AG485" s="0" t="n">
        <f aca="false">IF(Presupuesto!$B$13='Flujo de Pagos'!$E485,13,9999)</f>
        <v>13</v>
      </c>
      <c r="AH485" s="0" t="n">
        <f aca="false">IF(Presupuesto!$B$14='Flujo de Pagos'!$E485,14,9999)</f>
        <v>14</v>
      </c>
      <c r="AI485" s="0" t="n">
        <f aca="false">IF(Presupuesto!$B$15='Flujo de Pagos'!$E485,15,9999)</f>
        <v>15</v>
      </c>
      <c r="AJ485" s="0" t="n">
        <f aca="false">IF(Presupuesto!$B$16='Flujo de Pagos'!$E485,16,9999)</f>
        <v>16</v>
      </c>
      <c r="AK485" s="0" t="n">
        <f aca="false">IF(Presupuesto!$B$17='Flujo de Pagos'!$E485,17,9999)</f>
        <v>17</v>
      </c>
      <c r="AL485" s="0" t="n">
        <f aca="false">IF(Presupuesto!$B$18='Flujo de Pagos'!$E485,18,9999)</f>
        <v>18</v>
      </c>
      <c r="AM485" s="0" t="n">
        <f aca="false">IF(Presupuesto!$B$19='Flujo de Pagos'!$E485,19,9999)</f>
        <v>19</v>
      </c>
      <c r="AN485" s="0" t="n">
        <f aca="false">IF(Presupuesto!$B$20='Flujo de Pagos'!$E485,20,9999)</f>
        <v>20</v>
      </c>
      <c r="AO485" s="0" t="n">
        <f aca="false">IF(Presupuesto!$B$21='Flujo de Pagos'!$E485,21,9999)</f>
        <v>21</v>
      </c>
      <c r="AP485" s="0" t="n">
        <f aca="false">IF(Presupuesto!$B$22='Flujo de Pagos'!$E485,22,9999)</f>
        <v>22</v>
      </c>
      <c r="AQ485" s="0" t="n">
        <f aca="false">IF(Presupuesto!$B$23='Flujo de Pagos'!$E485,23,9999)</f>
        <v>23</v>
      </c>
      <c r="AR485" s="0" t="n">
        <f aca="false">IF(Presupuesto!$B$24='Flujo de Pagos'!$E485,24,9999)</f>
        <v>24</v>
      </c>
      <c r="AS485" s="0" t="n">
        <f aca="false">IF(Presupuesto!$B$25='Flujo de Pagos'!$E485,25,9999)</f>
        <v>25</v>
      </c>
      <c r="AT485" s="0" t="n">
        <f aca="false">IF(Presupuesto!$B$26='Flujo de Pagos'!$E485,26,9999)</f>
        <v>26</v>
      </c>
      <c r="AU485" s="0" t="n">
        <f aca="false">IF(Presupuesto!$B$27='Flujo de Pagos'!$E485,27,9999)</f>
        <v>27</v>
      </c>
      <c r="AV485" s="0" t="n">
        <f aca="false">IF(Presupuesto!$B$28='Flujo de Pagos'!$E485,28,9999)</f>
        <v>28</v>
      </c>
      <c r="AW485" s="0" t="n">
        <f aca="false">IF(Presupuesto!$B$29='Flujo de Pagos'!$E485,29,9999)</f>
        <v>29</v>
      </c>
      <c r="AX485" s="0" t="n">
        <f aca="false">IF(Presupuesto!$B$30='Flujo de Pagos'!$E485,30,9999)</f>
        <v>30</v>
      </c>
      <c r="AY485" s="0" t="n">
        <f aca="false">IF(Presupuesto!$B$31='Flujo de Pagos'!$E485,31,9999)</f>
        <v>31</v>
      </c>
      <c r="AZ485" s="0" t="n">
        <f aca="false">IF(Presupuesto!$B$32='Flujo de Pagos'!$E485,32,9999)</f>
        <v>32</v>
      </c>
      <c r="BA485" s="0" t="n">
        <f aca="false">IF(Presupuesto!$B$33='Flujo de Pagos'!$E485,33,9999)</f>
        <v>33</v>
      </c>
      <c r="BB485" s="0" t="n">
        <f aca="false">IF(Presupuesto!$B$34='Flujo de Pagos'!$E485,34,9999)</f>
        <v>34</v>
      </c>
      <c r="BC485" s="0" t="n">
        <f aca="false">IF(Presupuesto!$B$35='Flujo de Pagos'!$E485,35,9999)</f>
        <v>35</v>
      </c>
      <c r="BD485" s="0" t="n">
        <f aca="false">IF(Presupuesto!$B$36='Flujo de Pagos'!$E485,36,9999)</f>
        <v>36</v>
      </c>
      <c r="BE485" s="0" t="n">
        <f aca="false">IF(Presupuesto!$B$37='Flujo de Pagos'!$E485,37,9999)</f>
        <v>37</v>
      </c>
      <c r="BF485" s="0" t="n">
        <f aca="false">IF(Presupuesto!$B$38='Flujo de Pagos'!$E485,38,9999)</f>
        <v>38</v>
      </c>
      <c r="BG485" s="0" t="n">
        <f aca="false">IF(Presupuesto!$B$39='Flujo de Pagos'!$E485,39,9999)</f>
        <v>39</v>
      </c>
      <c r="BH485" s="0" t="n">
        <f aca="false">IF(Presupuesto!$B$40='Flujo de Pagos'!$E485,40,9999)</f>
        <v>40</v>
      </c>
      <c r="BI485" s="0" t="n">
        <f aca="false">IF(Presupuesto!$B$41='Flujo de Pagos'!$E485,41,9999)</f>
        <v>41</v>
      </c>
      <c r="BJ485" s="0" t="n">
        <f aca="false">IF(Presupuesto!$B$42='Flujo de Pagos'!$E485,42,9999)</f>
        <v>42</v>
      </c>
      <c r="BK485" s="0" t="n">
        <f aca="false">IF(Presupuesto!$B$43='Flujo de Pagos'!$E485,43,9999)</f>
        <v>43</v>
      </c>
      <c r="BL485" s="0" t="n">
        <f aca="false">IF(Presupuesto!$B$44='Flujo de Pagos'!$E485,44,9999)</f>
        <v>44</v>
      </c>
      <c r="BM485" s="0" t="n">
        <f aca="false">IF(Presupuesto!$B$45='Flujo de Pagos'!$E485,45,9999)</f>
        <v>45</v>
      </c>
      <c r="BN485" s="0" t="n">
        <f aca="false">IF(Presupuesto!$B$46='Flujo de Pagos'!$E485,46,9999)</f>
        <v>46</v>
      </c>
      <c r="BO485" s="0" t="n">
        <f aca="false">IF(Presupuesto!$B$47='Flujo de Pagos'!$E485,47,9999)</f>
        <v>47</v>
      </c>
      <c r="BP485" s="0" t="n">
        <f aca="false">IF(Presupuesto!$B$48='Flujo de Pagos'!$E485,48,9999)</f>
        <v>48</v>
      </c>
      <c r="BQ485" s="0" t="n">
        <f aca="false">IF(Presupuesto!$B$49='Flujo de Pagos'!$E485,49,9999)</f>
        <v>49</v>
      </c>
      <c r="BR485" s="0" t="n">
        <f aca="false">IF(Presupuesto!$B$50='Flujo de Pagos'!$E485,50,9999)</f>
        <v>50</v>
      </c>
      <c r="BS485" s="0" t="n">
        <f aca="false">IF(Presupuesto!$B$51='Flujo de Pagos'!$E485,51,9999)</f>
        <v>51</v>
      </c>
      <c r="BT485" s="0" t="n">
        <f aca="false">IF(Presupuesto!$B$52='Flujo de Pagos'!$E485,52,9999)</f>
        <v>52</v>
      </c>
      <c r="BU485" s="0" t="n">
        <f aca="false">IF(Presupuesto!$B$53='Flujo de Pagos'!$E485,53,9999)</f>
        <v>53</v>
      </c>
      <c r="BV485" s="0" t="n">
        <f aca="false">IF(Presupuesto!$B$54='Flujo de Pagos'!$E485,54,9999)</f>
        <v>54</v>
      </c>
      <c r="BW485" s="0" t="n">
        <f aca="false">IF(Presupuesto!$B$55='Flujo de Pagos'!$E485,55,9999)</f>
        <v>55</v>
      </c>
      <c r="BX485" s="0" t="n">
        <f aca="false">IF(Presupuesto!$B$56='Flujo de Pagos'!$E485,56,9999)</f>
        <v>56</v>
      </c>
      <c r="BY485" s="0" t="n">
        <f aca="false">IF(Presupuesto!$B$57='Flujo de Pagos'!$E485,57,9999)</f>
        <v>57</v>
      </c>
      <c r="BZ485" s="0" t="n">
        <f aca="false">IF(Presupuesto!$B$58='Flujo de Pagos'!$E485,58,9999)</f>
        <v>58</v>
      </c>
      <c r="CA485" s="0" t="n">
        <f aca="false">IF(Presupuesto!$B$59='Flujo de Pagos'!$E485,59,9999)</f>
        <v>59</v>
      </c>
      <c r="CB485" s="0" t="n">
        <f aca="false">IF(Presupuesto!$B$60='Flujo de Pagos'!$E485,60,9999)</f>
        <v>60</v>
      </c>
      <c r="CC485" s="0" t="n">
        <f aca="false">IF(Presupuesto!$B$61='Flujo de Pagos'!$E485,61,9999)</f>
        <v>61</v>
      </c>
      <c r="CD485" s="0" t="n">
        <f aca="false">IF(Presupuesto!$B$62='Flujo de Pagos'!$E485,62,9999)</f>
        <v>62</v>
      </c>
      <c r="CE485" s="0" t="n">
        <f aca="false">IF(Presupuesto!$B$63='Flujo de Pagos'!$E485,63,9999)</f>
        <v>63</v>
      </c>
      <c r="CF485" s="0" t="n">
        <f aca="false">IF(Presupuesto!$B$64='Flujo de Pagos'!$E485,64,9999)</f>
        <v>64</v>
      </c>
      <c r="CG485" s="0" t="n">
        <f aca="false">IF(Presupuesto!$B$65='Flujo de Pagos'!$E485,65,9999)</f>
        <v>65</v>
      </c>
      <c r="CH485" s="0" t="n">
        <f aca="false">IF(Presupuesto!$B$66='Flujo de Pagos'!$E485,66,9999)</f>
        <v>66</v>
      </c>
    </row>
    <row r="486" customFormat="false" ht="15" hidden="false" customHeight="true" outlineLevel="0" collapsed="false">
      <c r="B486" s="1" t="n">
        <f aca="false">IF(AND('Flujo de Pagos'!E491=Carátula!$B$2,'Flujo de Pagos'!F491=Carátula!$B$4,'Flujo de Pagos'!H491&lt;&gt;""),491,99999)</f>
        <v>99999</v>
      </c>
      <c r="H486" s="1" t="n">
        <f aca="false">IF(SMALL($AA486:$CH486,1)&gt;=9999,"",INDEX(Presupuesto!$C:$C,SMALL($AA486:$CH486,1)))</f>
        <v>0</v>
      </c>
      <c r="I486" s="1" t="n">
        <f aca="false">IF(SMALL($AA486:$CH486,2)&gt;=9999,"",INDEX(Presupuesto!$C:$C,SMALL($AA486:$CH486,2)))</f>
        <v>0</v>
      </c>
      <c r="J486" s="1" t="n">
        <f aca="false">IF(SMALL($AA486:$CH486,3)&gt;=9999,"",INDEX(Presupuesto!$C:$C,SMALL($AA486:$CH486,3)))</f>
        <v>0</v>
      </c>
      <c r="K486" s="1" t="n">
        <f aca="false">IF(SMALL($AA486:$CH486,4)&gt;=9999,"",INDEX(Presupuesto!$C:$C,SMALL($AA486:$CH486,4)))</f>
        <v>0</v>
      </c>
      <c r="L486" s="1" t="n">
        <f aca="false">IF(SMALL($AA486:$CH486,5)&gt;=9999,"",INDEX(Presupuesto!$C:$C,SMALL($AA486:$CH486,5)))</f>
        <v>0</v>
      </c>
      <c r="M486" s="1" t="n">
        <f aca="false">IF(SMALL($AA486:$CH486,6)&gt;=9999,"",INDEX(Presupuesto!$C:$C,SMALL($AA486:$CH486,6)))</f>
        <v>0</v>
      </c>
      <c r="N486" s="1" t="n">
        <f aca="false">IF(SMALL($AA486:$CH486,7)&gt;=9999,"",INDEX(Presupuesto!$C:$C,SMALL($AA486:$CH486,7)))</f>
        <v>0</v>
      </c>
      <c r="O486" s="1" t="n">
        <f aca="false">IF(SMALL($AA486:$CH486,8)&gt;=9999,"",INDEX(Presupuesto!$C:$C,SMALL($AA486:$CH486,8)))</f>
        <v>0</v>
      </c>
      <c r="P486" s="1" t="n">
        <f aca="false">IF(SMALL($AA486:$CH486,9)&gt;=9999,"",INDEX(Presupuesto!$C:$C,SMALL($AA486:$CH486,9)))</f>
        <v>0</v>
      </c>
      <c r="Q486" s="1" t="n">
        <f aca="false">IF(SMALL($AA486:$CH486,10)&gt;=9999,"",INDEX(Presupuesto!$C:$C,SMALL($AA486:$CH486,10)))</f>
        <v>0</v>
      </c>
      <c r="AA486" s="0" t="n">
        <f aca="false">IF(Presupuesto!$B$7='Flujo de Pagos'!$E486,7,9999)</f>
        <v>9999</v>
      </c>
      <c r="AB486" s="0" t="n">
        <f aca="false">IF(Presupuesto!$B$8='Flujo de Pagos'!$E486,8,9999)</f>
        <v>9999</v>
      </c>
      <c r="AC486" s="0" t="n">
        <f aca="false">IF(Presupuesto!$B$9='Flujo de Pagos'!$E486,9,9999)</f>
        <v>9999</v>
      </c>
      <c r="AD486" s="0" t="n">
        <f aca="false">IF(Presupuesto!$B$10='Flujo de Pagos'!$E486,10,9999)</f>
        <v>9999</v>
      </c>
      <c r="AE486" s="0" t="n">
        <f aca="false">IF(Presupuesto!$B$11='Flujo de Pagos'!$E486,11,9999)</f>
        <v>9999</v>
      </c>
      <c r="AF486" s="0" t="n">
        <f aca="false">IF(Presupuesto!$B$12='Flujo de Pagos'!$E486,12,9999)</f>
        <v>12</v>
      </c>
      <c r="AG486" s="0" t="n">
        <f aca="false">IF(Presupuesto!$B$13='Flujo de Pagos'!$E486,13,9999)</f>
        <v>13</v>
      </c>
      <c r="AH486" s="0" t="n">
        <f aca="false">IF(Presupuesto!$B$14='Flujo de Pagos'!$E486,14,9999)</f>
        <v>14</v>
      </c>
      <c r="AI486" s="0" t="n">
        <f aca="false">IF(Presupuesto!$B$15='Flujo de Pagos'!$E486,15,9999)</f>
        <v>15</v>
      </c>
      <c r="AJ486" s="0" t="n">
        <f aca="false">IF(Presupuesto!$B$16='Flujo de Pagos'!$E486,16,9999)</f>
        <v>16</v>
      </c>
      <c r="AK486" s="0" t="n">
        <f aca="false">IF(Presupuesto!$B$17='Flujo de Pagos'!$E486,17,9999)</f>
        <v>17</v>
      </c>
      <c r="AL486" s="0" t="n">
        <f aca="false">IF(Presupuesto!$B$18='Flujo de Pagos'!$E486,18,9999)</f>
        <v>18</v>
      </c>
      <c r="AM486" s="0" t="n">
        <f aca="false">IF(Presupuesto!$B$19='Flujo de Pagos'!$E486,19,9999)</f>
        <v>19</v>
      </c>
      <c r="AN486" s="0" t="n">
        <f aca="false">IF(Presupuesto!$B$20='Flujo de Pagos'!$E486,20,9999)</f>
        <v>20</v>
      </c>
      <c r="AO486" s="0" t="n">
        <f aca="false">IF(Presupuesto!$B$21='Flujo de Pagos'!$E486,21,9999)</f>
        <v>21</v>
      </c>
      <c r="AP486" s="0" t="n">
        <f aca="false">IF(Presupuesto!$B$22='Flujo de Pagos'!$E486,22,9999)</f>
        <v>22</v>
      </c>
      <c r="AQ486" s="0" t="n">
        <f aca="false">IF(Presupuesto!$B$23='Flujo de Pagos'!$E486,23,9999)</f>
        <v>23</v>
      </c>
      <c r="AR486" s="0" t="n">
        <f aca="false">IF(Presupuesto!$B$24='Flujo de Pagos'!$E486,24,9999)</f>
        <v>24</v>
      </c>
      <c r="AS486" s="0" t="n">
        <f aca="false">IF(Presupuesto!$B$25='Flujo de Pagos'!$E486,25,9999)</f>
        <v>25</v>
      </c>
      <c r="AT486" s="0" t="n">
        <f aca="false">IF(Presupuesto!$B$26='Flujo de Pagos'!$E486,26,9999)</f>
        <v>26</v>
      </c>
      <c r="AU486" s="0" t="n">
        <f aca="false">IF(Presupuesto!$B$27='Flujo de Pagos'!$E486,27,9999)</f>
        <v>27</v>
      </c>
      <c r="AV486" s="0" t="n">
        <f aca="false">IF(Presupuesto!$B$28='Flujo de Pagos'!$E486,28,9999)</f>
        <v>28</v>
      </c>
      <c r="AW486" s="0" t="n">
        <f aca="false">IF(Presupuesto!$B$29='Flujo de Pagos'!$E486,29,9999)</f>
        <v>29</v>
      </c>
      <c r="AX486" s="0" t="n">
        <f aca="false">IF(Presupuesto!$B$30='Flujo de Pagos'!$E486,30,9999)</f>
        <v>30</v>
      </c>
      <c r="AY486" s="0" t="n">
        <f aca="false">IF(Presupuesto!$B$31='Flujo de Pagos'!$E486,31,9999)</f>
        <v>31</v>
      </c>
      <c r="AZ486" s="0" t="n">
        <f aca="false">IF(Presupuesto!$B$32='Flujo de Pagos'!$E486,32,9999)</f>
        <v>32</v>
      </c>
      <c r="BA486" s="0" t="n">
        <f aca="false">IF(Presupuesto!$B$33='Flujo de Pagos'!$E486,33,9999)</f>
        <v>33</v>
      </c>
      <c r="BB486" s="0" t="n">
        <f aca="false">IF(Presupuesto!$B$34='Flujo de Pagos'!$E486,34,9999)</f>
        <v>34</v>
      </c>
      <c r="BC486" s="0" t="n">
        <f aca="false">IF(Presupuesto!$B$35='Flujo de Pagos'!$E486,35,9999)</f>
        <v>35</v>
      </c>
      <c r="BD486" s="0" t="n">
        <f aca="false">IF(Presupuesto!$B$36='Flujo de Pagos'!$E486,36,9999)</f>
        <v>36</v>
      </c>
      <c r="BE486" s="0" t="n">
        <f aca="false">IF(Presupuesto!$B$37='Flujo de Pagos'!$E486,37,9999)</f>
        <v>37</v>
      </c>
      <c r="BF486" s="0" t="n">
        <f aca="false">IF(Presupuesto!$B$38='Flujo de Pagos'!$E486,38,9999)</f>
        <v>38</v>
      </c>
      <c r="BG486" s="0" t="n">
        <f aca="false">IF(Presupuesto!$B$39='Flujo de Pagos'!$E486,39,9999)</f>
        <v>39</v>
      </c>
      <c r="BH486" s="0" t="n">
        <f aca="false">IF(Presupuesto!$B$40='Flujo de Pagos'!$E486,40,9999)</f>
        <v>40</v>
      </c>
      <c r="BI486" s="0" t="n">
        <f aca="false">IF(Presupuesto!$B$41='Flujo de Pagos'!$E486,41,9999)</f>
        <v>41</v>
      </c>
      <c r="BJ486" s="0" t="n">
        <f aca="false">IF(Presupuesto!$B$42='Flujo de Pagos'!$E486,42,9999)</f>
        <v>42</v>
      </c>
      <c r="BK486" s="0" t="n">
        <f aca="false">IF(Presupuesto!$B$43='Flujo de Pagos'!$E486,43,9999)</f>
        <v>43</v>
      </c>
      <c r="BL486" s="0" t="n">
        <f aca="false">IF(Presupuesto!$B$44='Flujo de Pagos'!$E486,44,9999)</f>
        <v>44</v>
      </c>
      <c r="BM486" s="0" t="n">
        <f aca="false">IF(Presupuesto!$B$45='Flujo de Pagos'!$E486,45,9999)</f>
        <v>45</v>
      </c>
      <c r="BN486" s="0" t="n">
        <f aca="false">IF(Presupuesto!$B$46='Flujo de Pagos'!$E486,46,9999)</f>
        <v>46</v>
      </c>
      <c r="BO486" s="0" t="n">
        <f aca="false">IF(Presupuesto!$B$47='Flujo de Pagos'!$E486,47,9999)</f>
        <v>47</v>
      </c>
      <c r="BP486" s="0" t="n">
        <f aca="false">IF(Presupuesto!$B$48='Flujo de Pagos'!$E486,48,9999)</f>
        <v>48</v>
      </c>
      <c r="BQ486" s="0" t="n">
        <f aca="false">IF(Presupuesto!$B$49='Flujo de Pagos'!$E486,49,9999)</f>
        <v>49</v>
      </c>
      <c r="BR486" s="0" t="n">
        <f aca="false">IF(Presupuesto!$B$50='Flujo de Pagos'!$E486,50,9999)</f>
        <v>50</v>
      </c>
      <c r="BS486" s="0" t="n">
        <f aca="false">IF(Presupuesto!$B$51='Flujo de Pagos'!$E486,51,9999)</f>
        <v>51</v>
      </c>
      <c r="BT486" s="0" t="n">
        <f aca="false">IF(Presupuesto!$B$52='Flujo de Pagos'!$E486,52,9999)</f>
        <v>52</v>
      </c>
      <c r="BU486" s="0" t="n">
        <f aca="false">IF(Presupuesto!$B$53='Flujo de Pagos'!$E486,53,9999)</f>
        <v>53</v>
      </c>
      <c r="BV486" s="0" t="n">
        <f aca="false">IF(Presupuesto!$B$54='Flujo de Pagos'!$E486,54,9999)</f>
        <v>54</v>
      </c>
      <c r="BW486" s="0" t="n">
        <f aca="false">IF(Presupuesto!$B$55='Flujo de Pagos'!$E486,55,9999)</f>
        <v>55</v>
      </c>
      <c r="BX486" s="0" t="n">
        <f aca="false">IF(Presupuesto!$B$56='Flujo de Pagos'!$E486,56,9999)</f>
        <v>56</v>
      </c>
      <c r="BY486" s="0" t="n">
        <f aca="false">IF(Presupuesto!$B$57='Flujo de Pagos'!$E486,57,9999)</f>
        <v>57</v>
      </c>
      <c r="BZ486" s="0" t="n">
        <f aca="false">IF(Presupuesto!$B$58='Flujo de Pagos'!$E486,58,9999)</f>
        <v>58</v>
      </c>
      <c r="CA486" s="0" t="n">
        <f aca="false">IF(Presupuesto!$B$59='Flujo de Pagos'!$E486,59,9999)</f>
        <v>59</v>
      </c>
      <c r="CB486" s="0" t="n">
        <f aca="false">IF(Presupuesto!$B$60='Flujo de Pagos'!$E486,60,9999)</f>
        <v>60</v>
      </c>
      <c r="CC486" s="0" t="n">
        <f aca="false">IF(Presupuesto!$B$61='Flujo de Pagos'!$E486,61,9999)</f>
        <v>61</v>
      </c>
      <c r="CD486" s="0" t="n">
        <f aca="false">IF(Presupuesto!$B$62='Flujo de Pagos'!$E486,62,9999)</f>
        <v>62</v>
      </c>
      <c r="CE486" s="0" t="n">
        <f aca="false">IF(Presupuesto!$B$63='Flujo de Pagos'!$E486,63,9999)</f>
        <v>63</v>
      </c>
      <c r="CF486" s="0" t="n">
        <f aca="false">IF(Presupuesto!$B$64='Flujo de Pagos'!$E486,64,9999)</f>
        <v>64</v>
      </c>
      <c r="CG486" s="0" t="n">
        <f aca="false">IF(Presupuesto!$B$65='Flujo de Pagos'!$E486,65,9999)</f>
        <v>65</v>
      </c>
      <c r="CH486" s="0" t="n">
        <f aca="false">IF(Presupuesto!$B$66='Flujo de Pagos'!$E486,66,9999)</f>
        <v>66</v>
      </c>
    </row>
    <row r="487" customFormat="false" ht="15" hidden="false" customHeight="true" outlineLevel="0" collapsed="false">
      <c r="B487" s="1" t="n">
        <f aca="false">IF(AND('Flujo de Pagos'!E492=Carátula!$B$2,'Flujo de Pagos'!F492=Carátula!$B$4,'Flujo de Pagos'!H492&lt;&gt;""),492,99999)</f>
        <v>99999</v>
      </c>
      <c r="H487" s="1" t="n">
        <f aca="false">IF(SMALL($AA487:$CH487,1)&gt;=9999,"",INDEX(Presupuesto!$C:$C,SMALL($AA487:$CH487,1)))</f>
        <v>0</v>
      </c>
      <c r="I487" s="1" t="n">
        <f aca="false">IF(SMALL($AA487:$CH487,2)&gt;=9999,"",INDEX(Presupuesto!$C:$C,SMALL($AA487:$CH487,2)))</f>
        <v>0</v>
      </c>
      <c r="J487" s="1" t="n">
        <f aca="false">IF(SMALL($AA487:$CH487,3)&gt;=9999,"",INDEX(Presupuesto!$C:$C,SMALL($AA487:$CH487,3)))</f>
        <v>0</v>
      </c>
      <c r="K487" s="1" t="n">
        <f aca="false">IF(SMALL($AA487:$CH487,4)&gt;=9999,"",INDEX(Presupuesto!$C:$C,SMALL($AA487:$CH487,4)))</f>
        <v>0</v>
      </c>
      <c r="L487" s="1" t="n">
        <f aca="false">IF(SMALL($AA487:$CH487,5)&gt;=9999,"",INDEX(Presupuesto!$C:$C,SMALL($AA487:$CH487,5)))</f>
        <v>0</v>
      </c>
      <c r="M487" s="1" t="n">
        <f aca="false">IF(SMALL($AA487:$CH487,6)&gt;=9999,"",INDEX(Presupuesto!$C:$C,SMALL($AA487:$CH487,6)))</f>
        <v>0</v>
      </c>
      <c r="N487" s="1" t="n">
        <f aca="false">IF(SMALL($AA487:$CH487,7)&gt;=9999,"",INDEX(Presupuesto!$C:$C,SMALL($AA487:$CH487,7)))</f>
        <v>0</v>
      </c>
      <c r="O487" s="1" t="n">
        <f aca="false">IF(SMALL($AA487:$CH487,8)&gt;=9999,"",INDEX(Presupuesto!$C:$C,SMALL($AA487:$CH487,8)))</f>
        <v>0</v>
      </c>
      <c r="P487" s="1" t="n">
        <f aca="false">IF(SMALL($AA487:$CH487,9)&gt;=9999,"",INDEX(Presupuesto!$C:$C,SMALL($AA487:$CH487,9)))</f>
        <v>0</v>
      </c>
      <c r="Q487" s="1" t="n">
        <f aca="false">IF(SMALL($AA487:$CH487,10)&gt;=9999,"",INDEX(Presupuesto!$C:$C,SMALL($AA487:$CH487,10)))</f>
        <v>0</v>
      </c>
      <c r="AA487" s="0" t="n">
        <f aca="false">IF(Presupuesto!$B$7='Flujo de Pagos'!$E487,7,9999)</f>
        <v>9999</v>
      </c>
      <c r="AB487" s="0" t="n">
        <f aca="false">IF(Presupuesto!$B$8='Flujo de Pagos'!$E487,8,9999)</f>
        <v>9999</v>
      </c>
      <c r="AC487" s="0" t="n">
        <f aca="false">IF(Presupuesto!$B$9='Flujo de Pagos'!$E487,9,9999)</f>
        <v>9999</v>
      </c>
      <c r="AD487" s="0" t="n">
        <f aca="false">IF(Presupuesto!$B$10='Flujo de Pagos'!$E487,10,9999)</f>
        <v>9999</v>
      </c>
      <c r="AE487" s="0" t="n">
        <f aca="false">IF(Presupuesto!$B$11='Flujo de Pagos'!$E487,11,9999)</f>
        <v>9999</v>
      </c>
      <c r="AF487" s="0" t="n">
        <f aca="false">IF(Presupuesto!$B$12='Flujo de Pagos'!$E487,12,9999)</f>
        <v>12</v>
      </c>
      <c r="AG487" s="0" t="n">
        <f aca="false">IF(Presupuesto!$B$13='Flujo de Pagos'!$E487,13,9999)</f>
        <v>13</v>
      </c>
      <c r="AH487" s="0" t="n">
        <f aca="false">IF(Presupuesto!$B$14='Flujo de Pagos'!$E487,14,9999)</f>
        <v>14</v>
      </c>
      <c r="AI487" s="0" t="n">
        <f aca="false">IF(Presupuesto!$B$15='Flujo de Pagos'!$E487,15,9999)</f>
        <v>15</v>
      </c>
      <c r="AJ487" s="0" t="n">
        <f aca="false">IF(Presupuesto!$B$16='Flujo de Pagos'!$E487,16,9999)</f>
        <v>16</v>
      </c>
      <c r="AK487" s="0" t="n">
        <f aca="false">IF(Presupuesto!$B$17='Flujo de Pagos'!$E487,17,9999)</f>
        <v>17</v>
      </c>
      <c r="AL487" s="0" t="n">
        <f aca="false">IF(Presupuesto!$B$18='Flujo de Pagos'!$E487,18,9999)</f>
        <v>18</v>
      </c>
      <c r="AM487" s="0" t="n">
        <f aca="false">IF(Presupuesto!$B$19='Flujo de Pagos'!$E487,19,9999)</f>
        <v>19</v>
      </c>
      <c r="AN487" s="0" t="n">
        <f aca="false">IF(Presupuesto!$B$20='Flujo de Pagos'!$E487,20,9999)</f>
        <v>20</v>
      </c>
      <c r="AO487" s="0" t="n">
        <f aca="false">IF(Presupuesto!$B$21='Flujo de Pagos'!$E487,21,9999)</f>
        <v>21</v>
      </c>
      <c r="AP487" s="0" t="n">
        <f aca="false">IF(Presupuesto!$B$22='Flujo de Pagos'!$E487,22,9999)</f>
        <v>22</v>
      </c>
      <c r="AQ487" s="0" t="n">
        <f aca="false">IF(Presupuesto!$B$23='Flujo de Pagos'!$E487,23,9999)</f>
        <v>23</v>
      </c>
      <c r="AR487" s="0" t="n">
        <f aca="false">IF(Presupuesto!$B$24='Flujo de Pagos'!$E487,24,9999)</f>
        <v>24</v>
      </c>
      <c r="AS487" s="0" t="n">
        <f aca="false">IF(Presupuesto!$B$25='Flujo de Pagos'!$E487,25,9999)</f>
        <v>25</v>
      </c>
      <c r="AT487" s="0" t="n">
        <f aca="false">IF(Presupuesto!$B$26='Flujo de Pagos'!$E487,26,9999)</f>
        <v>26</v>
      </c>
      <c r="AU487" s="0" t="n">
        <f aca="false">IF(Presupuesto!$B$27='Flujo de Pagos'!$E487,27,9999)</f>
        <v>27</v>
      </c>
      <c r="AV487" s="0" t="n">
        <f aca="false">IF(Presupuesto!$B$28='Flujo de Pagos'!$E487,28,9999)</f>
        <v>28</v>
      </c>
      <c r="AW487" s="0" t="n">
        <f aca="false">IF(Presupuesto!$B$29='Flujo de Pagos'!$E487,29,9999)</f>
        <v>29</v>
      </c>
      <c r="AX487" s="0" t="n">
        <f aca="false">IF(Presupuesto!$B$30='Flujo de Pagos'!$E487,30,9999)</f>
        <v>30</v>
      </c>
      <c r="AY487" s="0" t="n">
        <f aca="false">IF(Presupuesto!$B$31='Flujo de Pagos'!$E487,31,9999)</f>
        <v>31</v>
      </c>
      <c r="AZ487" s="0" t="n">
        <f aca="false">IF(Presupuesto!$B$32='Flujo de Pagos'!$E487,32,9999)</f>
        <v>32</v>
      </c>
      <c r="BA487" s="0" t="n">
        <f aca="false">IF(Presupuesto!$B$33='Flujo de Pagos'!$E487,33,9999)</f>
        <v>33</v>
      </c>
      <c r="BB487" s="0" t="n">
        <f aca="false">IF(Presupuesto!$B$34='Flujo de Pagos'!$E487,34,9999)</f>
        <v>34</v>
      </c>
      <c r="BC487" s="0" t="n">
        <f aca="false">IF(Presupuesto!$B$35='Flujo de Pagos'!$E487,35,9999)</f>
        <v>35</v>
      </c>
      <c r="BD487" s="0" t="n">
        <f aca="false">IF(Presupuesto!$B$36='Flujo de Pagos'!$E487,36,9999)</f>
        <v>36</v>
      </c>
      <c r="BE487" s="0" t="n">
        <f aca="false">IF(Presupuesto!$B$37='Flujo de Pagos'!$E487,37,9999)</f>
        <v>37</v>
      </c>
      <c r="BF487" s="0" t="n">
        <f aca="false">IF(Presupuesto!$B$38='Flujo de Pagos'!$E487,38,9999)</f>
        <v>38</v>
      </c>
      <c r="BG487" s="0" t="n">
        <f aca="false">IF(Presupuesto!$B$39='Flujo de Pagos'!$E487,39,9999)</f>
        <v>39</v>
      </c>
      <c r="BH487" s="0" t="n">
        <f aca="false">IF(Presupuesto!$B$40='Flujo de Pagos'!$E487,40,9999)</f>
        <v>40</v>
      </c>
      <c r="BI487" s="0" t="n">
        <f aca="false">IF(Presupuesto!$B$41='Flujo de Pagos'!$E487,41,9999)</f>
        <v>41</v>
      </c>
      <c r="BJ487" s="0" t="n">
        <f aca="false">IF(Presupuesto!$B$42='Flujo de Pagos'!$E487,42,9999)</f>
        <v>42</v>
      </c>
      <c r="BK487" s="0" t="n">
        <f aca="false">IF(Presupuesto!$B$43='Flujo de Pagos'!$E487,43,9999)</f>
        <v>43</v>
      </c>
      <c r="BL487" s="0" t="n">
        <f aca="false">IF(Presupuesto!$B$44='Flujo de Pagos'!$E487,44,9999)</f>
        <v>44</v>
      </c>
      <c r="BM487" s="0" t="n">
        <f aca="false">IF(Presupuesto!$B$45='Flujo de Pagos'!$E487,45,9999)</f>
        <v>45</v>
      </c>
      <c r="BN487" s="0" t="n">
        <f aca="false">IF(Presupuesto!$B$46='Flujo de Pagos'!$E487,46,9999)</f>
        <v>46</v>
      </c>
      <c r="BO487" s="0" t="n">
        <f aca="false">IF(Presupuesto!$B$47='Flujo de Pagos'!$E487,47,9999)</f>
        <v>47</v>
      </c>
      <c r="BP487" s="0" t="n">
        <f aca="false">IF(Presupuesto!$B$48='Flujo de Pagos'!$E487,48,9999)</f>
        <v>48</v>
      </c>
      <c r="BQ487" s="0" t="n">
        <f aca="false">IF(Presupuesto!$B$49='Flujo de Pagos'!$E487,49,9999)</f>
        <v>49</v>
      </c>
      <c r="BR487" s="0" t="n">
        <f aca="false">IF(Presupuesto!$B$50='Flujo de Pagos'!$E487,50,9999)</f>
        <v>50</v>
      </c>
      <c r="BS487" s="0" t="n">
        <f aca="false">IF(Presupuesto!$B$51='Flujo de Pagos'!$E487,51,9999)</f>
        <v>51</v>
      </c>
      <c r="BT487" s="0" t="n">
        <f aca="false">IF(Presupuesto!$B$52='Flujo de Pagos'!$E487,52,9999)</f>
        <v>52</v>
      </c>
      <c r="BU487" s="0" t="n">
        <f aca="false">IF(Presupuesto!$B$53='Flujo de Pagos'!$E487,53,9999)</f>
        <v>53</v>
      </c>
      <c r="BV487" s="0" t="n">
        <f aca="false">IF(Presupuesto!$B$54='Flujo de Pagos'!$E487,54,9999)</f>
        <v>54</v>
      </c>
      <c r="BW487" s="0" t="n">
        <f aca="false">IF(Presupuesto!$B$55='Flujo de Pagos'!$E487,55,9999)</f>
        <v>55</v>
      </c>
      <c r="BX487" s="0" t="n">
        <f aca="false">IF(Presupuesto!$B$56='Flujo de Pagos'!$E487,56,9999)</f>
        <v>56</v>
      </c>
      <c r="BY487" s="0" t="n">
        <f aca="false">IF(Presupuesto!$B$57='Flujo de Pagos'!$E487,57,9999)</f>
        <v>57</v>
      </c>
      <c r="BZ487" s="0" t="n">
        <f aca="false">IF(Presupuesto!$B$58='Flujo de Pagos'!$E487,58,9999)</f>
        <v>58</v>
      </c>
      <c r="CA487" s="0" t="n">
        <f aca="false">IF(Presupuesto!$B$59='Flujo de Pagos'!$E487,59,9999)</f>
        <v>59</v>
      </c>
      <c r="CB487" s="0" t="n">
        <f aca="false">IF(Presupuesto!$B$60='Flujo de Pagos'!$E487,60,9999)</f>
        <v>60</v>
      </c>
      <c r="CC487" s="0" t="n">
        <f aca="false">IF(Presupuesto!$B$61='Flujo de Pagos'!$E487,61,9999)</f>
        <v>61</v>
      </c>
      <c r="CD487" s="0" t="n">
        <f aca="false">IF(Presupuesto!$B$62='Flujo de Pagos'!$E487,62,9999)</f>
        <v>62</v>
      </c>
      <c r="CE487" s="0" t="n">
        <f aca="false">IF(Presupuesto!$B$63='Flujo de Pagos'!$E487,63,9999)</f>
        <v>63</v>
      </c>
      <c r="CF487" s="0" t="n">
        <f aca="false">IF(Presupuesto!$B$64='Flujo de Pagos'!$E487,64,9999)</f>
        <v>64</v>
      </c>
      <c r="CG487" s="0" t="n">
        <f aca="false">IF(Presupuesto!$B$65='Flujo de Pagos'!$E487,65,9999)</f>
        <v>65</v>
      </c>
      <c r="CH487" s="0" t="n">
        <f aca="false">IF(Presupuesto!$B$66='Flujo de Pagos'!$E487,66,9999)</f>
        <v>66</v>
      </c>
    </row>
    <row r="488" customFormat="false" ht="15" hidden="false" customHeight="true" outlineLevel="0" collapsed="false">
      <c r="B488" s="1" t="n">
        <f aca="false">IF(AND('Flujo de Pagos'!E493=Carátula!$B$2,'Flujo de Pagos'!F493=Carátula!$B$4,'Flujo de Pagos'!H493&lt;&gt;""),493,99999)</f>
        <v>99999</v>
      </c>
      <c r="H488" s="1" t="n">
        <f aca="false">IF(SMALL($AA488:$CH488,1)&gt;=9999,"",INDEX(Presupuesto!$C:$C,SMALL($AA488:$CH488,1)))</f>
        <v>0</v>
      </c>
      <c r="I488" s="1" t="n">
        <f aca="false">IF(SMALL($AA488:$CH488,2)&gt;=9999,"",INDEX(Presupuesto!$C:$C,SMALL($AA488:$CH488,2)))</f>
        <v>0</v>
      </c>
      <c r="J488" s="1" t="n">
        <f aca="false">IF(SMALL($AA488:$CH488,3)&gt;=9999,"",INDEX(Presupuesto!$C:$C,SMALL($AA488:$CH488,3)))</f>
        <v>0</v>
      </c>
      <c r="K488" s="1" t="n">
        <f aca="false">IF(SMALL($AA488:$CH488,4)&gt;=9999,"",INDEX(Presupuesto!$C:$C,SMALL($AA488:$CH488,4)))</f>
        <v>0</v>
      </c>
      <c r="L488" s="1" t="n">
        <f aca="false">IF(SMALL($AA488:$CH488,5)&gt;=9999,"",INDEX(Presupuesto!$C:$C,SMALL($AA488:$CH488,5)))</f>
        <v>0</v>
      </c>
      <c r="M488" s="1" t="n">
        <f aca="false">IF(SMALL($AA488:$CH488,6)&gt;=9999,"",INDEX(Presupuesto!$C:$C,SMALL($AA488:$CH488,6)))</f>
        <v>0</v>
      </c>
      <c r="N488" s="1" t="n">
        <f aca="false">IF(SMALL($AA488:$CH488,7)&gt;=9999,"",INDEX(Presupuesto!$C:$C,SMALL($AA488:$CH488,7)))</f>
        <v>0</v>
      </c>
      <c r="O488" s="1" t="n">
        <f aca="false">IF(SMALL($AA488:$CH488,8)&gt;=9999,"",INDEX(Presupuesto!$C:$C,SMALL($AA488:$CH488,8)))</f>
        <v>0</v>
      </c>
      <c r="P488" s="1" t="n">
        <f aca="false">IF(SMALL($AA488:$CH488,9)&gt;=9999,"",INDEX(Presupuesto!$C:$C,SMALL($AA488:$CH488,9)))</f>
        <v>0</v>
      </c>
      <c r="Q488" s="1" t="n">
        <f aca="false">IF(SMALL($AA488:$CH488,10)&gt;=9999,"",INDEX(Presupuesto!$C:$C,SMALL($AA488:$CH488,10)))</f>
        <v>0</v>
      </c>
      <c r="AA488" s="0" t="n">
        <f aca="false">IF(Presupuesto!$B$7='Flujo de Pagos'!$E488,7,9999)</f>
        <v>9999</v>
      </c>
      <c r="AB488" s="0" t="n">
        <f aca="false">IF(Presupuesto!$B$8='Flujo de Pagos'!$E488,8,9999)</f>
        <v>9999</v>
      </c>
      <c r="AC488" s="0" t="n">
        <f aca="false">IF(Presupuesto!$B$9='Flujo de Pagos'!$E488,9,9999)</f>
        <v>9999</v>
      </c>
      <c r="AD488" s="0" t="n">
        <f aca="false">IF(Presupuesto!$B$10='Flujo de Pagos'!$E488,10,9999)</f>
        <v>9999</v>
      </c>
      <c r="AE488" s="0" t="n">
        <f aca="false">IF(Presupuesto!$B$11='Flujo de Pagos'!$E488,11,9999)</f>
        <v>9999</v>
      </c>
      <c r="AF488" s="0" t="n">
        <f aca="false">IF(Presupuesto!$B$12='Flujo de Pagos'!$E488,12,9999)</f>
        <v>12</v>
      </c>
      <c r="AG488" s="0" t="n">
        <f aca="false">IF(Presupuesto!$B$13='Flujo de Pagos'!$E488,13,9999)</f>
        <v>13</v>
      </c>
      <c r="AH488" s="0" t="n">
        <f aca="false">IF(Presupuesto!$B$14='Flujo de Pagos'!$E488,14,9999)</f>
        <v>14</v>
      </c>
      <c r="AI488" s="0" t="n">
        <f aca="false">IF(Presupuesto!$B$15='Flujo de Pagos'!$E488,15,9999)</f>
        <v>15</v>
      </c>
      <c r="AJ488" s="0" t="n">
        <f aca="false">IF(Presupuesto!$B$16='Flujo de Pagos'!$E488,16,9999)</f>
        <v>16</v>
      </c>
      <c r="AK488" s="0" t="n">
        <f aca="false">IF(Presupuesto!$B$17='Flujo de Pagos'!$E488,17,9999)</f>
        <v>17</v>
      </c>
      <c r="AL488" s="0" t="n">
        <f aca="false">IF(Presupuesto!$B$18='Flujo de Pagos'!$E488,18,9999)</f>
        <v>18</v>
      </c>
      <c r="AM488" s="0" t="n">
        <f aca="false">IF(Presupuesto!$B$19='Flujo de Pagos'!$E488,19,9999)</f>
        <v>19</v>
      </c>
      <c r="AN488" s="0" t="n">
        <f aca="false">IF(Presupuesto!$B$20='Flujo de Pagos'!$E488,20,9999)</f>
        <v>20</v>
      </c>
      <c r="AO488" s="0" t="n">
        <f aca="false">IF(Presupuesto!$B$21='Flujo de Pagos'!$E488,21,9999)</f>
        <v>21</v>
      </c>
      <c r="AP488" s="0" t="n">
        <f aca="false">IF(Presupuesto!$B$22='Flujo de Pagos'!$E488,22,9999)</f>
        <v>22</v>
      </c>
      <c r="AQ488" s="0" t="n">
        <f aca="false">IF(Presupuesto!$B$23='Flujo de Pagos'!$E488,23,9999)</f>
        <v>23</v>
      </c>
      <c r="AR488" s="0" t="n">
        <f aca="false">IF(Presupuesto!$B$24='Flujo de Pagos'!$E488,24,9999)</f>
        <v>24</v>
      </c>
      <c r="AS488" s="0" t="n">
        <f aca="false">IF(Presupuesto!$B$25='Flujo de Pagos'!$E488,25,9999)</f>
        <v>25</v>
      </c>
      <c r="AT488" s="0" t="n">
        <f aca="false">IF(Presupuesto!$B$26='Flujo de Pagos'!$E488,26,9999)</f>
        <v>26</v>
      </c>
      <c r="AU488" s="0" t="n">
        <f aca="false">IF(Presupuesto!$B$27='Flujo de Pagos'!$E488,27,9999)</f>
        <v>27</v>
      </c>
      <c r="AV488" s="0" t="n">
        <f aca="false">IF(Presupuesto!$B$28='Flujo de Pagos'!$E488,28,9999)</f>
        <v>28</v>
      </c>
      <c r="AW488" s="0" t="n">
        <f aca="false">IF(Presupuesto!$B$29='Flujo de Pagos'!$E488,29,9999)</f>
        <v>29</v>
      </c>
      <c r="AX488" s="0" t="n">
        <f aca="false">IF(Presupuesto!$B$30='Flujo de Pagos'!$E488,30,9999)</f>
        <v>30</v>
      </c>
      <c r="AY488" s="0" t="n">
        <f aca="false">IF(Presupuesto!$B$31='Flujo de Pagos'!$E488,31,9999)</f>
        <v>31</v>
      </c>
      <c r="AZ488" s="0" t="n">
        <f aca="false">IF(Presupuesto!$B$32='Flujo de Pagos'!$E488,32,9999)</f>
        <v>32</v>
      </c>
      <c r="BA488" s="0" t="n">
        <f aca="false">IF(Presupuesto!$B$33='Flujo de Pagos'!$E488,33,9999)</f>
        <v>33</v>
      </c>
      <c r="BB488" s="0" t="n">
        <f aca="false">IF(Presupuesto!$B$34='Flujo de Pagos'!$E488,34,9999)</f>
        <v>34</v>
      </c>
      <c r="BC488" s="0" t="n">
        <f aca="false">IF(Presupuesto!$B$35='Flujo de Pagos'!$E488,35,9999)</f>
        <v>35</v>
      </c>
      <c r="BD488" s="0" t="n">
        <f aca="false">IF(Presupuesto!$B$36='Flujo de Pagos'!$E488,36,9999)</f>
        <v>36</v>
      </c>
      <c r="BE488" s="0" t="n">
        <f aca="false">IF(Presupuesto!$B$37='Flujo de Pagos'!$E488,37,9999)</f>
        <v>37</v>
      </c>
      <c r="BF488" s="0" t="n">
        <f aca="false">IF(Presupuesto!$B$38='Flujo de Pagos'!$E488,38,9999)</f>
        <v>38</v>
      </c>
      <c r="BG488" s="0" t="n">
        <f aca="false">IF(Presupuesto!$B$39='Flujo de Pagos'!$E488,39,9999)</f>
        <v>39</v>
      </c>
      <c r="BH488" s="0" t="n">
        <f aca="false">IF(Presupuesto!$B$40='Flujo de Pagos'!$E488,40,9999)</f>
        <v>40</v>
      </c>
      <c r="BI488" s="0" t="n">
        <f aca="false">IF(Presupuesto!$B$41='Flujo de Pagos'!$E488,41,9999)</f>
        <v>41</v>
      </c>
      <c r="BJ488" s="0" t="n">
        <f aca="false">IF(Presupuesto!$B$42='Flujo de Pagos'!$E488,42,9999)</f>
        <v>42</v>
      </c>
      <c r="BK488" s="0" t="n">
        <f aca="false">IF(Presupuesto!$B$43='Flujo de Pagos'!$E488,43,9999)</f>
        <v>43</v>
      </c>
      <c r="BL488" s="0" t="n">
        <f aca="false">IF(Presupuesto!$B$44='Flujo de Pagos'!$E488,44,9999)</f>
        <v>44</v>
      </c>
      <c r="BM488" s="0" t="n">
        <f aca="false">IF(Presupuesto!$B$45='Flujo de Pagos'!$E488,45,9999)</f>
        <v>45</v>
      </c>
      <c r="BN488" s="0" t="n">
        <f aca="false">IF(Presupuesto!$B$46='Flujo de Pagos'!$E488,46,9999)</f>
        <v>46</v>
      </c>
      <c r="BO488" s="0" t="n">
        <f aca="false">IF(Presupuesto!$B$47='Flujo de Pagos'!$E488,47,9999)</f>
        <v>47</v>
      </c>
      <c r="BP488" s="0" t="n">
        <f aca="false">IF(Presupuesto!$B$48='Flujo de Pagos'!$E488,48,9999)</f>
        <v>48</v>
      </c>
      <c r="BQ488" s="0" t="n">
        <f aca="false">IF(Presupuesto!$B$49='Flujo de Pagos'!$E488,49,9999)</f>
        <v>49</v>
      </c>
      <c r="BR488" s="0" t="n">
        <f aca="false">IF(Presupuesto!$B$50='Flujo de Pagos'!$E488,50,9999)</f>
        <v>50</v>
      </c>
      <c r="BS488" s="0" t="n">
        <f aca="false">IF(Presupuesto!$B$51='Flujo de Pagos'!$E488,51,9999)</f>
        <v>51</v>
      </c>
      <c r="BT488" s="0" t="n">
        <f aca="false">IF(Presupuesto!$B$52='Flujo de Pagos'!$E488,52,9999)</f>
        <v>52</v>
      </c>
      <c r="BU488" s="0" t="n">
        <f aca="false">IF(Presupuesto!$B$53='Flujo de Pagos'!$E488,53,9999)</f>
        <v>53</v>
      </c>
      <c r="BV488" s="0" t="n">
        <f aca="false">IF(Presupuesto!$B$54='Flujo de Pagos'!$E488,54,9999)</f>
        <v>54</v>
      </c>
      <c r="BW488" s="0" t="n">
        <f aca="false">IF(Presupuesto!$B$55='Flujo de Pagos'!$E488,55,9999)</f>
        <v>55</v>
      </c>
      <c r="BX488" s="0" t="n">
        <f aca="false">IF(Presupuesto!$B$56='Flujo de Pagos'!$E488,56,9999)</f>
        <v>56</v>
      </c>
      <c r="BY488" s="0" t="n">
        <f aca="false">IF(Presupuesto!$B$57='Flujo de Pagos'!$E488,57,9999)</f>
        <v>57</v>
      </c>
      <c r="BZ488" s="0" t="n">
        <f aca="false">IF(Presupuesto!$B$58='Flujo de Pagos'!$E488,58,9999)</f>
        <v>58</v>
      </c>
      <c r="CA488" s="0" t="n">
        <f aca="false">IF(Presupuesto!$B$59='Flujo de Pagos'!$E488,59,9999)</f>
        <v>59</v>
      </c>
      <c r="CB488" s="0" t="n">
        <f aca="false">IF(Presupuesto!$B$60='Flujo de Pagos'!$E488,60,9999)</f>
        <v>60</v>
      </c>
      <c r="CC488" s="0" t="n">
        <f aca="false">IF(Presupuesto!$B$61='Flujo de Pagos'!$E488,61,9999)</f>
        <v>61</v>
      </c>
      <c r="CD488" s="0" t="n">
        <f aca="false">IF(Presupuesto!$B$62='Flujo de Pagos'!$E488,62,9999)</f>
        <v>62</v>
      </c>
      <c r="CE488" s="0" t="n">
        <f aca="false">IF(Presupuesto!$B$63='Flujo de Pagos'!$E488,63,9999)</f>
        <v>63</v>
      </c>
      <c r="CF488" s="0" t="n">
        <f aca="false">IF(Presupuesto!$B$64='Flujo de Pagos'!$E488,64,9999)</f>
        <v>64</v>
      </c>
      <c r="CG488" s="0" t="n">
        <f aca="false">IF(Presupuesto!$B$65='Flujo de Pagos'!$E488,65,9999)</f>
        <v>65</v>
      </c>
      <c r="CH488" s="0" t="n">
        <f aca="false">IF(Presupuesto!$B$66='Flujo de Pagos'!$E488,66,9999)</f>
        <v>66</v>
      </c>
    </row>
    <row r="489" customFormat="false" ht="15" hidden="false" customHeight="true" outlineLevel="0" collapsed="false">
      <c r="B489" s="1" t="n">
        <f aca="false">IF(AND('Flujo de Pagos'!E494=Carátula!$B$2,'Flujo de Pagos'!F494=Carátula!$B$4,'Flujo de Pagos'!H494&lt;&gt;""),494,99999)</f>
        <v>99999</v>
      </c>
      <c r="H489" s="1" t="n">
        <f aca="false">IF(SMALL($AA489:$CH489,1)&gt;=9999,"",INDEX(Presupuesto!$C:$C,SMALL($AA489:$CH489,1)))</f>
        <v>0</v>
      </c>
      <c r="I489" s="1" t="n">
        <f aca="false">IF(SMALL($AA489:$CH489,2)&gt;=9999,"",INDEX(Presupuesto!$C:$C,SMALL($AA489:$CH489,2)))</f>
        <v>0</v>
      </c>
      <c r="J489" s="1" t="n">
        <f aca="false">IF(SMALL($AA489:$CH489,3)&gt;=9999,"",INDEX(Presupuesto!$C:$C,SMALL($AA489:$CH489,3)))</f>
        <v>0</v>
      </c>
      <c r="K489" s="1" t="n">
        <f aca="false">IF(SMALL($AA489:$CH489,4)&gt;=9999,"",INDEX(Presupuesto!$C:$C,SMALL($AA489:$CH489,4)))</f>
        <v>0</v>
      </c>
      <c r="L489" s="1" t="n">
        <f aca="false">IF(SMALL($AA489:$CH489,5)&gt;=9999,"",INDEX(Presupuesto!$C:$C,SMALL($AA489:$CH489,5)))</f>
        <v>0</v>
      </c>
      <c r="M489" s="1" t="n">
        <f aca="false">IF(SMALL($AA489:$CH489,6)&gt;=9999,"",INDEX(Presupuesto!$C:$C,SMALL($AA489:$CH489,6)))</f>
        <v>0</v>
      </c>
      <c r="N489" s="1" t="n">
        <f aca="false">IF(SMALL($AA489:$CH489,7)&gt;=9999,"",INDEX(Presupuesto!$C:$C,SMALL($AA489:$CH489,7)))</f>
        <v>0</v>
      </c>
      <c r="O489" s="1" t="n">
        <f aca="false">IF(SMALL($AA489:$CH489,8)&gt;=9999,"",INDEX(Presupuesto!$C:$C,SMALL($AA489:$CH489,8)))</f>
        <v>0</v>
      </c>
      <c r="P489" s="1" t="n">
        <f aca="false">IF(SMALL($AA489:$CH489,9)&gt;=9999,"",INDEX(Presupuesto!$C:$C,SMALL($AA489:$CH489,9)))</f>
        <v>0</v>
      </c>
      <c r="Q489" s="1" t="n">
        <f aca="false">IF(SMALL($AA489:$CH489,10)&gt;=9999,"",INDEX(Presupuesto!$C:$C,SMALL($AA489:$CH489,10)))</f>
        <v>0</v>
      </c>
      <c r="AA489" s="0" t="n">
        <f aca="false">IF(Presupuesto!$B$7='Flujo de Pagos'!$E489,7,9999)</f>
        <v>9999</v>
      </c>
      <c r="AB489" s="0" t="n">
        <f aca="false">IF(Presupuesto!$B$8='Flujo de Pagos'!$E489,8,9999)</f>
        <v>9999</v>
      </c>
      <c r="AC489" s="0" t="n">
        <f aca="false">IF(Presupuesto!$B$9='Flujo de Pagos'!$E489,9,9999)</f>
        <v>9999</v>
      </c>
      <c r="AD489" s="0" t="n">
        <f aca="false">IF(Presupuesto!$B$10='Flujo de Pagos'!$E489,10,9999)</f>
        <v>9999</v>
      </c>
      <c r="AE489" s="0" t="n">
        <f aca="false">IF(Presupuesto!$B$11='Flujo de Pagos'!$E489,11,9999)</f>
        <v>9999</v>
      </c>
      <c r="AF489" s="0" t="n">
        <f aca="false">IF(Presupuesto!$B$12='Flujo de Pagos'!$E489,12,9999)</f>
        <v>12</v>
      </c>
      <c r="AG489" s="0" t="n">
        <f aca="false">IF(Presupuesto!$B$13='Flujo de Pagos'!$E489,13,9999)</f>
        <v>13</v>
      </c>
      <c r="AH489" s="0" t="n">
        <f aca="false">IF(Presupuesto!$B$14='Flujo de Pagos'!$E489,14,9999)</f>
        <v>14</v>
      </c>
      <c r="AI489" s="0" t="n">
        <f aca="false">IF(Presupuesto!$B$15='Flujo de Pagos'!$E489,15,9999)</f>
        <v>15</v>
      </c>
      <c r="AJ489" s="0" t="n">
        <f aca="false">IF(Presupuesto!$B$16='Flujo de Pagos'!$E489,16,9999)</f>
        <v>16</v>
      </c>
      <c r="AK489" s="0" t="n">
        <f aca="false">IF(Presupuesto!$B$17='Flujo de Pagos'!$E489,17,9999)</f>
        <v>17</v>
      </c>
      <c r="AL489" s="0" t="n">
        <f aca="false">IF(Presupuesto!$B$18='Flujo de Pagos'!$E489,18,9999)</f>
        <v>18</v>
      </c>
      <c r="AM489" s="0" t="n">
        <f aca="false">IF(Presupuesto!$B$19='Flujo de Pagos'!$E489,19,9999)</f>
        <v>19</v>
      </c>
      <c r="AN489" s="0" t="n">
        <f aca="false">IF(Presupuesto!$B$20='Flujo de Pagos'!$E489,20,9999)</f>
        <v>20</v>
      </c>
      <c r="AO489" s="0" t="n">
        <f aca="false">IF(Presupuesto!$B$21='Flujo de Pagos'!$E489,21,9999)</f>
        <v>21</v>
      </c>
      <c r="AP489" s="0" t="n">
        <f aca="false">IF(Presupuesto!$B$22='Flujo de Pagos'!$E489,22,9999)</f>
        <v>22</v>
      </c>
      <c r="AQ489" s="0" t="n">
        <f aca="false">IF(Presupuesto!$B$23='Flujo de Pagos'!$E489,23,9999)</f>
        <v>23</v>
      </c>
      <c r="AR489" s="0" t="n">
        <f aca="false">IF(Presupuesto!$B$24='Flujo de Pagos'!$E489,24,9999)</f>
        <v>24</v>
      </c>
      <c r="AS489" s="0" t="n">
        <f aca="false">IF(Presupuesto!$B$25='Flujo de Pagos'!$E489,25,9999)</f>
        <v>25</v>
      </c>
      <c r="AT489" s="0" t="n">
        <f aca="false">IF(Presupuesto!$B$26='Flujo de Pagos'!$E489,26,9999)</f>
        <v>26</v>
      </c>
      <c r="AU489" s="0" t="n">
        <f aca="false">IF(Presupuesto!$B$27='Flujo de Pagos'!$E489,27,9999)</f>
        <v>27</v>
      </c>
      <c r="AV489" s="0" t="n">
        <f aca="false">IF(Presupuesto!$B$28='Flujo de Pagos'!$E489,28,9999)</f>
        <v>28</v>
      </c>
      <c r="AW489" s="0" t="n">
        <f aca="false">IF(Presupuesto!$B$29='Flujo de Pagos'!$E489,29,9999)</f>
        <v>29</v>
      </c>
      <c r="AX489" s="0" t="n">
        <f aca="false">IF(Presupuesto!$B$30='Flujo de Pagos'!$E489,30,9999)</f>
        <v>30</v>
      </c>
      <c r="AY489" s="0" t="n">
        <f aca="false">IF(Presupuesto!$B$31='Flujo de Pagos'!$E489,31,9999)</f>
        <v>31</v>
      </c>
      <c r="AZ489" s="0" t="n">
        <f aca="false">IF(Presupuesto!$B$32='Flujo de Pagos'!$E489,32,9999)</f>
        <v>32</v>
      </c>
      <c r="BA489" s="0" t="n">
        <f aca="false">IF(Presupuesto!$B$33='Flujo de Pagos'!$E489,33,9999)</f>
        <v>33</v>
      </c>
      <c r="BB489" s="0" t="n">
        <f aca="false">IF(Presupuesto!$B$34='Flujo de Pagos'!$E489,34,9999)</f>
        <v>34</v>
      </c>
      <c r="BC489" s="0" t="n">
        <f aca="false">IF(Presupuesto!$B$35='Flujo de Pagos'!$E489,35,9999)</f>
        <v>35</v>
      </c>
      <c r="BD489" s="0" t="n">
        <f aca="false">IF(Presupuesto!$B$36='Flujo de Pagos'!$E489,36,9999)</f>
        <v>36</v>
      </c>
      <c r="BE489" s="0" t="n">
        <f aca="false">IF(Presupuesto!$B$37='Flujo de Pagos'!$E489,37,9999)</f>
        <v>37</v>
      </c>
      <c r="BF489" s="0" t="n">
        <f aca="false">IF(Presupuesto!$B$38='Flujo de Pagos'!$E489,38,9999)</f>
        <v>38</v>
      </c>
      <c r="BG489" s="0" t="n">
        <f aca="false">IF(Presupuesto!$B$39='Flujo de Pagos'!$E489,39,9999)</f>
        <v>39</v>
      </c>
      <c r="BH489" s="0" t="n">
        <f aca="false">IF(Presupuesto!$B$40='Flujo de Pagos'!$E489,40,9999)</f>
        <v>40</v>
      </c>
      <c r="BI489" s="0" t="n">
        <f aca="false">IF(Presupuesto!$B$41='Flujo de Pagos'!$E489,41,9999)</f>
        <v>41</v>
      </c>
      <c r="BJ489" s="0" t="n">
        <f aca="false">IF(Presupuesto!$B$42='Flujo de Pagos'!$E489,42,9999)</f>
        <v>42</v>
      </c>
      <c r="BK489" s="0" t="n">
        <f aca="false">IF(Presupuesto!$B$43='Flujo de Pagos'!$E489,43,9999)</f>
        <v>43</v>
      </c>
      <c r="BL489" s="0" t="n">
        <f aca="false">IF(Presupuesto!$B$44='Flujo de Pagos'!$E489,44,9999)</f>
        <v>44</v>
      </c>
      <c r="BM489" s="0" t="n">
        <f aca="false">IF(Presupuesto!$B$45='Flujo de Pagos'!$E489,45,9999)</f>
        <v>45</v>
      </c>
      <c r="BN489" s="0" t="n">
        <f aca="false">IF(Presupuesto!$B$46='Flujo de Pagos'!$E489,46,9999)</f>
        <v>46</v>
      </c>
      <c r="BO489" s="0" t="n">
        <f aca="false">IF(Presupuesto!$B$47='Flujo de Pagos'!$E489,47,9999)</f>
        <v>47</v>
      </c>
      <c r="BP489" s="0" t="n">
        <f aca="false">IF(Presupuesto!$B$48='Flujo de Pagos'!$E489,48,9999)</f>
        <v>48</v>
      </c>
      <c r="BQ489" s="0" t="n">
        <f aca="false">IF(Presupuesto!$B$49='Flujo de Pagos'!$E489,49,9999)</f>
        <v>49</v>
      </c>
      <c r="BR489" s="0" t="n">
        <f aca="false">IF(Presupuesto!$B$50='Flujo de Pagos'!$E489,50,9999)</f>
        <v>50</v>
      </c>
      <c r="BS489" s="0" t="n">
        <f aca="false">IF(Presupuesto!$B$51='Flujo de Pagos'!$E489,51,9999)</f>
        <v>51</v>
      </c>
      <c r="BT489" s="0" t="n">
        <f aca="false">IF(Presupuesto!$B$52='Flujo de Pagos'!$E489,52,9999)</f>
        <v>52</v>
      </c>
      <c r="BU489" s="0" t="n">
        <f aca="false">IF(Presupuesto!$B$53='Flujo de Pagos'!$E489,53,9999)</f>
        <v>53</v>
      </c>
      <c r="BV489" s="0" t="n">
        <f aca="false">IF(Presupuesto!$B$54='Flujo de Pagos'!$E489,54,9999)</f>
        <v>54</v>
      </c>
      <c r="BW489" s="0" t="n">
        <f aca="false">IF(Presupuesto!$B$55='Flujo de Pagos'!$E489,55,9999)</f>
        <v>55</v>
      </c>
      <c r="BX489" s="0" t="n">
        <f aca="false">IF(Presupuesto!$B$56='Flujo de Pagos'!$E489,56,9999)</f>
        <v>56</v>
      </c>
      <c r="BY489" s="0" t="n">
        <f aca="false">IF(Presupuesto!$B$57='Flujo de Pagos'!$E489,57,9999)</f>
        <v>57</v>
      </c>
      <c r="BZ489" s="0" t="n">
        <f aca="false">IF(Presupuesto!$B$58='Flujo de Pagos'!$E489,58,9999)</f>
        <v>58</v>
      </c>
      <c r="CA489" s="0" t="n">
        <f aca="false">IF(Presupuesto!$B$59='Flujo de Pagos'!$E489,59,9999)</f>
        <v>59</v>
      </c>
      <c r="CB489" s="0" t="n">
        <f aca="false">IF(Presupuesto!$B$60='Flujo de Pagos'!$E489,60,9999)</f>
        <v>60</v>
      </c>
      <c r="CC489" s="0" t="n">
        <f aca="false">IF(Presupuesto!$B$61='Flujo de Pagos'!$E489,61,9999)</f>
        <v>61</v>
      </c>
      <c r="CD489" s="0" t="n">
        <f aca="false">IF(Presupuesto!$B$62='Flujo de Pagos'!$E489,62,9999)</f>
        <v>62</v>
      </c>
      <c r="CE489" s="0" t="n">
        <f aca="false">IF(Presupuesto!$B$63='Flujo de Pagos'!$E489,63,9999)</f>
        <v>63</v>
      </c>
      <c r="CF489" s="0" t="n">
        <f aca="false">IF(Presupuesto!$B$64='Flujo de Pagos'!$E489,64,9999)</f>
        <v>64</v>
      </c>
      <c r="CG489" s="0" t="n">
        <f aca="false">IF(Presupuesto!$B$65='Flujo de Pagos'!$E489,65,9999)</f>
        <v>65</v>
      </c>
      <c r="CH489" s="0" t="n">
        <f aca="false">IF(Presupuesto!$B$66='Flujo de Pagos'!$E489,66,9999)</f>
        <v>66</v>
      </c>
    </row>
    <row r="490" customFormat="false" ht="15" hidden="false" customHeight="true" outlineLevel="0" collapsed="false">
      <c r="B490" s="1" t="n">
        <f aca="false">IF(AND('Flujo de Pagos'!E495=Carátula!$B$2,'Flujo de Pagos'!F495=Carátula!$B$4,'Flujo de Pagos'!H495&lt;&gt;""),495,99999)</f>
        <v>99999</v>
      </c>
      <c r="H490" s="1" t="n">
        <f aca="false">IF(SMALL($AA490:$CH490,1)&gt;=9999,"",INDEX(Presupuesto!$C:$C,SMALL($AA490:$CH490,1)))</f>
        <v>0</v>
      </c>
      <c r="I490" s="1" t="n">
        <f aca="false">IF(SMALL($AA490:$CH490,2)&gt;=9999,"",INDEX(Presupuesto!$C:$C,SMALL($AA490:$CH490,2)))</f>
        <v>0</v>
      </c>
      <c r="J490" s="1" t="n">
        <f aca="false">IF(SMALL($AA490:$CH490,3)&gt;=9999,"",INDEX(Presupuesto!$C:$C,SMALL($AA490:$CH490,3)))</f>
        <v>0</v>
      </c>
      <c r="K490" s="1" t="n">
        <f aca="false">IF(SMALL($AA490:$CH490,4)&gt;=9999,"",INDEX(Presupuesto!$C:$C,SMALL($AA490:$CH490,4)))</f>
        <v>0</v>
      </c>
      <c r="L490" s="1" t="n">
        <f aca="false">IF(SMALL($AA490:$CH490,5)&gt;=9999,"",INDEX(Presupuesto!$C:$C,SMALL($AA490:$CH490,5)))</f>
        <v>0</v>
      </c>
      <c r="M490" s="1" t="n">
        <f aca="false">IF(SMALL($AA490:$CH490,6)&gt;=9999,"",INDEX(Presupuesto!$C:$C,SMALL($AA490:$CH490,6)))</f>
        <v>0</v>
      </c>
      <c r="N490" s="1" t="n">
        <f aca="false">IF(SMALL($AA490:$CH490,7)&gt;=9999,"",INDEX(Presupuesto!$C:$C,SMALL($AA490:$CH490,7)))</f>
        <v>0</v>
      </c>
      <c r="O490" s="1" t="n">
        <f aca="false">IF(SMALL($AA490:$CH490,8)&gt;=9999,"",INDEX(Presupuesto!$C:$C,SMALL($AA490:$CH490,8)))</f>
        <v>0</v>
      </c>
      <c r="P490" s="1" t="n">
        <f aca="false">IF(SMALL($AA490:$CH490,9)&gt;=9999,"",INDEX(Presupuesto!$C:$C,SMALL($AA490:$CH490,9)))</f>
        <v>0</v>
      </c>
      <c r="Q490" s="1" t="n">
        <f aca="false">IF(SMALL($AA490:$CH490,10)&gt;=9999,"",INDEX(Presupuesto!$C:$C,SMALL($AA490:$CH490,10)))</f>
        <v>0</v>
      </c>
      <c r="AA490" s="0" t="n">
        <f aca="false">IF(Presupuesto!$B$7='Flujo de Pagos'!$E490,7,9999)</f>
        <v>9999</v>
      </c>
      <c r="AB490" s="0" t="n">
        <f aca="false">IF(Presupuesto!$B$8='Flujo de Pagos'!$E490,8,9999)</f>
        <v>9999</v>
      </c>
      <c r="AC490" s="0" t="n">
        <f aca="false">IF(Presupuesto!$B$9='Flujo de Pagos'!$E490,9,9999)</f>
        <v>9999</v>
      </c>
      <c r="AD490" s="0" t="n">
        <f aca="false">IF(Presupuesto!$B$10='Flujo de Pagos'!$E490,10,9999)</f>
        <v>9999</v>
      </c>
      <c r="AE490" s="0" t="n">
        <f aca="false">IF(Presupuesto!$B$11='Flujo de Pagos'!$E490,11,9999)</f>
        <v>9999</v>
      </c>
      <c r="AF490" s="0" t="n">
        <f aca="false">IF(Presupuesto!$B$12='Flujo de Pagos'!$E490,12,9999)</f>
        <v>12</v>
      </c>
      <c r="AG490" s="0" t="n">
        <f aca="false">IF(Presupuesto!$B$13='Flujo de Pagos'!$E490,13,9999)</f>
        <v>13</v>
      </c>
      <c r="AH490" s="0" t="n">
        <f aca="false">IF(Presupuesto!$B$14='Flujo de Pagos'!$E490,14,9999)</f>
        <v>14</v>
      </c>
      <c r="AI490" s="0" t="n">
        <f aca="false">IF(Presupuesto!$B$15='Flujo de Pagos'!$E490,15,9999)</f>
        <v>15</v>
      </c>
      <c r="AJ490" s="0" t="n">
        <f aca="false">IF(Presupuesto!$B$16='Flujo de Pagos'!$E490,16,9999)</f>
        <v>16</v>
      </c>
      <c r="AK490" s="0" t="n">
        <f aca="false">IF(Presupuesto!$B$17='Flujo de Pagos'!$E490,17,9999)</f>
        <v>17</v>
      </c>
      <c r="AL490" s="0" t="n">
        <f aca="false">IF(Presupuesto!$B$18='Flujo de Pagos'!$E490,18,9999)</f>
        <v>18</v>
      </c>
      <c r="AM490" s="0" t="n">
        <f aca="false">IF(Presupuesto!$B$19='Flujo de Pagos'!$E490,19,9999)</f>
        <v>19</v>
      </c>
      <c r="AN490" s="0" t="n">
        <f aca="false">IF(Presupuesto!$B$20='Flujo de Pagos'!$E490,20,9999)</f>
        <v>20</v>
      </c>
      <c r="AO490" s="0" t="n">
        <f aca="false">IF(Presupuesto!$B$21='Flujo de Pagos'!$E490,21,9999)</f>
        <v>21</v>
      </c>
      <c r="AP490" s="0" t="n">
        <f aca="false">IF(Presupuesto!$B$22='Flujo de Pagos'!$E490,22,9999)</f>
        <v>22</v>
      </c>
      <c r="AQ490" s="0" t="n">
        <f aca="false">IF(Presupuesto!$B$23='Flujo de Pagos'!$E490,23,9999)</f>
        <v>23</v>
      </c>
      <c r="AR490" s="0" t="n">
        <f aca="false">IF(Presupuesto!$B$24='Flujo de Pagos'!$E490,24,9999)</f>
        <v>24</v>
      </c>
      <c r="AS490" s="0" t="n">
        <f aca="false">IF(Presupuesto!$B$25='Flujo de Pagos'!$E490,25,9999)</f>
        <v>25</v>
      </c>
      <c r="AT490" s="0" t="n">
        <f aca="false">IF(Presupuesto!$B$26='Flujo de Pagos'!$E490,26,9999)</f>
        <v>26</v>
      </c>
      <c r="AU490" s="0" t="n">
        <f aca="false">IF(Presupuesto!$B$27='Flujo de Pagos'!$E490,27,9999)</f>
        <v>27</v>
      </c>
      <c r="AV490" s="0" t="n">
        <f aca="false">IF(Presupuesto!$B$28='Flujo de Pagos'!$E490,28,9999)</f>
        <v>28</v>
      </c>
      <c r="AW490" s="0" t="n">
        <f aca="false">IF(Presupuesto!$B$29='Flujo de Pagos'!$E490,29,9999)</f>
        <v>29</v>
      </c>
      <c r="AX490" s="0" t="n">
        <f aca="false">IF(Presupuesto!$B$30='Flujo de Pagos'!$E490,30,9999)</f>
        <v>30</v>
      </c>
      <c r="AY490" s="0" t="n">
        <f aca="false">IF(Presupuesto!$B$31='Flujo de Pagos'!$E490,31,9999)</f>
        <v>31</v>
      </c>
      <c r="AZ490" s="0" t="n">
        <f aca="false">IF(Presupuesto!$B$32='Flujo de Pagos'!$E490,32,9999)</f>
        <v>32</v>
      </c>
      <c r="BA490" s="0" t="n">
        <f aca="false">IF(Presupuesto!$B$33='Flujo de Pagos'!$E490,33,9999)</f>
        <v>33</v>
      </c>
      <c r="BB490" s="0" t="n">
        <f aca="false">IF(Presupuesto!$B$34='Flujo de Pagos'!$E490,34,9999)</f>
        <v>34</v>
      </c>
      <c r="BC490" s="0" t="n">
        <f aca="false">IF(Presupuesto!$B$35='Flujo de Pagos'!$E490,35,9999)</f>
        <v>35</v>
      </c>
      <c r="BD490" s="0" t="n">
        <f aca="false">IF(Presupuesto!$B$36='Flujo de Pagos'!$E490,36,9999)</f>
        <v>36</v>
      </c>
      <c r="BE490" s="0" t="n">
        <f aca="false">IF(Presupuesto!$B$37='Flujo de Pagos'!$E490,37,9999)</f>
        <v>37</v>
      </c>
      <c r="BF490" s="0" t="n">
        <f aca="false">IF(Presupuesto!$B$38='Flujo de Pagos'!$E490,38,9999)</f>
        <v>38</v>
      </c>
      <c r="BG490" s="0" t="n">
        <f aca="false">IF(Presupuesto!$B$39='Flujo de Pagos'!$E490,39,9999)</f>
        <v>39</v>
      </c>
      <c r="BH490" s="0" t="n">
        <f aca="false">IF(Presupuesto!$B$40='Flujo de Pagos'!$E490,40,9999)</f>
        <v>40</v>
      </c>
      <c r="BI490" s="0" t="n">
        <f aca="false">IF(Presupuesto!$B$41='Flujo de Pagos'!$E490,41,9999)</f>
        <v>41</v>
      </c>
      <c r="BJ490" s="0" t="n">
        <f aca="false">IF(Presupuesto!$B$42='Flujo de Pagos'!$E490,42,9999)</f>
        <v>42</v>
      </c>
      <c r="BK490" s="0" t="n">
        <f aca="false">IF(Presupuesto!$B$43='Flujo de Pagos'!$E490,43,9999)</f>
        <v>43</v>
      </c>
      <c r="BL490" s="0" t="n">
        <f aca="false">IF(Presupuesto!$B$44='Flujo de Pagos'!$E490,44,9999)</f>
        <v>44</v>
      </c>
      <c r="BM490" s="0" t="n">
        <f aca="false">IF(Presupuesto!$B$45='Flujo de Pagos'!$E490,45,9999)</f>
        <v>45</v>
      </c>
      <c r="BN490" s="0" t="n">
        <f aca="false">IF(Presupuesto!$B$46='Flujo de Pagos'!$E490,46,9999)</f>
        <v>46</v>
      </c>
      <c r="BO490" s="0" t="n">
        <f aca="false">IF(Presupuesto!$B$47='Flujo de Pagos'!$E490,47,9999)</f>
        <v>47</v>
      </c>
      <c r="BP490" s="0" t="n">
        <f aca="false">IF(Presupuesto!$B$48='Flujo de Pagos'!$E490,48,9999)</f>
        <v>48</v>
      </c>
      <c r="BQ490" s="0" t="n">
        <f aca="false">IF(Presupuesto!$B$49='Flujo de Pagos'!$E490,49,9999)</f>
        <v>49</v>
      </c>
      <c r="BR490" s="0" t="n">
        <f aca="false">IF(Presupuesto!$B$50='Flujo de Pagos'!$E490,50,9999)</f>
        <v>50</v>
      </c>
      <c r="BS490" s="0" t="n">
        <f aca="false">IF(Presupuesto!$B$51='Flujo de Pagos'!$E490,51,9999)</f>
        <v>51</v>
      </c>
      <c r="BT490" s="0" t="n">
        <f aca="false">IF(Presupuesto!$B$52='Flujo de Pagos'!$E490,52,9999)</f>
        <v>52</v>
      </c>
      <c r="BU490" s="0" t="n">
        <f aca="false">IF(Presupuesto!$B$53='Flujo de Pagos'!$E490,53,9999)</f>
        <v>53</v>
      </c>
      <c r="BV490" s="0" t="n">
        <f aca="false">IF(Presupuesto!$B$54='Flujo de Pagos'!$E490,54,9999)</f>
        <v>54</v>
      </c>
      <c r="BW490" s="0" t="n">
        <f aca="false">IF(Presupuesto!$B$55='Flujo de Pagos'!$E490,55,9999)</f>
        <v>55</v>
      </c>
      <c r="BX490" s="0" t="n">
        <f aca="false">IF(Presupuesto!$B$56='Flujo de Pagos'!$E490,56,9999)</f>
        <v>56</v>
      </c>
      <c r="BY490" s="0" t="n">
        <f aca="false">IF(Presupuesto!$B$57='Flujo de Pagos'!$E490,57,9999)</f>
        <v>57</v>
      </c>
      <c r="BZ490" s="0" t="n">
        <f aca="false">IF(Presupuesto!$B$58='Flujo de Pagos'!$E490,58,9999)</f>
        <v>58</v>
      </c>
      <c r="CA490" s="0" t="n">
        <f aca="false">IF(Presupuesto!$B$59='Flujo de Pagos'!$E490,59,9999)</f>
        <v>59</v>
      </c>
      <c r="CB490" s="0" t="n">
        <f aca="false">IF(Presupuesto!$B$60='Flujo de Pagos'!$E490,60,9999)</f>
        <v>60</v>
      </c>
      <c r="CC490" s="0" t="n">
        <f aca="false">IF(Presupuesto!$B$61='Flujo de Pagos'!$E490,61,9999)</f>
        <v>61</v>
      </c>
      <c r="CD490" s="0" t="n">
        <f aca="false">IF(Presupuesto!$B$62='Flujo de Pagos'!$E490,62,9999)</f>
        <v>62</v>
      </c>
      <c r="CE490" s="0" t="n">
        <f aca="false">IF(Presupuesto!$B$63='Flujo de Pagos'!$E490,63,9999)</f>
        <v>63</v>
      </c>
      <c r="CF490" s="0" t="n">
        <f aca="false">IF(Presupuesto!$B$64='Flujo de Pagos'!$E490,64,9999)</f>
        <v>64</v>
      </c>
      <c r="CG490" s="0" t="n">
        <f aca="false">IF(Presupuesto!$B$65='Flujo de Pagos'!$E490,65,9999)</f>
        <v>65</v>
      </c>
      <c r="CH490" s="0" t="n">
        <f aca="false">IF(Presupuesto!$B$66='Flujo de Pagos'!$E490,66,9999)</f>
        <v>66</v>
      </c>
    </row>
    <row r="491" customFormat="false" ht="15" hidden="false" customHeight="true" outlineLevel="0" collapsed="false">
      <c r="B491" s="1" t="n">
        <f aca="false">IF(AND('Flujo de Pagos'!E496=Carátula!$B$2,'Flujo de Pagos'!F496=Carátula!$B$4,'Flujo de Pagos'!H496&lt;&gt;""),496,99999)</f>
        <v>99999</v>
      </c>
      <c r="H491" s="1" t="n">
        <f aca="false">IF(SMALL($AA491:$CH491,1)&gt;=9999,"",INDEX(Presupuesto!$C:$C,SMALL($AA491:$CH491,1)))</f>
        <v>0</v>
      </c>
      <c r="I491" s="1" t="n">
        <f aca="false">IF(SMALL($AA491:$CH491,2)&gt;=9999,"",INDEX(Presupuesto!$C:$C,SMALL($AA491:$CH491,2)))</f>
        <v>0</v>
      </c>
      <c r="J491" s="1" t="n">
        <f aca="false">IF(SMALL($AA491:$CH491,3)&gt;=9999,"",INDEX(Presupuesto!$C:$C,SMALL($AA491:$CH491,3)))</f>
        <v>0</v>
      </c>
      <c r="K491" s="1" t="n">
        <f aca="false">IF(SMALL($AA491:$CH491,4)&gt;=9999,"",INDEX(Presupuesto!$C:$C,SMALL($AA491:$CH491,4)))</f>
        <v>0</v>
      </c>
      <c r="L491" s="1" t="n">
        <f aca="false">IF(SMALL($AA491:$CH491,5)&gt;=9999,"",INDEX(Presupuesto!$C:$C,SMALL($AA491:$CH491,5)))</f>
        <v>0</v>
      </c>
      <c r="M491" s="1" t="n">
        <f aca="false">IF(SMALL($AA491:$CH491,6)&gt;=9999,"",INDEX(Presupuesto!$C:$C,SMALL($AA491:$CH491,6)))</f>
        <v>0</v>
      </c>
      <c r="N491" s="1" t="n">
        <f aca="false">IF(SMALL($AA491:$CH491,7)&gt;=9999,"",INDEX(Presupuesto!$C:$C,SMALL($AA491:$CH491,7)))</f>
        <v>0</v>
      </c>
      <c r="O491" s="1" t="n">
        <f aca="false">IF(SMALL($AA491:$CH491,8)&gt;=9999,"",INDEX(Presupuesto!$C:$C,SMALL($AA491:$CH491,8)))</f>
        <v>0</v>
      </c>
      <c r="P491" s="1" t="n">
        <f aca="false">IF(SMALL($AA491:$CH491,9)&gt;=9999,"",INDEX(Presupuesto!$C:$C,SMALL($AA491:$CH491,9)))</f>
        <v>0</v>
      </c>
      <c r="Q491" s="1" t="n">
        <f aca="false">IF(SMALL($AA491:$CH491,10)&gt;=9999,"",INDEX(Presupuesto!$C:$C,SMALL($AA491:$CH491,10)))</f>
        <v>0</v>
      </c>
      <c r="AA491" s="0" t="n">
        <f aca="false">IF(Presupuesto!$B$7='Flujo de Pagos'!$E491,7,9999)</f>
        <v>9999</v>
      </c>
      <c r="AB491" s="0" t="n">
        <f aca="false">IF(Presupuesto!$B$8='Flujo de Pagos'!$E491,8,9999)</f>
        <v>9999</v>
      </c>
      <c r="AC491" s="0" t="n">
        <f aca="false">IF(Presupuesto!$B$9='Flujo de Pagos'!$E491,9,9999)</f>
        <v>9999</v>
      </c>
      <c r="AD491" s="0" t="n">
        <f aca="false">IF(Presupuesto!$B$10='Flujo de Pagos'!$E491,10,9999)</f>
        <v>9999</v>
      </c>
      <c r="AE491" s="0" t="n">
        <f aca="false">IF(Presupuesto!$B$11='Flujo de Pagos'!$E491,11,9999)</f>
        <v>9999</v>
      </c>
      <c r="AF491" s="0" t="n">
        <f aca="false">IF(Presupuesto!$B$12='Flujo de Pagos'!$E491,12,9999)</f>
        <v>12</v>
      </c>
      <c r="AG491" s="0" t="n">
        <f aca="false">IF(Presupuesto!$B$13='Flujo de Pagos'!$E491,13,9999)</f>
        <v>13</v>
      </c>
      <c r="AH491" s="0" t="n">
        <f aca="false">IF(Presupuesto!$B$14='Flujo de Pagos'!$E491,14,9999)</f>
        <v>14</v>
      </c>
      <c r="AI491" s="0" t="n">
        <f aca="false">IF(Presupuesto!$B$15='Flujo de Pagos'!$E491,15,9999)</f>
        <v>15</v>
      </c>
      <c r="AJ491" s="0" t="n">
        <f aca="false">IF(Presupuesto!$B$16='Flujo de Pagos'!$E491,16,9999)</f>
        <v>16</v>
      </c>
      <c r="AK491" s="0" t="n">
        <f aca="false">IF(Presupuesto!$B$17='Flujo de Pagos'!$E491,17,9999)</f>
        <v>17</v>
      </c>
      <c r="AL491" s="0" t="n">
        <f aca="false">IF(Presupuesto!$B$18='Flujo de Pagos'!$E491,18,9999)</f>
        <v>18</v>
      </c>
      <c r="AM491" s="0" t="n">
        <f aca="false">IF(Presupuesto!$B$19='Flujo de Pagos'!$E491,19,9999)</f>
        <v>19</v>
      </c>
      <c r="AN491" s="0" t="n">
        <f aca="false">IF(Presupuesto!$B$20='Flujo de Pagos'!$E491,20,9999)</f>
        <v>20</v>
      </c>
      <c r="AO491" s="0" t="n">
        <f aca="false">IF(Presupuesto!$B$21='Flujo de Pagos'!$E491,21,9999)</f>
        <v>21</v>
      </c>
      <c r="AP491" s="0" t="n">
        <f aca="false">IF(Presupuesto!$B$22='Flujo de Pagos'!$E491,22,9999)</f>
        <v>22</v>
      </c>
      <c r="AQ491" s="0" t="n">
        <f aca="false">IF(Presupuesto!$B$23='Flujo de Pagos'!$E491,23,9999)</f>
        <v>23</v>
      </c>
      <c r="AR491" s="0" t="n">
        <f aca="false">IF(Presupuesto!$B$24='Flujo de Pagos'!$E491,24,9999)</f>
        <v>24</v>
      </c>
      <c r="AS491" s="0" t="n">
        <f aca="false">IF(Presupuesto!$B$25='Flujo de Pagos'!$E491,25,9999)</f>
        <v>25</v>
      </c>
      <c r="AT491" s="0" t="n">
        <f aca="false">IF(Presupuesto!$B$26='Flujo de Pagos'!$E491,26,9999)</f>
        <v>26</v>
      </c>
      <c r="AU491" s="0" t="n">
        <f aca="false">IF(Presupuesto!$B$27='Flujo de Pagos'!$E491,27,9999)</f>
        <v>27</v>
      </c>
      <c r="AV491" s="0" t="n">
        <f aca="false">IF(Presupuesto!$B$28='Flujo de Pagos'!$E491,28,9999)</f>
        <v>28</v>
      </c>
      <c r="AW491" s="0" t="n">
        <f aca="false">IF(Presupuesto!$B$29='Flujo de Pagos'!$E491,29,9999)</f>
        <v>29</v>
      </c>
      <c r="AX491" s="0" t="n">
        <f aca="false">IF(Presupuesto!$B$30='Flujo de Pagos'!$E491,30,9999)</f>
        <v>30</v>
      </c>
      <c r="AY491" s="0" t="n">
        <f aca="false">IF(Presupuesto!$B$31='Flujo de Pagos'!$E491,31,9999)</f>
        <v>31</v>
      </c>
      <c r="AZ491" s="0" t="n">
        <f aca="false">IF(Presupuesto!$B$32='Flujo de Pagos'!$E491,32,9999)</f>
        <v>32</v>
      </c>
      <c r="BA491" s="0" t="n">
        <f aca="false">IF(Presupuesto!$B$33='Flujo de Pagos'!$E491,33,9999)</f>
        <v>33</v>
      </c>
      <c r="BB491" s="0" t="n">
        <f aca="false">IF(Presupuesto!$B$34='Flujo de Pagos'!$E491,34,9999)</f>
        <v>34</v>
      </c>
      <c r="BC491" s="0" t="n">
        <f aca="false">IF(Presupuesto!$B$35='Flujo de Pagos'!$E491,35,9999)</f>
        <v>35</v>
      </c>
      <c r="BD491" s="0" t="n">
        <f aca="false">IF(Presupuesto!$B$36='Flujo de Pagos'!$E491,36,9999)</f>
        <v>36</v>
      </c>
      <c r="BE491" s="0" t="n">
        <f aca="false">IF(Presupuesto!$B$37='Flujo de Pagos'!$E491,37,9999)</f>
        <v>37</v>
      </c>
      <c r="BF491" s="0" t="n">
        <f aca="false">IF(Presupuesto!$B$38='Flujo de Pagos'!$E491,38,9999)</f>
        <v>38</v>
      </c>
      <c r="BG491" s="0" t="n">
        <f aca="false">IF(Presupuesto!$B$39='Flujo de Pagos'!$E491,39,9999)</f>
        <v>39</v>
      </c>
      <c r="BH491" s="0" t="n">
        <f aca="false">IF(Presupuesto!$B$40='Flujo de Pagos'!$E491,40,9999)</f>
        <v>40</v>
      </c>
      <c r="BI491" s="0" t="n">
        <f aca="false">IF(Presupuesto!$B$41='Flujo de Pagos'!$E491,41,9999)</f>
        <v>41</v>
      </c>
      <c r="BJ491" s="0" t="n">
        <f aca="false">IF(Presupuesto!$B$42='Flujo de Pagos'!$E491,42,9999)</f>
        <v>42</v>
      </c>
      <c r="BK491" s="0" t="n">
        <f aca="false">IF(Presupuesto!$B$43='Flujo de Pagos'!$E491,43,9999)</f>
        <v>43</v>
      </c>
      <c r="BL491" s="0" t="n">
        <f aca="false">IF(Presupuesto!$B$44='Flujo de Pagos'!$E491,44,9999)</f>
        <v>44</v>
      </c>
      <c r="BM491" s="0" t="n">
        <f aca="false">IF(Presupuesto!$B$45='Flujo de Pagos'!$E491,45,9999)</f>
        <v>45</v>
      </c>
      <c r="BN491" s="0" t="n">
        <f aca="false">IF(Presupuesto!$B$46='Flujo de Pagos'!$E491,46,9999)</f>
        <v>46</v>
      </c>
      <c r="BO491" s="0" t="n">
        <f aca="false">IF(Presupuesto!$B$47='Flujo de Pagos'!$E491,47,9999)</f>
        <v>47</v>
      </c>
      <c r="BP491" s="0" t="n">
        <f aca="false">IF(Presupuesto!$B$48='Flujo de Pagos'!$E491,48,9999)</f>
        <v>48</v>
      </c>
      <c r="BQ491" s="0" t="n">
        <f aca="false">IF(Presupuesto!$B$49='Flujo de Pagos'!$E491,49,9999)</f>
        <v>49</v>
      </c>
      <c r="BR491" s="0" t="n">
        <f aca="false">IF(Presupuesto!$B$50='Flujo de Pagos'!$E491,50,9999)</f>
        <v>50</v>
      </c>
      <c r="BS491" s="0" t="n">
        <f aca="false">IF(Presupuesto!$B$51='Flujo de Pagos'!$E491,51,9999)</f>
        <v>51</v>
      </c>
      <c r="BT491" s="0" t="n">
        <f aca="false">IF(Presupuesto!$B$52='Flujo de Pagos'!$E491,52,9999)</f>
        <v>52</v>
      </c>
      <c r="BU491" s="0" t="n">
        <f aca="false">IF(Presupuesto!$B$53='Flujo de Pagos'!$E491,53,9999)</f>
        <v>53</v>
      </c>
      <c r="BV491" s="0" t="n">
        <f aca="false">IF(Presupuesto!$B$54='Flujo de Pagos'!$E491,54,9999)</f>
        <v>54</v>
      </c>
      <c r="BW491" s="0" t="n">
        <f aca="false">IF(Presupuesto!$B$55='Flujo de Pagos'!$E491,55,9999)</f>
        <v>55</v>
      </c>
      <c r="BX491" s="0" t="n">
        <f aca="false">IF(Presupuesto!$B$56='Flujo de Pagos'!$E491,56,9999)</f>
        <v>56</v>
      </c>
      <c r="BY491" s="0" t="n">
        <f aca="false">IF(Presupuesto!$B$57='Flujo de Pagos'!$E491,57,9999)</f>
        <v>57</v>
      </c>
      <c r="BZ491" s="0" t="n">
        <f aca="false">IF(Presupuesto!$B$58='Flujo de Pagos'!$E491,58,9999)</f>
        <v>58</v>
      </c>
      <c r="CA491" s="0" t="n">
        <f aca="false">IF(Presupuesto!$B$59='Flujo de Pagos'!$E491,59,9999)</f>
        <v>59</v>
      </c>
      <c r="CB491" s="0" t="n">
        <f aca="false">IF(Presupuesto!$B$60='Flujo de Pagos'!$E491,60,9999)</f>
        <v>60</v>
      </c>
      <c r="CC491" s="0" t="n">
        <f aca="false">IF(Presupuesto!$B$61='Flujo de Pagos'!$E491,61,9999)</f>
        <v>61</v>
      </c>
      <c r="CD491" s="0" t="n">
        <f aca="false">IF(Presupuesto!$B$62='Flujo de Pagos'!$E491,62,9999)</f>
        <v>62</v>
      </c>
      <c r="CE491" s="0" t="n">
        <f aca="false">IF(Presupuesto!$B$63='Flujo de Pagos'!$E491,63,9999)</f>
        <v>63</v>
      </c>
      <c r="CF491" s="0" t="n">
        <f aca="false">IF(Presupuesto!$B$64='Flujo de Pagos'!$E491,64,9999)</f>
        <v>64</v>
      </c>
      <c r="CG491" s="0" t="n">
        <f aca="false">IF(Presupuesto!$B$65='Flujo de Pagos'!$E491,65,9999)</f>
        <v>65</v>
      </c>
      <c r="CH491" s="0" t="n">
        <f aca="false">IF(Presupuesto!$B$66='Flujo de Pagos'!$E491,66,9999)</f>
        <v>66</v>
      </c>
    </row>
    <row r="492" customFormat="false" ht="15" hidden="false" customHeight="true" outlineLevel="0" collapsed="false">
      <c r="B492" s="1" t="n">
        <f aca="false">IF(AND('Flujo de Pagos'!E497=Carátula!$B$2,'Flujo de Pagos'!F497=Carátula!$B$4,'Flujo de Pagos'!H497&lt;&gt;""),497,99999)</f>
        <v>99999</v>
      </c>
      <c r="H492" s="1" t="n">
        <f aca="false">IF(SMALL($AA492:$CH492,1)&gt;=9999,"",INDEX(Presupuesto!$C:$C,SMALL($AA492:$CH492,1)))</f>
        <v>0</v>
      </c>
      <c r="I492" s="1" t="n">
        <f aca="false">IF(SMALL($AA492:$CH492,2)&gt;=9999,"",INDEX(Presupuesto!$C:$C,SMALL($AA492:$CH492,2)))</f>
        <v>0</v>
      </c>
      <c r="J492" s="1" t="n">
        <f aca="false">IF(SMALL($AA492:$CH492,3)&gt;=9999,"",INDEX(Presupuesto!$C:$C,SMALL($AA492:$CH492,3)))</f>
        <v>0</v>
      </c>
      <c r="K492" s="1" t="n">
        <f aca="false">IF(SMALL($AA492:$CH492,4)&gt;=9999,"",INDEX(Presupuesto!$C:$C,SMALL($AA492:$CH492,4)))</f>
        <v>0</v>
      </c>
      <c r="L492" s="1" t="n">
        <f aca="false">IF(SMALL($AA492:$CH492,5)&gt;=9999,"",INDEX(Presupuesto!$C:$C,SMALL($AA492:$CH492,5)))</f>
        <v>0</v>
      </c>
      <c r="M492" s="1" t="n">
        <f aca="false">IF(SMALL($AA492:$CH492,6)&gt;=9999,"",INDEX(Presupuesto!$C:$C,SMALL($AA492:$CH492,6)))</f>
        <v>0</v>
      </c>
      <c r="N492" s="1" t="n">
        <f aca="false">IF(SMALL($AA492:$CH492,7)&gt;=9999,"",INDEX(Presupuesto!$C:$C,SMALL($AA492:$CH492,7)))</f>
        <v>0</v>
      </c>
      <c r="O492" s="1" t="n">
        <f aca="false">IF(SMALL($AA492:$CH492,8)&gt;=9999,"",INDEX(Presupuesto!$C:$C,SMALL($AA492:$CH492,8)))</f>
        <v>0</v>
      </c>
      <c r="P492" s="1" t="n">
        <f aca="false">IF(SMALL($AA492:$CH492,9)&gt;=9999,"",INDEX(Presupuesto!$C:$C,SMALL($AA492:$CH492,9)))</f>
        <v>0</v>
      </c>
      <c r="Q492" s="1" t="n">
        <f aca="false">IF(SMALL($AA492:$CH492,10)&gt;=9999,"",INDEX(Presupuesto!$C:$C,SMALL($AA492:$CH492,10)))</f>
        <v>0</v>
      </c>
      <c r="AA492" s="0" t="n">
        <f aca="false">IF(Presupuesto!$B$7='Flujo de Pagos'!$E492,7,9999)</f>
        <v>9999</v>
      </c>
      <c r="AB492" s="0" t="n">
        <f aca="false">IF(Presupuesto!$B$8='Flujo de Pagos'!$E492,8,9999)</f>
        <v>9999</v>
      </c>
      <c r="AC492" s="0" t="n">
        <f aca="false">IF(Presupuesto!$B$9='Flujo de Pagos'!$E492,9,9999)</f>
        <v>9999</v>
      </c>
      <c r="AD492" s="0" t="n">
        <f aca="false">IF(Presupuesto!$B$10='Flujo de Pagos'!$E492,10,9999)</f>
        <v>9999</v>
      </c>
      <c r="AE492" s="0" t="n">
        <f aca="false">IF(Presupuesto!$B$11='Flujo de Pagos'!$E492,11,9999)</f>
        <v>9999</v>
      </c>
      <c r="AF492" s="0" t="n">
        <f aca="false">IF(Presupuesto!$B$12='Flujo de Pagos'!$E492,12,9999)</f>
        <v>12</v>
      </c>
      <c r="AG492" s="0" t="n">
        <f aca="false">IF(Presupuesto!$B$13='Flujo de Pagos'!$E492,13,9999)</f>
        <v>13</v>
      </c>
      <c r="AH492" s="0" t="n">
        <f aca="false">IF(Presupuesto!$B$14='Flujo de Pagos'!$E492,14,9999)</f>
        <v>14</v>
      </c>
      <c r="AI492" s="0" t="n">
        <f aca="false">IF(Presupuesto!$B$15='Flujo de Pagos'!$E492,15,9999)</f>
        <v>15</v>
      </c>
      <c r="AJ492" s="0" t="n">
        <f aca="false">IF(Presupuesto!$B$16='Flujo de Pagos'!$E492,16,9999)</f>
        <v>16</v>
      </c>
      <c r="AK492" s="0" t="n">
        <f aca="false">IF(Presupuesto!$B$17='Flujo de Pagos'!$E492,17,9999)</f>
        <v>17</v>
      </c>
      <c r="AL492" s="0" t="n">
        <f aca="false">IF(Presupuesto!$B$18='Flujo de Pagos'!$E492,18,9999)</f>
        <v>18</v>
      </c>
      <c r="AM492" s="0" t="n">
        <f aca="false">IF(Presupuesto!$B$19='Flujo de Pagos'!$E492,19,9999)</f>
        <v>19</v>
      </c>
      <c r="AN492" s="0" t="n">
        <f aca="false">IF(Presupuesto!$B$20='Flujo de Pagos'!$E492,20,9999)</f>
        <v>20</v>
      </c>
      <c r="AO492" s="0" t="n">
        <f aca="false">IF(Presupuesto!$B$21='Flujo de Pagos'!$E492,21,9999)</f>
        <v>21</v>
      </c>
      <c r="AP492" s="0" t="n">
        <f aca="false">IF(Presupuesto!$B$22='Flujo de Pagos'!$E492,22,9999)</f>
        <v>22</v>
      </c>
      <c r="AQ492" s="0" t="n">
        <f aca="false">IF(Presupuesto!$B$23='Flujo de Pagos'!$E492,23,9999)</f>
        <v>23</v>
      </c>
      <c r="AR492" s="0" t="n">
        <f aca="false">IF(Presupuesto!$B$24='Flujo de Pagos'!$E492,24,9999)</f>
        <v>24</v>
      </c>
      <c r="AS492" s="0" t="n">
        <f aca="false">IF(Presupuesto!$B$25='Flujo de Pagos'!$E492,25,9999)</f>
        <v>25</v>
      </c>
      <c r="AT492" s="0" t="n">
        <f aca="false">IF(Presupuesto!$B$26='Flujo de Pagos'!$E492,26,9999)</f>
        <v>26</v>
      </c>
      <c r="AU492" s="0" t="n">
        <f aca="false">IF(Presupuesto!$B$27='Flujo de Pagos'!$E492,27,9999)</f>
        <v>27</v>
      </c>
      <c r="AV492" s="0" t="n">
        <f aca="false">IF(Presupuesto!$B$28='Flujo de Pagos'!$E492,28,9999)</f>
        <v>28</v>
      </c>
      <c r="AW492" s="0" t="n">
        <f aca="false">IF(Presupuesto!$B$29='Flujo de Pagos'!$E492,29,9999)</f>
        <v>29</v>
      </c>
      <c r="AX492" s="0" t="n">
        <f aca="false">IF(Presupuesto!$B$30='Flujo de Pagos'!$E492,30,9999)</f>
        <v>30</v>
      </c>
      <c r="AY492" s="0" t="n">
        <f aca="false">IF(Presupuesto!$B$31='Flujo de Pagos'!$E492,31,9999)</f>
        <v>31</v>
      </c>
      <c r="AZ492" s="0" t="n">
        <f aca="false">IF(Presupuesto!$B$32='Flujo de Pagos'!$E492,32,9999)</f>
        <v>32</v>
      </c>
      <c r="BA492" s="0" t="n">
        <f aca="false">IF(Presupuesto!$B$33='Flujo de Pagos'!$E492,33,9999)</f>
        <v>33</v>
      </c>
      <c r="BB492" s="0" t="n">
        <f aca="false">IF(Presupuesto!$B$34='Flujo de Pagos'!$E492,34,9999)</f>
        <v>34</v>
      </c>
      <c r="BC492" s="0" t="n">
        <f aca="false">IF(Presupuesto!$B$35='Flujo de Pagos'!$E492,35,9999)</f>
        <v>35</v>
      </c>
      <c r="BD492" s="0" t="n">
        <f aca="false">IF(Presupuesto!$B$36='Flujo de Pagos'!$E492,36,9999)</f>
        <v>36</v>
      </c>
      <c r="BE492" s="0" t="n">
        <f aca="false">IF(Presupuesto!$B$37='Flujo de Pagos'!$E492,37,9999)</f>
        <v>37</v>
      </c>
      <c r="BF492" s="0" t="n">
        <f aca="false">IF(Presupuesto!$B$38='Flujo de Pagos'!$E492,38,9999)</f>
        <v>38</v>
      </c>
      <c r="BG492" s="0" t="n">
        <f aca="false">IF(Presupuesto!$B$39='Flujo de Pagos'!$E492,39,9999)</f>
        <v>39</v>
      </c>
      <c r="BH492" s="0" t="n">
        <f aca="false">IF(Presupuesto!$B$40='Flujo de Pagos'!$E492,40,9999)</f>
        <v>40</v>
      </c>
      <c r="BI492" s="0" t="n">
        <f aca="false">IF(Presupuesto!$B$41='Flujo de Pagos'!$E492,41,9999)</f>
        <v>41</v>
      </c>
      <c r="BJ492" s="0" t="n">
        <f aca="false">IF(Presupuesto!$B$42='Flujo de Pagos'!$E492,42,9999)</f>
        <v>42</v>
      </c>
      <c r="BK492" s="0" t="n">
        <f aca="false">IF(Presupuesto!$B$43='Flujo de Pagos'!$E492,43,9999)</f>
        <v>43</v>
      </c>
      <c r="BL492" s="0" t="n">
        <f aca="false">IF(Presupuesto!$B$44='Flujo de Pagos'!$E492,44,9999)</f>
        <v>44</v>
      </c>
      <c r="BM492" s="0" t="n">
        <f aca="false">IF(Presupuesto!$B$45='Flujo de Pagos'!$E492,45,9999)</f>
        <v>45</v>
      </c>
      <c r="BN492" s="0" t="n">
        <f aca="false">IF(Presupuesto!$B$46='Flujo de Pagos'!$E492,46,9999)</f>
        <v>46</v>
      </c>
      <c r="BO492" s="0" t="n">
        <f aca="false">IF(Presupuesto!$B$47='Flujo de Pagos'!$E492,47,9999)</f>
        <v>47</v>
      </c>
      <c r="BP492" s="0" t="n">
        <f aca="false">IF(Presupuesto!$B$48='Flujo de Pagos'!$E492,48,9999)</f>
        <v>48</v>
      </c>
      <c r="BQ492" s="0" t="n">
        <f aca="false">IF(Presupuesto!$B$49='Flujo de Pagos'!$E492,49,9999)</f>
        <v>49</v>
      </c>
      <c r="BR492" s="0" t="n">
        <f aca="false">IF(Presupuesto!$B$50='Flujo de Pagos'!$E492,50,9999)</f>
        <v>50</v>
      </c>
      <c r="BS492" s="0" t="n">
        <f aca="false">IF(Presupuesto!$B$51='Flujo de Pagos'!$E492,51,9999)</f>
        <v>51</v>
      </c>
      <c r="BT492" s="0" t="n">
        <f aca="false">IF(Presupuesto!$B$52='Flujo de Pagos'!$E492,52,9999)</f>
        <v>52</v>
      </c>
      <c r="BU492" s="0" t="n">
        <f aca="false">IF(Presupuesto!$B$53='Flujo de Pagos'!$E492,53,9999)</f>
        <v>53</v>
      </c>
      <c r="BV492" s="0" t="n">
        <f aca="false">IF(Presupuesto!$B$54='Flujo de Pagos'!$E492,54,9999)</f>
        <v>54</v>
      </c>
      <c r="BW492" s="0" t="n">
        <f aca="false">IF(Presupuesto!$B$55='Flujo de Pagos'!$E492,55,9999)</f>
        <v>55</v>
      </c>
      <c r="BX492" s="0" t="n">
        <f aca="false">IF(Presupuesto!$B$56='Flujo de Pagos'!$E492,56,9999)</f>
        <v>56</v>
      </c>
      <c r="BY492" s="0" t="n">
        <f aca="false">IF(Presupuesto!$B$57='Flujo de Pagos'!$E492,57,9999)</f>
        <v>57</v>
      </c>
      <c r="BZ492" s="0" t="n">
        <f aca="false">IF(Presupuesto!$B$58='Flujo de Pagos'!$E492,58,9999)</f>
        <v>58</v>
      </c>
      <c r="CA492" s="0" t="n">
        <f aca="false">IF(Presupuesto!$B$59='Flujo de Pagos'!$E492,59,9999)</f>
        <v>59</v>
      </c>
      <c r="CB492" s="0" t="n">
        <f aca="false">IF(Presupuesto!$B$60='Flujo de Pagos'!$E492,60,9999)</f>
        <v>60</v>
      </c>
      <c r="CC492" s="0" t="n">
        <f aca="false">IF(Presupuesto!$B$61='Flujo de Pagos'!$E492,61,9999)</f>
        <v>61</v>
      </c>
      <c r="CD492" s="0" t="n">
        <f aca="false">IF(Presupuesto!$B$62='Flujo de Pagos'!$E492,62,9999)</f>
        <v>62</v>
      </c>
      <c r="CE492" s="0" t="n">
        <f aca="false">IF(Presupuesto!$B$63='Flujo de Pagos'!$E492,63,9999)</f>
        <v>63</v>
      </c>
      <c r="CF492" s="0" t="n">
        <f aca="false">IF(Presupuesto!$B$64='Flujo de Pagos'!$E492,64,9999)</f>
        <v>64</v>
      </c>
      <c r="CG492" s="0" t="n">
        <f aca="false">IF(Presupuesto!$B$65='Flujo de Pagos'!$E492,65,9999)</f>
        <v>65</v>
      </c>
      <c r="CH492" s="0" t="n">
        <f aca="false">IF(Presupuesto!$B$66='Flujo de Pagos'!$E492,66,9999)</f>
        <v>66</v>
      </c>
    </row>
    <row r="493" customFormat="false" ht="15" hidden="false" customHeight="true" outlineLevel="0" collapsed="false">
      <c r="B493" s="1" t="n">
        <f aca="false">IF(AND('Flujo de Pagos'!E498=Carátula!$B$2,'Flujo de Pagos'!F498=Carátula!$B$4,'Flujo de Pagos'!H498&lt;&gt;""),498,99999)</f>
        <v>99999</v>
      </c>
      <c r="H493" s="1" t="n">
        <f aca="false">IF(SMALL($AA493:$CH493,1)&gt;=9999,"",INDEX(Presupuesto!$C:$C,SMALL($AA493:$CH493,1)))</f>
        <v>0</v>
      </c>
      <c r="I493" s="1" t="n">
        <f aca="false">IF(SMALL($AA493:$CH493,2)&gt;=9999,"",INDEX(Presupuesto!$C:$C,SMALL($AA493:$CH493,2)))</f>
        <v>0</v>
      </c>
      <c r="J493" s="1" t="n">
        <f aca="false">IF(SMALL($AA493:$CH493,3)&gt;=9999,"",INDEX(Presupuesto!$C:$C,SMALL($AA493:$CH493,3)))</f>
        <v>0</v>
      </c>
      <c r="K493" s="1" t="n">
        <f aca="false">IF(SMALL($AA493:$CH493,4)&gt;=9999,"",INDEX(Presupuesto!$C:$C,SMALL($AA493:$CH493,4)))</f>
        <v>0</v>
      </c>
      <c r="L493" s="1" t="n">
        <f aca="false">IF(SMALL($AA493:$CH493,5)&gt;=9999,"",INDEX(Presupuesto!$C:$C,SMALL($AA493:$CH493,5)))</f>
        <v>0</v>
      </c>
      <c r="M493" s="1" t="n">
        <f aca="false">IF(SMALL($AA493:$CH493,6)&gt;=9999,"",INDEX(Presupuesto!$C:$C,SMALL($AA493:$CH493,6)))</f>
        <v>0</v>
      </c>
      <c r="N493" s="1" t="n">
        <f aca="false">IF(SMALL($AA493:$CH493,7)&gt;=9999,"",INDEX(Presupuesto!$C:$C,SMALL($AA493:$CH493,7)))</f>
        <v>0</v>
      </c>
      <c r="O493" s="1" t="n">
        <f aca="false">IF(SMALL($AA493:$CH493,8)&gt;=9999,"",INDEX(Presupuesto!$C:$C,SMALL($AA493:$CH493,8)))</f>
        <v>0</v>
      </c>
      <c r="P493" s="1" t="n">
        <f aca="false">IF(SMALL($AA493:$CH493,9)&gt;=9999,"",INDEX(Presupuesto!$C:$C,SMALL($AA493:$CH493,9)))</f>
        <v>0</v>
      </c>
      <c r="Q493" s="1" t="n">
        <f aca="false">IF(SMALL($AA493:$CH493,10)&gt;=9999,"",INDEX(Presupuesto!$C:$C,SMALL($AA493:$CH493,10)))</f>
        <v>0</v>
      </c>
      <c r="AA493" s="0" t="n">
        <f aca="false">IF(Presupuesto!$B$7='Flujo de Pagos'!$E493,7,9999)</f>
        <v>9999</v>
      </c>
      <c r="AB493" s="0" t="n">
        <f aca="false">IF(Presupuesto!$B$8='Flujo de Pagos'!$E493,8,9999)</f>
        <v>9999</v>
      </c>
      <c r="AC493" s="0" t="n">
        <f aca="false">IF(Presupuesto!$B$9='Flujo de Pagos'!$E493,9,9999)</f>
        <v>9999</v>
      </c>
      <c r="AD493" s="0" t="n">
        <f aca="false">IF(Presupuesto!$B$10='Flujo de Pagos'!$E493,10,9999)</f>
        <v>9999</v>
      </c>
      <c r="AE493" s="0" t="n">
        <f aca="false">IF(Presupuesto!$B$11='Flujo de Pagos'!$E493,11,9999)</f>
        <v>9999</v>
      </c>
      <c r="AF493" s="0" t="n">
        <f aca="false">IF(Presupuesto!$B$12='Flujo de Pagos'!$E493,12,9999)</f>
        <v>12</v>
      </c>
      <c r="AG493" s="0" t="n">
        <f aca="false">IF(Presupuesto!$B$13='Flujo de Pagos'!$E493,13,9999)</f>
        <v>13</v>
      </c>
      <c r="AH493" s="0" t="n">
        <f aca="false">IF(Presupuesto!$B$14='Flujo de Pagos'!$E493,14,9999)</f>
        <v>14</v>
      </c>
      <c r="AI493" s="0" t="n">
        <f aca="false">IF(Presupuesto!$B$15='Flujo de Pagos'!$E493,15,9999)</f>
        <v>15</v>
      </c>
      <c r="AJ493" s="0" t="n">
        <f aca="false">IF(Presupuesto!$B$16='Flujo de Pagos'!$E493,16,9999)</f>
        <v>16</v>
      </c>
      <c r="AK493" s="0" t="n">
        <f aca="false">IF(Presupuesto!$B$17='Flujo de Pagos'!$E493,17,9999)</f>
        <v>17</v>
      </c>
      <c r="AL493" s="0" t="n">
        <f aca="false">IF(Presupuesto!$B$18='Flujo de Pagos'!$E493,18,9999)</f>
        <v>18</v>
      </c>
      <c r="AM493" s="0" t="n">
        <f aca="false">IF(Presupuesto!$B$19='Flujo de Pagos'!$E493,19,9999)</f>
        <v>19</v>
      </c>
      <c r="AN493" s="0" t="n">
        <f aca="false">IF(Presupuesto!$B$20='Flujo de Pagos'!$E493,20,9999)</f>
        <v>20</v>
      </c>
      <c r="AO493" s="0" t="n">
        <f aca="false">IF(Presupuesto!$B$21='Flujo de Pagos'!$E493,21,9999)</f>
        <v>21</v>
      </c>
      <c r="AP493" s="0" t="n">
        <f aca="false">IF(Presupuesto!$B$22='Flujo de Pagos'!$E493,22,9999)</f>
        <v>22</v>
      </c>
      <c r="AQ493" s="0" t="n">
        <f aca="false">IF(Presupuesto!$B$23='Flujo de Pagos'!$E493,23,9999)</f>
        <v>23</v>
      </c>
      <c r="AR493" s="0" t="n">
        <f aca="false">IF(Presupuesto!$B$24='Flujo de Pagos'!$E493,24,9999)</f>
        <v>24</v>
      </c>
      <c r="AS493" s="0" t="n">
        <f aca="false">IF(Presupuesto!$B$25='Flujo de Pagos'!$E493,25,9999)</f>
        <v>25</v>
      </c>
      <c r="AT493" s="0" t="n">
        <f aca="false">IF(Presupuesto!$B$26='Flujo de Pagos'!$E493,26,9999)</f>
        <v>26</v>
      </c>
      <c r="AU493" s="0" t="n">
        <f aca="false">IF(Presupuesto!$B$27='Flujo de Pagos'!$E493,27,9999)</f>
        <v>27</v>
      </c>
      <c r="AV493" s="0" t="n">
        <f aca="false">IF(Presupuesto!$B$28='Flujo de Pagos'!$E493,28,9999)</f>
        <v>28</v>
      </c>
      <c r="AW493" s="0" t="n">
        <f aca="false">IF(Presupuesto!$B$29='Flujo de Pagos'!$E493,29,9999)</f>
        <v>29</v>
      </c>
      <c r="AX493" s="0" t="n">
        <f aca="false">IF(Presupuesto!$B$30='Flujo de Pagos'!$E493,30,9999)</f>
        <v>30</v>
      </c>
      <c r="AY493" s="0" t="n">
        <f aca="false">IF(Presupuesto!$B$31='Flujo de Pagos'!$E493,31,9999)</f>
        <v>31</v>
      </c>
      <c r="AZ493" s="0" t="n">
        <f aca="false">IF(Presupuesto!$B$32='Flujo de Pagos'!$E493,32,9999)</f>
        <v>32</v>
      </c>
      <c r="BA493" s="0" t="n">
        <f aca="false">IF(Presupuesto!$B$33='Flujo de Pagos'!$E493,33,9999)</f>
        <v>33</v>
      </c>
      <c r="BB493" s="0" t="n">
        <f aca="false">IF(Presupuesto!$B$34='Flujo de Pagos'!$E493,34,9999)</f>
        <v>34</v>
      </c>
      <c r="BC493" s="0" t="n">
        <f aca="false">IF(Presupuesto!$B$35='Flujo de Pagos'!$E493,35,9999)</f>
        <v>35</v>
      </c>
      <c r="BD493" s="0" t="n">
        <f aca="false">IF(Presupuesto!$B$36='Flujo de Pagos'!$E493,36,9999)</f>
        <v>36</v>
      </c>
      <c r="BE493" s="0" t="n">
        <f aca="false">IF(Presupuesto!$B$37='Flujo de Pagos'!$E493,37,9999)</f>
        <v>37</v>
      </c>
      <c r="BF493" s="0" t="n">
        <f aca="false">IF(Presupuesto!$B$38='Flujo de Pagos'!$E493,38,9999)</f>
        <v>38</v>
      </c>
      <c r="BG493" s="0" t="n">
        <f aca="false">IF(Presupuesto!$B$39='Flujo de Pagos'!$E493,39,9999)</f>
        <v>39</v>
      </c>
      <c r="BH493" s="0" t="n">
        <f aca="false">IF(Presupuesto!$B$40='Flujo de Pagos'!$E493,40,9999)</f>
        <v>40</v>
      </c>
      <c r="BI493" s="0" t="n">
        <f aca="false">IF(Presupuesto!$B$41='Flujo de Pagos'!$E493,41,9999)</f>
        <v>41</v>
      </c>
      <c r="BJ493" s="0" t="n">
        <f aca="false">IF(Presupuesto!$B$42='Flujo de Pagos'!$E493,42,9999)</f>
        <v>42</v>
      </c>
      <c r="BK493" s="0" t="n">
        <f aca="false">IF(Presupuesto!$B$43='Flujo de Pagos'!$E493,43,9999)</f>
        <v>43</v>
      </c>
      <c r="BL493" s="0" t="n">
        <f aca="false">IF(Presupuesto!$B$44='Flujo de Pagos'!$E493,44,9999)</f>
        <v>44</v>
      </c>
      <c r="BM493" s="0" t="n">
        <f aca="false">IF(Presupuesto!$B$45='Flujo de Pagos'!$E493,45,9999)</f>
        <v>45</v>
      </c>
      <c r="BN493" s="0" t="n">
        <f aca="false">IF(Presupuesto!$B$46='Flujo de Pagos'!$E493,46,9999)</f>
        <v>46</v>
      </c>
      <c r="BO493" s="0" t="n">
        <f aca="false">IF(Presupuesto!$B$47='Flujo de Pagos'!$E493,47,9999)</f>
        <v>47</v>
      </c>
      <c r="BP493" s="0" t="n">
        <f aca="false">IF(Presupuesto!$B$48='Flujo de Pagos'!$E493,48,9999)</f>
        <v>48</v>
      </c>
      <c r="BQ493" s="0" t="n">
        <f aca="false">IF(Presupuesto!$B$49='Flujo de Pagos'!$E493,49,9999)</f>
        <v>49</v>
      </c>
      <c r="BR493" s="0" t="n">
        <f aca="false">IF(Presupuesto!$B$50='Flujo de Pagos'!$E493,50,9999)</f>
        <v>50</v>
      </c>
      <c r="BS493" s="0" t="n">
        <f aca="false">IF(Presupuesto!$B$51='Flujo de Pagos'!$E493,51,9999)</f>
        <v>51</v>
      </c>
      <c r="BT493" s="0" t="n">
        <f aca="false">IF(Presupuesto!$B$52='Flujo de Pagos'!$E493,52,9999)</f>
        <v>52</v>
      </c>
      <c r="BU493" s="0" t="n">
        <f aca="false">IF(Presupuesto!$B$53='Flujo de Pagos'!$E493,53,9999)</f>
        <v>53</v>
      </c>
      <c r="BV493" s="0" t="n">
        <f aca="false">IF(Presupuesto!$B$54='Flujo de Pagos'!$E493,54,9999)</f>
        <v>54</v>
      </c>
      <c r="BW493" s="0" t="n">
        <f aca="false">IF(Presupuesto!$B$55='Flujo de Pagos'!$E493,55,9999)</f>
        <v>55</v>
      </c>
      <c r="BX493" s="0" t="n">
        <f aca="false">IF(Presupuesto!$B$56='Flujo de Pagos'!$E493,56,9999)</f>
        <v>56</v>
      </c>
      <c r="BY493" s="0" t="n">
        <f aca="false">IF(Presupuesto!$B$57='Flujo de Pagos'!$E493,57,9999)</f>
        <v>57</v>
      </c>
      <c r="BZ493" s="0" t="n">
        <f aca="false">IF(Presupuesto!$B$58='Flujo de Pagos'!$E493,58,9999)</f>
        <v>58</v>
      </c>
      <c r="CA493" s="0" t="n">
        <f aca="false">IF(Presupuesto!$B$59='Flujo de Pagos'!$E493,59,9999)</f>
        <v>59</v>
      </c>
      <c r="CB493" s="0" t="n">
        <f aca="false">IF(Presupuesto!$B$60='Flujo de Pagos'!$E493,60,9999)</f>
        <v>60</v>
      </c>
      <c r="CC493" s="0" t="n">
        <f aca="false">IF(Presupuesto!$B$61='Flujo de Pagos'!$E493,61,9999)</f>
        <v>61</v>
      </c>
      <c r="CD493" s="0" t="n">
        <f aca="false">IF(Presupuesto!$B$62='Flujo de Pagos'!$E493,62,9999)</f>
        <v>62</v>
      </c>
      <c r="CE493" s="0" t="n">
        <f aca="false">IF(Presupuesto!$B$63='Flujo de Pagos'!$E493,63,9999)</f>
        <v>63</v>
      </c>
      <c r="CF493" s="0" t="n">
        <f aca="false">IF(Presupuesto!$B$64='Flujo de Pagos'!$E493,64,9999)</f>
        <v>64</v>
      </c>
      <c r="CG493" s="0" t="n">
        <f aca="false">IF(Presupuesto!$B$65='Flujo de Pagos'!$E493,65,9999)</f>
        <v>65</v>
      </c>
      <c r="CH493" s="0" t="n">
        <f aca="false">IF(Presupuesto!$B$66='Flujo de Pagos'!$E493,66,9999)</f>
        <v>66</v>
      </c>
    </row>
    <row r="494" customFormat="false" ht="15" hidden="false" customHeight="true" outlineLevel="0" collapsed="false">
      <c r="B494" s="1" t="n">
        <f aca="false">IF(AND('Flujo de Pagos'!E499=Carátula!$B$2,'Flujo de Pagos'!F499=Carátula!$B$4,'Flujo de Pagos'!H499&lt;&gt;""),499,99999)</f>
        <v>99999</v>
      </c>
      <c r="H494" s="1" t="n">
        <f aca="false">IF(SMALL($AA494:$CH494,1)&gt;=9999,"",INDEX(Presupuesto!$C:$C,SMALL($AA494:$CH494,1)))</f>
        <v>0</v>
      </c>
      <c r="I494" s="1" t="n">
        <f aca="false">IF(SMALL($AA494:$CH494,2)&gt;=9999,"",INDEX(Presupuesto!$C:$C,SMALL($AA494:$CH494,2)))</f>
        <v>0</v>
      </c>
      <c r="J494" s="1" t="n">
        <f aca="false">IF(SMALL($AA494:$CH494,3)&gt;=9999,"",INDEX(Presupuesto!$C:$C,SMALL($AA494:$CH494,3)))</f>
        <v>0</v>
      </c>
      <c r="K494" s="1" t="n">
        <f aca="false">IF(SMALL($AA494:$CH494,4)&gt;=9999,"",INDEX(Presupuesto!$C:$C,SMALL($AA494:$CH494,4)))</f>
        <v>0</v>
      </c>
      <c r="L494" s="1" t="n">
        <f aca="false">IF(SMALL($AA494:$CH494,5)&gt;=9999,"",INDEX(Presupuesto!$C:$C,SMALL($AA494:$CH494,5)))</f>
        <v>0</v>
      </c>
      <c r="M494" s="1" t="n">
        <f aca="false">IF(SMALL($AA494:$CH494,6)&gt;=9999,"",INDEX(Presupuesto!$C:$C,SMALL($AA494:$CH494,6)))</f>
        <v>0</v>
      </c>
      <c r="N494" s="1" t="n">
        <f aca="false">IF(SMALL($AA494:$CH494,7)&gt;=9999,"",INDEX(Presupuesto!$C:$C,SMALL($AA494:$CH494,7)))</f>
        <v>0</v>
      </c>
      <c r="O494" s="1" t="n">
        <f aca="false">IF(SMALL($AA494:$CH494,8)&gt;=9999,"",INDEX(Presupuesto!$C:$C,SMALL($AA494:$CH494,8)))</f>
        <v>0</v>
      </c>
      <c r="P494" s="1" t="n">
        <f aca="false">IF(SMALL($AA494:$CH494,9)&gt;=9999,"",INDEX(Presupuesto!$C:$C,SMALL($AA494:$CH494,9)))</f>
        <v>0</v>
      </c>
      <c r="Q494" s="1" t="n">
        <f aca="false">IF(SMALL($AA494:$CH494,10)&gt;=9999,"",INDEX(Presupuesto!$C:$C,SMALL($AA494:$CH494,10)))</f>
        <v>0</v>
      </c>
      <c r="AA494" s="0" t="n">
        <f aca="false">IF(Presupuesto!$B$7='Flujo de Pagos'!$E494,7,9999)</f>
        <v>9999</v>
      </c>
      <c r="AB494" s="0" t="n">
        <f aca="false">IF(Presupuesto!$B$8='Flujo de Pagos'!$E494,8,9999)</f>
        <v>9999</v>
      </c>
      <c r="AC494" s="0" t="n">
        <f aca="false">IF(Presupuesto!$B$9='Flujo de Pagos'!$E494,9,9999)</f>
        <v>9999</v>
      </c>
      <c r="AD494" s="0" t="n">
        <f aca="false">IF(Presupuesto!$B$10='Flujo de Pagos'!$E494,10,9999)</f>
        <v>9999</v>
      </c>
      <c r="AE494" s="0" t="n">
        <f aca="false">IF(Presupuesto!$B$11='Flujo de Pagos'!$E494,11,9999)</f>
        <v>9999</v>
      </c>
      <c r="AF494" s="0" t="n">
        <f aca="false">IF(Presupuesto!$B$12='Flujo de Pagos'!$E494,12,9999)</f>
        <v>12</v>
      </c>
      <c r="AG494" s="0" t="n">
        <f aca="false">IF(Presupuesto!$B$13='Flujo de Pagos'!$E494,13,9999)</f>
        <v>13</v>
      </c>
      <c r="AH494" s="0" t="n">
        <f aca="false">IF(Presupuesto!$B$14='Flujo de Pagos'!$E494,14,9999)</f>
        <v>14</v>
      </c>
      <c r="AI494" s="0" t="n">
        <f aca="false">IF(Presupuesto!$B$15='Flujo de Pagos'!$E494,15,9999)</f>
        <v>15</v>
      </c>
      <c r="AJ494" s="0" t="n">
        <f aca="false">IF(Presupuesto!$B$16='Flujo de Pagos'!$E494,16,9999)</f>
        <v>16</v>
      </c>
      <c r="AK494" s="0" t="n">
        <f aca="false">IF(Presupuesto!$B$17='Flujo de Pagos'!$E494,17,9999)</f>
        <v>17</v>
      </c>
      <c r="AL494" s="0" t="n">
        <f aca="false">IF(Presupuesto!$B$18='Flujo de Pagos'!$E494,18,9999)</f>
        <v>18</v>
      </c>
      <c r="AM494" s="0" t="n">
        <f aca="false">IF(Presupuesto!$B$19='Flujo de Pagos'!$E494,19,9999)</f>
        <v>19</v>
      </c>
      <c r="AN494" s="0" t="n">
        <f aca="false">IF(Presupuesto!$B$20='Flujo de Pagos'!$E494,20,9999)</f>
        <v>20</v>
      </c>
      <c r="AO494" s="0" t="n">
        <f aca="false">IF(Presupuesto!$B$21='Flujo de Pagos'!$E494,21,9999)</f>
        <v>21</v>
      </c>
      <c r="AP494" s="0" t="n">
        <f aca="false">IF(Presupuesto!$B$22='Flujo de Pagos'!$E494,22,9999)</f>
        <v>22</v>
      </c>
      <c r="AQ494" s="0" t="n">
        <f aca="false">IF(Presupuesto!$B$23='Flujo de Pagos'!$E494,23,9999)</f>
        <v>23</v>
      </c>
      <c r="AR494" s="0" t="n">
        <f aca="false">IF(Presupuesto!$B$24='Flujo de Pagos'!$E494,24,9999)</f>
        <v>24</v>
      </c>
      <c r="AS494" s="0" t="n">
        <f aca="false">IF(Presupuesto!$B$25='Flujo de Pagos'!$E494,25,9999)</f>
        <v>25</v>
      </c>
      <c r="AT494" s="0" t="n">
        <f aca="false">IF(Presupuesto!$B$26='Flujo de Pagos'!$E494,26,9999)</f>
        <v>26</v>
      </c>
      <c r="AU494" s="0" t="n">
        <f aca="false">IF(Presupuesto!$B$27='Flujo de Pagos'!$E494,27,9999)</f>
        <v>27</v>
      </c>
      <c r="AV494" s="0" t="n">
        <f aca="false">IF(Presupuesto!$B$28='Flujo de Pagos'!$E494,28,9999)</f>
        <v>28</v>
      </c>
      <c r="AW494" s="0" t="n">
        <f aca="false">IF(Presupuesto!$B$29='Flujo de Pagos'!$E494,29,9999)</f>
        <v>29</v>
      </c>
      <c r="AX494" s="0" t="n">
        <f aca="false">IF(Presupuesto!$B$30='Flujo de Pagos'!$E494,30,9999)</f>
        <v>30</v>
      </c>
      <c r="AY494" s="0" t="n">
        <f aca="false">IF(Presupuesto!$B$31='Flujo de Pagos'!$E494,31,9999)</f>
        <v>31</v>
      </c>
      <c r="AZ494" s="0" t="n">
        <f aca="false">IF(Presupuesto!$B$32='Flujo de Pagos'!$E494,32,9999)</f>
        <v>32</v>
      </c>
      <c r="BA494" s="0" t="n">
        <f aca="false">IF(Presupuesto!$B$33='Flujo de Pagos'!$E494,33,9999)</f>
        <v>33</v>
      </c>
      <c r="BB494" s="0" t="n">
        <f aca="false">IF(Presupuesto!$B$34='Flujo de Pagos'!$E494,34,9999)</f>
        <v>34</v>
      </c>
      <c r="BC494" s="0" t="n">
        <f aca="false">IF(Presupuesto!$B$35='Flujo de Pagos'!$E494,35,9999)</f>
        <v>35</v>
      </c>
      <c r="BD494" s="0" t="n">
        <f aca="false">IF(Presupuesto!$B$36='Flujo de Pagos'!$E494,36,9999)</f>
        <v>36</v>
      </c>
      <c r="BE494" s="0" t="n">
        <f aca="false">IF(Presupuesto!$B$37='Flujo de Pagos'!$E494,37,9999)</f>
        <v>37</v>
      </c>
      <c r="BF494" s="0" t="n">
        <f aca="false">IF(Presupuesto!$B$38='Flujo de Pagos'!$E494,38,9999)</f>
        <v>38</v>
      </c>
      <c r="BG494" s="0" t="n">
        <f aca="false">IF(Presupuesto!$B$39='Flujo de Pagos'!$E494,39,9999)</f>
        <v>39</v>
      </c>
      <c r="BH494" s="0" t="n">
        <f aca="false">IF(Presupuesto!$B$40='Flujo de Pagos'!$E494,40,9999)</f>
        <v>40</v>
      </c>
      <c r="BI494" s="0" t="n">
        <f aca="false">IF(Presupuesto!$B$41='Flujo de Pagos'!$E494,41,9999)</f>
        <v>41</v>
      </c>
      <c r="BJ494" s="0" t="n">
        <f aca="false">IF(Presupuesto!$B$42='Flujo de Pagos'!$E494,42,9999)</f>
        <v>42</v>
      </c>
      <c r="BK494" s="0" t="n">
        <f aca="false">IF(Presupuesto!$B$43='Flujo de Pagos'!$E494,43,9999)</f>
        <v>43</v>
      </c>
      <c r="BL494" s="0" t="n">
        <f aca="false">IF(Presupuesto!$B$44='Flujo de Pagos'!$E494,44,9999)</f>
        <v>44</v>
      </c>
      <c r="BM494" s="0" t="n">
        <f aca="false">IF(Presupuesto!$B$45='Flujo de Pagos'!$E494,45,9999)</f>
        <v>45</v>
      </c>
      <c r="BN494" s="0" t="n">
        <f aca="false">IF(Presupuesto!$B$46='Flujo de Pagos'!$E494,46,9999)</f>
        <v>46</v>
      </c>
      <c r="BO494" s="0" t="n">
        <f aca="false">IF(Presupuesto!$B$47='Flujo de Pagos'!$E494,47,9999)</f>
        <v>47</v>
      </c>
      <c r="BP494" s="0" t="n">
        <f aca="false">IF(Presupuesto!$B$48='Flujo de Pagos'!$E494,48,9999)</f>
        <v>48</v>
      </c>
      <c r="BQ494" s="0" t="n">
        <f aca="false">IF(Presupuesto!$B$49='Flujo de Pagos'!$E494,49,9999)</f>
        <v>49</v>
      </c>
      <c r="BR494" s="0" t="n">
        <f aca="false">IF(Presupuesto!$B$50='Flujo de Pagos'!$E494,50,9999)</f>
        <v>50</v>
      </c>
      <c r="BS494" s="0" t="n">
        <f aca="false">IF(Presupuesto!$B$51='Flujo de Pagos'!$E494,51,9999)</f>
        <v>51</v>
      </c>
      <c r="BT494" s="0" t="n">
        <f aca="false">IF(Presupuesto!$B$52='Flujo de Pagos'!$E494,52,9999)</f>
        <v>52</v>
      </c>
      <c r="BU494" s="0" t="n">
        <f aca="false">IF(Presupuesto!$B$53='Flujo de Pagos'!$E494,53,9999)</f>
        <v>53</v>
      </c>
      <c r="BV494" s="0" t="n">
        <f aca="false">IF(Presupuesto!$B$54='Flujo de Pagos'!$E494,54,9999)</f>
        <v>54</v>
      </c>
      <c r="BW494" s="0" t="n">
        <f aca="false">IF(Presupuesto!$B$55='Flujo de Pagos'!$E494,55,9999)</f>
        <v>55</v>
      </c>
      <c r="BX494" s="0" t="n">
        <f aca="false">IF(Presupuesto!$B$56='Flujo de Pagos'!$E494,56,9999)</f>
        <v>56</v>
      </c>
      <c r="BY494" s="0" t="n">
        <f aca="false">IF(Presupuesto!$B$57='Flujo de Pagos'!$E494,57,9999)</f>
        <v>57</v>
      </c>
      <c r="BZ494" s="0" t="n">
        <f aca="false">IF(Presupuesto!$B$58='Flujo de Pagos'!$E494,58,9999)</f>
        <v>58</v>
      </c>
      <c r="CA494" s="0" t="n">
        <f aca="false">IF(Presupuesto!$B$59='Flujo de Pagos'!$E494,59,9999)</f>
        <v>59</v>
      </c>
      <c r="CB494" s="0" t="n">
        <f aca="false">IF(Presupuesto!$B$60='Flujo de Pagos'!$E494,60,9999)</f>
        <v>60</v>
      </c>
      <c r="CC494" s="0" t="n">
        <f aca="false">IF(Presupuesto!$B$61='Flujo de Pagos'!$E494,61,9999)</f>
        <v>61</v>
      </c>
      <c r="CD494" s="0" t="n">
        <f aca="false">IF(Presupuesto!$B$62='Flujo de Pagos'!$E494,62,9999)</f>
        <v>62</v>
      </c>
      <c r="CE494" s="0" t="n">
        <f aca="false">IF(Presupuesto!$B$63='Flujo de Pagos'!$E494,63,9999)</f>
        <v>63</v>
      </c>
      <c r="CF494" s="0" t="n">
        <f aca="false">IF(Presupuesto!$B$64='Flujo de Pagos'!$E494,64,9999)</f>
        <v>64</v>
      </c>
      <c r="CG494" s="0" t="n">
        <f aca="false">IF(Presupuesto!$B$65='Flujo de Pagos'!$E494,65,9999)</f>
        <v>65</v>
      </c>
      <c r="CH494" s="0" t="n">
        <f aca="false">IF(Presupuesto!$B$66='Flujo de Pagos'!$E494,66,9999)</f>
        <v>66</v>
      </c>
    </row>
    <row r="495" customFormat="false" ht="15" hidden="false" customHeight="true" outlineLevel="0" collapsed="false">
      <c r="B495" s="1" t="n">
        <f aca="false">IF(AND('Flujo de Pagos'!E500=Carátula!$B$2,'Flujo de Pagos'!F500=Carátula!$B$4,'Flujo de Pagos'!H500&lt;&gt;""),500,99999)</f>
        <v>99999</v>
      </c>
      <c r="H495" s="1" t="n">
        <f aca="false">IF(SMALL($AA495:$CH495,1)&gt;=9999,"",INDEX(Presupuesto!$C:$C,SMALL($AA495:$CH495,1)))</f>
        <v>0</v>
      </c>
      <c r="I495" s="1" t="n">
        <f aca="false">IF(SMALL($AA495:$CH495,2)&gt;=9999,"",INDEX(Presupuesto!$C:$C,SMALL($AA495:$CH495,2)))</f>
        <v>0</v>
      </c>
      <c r="J495" s="1" t="n">
        <f aca="false">IF(SMALL($AA495:$CH495,3)&gt;=9999,"",INDEX(Presupuesto!$C:$C,SMALL($AA495:$CH495,3)))</f>
        <v>0</v>
      </c>
      <c r="K495" s="1" t="n">
        <f aca="false">IF(SMALL($AA495:$CH495,4)&gt;=9999,"",INDEX(Presupuesto!$C:$C,SMALL($AA495:$CH495,4)))</f>
        <v>0</v>
      </c>
      <c r="L495" s="1" t="n">
        <f aca="false">IF(SMALL($AA495:$CH495,5)&gt;=9999,"",INDEX(Presupuesto!$C:$C,SMALL($AA495:$CH495,5)))</f>
        <v>0</v>
      </c>
      <c r="M495" s="1" t="n">
        <f aca="false">IF(SMALL($AA495:$CH495,6)&gt;=9999,"",INDEX(Presupuesto!$C:$C,SMALL($AA495:$CH495,6)))</f>
        <v>0</v>
      </c>
      <c r="N495" s="1" t="n">
        <f aca="false">IF(SMALL($AA495:$CH495,7)&gt;=9999,"",INDEX(Presupuesto!$C:$C,SMALL($AA495:$CH495,7)))</f>
        <v>0</v>
      </c>
      <c r="O495" s="1" t="n">
        <f aca="false">IF(SMALL($AA495:$CH495,8)&gt;=9999,"",INDEX(Presupuesto!$C:$C,SMALL($AA495:$CH495,8)))</f>
        <v>0</v>
      </c>
      <c r="P495" s="1" t="n">
        <f aca="false">IF(SMALL($AA495:$CH495,9)&gt;=9999,"",INDEX(Presupuesto!$C:$C,SMALL($AA495:$CH495,9)))</f>
        <v>0</v>
      </c>
      <c r="Q495" s="1" t="n">
        <f aca="false">IF(SMALL($AA495:$CH495,10)&gt;=9999,"",INDEX(Presupuesto!$C:$C,SMALL($AA495:$CH495,10)))</f>
        <v>0</v>
      </c>
      <c r="AA495" s="0" t="n">
        <f aca="false">IF(Presupuesto!$B$7='Flujo de Pagos'!$E495,7,9999)</f>
        <v>9999</v>
      </c>
      <c r="AB495" s="0" t="n">
        <f aca="false">IF(Presupuesto!$B$8='Flujo de Pagos'!$E495,8,9999)</f>
        <v>9999</v>
      </c>
      <c r="AC495" s="0" t="n">
        <f aca="false">IF(Presupuesto!$B$9='Flujo de Pagos'!$E495,9,9999)</f>
        <v>9999</v>
      </c>
      <c r="AD495" s="0" t="n">
        <f aca="false">IF(Presupuesto!$B$10='Flujo de Pagos'!$E495,10,9999)</f>
        <v>9999</v>
      </c>
      <c r="AE495" s="0" t="n">
        <f aca="false">IF(Presupuesto!$B$11='Flujo de Pagos'!$E495,11,9999)</f>
        <v>9999</v>
      </c>
      <c r="AF495" s="0" t="n">
        <f aca="false">IF(Presupuesto!$B$12='Flujo de Pagos'!$E495,12,9999)</f>
        <v>12</v>
      </c>
      <c r="AG495" s="0" t="n">
        <f aca="false">IF(Presupuesto!$B$13='Flujo de Pagos'!$E495,13,9999)</f>
        <v>13</v>
      </c>
      <c r="AH495" s="0" t="n">
        <f aca="false">IF(Presupuesto!$B$14='Flujo de Pagos'!$E495,14,9999)</f>
        <v>14</v>
      </c>
      <c r="AI495" s="0" t="n">
        <f aca="false">IF(Presupuesto!$B$15='Flujo de Pagos'!$E495,15,9999)</f>
        <v>15</v>
      </c>
      <c r="AJ495" s="0" t="n">
        <f aca="false">IF(Presupuesto!$B$16='Flujo de Pagos'!$E495,16,9999)</f>
        <v>16</v>
      </c>
      <c r="AK495" s="0" t="n">
        <f aca="false">IF(Presupuesto!$B$17='Flujo de Pagos'!$E495,17,9999)</f>
        <v>17</v>
      </c>
      <c r="AL495" s="0" t="n">
        <f aca="false">IF(Presupuesto!$B$18='Flujo de Pagos'!$E495,18,9999)</f>
        <v>18</v>
      </c>
      <c r="AM495" s="0" t="n">
        <f aca="false">IF(Presupuesto!$B$19='Flujo de Pagos'!$E495,19,9999)</f>
        <v>19</v>
      </c>
      <c r="AN495" s="0" t="n">
        <f aca="false">IF(Presupuesto!$B$20='Flujo de Pagos'!$E495,20,9999)</f>
        <v>20</v>
      </c>
      <c r="AO495" s="0" t="n">
        <f aca="false">IF(Presupuesto!$B$21='Flujo de Pagos'!$E495,21,9999)</f>
        <v>21</v>
      </c>
      <c r="AP495" s="0" t="n">
        <f aca="false">IF(Presupuesto!$B$22='Flujo de Pagos'!$E495,22,9999)</f>
        <v>22</v>
      </c>
      <c r="AQ495" s="0" t="n">
        <f aca="false">IF(Presupuesto!$B$23='Flujo de Pagos'!$E495,23,9999)</f>
        <v>23</v>
      </c>
      <c r="AR495" s="0" t="n">
        <f aca="false">IF(Presupuesto!$B$24='Flujo de Pagos'!$E495,24,9999)</f>
        <v>24</v>
      </c>
      <c r="AS495" s="0" t="n">
        <f aca="false">IF(Presupuesto!$B$25='Flujo de Pagos'!$E495,25,9999)</f>
        <v>25</v>
      </c>
      <c r="AT495" s="0" t="n">
        <f aca="false">IF(Presupuesto!$B$26='Flujo de Pagos'!$E495,26,9999)</f>
        <v>26</v>
      </c>
      <c r="AU495" s="0" t="n">
        <f aca="false">IF(Presupuesto!$B$27='Flujo de Pagos'!$E495,27,9999)</f>
        <v>27</v>
      </c>
      <c r="AV495" s="0" t="n">
        <f aca="false">IF(Presupuesto!$B$28='Flujo de Pagos'!$E495,28,9999)</f>
        <v>28</v>
      </c>
      <c r="AW495" s="0" t="n">
        <f aca="false">IF(Presupuesto!$B$29='Flujo de Pagos'!$E495,29,9999)</f>
        <v>29</v>
      </c>
      <c r="AX495" s="0" t="n">
        <f aca="false">IF(Presupuesto!$B$30='Flujo de Pagos'!$E495,30,9999)</f>
        <v>30</v>
      </c>
      <c r="AY495" s="0" t="n">
        <f aca="false">IF(Presupuesto!$B$31='Flujo de Pagos'!$E495,31,9999)</f>
        <v>31</v>
      </c>
      <c r="AZ495" s="0" t="n">
        <f aca="false">IF(Presupuesto!$B$32='Flujo de Pagos'!$E495,32,9999)</f>
        <v>32</v>
      </c>
      <c r="BA495" s="0" t="n">
        <f aca="false">IF(Presupuesto!$B$33='Flujo de Pagos'!$E495,33,9999)</f>
        <v>33</v>
      </c>
      <c r="BB495" s="0" t="n">
        <f aca="false">IF(Presupuesto!$B$34='Flujo de Pagos'!$E495,34,9999)</f>
        <v>34</v>
      </c>
      <c r="BC495" s="0" t="n">
        <f aca="false">IF(Presupuesto!$B$35='Flujo de Pagos'!$E495,35,9999)</f>
        <v>35</v>
      </c>
      <c r="BD495" s="0" t="n">
        <f aca="false">IF(Presupuesto!$B$36='Flujo de Pagos'!$E495,36,9999)</f>
        <v>36</v>
      </c>
      <c r="BE495" s="0" t="n">
        <f aca="false">IF(Presupuesto!$B$37='Flujo de Pagos'!$E495,37,9999)</f>
        <v>37</v>
      </c>
      <c r="BF495" s="0" t="n">
        <f aca="false">IF(Presupuesto!$B$38='Flujo de Pagos'!$E495,38,9999)</f>
        <v>38</v>
      </c>
      <c r="BG495" s="0" t="n">
        <f aca="false">IF(Presupuesto!$B$39='Flujo de Pagos'!$E495,39,9999)</f>
        <v>39</v>
      </c>
      <c r="BH495" s="0" t="n">
        <f aca="false">IF(Presupuesto!$B$40='Flujo de Pagos'!$E495,40,9999)</f>
        <v>40</v>
      </c>
      <c r="BI495" s="0" t="n">
        <f aca="false">IF(Presupuesto!$B$41='Flujo de Pagos'!$E495,41,9999)</f>
        <v>41</v>
      </c>
      <c r="BJ495" s="0" t="n">
        <f aca="false">IF(Presupuesto!$B$42='Flujo de Pagos'!$E495,42,9999)</f>
        <v>42</v>
      </c>
      <c r="BK495" s="0" t="n">
        <f aca="false">IF(Presupuesto!$B$43='Flujo de Pagos'!$E495,43,9999)</f>
        <v>43</v>
      </c>
      <c r="BL495" s="0" t="n">
        <f aca="false">IF(Presupuesto!$B$44='Flujo de Pagos'!$E495,44,9999)</f>
        <v>44</v>
      </c>
      <c r="BM495" s="0" t="n">
        <f aca="false">IF(Presupuesto!$B$45='Flujo de Pagos'!$E495,45,9999)</f>
        <v>45</v>
      </c>
      <c r="BN495" s="0" t="n">
        <f aca="false">IF(Presupuesto!$B$46='Flujo de Pagos'!$E495,46,9999)</f>
        <v>46</v>
      </c>
      <c r="BO495" s="0" t="n">
        <f aca="false">IF(Presupuesto!$B$47='Flujo de Pagos'!$E495,47,9999)</f>
        <v>47</v>
      </c>
      <c r="BP495" s="0" t="n">
        <f aca="false">IF(Presupuesto!$B$48='Flujo de Pagos'!$E495,48,9999)</f>
        <v>48</v>
      </c>
      <c r="BQ495" s="0" t="n">
        <f aca="false">IF(Presupuesto!$B$49='Flujo de Pagos'!$E495,49,9999)</f>
        <v>49</v>
      </c>
      <c r="BR495" s="0" t="n">
        <f aca="false">IF(Presupuesto!$B$50='Flujo de Pagos'!$E495,50,9999)</f>
        <v>50</v>
      </c>
      <c r="BS495" s="0" t="n">
        <f aca="false">IF(Presupuesto!$B$51='Flujo de Pagos'!$E495,51,9999)</f>
        <v>51</v>
      </c>
      <c r="BT495" s="0" t="n">
        <f aca="false">IF(Presupuesto!$B$52='Flujo de Pagos'!$E495,52,9999)</f>
        <v>52</v>
      </c>
      <c r="BU495" s="0" t="n">
        <f aca="false">IF(Presupuesto!$B$53='Flujo de Pagos'!$E495,53,9999)</f>
        <v>53</v>
      </c>
      <c r="BV495" s="0" t="n">
        <f aca="false">IF(Presupuesto!$B$54='Flujo de Pagos'!$E495,54,9999)</f>
        <v>54</v>
      </c>
      <c r="BW495" s="0" t="n">
        <f aca="false">IF(Presupuesto!$B$55='Flujo de Pagos'!$E495,55,9999)</f>
        <v>55</v>
      </c>
      <c r="BX495" s="0" t="n">
        <f aca="false">IF(Presupuesto!$B$56='Flujo de Pagos'!$E495,56,9999)</f>
        <v>56</v>
      </c>
      <c r="BY495" s="0" t="n">
        <f aca="false">IF(Presupuesto!$B$57='Flujo de Pagos'!$E495,57,9999)</f>
        <v>57</v>
      </c>
      <c r="BZ495" s="0" t="n">
        <f aca="false">IF(Presupuesto!$B$58='Flujo de Pagos'!$E495,58,9999)</f>
        <v>58</v>
      </c>
      <c r="CA495" s="0" t="n">
        <f aca="false">IF(Presupuesto!$B$59='Flujo de Pagos'!$E495,59,9999)</f>
        <v>59</v>
      </c>
      <c r="CB495" s="0" t="n">
        <f aca="false">IF(Presupuesto!$B$60='Flujo de Pagos'!$E495,60,9999)</f>
        <v>60</v>
      </c>
      <c r="CC495" s="0" t="n">
        <f aca="false">IF(Presupuesto!$B$61='Flujo de Pagos'!$E495,61,9999)</f>
        <v>61</v>
      </c>
      <c r="CD495" s="0" t="n">
        <f aca="false">IF(Presupuesto!$B$62='Flujo de Pagos'!$E495,62,9999)</f>
        <v>62</v>
      </c>
      <c r="CE495" s="0" t="n">
        <f aca="false">IF(Presupuesto!$B$63='Flujo de Pagos'!$E495,63,9999)</f>
        <v>63</v>
      </c>
      <c r="CF495" s="0" t="n">
        <f aca="false">IF(Presupuesto!$B$64='Flujo de Pagos'!$E495,64,9999)</f>
        <v>64</v>
      </c>
      <c r="CG495" s="0" t="n">
        <f aca="false">IF(Presupuesto!$B$65='Flujo de Pagos'!$E495,65,9999)</f>
        <v>65</v>
      </c>
      <c r="CH495" s="0" t="n">
        <f aca="false">IF(Presupuesto!$B$66='Flujo de Pagos'!$E495,66,9999)</f>
        <v>66</v>
      </c>
    </row>
    <row r="496" customFormat="false" ht="15" hidden="false" customHeight="true" outlineLevel="0" collapsed="false">
      <c r="B496" s="1" t="n">
        <f aca="false">IF(AND('Flujo de Pagos'!E501=Carátula!$B$2,'Flujo de Pagos'!F501=Carátula!$B$4,'Flujo de Pagos'!H501&lt;&gt;""),501,99999)</f>
        <v>99999</v>
      </c>
      <c r="H496" s="1" t="n">
        <f aca="false">IF(SMALL($AA496:$CH496,1)&gt;=9999,"",INDEX(Presupuesto!$C:$C,SMALL($AA496:$CH496,1)))</f>
        <v>0</v>
      </c>
      <c r="I496" s="1" t="n">
        <f aca="false">IF(SMALL($AA496:$CH496,2)&gt;=9999,"",INDEX(Presupuesto!$C:$C,SMALL($AA496:$CH496,2)))</f>
        <v>0</v>
      </c>
      <c r="J496" s="1" t="n">
        <f aca="false">IF(SMALL($AA496:$CH496,3)&gt;=9999,"",INDEX(Presupuesto!$C:$C,SMALL($AA496:$CH496,3)))</f>
        <v>0</v>
      </c>
      <c r="K496" s="1" t="n">
        <f aca="false">IF(SMALL($AA496:$CH496,4)&gt;=9999,"",INDEX(Presupuesto!$C:$C,SMALL($AA496:$CH496,4)))</f>
        <v>0</v>
      </c>
      <c r="L496" s="1" t="n">
        <f aca="false">IF(SMALL($AA496:$CH496,5)&gt;=9999,"",INDEX(Presupuesto!$C:$C,SMALL($AA496:$CH496,5)))</f>
        <v>0</v>
      </c>
      <c r="M496" s="1" t="n">
        <f aca="false">IF(SMALL($AA496:$CH496,6)&gt;=9999,"",INDEX(Presupuesto!$C:$C,SMALL($AA496:$CH496,6)))</f>
        <v>0</v>
      </c>
      <c r="N496" s="1" t="n">
        <f aca="false">IF(SMALL($AA496:$CH496,7)&gt;=9999,"",INDEX(Presupuesto!$C:$C,SMALL($AA496:$CH496,7)))</f>
        <v>0</v>
      </c>
      <c r="O496" s="1" t="n">
        <f aca="false">IF(SMALL($AA496:$CH496,8)&gt;=9999,"",INDEX(Presupuesto!$C:$C,SMALL($AA496:$CH496,8)))</f>
        <v>0</v>
      </c>
      <c r="P496" s="1" t="n">
        <f aca="false">IF(SMALL($AA496:$CH496,9)&gt;=9999,"",INDEX(Presupuesto!$C:$C,SMALL($AA496:$CH496,9)))</f>
        <v>0</v>
      </c>
      <c r="Q496" s="1" t="n">
        <f aca="false">IF(SMALL($AA496:$CH496,10)&gt;=9999,"",INDEX(Presupuesto!$C:$C,SMALL($AA496:$CH496,10)))</f>
        <v>0</v>
      </c>
      <c r="AA496" s="0" t="n">
        <f aca="false">IF(Presupuesto!$B$7='Flujo de Pagos'!$E496,7,9999)</f>
        <v>9999</v>
      </c>
      <c r="AB496" s="0" t="n">
        <f aca="false">IF(Presupuesto!$B$8='Flujo de Pagos'!$E496,8,9999)</f>
        <v>9999</v>
      </c>
      <c r="AC496" s="0" t="n">
        <f aca="false">IF(Presupuesto!$B$9='Flujo de Pagos'!$E496,9,9999)</f>
        <v>9999</v>
      </c>
      <c r="AD496" s="0" t="n">
        <f aca="false">IF(Presupuesto!$B$10='Flujo de Pagos'!$E496,10,9999)</f>
        <v>9999</v>
      </c>
      <c r="AE496" s="0" t="n">
        <f aca="false">IF(Presupuesto!$B$11='Flujo de Pagos'!$E496,11,9999)</f>
        <v>9999</v>
      </c>
      <c r="AF496" s="0" t="n">
        <f aca="false">IF(Presupuesto!$B$12='Flujo de Pagos'!$E496,12,9999)</f>
        <v>12</v>
      </c>
      <c r="AG496" s="0" t="n">
        <f aca="false">IF(Presupuesto!$B$13='Flujo de Pagos'!$E496,13,9999)</f>
        <v>13</v>
      </c>
      <c r="AH496" s="0" t="n">
        <f aca="false">IF(Presupuesto!$B$14='Flujo de Pagos'!$E496,14,9999)</f>
        <v>14</v>
      </c>
      <c r="AI496" s="0" t="n">
        <f aca="false">IF(Presupuesto!$B$15='Flujo de Pagos'!$E496,15,9999)</f>
        <v>15</v>
      </c>
      <c r="AJ496" s="0" t="n">
        <f aca="false">IF(Presupuesto!$B$16='Flujo de Pagos'!$E496,16,9999)</f>
        <v>16</v>
      </c>
      <c r="AK496" s="0" t="n">
        <f aca="false">IF(Presupuesto!$B$17='Flujo de Pagos'!$E496,17,9999)</f>
        <v>17</v>
      </c>
      <c r="AL496" s="0" t="n">
        <f aca="false">IF(Presupuesto!$B$18='Flujo de Pagos'!$E496,18,9999)</f>
        <v>18</v>
      </c>
      <c r="AM496" s="0" t="n">
        <f aca="false">IF(Presupuesto!$B$19='Flujo de Pagos'!$E496,19,9999)</f>
        <v>19</v>
      </c>
      <c r="AN496" s="0" t="n">
        <f aca="false">IF(Presupuesto!$B$20='Flujo de Pagos'!$E496,20,9999)</f>
        <v>20</v>
      </c>
      <c r="AO496" s="0" t="n">
        <f aca="false">IF(Presupuesto!$B$21='Flujo de Pagos'!$E496,21,9999)</f>
        <v>21</v>
      </c>
      <c r="AP496" s="0" t="n">
        <f aca="false">IF(Presupuesto!$B$22='Flujo de Pagos'!$E496,22,9999)</f>
        <v>22</v>
      </c>
      <c r="AQ496" s="0" t="n">
        <f aca="false">IF(Presupuesto!$B$23='Flujo de Pagos'!$E496,23,9999)</f>
        <v>23</v>
      </c>
      <c r="AR496" s="0" t="n">
        <f aca="false">IF(Presupuesto!$B$24='Flujo de Pagos'!$E496,24,9999)</f>
        <v>24</v>
      </c>
      <c r="AS496" s="0" t="n">
        <f aca="false">IF(Presupuesto!$B$25='Flujo de Pagos'!$E496,25,9999)</f>
        <v>25</v>
      </c>
      <c r="AT496" s="0" t="n">
        <f aca="false">IF(Presupuesto!$B$26='Flujo de Pagos'!$E496,26,9999)</f>
        <v>26</v>
      </c>
      <c r="AU496" s="0" t="n">
        <f aca="false">IF(Presupuesto!$B$27='Flujo de Pagos'!$E496,27,9999)</f>
        <v>27</v>
      </c>
      <c r="AV496" s="0" t="n">
        <f aca="false">IF(Presupuesto!$B$28='Flujo de Pagos'!$E496,28,9999)</f>
        <v>28</v>
      </c>
      <c r="AW496" s="0" t="n">
        <f aca="false">IF(Presupuesto!$B$29='Flujo de Pagos'!$E496,29,9999)</f>
        <v>29</v>
      </c>
      <c r="AX496" s="0" t="n">
        <f aca="false">IF(Presupuesto!$B$30='Flujo de Pagos'!$E496,30,9999)</f>
        <v>30</v>
      </c>
      <c r="AY496" s="0" t="n">
        <f aca="false">IF(Presupuesto!$B$31='Flujo de Pagos'!$E496,31,9999)</f>
        <v>31</v>
      </c>
      <c r="AZ496" s="0" t="n">
        <f aca="false">IF(Presupuesto!$B$32='Flujo de Pagos'!$E496,32,9999)</f>
        <v>32</v>
      </c>
      <c r="BA496" s="0" t="n">
        <f aca="false">IF(Presupuesto!$B$33='Flujo de Pagos'!$E496,33,9999)</f>
        <v>33</v>
      </c>
      <c r="BB496" s="0" t="n">
        <f aca="false">IF(Presupuesto!$B$34='Flujo de Pagos'!$E496,34,9999)</f>
        <v>34</v>
      </c>
      <c r="BC496" s="0" t="n">
        <f aca="false">IF(Presupuesto!$B$35='Flujo de Pagos'!$E496,35,9999)</f>
        <v>35</v>
      </c>
      <c r="BD496" s="0" t="n">
        <f aca="false">IF(Presupuesto!$B$36='Flujo de Pagos'!$E496,36,9999)</f>
        <v>36</v>
      </c>
      <c r="BE496" s="0" t="n">
        <f aca="false">IF(Presupuesto!$B$37='Flujo de Pagos'!$E496,37,9999)</f>
        <v>37</v>
      </c>
      <c r="BF496" s="0" t="n">
        <f aca="false">IF(Presupuesto!$B$38='Flujo de Pagos'!$E496,38,9999)</f>
        <v>38</v>
      </c>
      <c r="BG496" s="0" t="n">
        <f aca="false">IF(Presupuesto!$B$39='Flujo de Pagos'!$E496,39,9999)</f>
        <v>39</v>
      </c>
      <c r="BH496" s="0" t="n">
        <f aca="false">IF(Presupuesto!$B$40='Flujo de Pagos'!$E496,40,9999)</f>
        <v>40</v>
      </c>
      <c r="BI496" s="0" t="n">
        <f aca="false">IF(Presupuesto!$B$41='Flujo de Pagos'!$E496,41,9999)</f>
        <v>41</v>
      </c>
      <c r="BJ496" s="0" t="n">
        <f aca="false">IF(Presupuesto!$B$42='Flujo de Pagos'!$E496,42,9999)</f>
        <v>42</v>
      </c>
      <c r="BK496" s="0" t="n">
        <f aca="false">IF(Presupuesto!$B$43='Flujo de Pagos'!$E496,43,9999)</f>
        <v>43</v>
      </c>
      <c r="BL496" s="0" t="n">
        <f aca="false">IF(Presupuesto!$B$44='Flujo de Pagos'!$E496,44,9999)</f>
        <v>44</v>
      </c>
      <c r="BM496" s="0" t="n">
        <f aca="false">IF(Presupuesto!$B$45='Flujo de Pagos'!$E496,45,9999)</f>
        <v>45</v>
      </c>
      <c r="BN496" s="0" t="n">
        <f aca="false">IF(Presupuesto!$B$46='Flujo de Pagos'!$E496,46,9999)</f>
        <v>46</v>
      </c>
      <c r="BO496" s="0" t="n">
        <f aca="false">IF(Presupuesto!$B$47='Flujo de Pagos'!$E496,47,9999)</f>
        <v>47</v>
      </c>
      <c r="BP496" s="0" t="n">
        <f aca="false">IF(Presupuesto!$B$48='Flujo de Pagos'!$E496,48,9999)</f>
        <v>48</v>
      </c>
      <c r="BQ496" s="0" t="n">
        <f aca="false">IF(Presupuesto!$B$49='Flujo de Pagos'!$E496,49,9999)</f>
        <v>49</v>
      </c>
      <c r="BR496" s="0" t="n">
        <f aca="false">IF(Presupuesto!$B$50='Flujo de Pagos'!$E496,50,9999)</f>
        <v>50</v>
      </c>
      <c r="BS496" s="0" t="n">
        <f aca="false">IF(Presupuesto!$B$51='Flujo de Pagos'!$E496,51,9999)</f>
        <v>51</v>
      </c>
      <c r="BT496" s="0" t="n">
        <f aca="false">IF(Presupuesto!$B$52='Flujo de Pagos'!$E496,52,9999)</f>
        <v>52</v>
      </c>
      <c r="BU496" s="0" t="n">
        <f aca="false">IF(Presupuesto!$B$53='Flujo de Pagos'!$E496,53,9999)</f>
        <v>53</v>
      </c>
      <c r="BV496" s="0" t="n">
        <f aca="false">IF(Presupuesto!$B$54='Flujo de Pagos'!$E496,54,9999)</f>
        <v>54</v>
      </c>
      <c r="BW496" s="0" t="n">
        <f aca="false">IF(Presupuesto!$B$55='Flujo de Pagos'!$E496,55,9999)</f>
        <v>55</v>
      </c>
      <c r="BX496" s="0" t="n">
        <f aca="false">IF(Presupuesto!$B$56='Flujo de Pagos'!$E496,56,9999)</f>
        <v>56</v>
      </c>
      <c r="BY496" s="0" t="n">
        <f aca="false">IF(Presupuesto!$B$57='Flujo de Pagos'!$E496,57,9999)</f>
        <v>57</v>
      </c>
      <c r="BZ496" s="0" t="n">
        <f aca="false">IF(Presupuesto!$B$58='Flujo de Pagos'!$E496,58,9999)</f>
        <v>58</v>
      </c>
      <c r="CA496" s="0" t="n">
        <f aca="false">IF(Presupuesto!$B$59='Flujo de Pagos'!$E496,59,9999)</f>
        <v>59</v>
      </c>
      <c r="CB496" s="0" t="n">
        <f aca="false">IF(Presupuesto!$B$60='Flujo de Pagos'!$E496,60,9999)</f>
        <v>60</v>
      </c>
      <c r="CC496" s="0" t="n">
        <f aca="false">IF(Presupuesto!$B$61='Flujo de Pagos'!$E496,61,9999)</f>
        <v>61</v>
      </c>
      <c r="CD496" s="0" t="n">
        <f aca="false">IF(Presupuesto!$B$62='Flujo de Pagos'!$E496,62,9999)</f>
        <v>62</v>
      </c>
      <c r="CE496" s="0" t="n">
        <f aca="false">IF(Presupuesto!$B$63='Flujo de Pagos'!$E496,63,9999)</f>
        <v>63</v>
      </c>
      <c r="CF496" s="0" t="n">
        <f aca="false">IF(Presupuesto!$B$64='Flujo de Pagos'!$E496,64,9999)</f>
        <v>64</v>
      </c>
      <c r="CG496" s="0" t="n">
        <f aca="false">IF(Presupuesto!$B$65='Flujo de Pagos'!$E496,65,9999)</f>
        <v>65</v>
      </c>
      <c r="CH496" s="0" t="n">
        <f aca="false">IF(Presupuesto!$B$66='Flujo de Pagos'!$E496,66,9999)</f>
        <v>66</v>
      </c>
    </row>
    <row r="497" customFormat="false" ht="15" hidden="false" customHeight="true" outlineLevel="0" collapsed="false">
      <c r="B497" s="1" t="n">
        <f aca="false">IF(AND('Flujo de Pagos'!E502=Carátula!$B$2,'Flujo de Pagos'!F502=Carátula!$B$4,'Flujo de Pagos'!H502&lt;&gt;""),502,99999)</f>
        <v>99999</v>
      </c>
      <c r="H497" s="1" t="n">
        <f aca="false">IF(SMALL($AA497:$CH497,1)&gt;=9999,"",INDEX(Presupuesto!$C:$C,SMALL($AA497:$CH497,1)))</f>
        <v>0</v>
      </c>
      <c r="I497" s="1" t="n">
        <f aca="false">IF(SMALL($AA497:$CH497,2)&gt;=9999,"",INDEX(Presupuesto!$C:$C,SMALL($AA497:$CH497,2)))</f>
        <v>0</v>
      </c>
      <c r="J497" s="1" t="n">
        <f aca="false">IF(SMALL($AA497:$CH497,3)&gt;=9999,"",INDEX(Presupuesto!$C:$C,SMALL($AA497:$CH497,3)))</f>
        <v>0</v>
      </c>
      <c r="K497" s="1" t="n">
        <f aca="false">IF(SMALL($AA497:$CH497,4)&gt;=9999,"",INDEX(Presupuesto!$C:$C,SMALL($AA497:$CH497,4)))</f>
        <v>0</v>
      </c>
      <c r="L497" s="1" t="n">
        <f aca="false">IF(SMALL($AA497:$CH497,5)&gt;=9999,"",INDEX(Presupuesto!$C:$C,SMALL($AA497:$CH497,5)))</f>
        <v>0</v>
      </c>
      <c r="M497" s="1" t="n">
        <f aca="false">IF(SMALL($AA497:$CH497,6)&gt;=9999,"",INDEX(Presupuesto!$C:$C,SMALL($AA497:$CH497,6)))</f>
        <v>0</v>
      </c>
      <c r="N497" s="1" t="n">
        <f aca="false">IF(SMALL($AA497:$CH497,7)&gt;=9999,"",INDEX(Presupuesto!$C:$C,SMALL($AA497:$CH497,7)))</f>
        <v>0</v>
      </c>
      <c r="O497" s="1" t="n">
        <f aca="false">IF(SMALL($AA497:$CH497,8)&gt;=9999,"",INDEX(Presupuesto!$C:$C,SMALL($AA497:$CH497,8)))</f>
        <v>0</v>
      </c>
      <c r="P497" s="1" t="n">
        <f aca="false">IF(SMALL($AA497:$CH497,9)&gt;=9999,"",INDEX(Presupuesto!$C:$C,SMALL($AA497:$CH497,9)))</f>
        <v>0</v>
      </c>
      <c r="Q497" s="1" t="n">
        <f aca="false">IF(SMALL($AA497:$CH497,10)&gt;=9999,"",INDEX(Presupuesto!$C:$C,SMALL($AA497:$CH497,10)))</f>
        <v>0</v>
      </c>
      <c r="AA497" s="0" t="n">
        <f aca="false">IF(Presupuesto!$B$7='Flujo de Pagos'!$E497,7,9999)</f>
        <v>9999</v>
      </c>
      <c r="AB497" s="0" t="n">
        <f aca="false">IF(Presupuesto!$B$8='Flujo de Pagos'!$E497,8,9999)</f>
        <v>9999</v>
      </c>
      <c r="AC497" s="0" t="n">
        <f aca="false">IF(Presupuesto!$B$9='Flujo de Pagos'!$E497,9,9999)</f>
        <v>9999</v>
      </c>
      <c r="AD497" s="0" t="n">
        <f aca="false">IF(Presupuesto!$B$10='Flujo de Pagos'!$E497,10,9999)</f>
        <v>9999</v>
      </c>
      <c r="AE497" s="0" t="n">
        <f aca="false">IF(Presupuesto!$B$11='Flujo de Pagos'!$E497,11,9999)</f>
        <v>9999</v>
      </c>
      <c r="AF497" s="0" t="n">
        <f aca="false">IF(Presupuesto!$B$12='Flujo de Pagos'!$E497,12,9999)</f>
        <v>12</v>
      </c>
      <c r="AG497" s="0" t="n">
        <f aca="false">IF(Presupuesto!$B$13='Flujo de Pagos'!$E497,13,9999)</f>
        <v>13</v>
      </c>
      <c r="AH497" s="0" t="n">
        <f aca="false">IF(Presupuesto!$B$14='Flujo de Pagos'!$E497,14,9999)</f>
        <v>14</v>
      </c>
      <c r="AI497" s="0" t="n">
        <f aca="false">IF(Presupuesto!$B$15='Flujo de Pagos'!$E497,15,9999)</f>
        <v>15</v>
      </c>
      <c r="AJ497" s="0" t="n">
        <f aca="false">IF(Presupuesto!$B$16='Flujo de Pagos'!$E497,16,9999)</f>
        <v>16</v>
      </c>
      <c r="AK497" s="0" t="n">
        <f aca="false">IF(Presupuesto!$B$17='Flujo de Pagos'!$E497,17,9999)</f>
        <v>17</v>
      </c>
      <c r="AL497" s="0" t="n">
        <f aca="false">IF(Presupuesto!$B$18='Flujo de Pagos'!$E497,18,9999)</f>
        <v>18</v>
      </c>
      <c r="AM497" s="0" t="n">
        <f aca="false">IF(Presupuesto!$B$19='Flujo de Pagos'!$E497,19,9999)</f>
        <v>19</v>
      </c>
      <c r="AN497" s="0" t="n">
        <f aca="false">IF(Presupuesto!$B$20='Flujo de Pagos'!$E497,20,9999)</f>
        <v>20</v>
      </c>
      <c r="AO497" s="0" t="n">
        <f aca="false">IF(Presupuesto!$B$21='Flujo de Pagos'!$E497,21,9999)</f>
        <v>21</v>
      </c>
      <c r="AP497" s="0" t="n">
        <f aca="false">IF(Presupuesto!$B$22='Flujo de Pagos'!$E497,22,9999)</f>
        <v>22</v>
      </c>
      <c r="AQ497" s="0" t="n">
        <f aca="false">IF(Presupuesto!$B$23='Flujo de Pagos'!$E497,23,9999)</f>
        <v>23</v>
      </c>
      <c r="AR497" s="0" t="n">
        <f aca="false">IF(Presupuesto!$B$24='Flujo de Pagos'!$E497,24,9999)</f>
        <v>24</v>
      </c>
      <c r="AS497" s="0" t="n">
        <f aca="false">IF(Presupuesto!$B$25='Flujo de Pagos'!$E497,25,9999)</f>
        <v>25</v>
      </c>
      <c r="AT497" s="0" t="n">
        <f aca="false">IF(Presupuesto!$B$26='Flujo de Pagos'!$E497,26,9999)</f>
        <v>26</v>
      </c>
      <c r="AU497" s="0" t="n">
        <f aca="false">IF(Presupuesto!$B$27='Flujo de Pagos'!$E497,27,9999)</f>
        <v>27</v>
      </c>
      <c r="AV497" s="0" t="n">
        <f aca="false">IF(Presupuesto!$B$28='Flujo de Pagos'!$E497,28,9999)</f>
        <v>28</v>
      </c>
      <c r="AW497" s="0" t="n">
        <f aca="false">IF(Presupuesto!$B$29='Flujo de Pagos'!$E497,29,9999)</f>
        <v>29</v>
      </c>
      <c r="AX497" s="0" t="n">
        <f aca="false">IF(Presupuesto!$B$30='Flujo de Pagos'!$E497,30,9999)</f>
        <v>30</v>
      </c>
      <c r="AY497" s="0" t="n">
        <f aca="false">IF(Presupuesto!$B$31='Flujo de Pagos'!$E497,31,9999)</f>
        <v>31</v>
      </c>
      <c r="AZ497" s="0" t="n">
        <f aca="false">IF(Presupuesto!$B$32='Flujo de Pagos'!$E497,32,9999)</f>
        <v>32</v>
      </c>
      <c r="BA497" s="0" t="n">
        <f aca="false">IF(Presupuesto!$B$33='Flujo de Pagos'!$E497,33,9999)</f>
        <v>33</v>
      </c>
      <c r="BB497" s="0" t="n">
        <f aca="false">IF(Presupuesto!$B$34='Flujo de Pagos'!$E497,34,9999)</f>
        <v>34</v>
      </c>
      <c r="BC497" s="0" t="n">
        <f aca="false">IF(Presupuesto!$B$35='Flujo de Pagos'!$E497,35,9999)</f>
        <v>35</v>
      </c>
      <c r="BD497" s="0" t="n">
        <f aca="false">IF(Presupuesto!$B$36='Flujo de Pagos'!$E497,36,9999)</f>
        <v>36</v>
      </c>
      <c r="BE497" s="0" t="n">
        <f aca="false">IF(Presupuesto!$B$37='Flujo de Pagos'!$E497,37,9999)</f>
        <v>37</v>
      </c>
      <c r="BF497" s="0" t="n">
        <f aca="false">IF(Presupuesto!$B$38='Flujo de Pagos'!$E497,38,9999)</f>
        <v>38</v>
      </c>
      <c r="BG497" s="0" t="n">
        <f aca="false">IF(Presupuesto!$B$39='Flujo de Pagos'!$E497,39,9999)</f>
        <v>39</v>
      </c>
      <c r="BH497" s="0" t="n">
        <f aca="false">IF(Presupuesto!$B$40='Flujo de Pagos'!$E497,40,9999)</f>
        <v>40</v>
      </c>
      <c r="BI497" s="0" t="n">
        <f aca="false">IF(Presupuesto!$B$41='Flujo de Pagos'!$E497,41,9999)</f>
        <v>41</v>
      </c>
      <c r="BJ497" s="0" t="n">
        <f aca="false">IF(Presupuesto!$B$42='Flujo de Pagos'!$E497,42,9999)</f>
        <v>42</v>
      </c>
      <c r="BK497" s="0" t="n">
        <f aca="false">IF(Presupuesto!$B$43='Flujo de Pagos'!$E497,43,9999)</f>
        <v>43</v>
      </c>
      <c r="BL497" s="0" t="n">
        <f aca="false">IF(Presupuesto!$B$44='Flujo de Pagos'!$E497,44,9999)</f>
        <v>44</v>
      </c>
      <c r="BM497" s="0" t="n">
        <f aca="false">IF(Presupuesto!$B$45='Flujo de Pagos'!$E497,45,9999)</f>
        <v>45</v>
      </c>
      <c r="BN497" s="0" t="n">
        <f aca="false">IF(Presupuesto!$B$46='Flujo de Pagos'!$E497,46,9999)</f>
        <v>46</v>
      </c>
      <c r="BO497" s="0" t="n">
        <f aca="false">IF(Presupuesto!$B$47='Flujo de Pagos'!$E497,47,9999)</f>
        <v>47</v>
      </c>
      <c r="BP497" s="0" t="n">
        <f aca="false">IF(Presupuesto!$B$48='Flujo de Pagos'!$E497,48,9999)</f>
        <v>48</v>
      </c>
      <c r="BQ497" s="0" t="n">
        <f aca="false">IF(Presupuesto!$B$49='Flujo de Pagos'!$E497,49,9999)</f>
        <v>49</v>
      </c>
      <c r="BR497" s="0" t="n">
        <f aca="false">IF(Presupuesto!$B$50='Flujo de Pagos'!$E497,50,9999)</f>
        <v>50</v>
      </c>
      <c r="BS497" s="0" t="n">
        <f aca="false">IF(Presupuesto!$B$51='Flujo de Pagos'!$E497,51,9999)</f>
        <v>51</v>
      </c>
      <c r="BT497" s="0" t="n">
        <f aca="false">IF(Presupuesto!$B$52='Flujo de Pagos'!$E497,52,9999)</f>
        <v>52</v>
      </c>
      <c r="BU497" s="0" t="n">
        <f aca="false">IF(Presupuesto!$B$53='Flujo de Pagos'!$E497,53,9999)</f>
        <v>53</v>
      </c>
      <c r="BV497" s="0" t="n">
        <f aca="false">IF(Presupuesto!$B$54='Flujo de Pagos'!$E497,54,9999)</f>
        <v>54</v>
      </c>
      <c r="BW497" s="0" t="n">
        <f aca="false">IF(Presupuesto!$B$55='Flujo de Pagos'!$E497,55,9999)</f>
        <v>55</v>
      </c>
      <c r="BX497" s="0" t="n">
        <f aca="false">IF(Presupuesto!$B$56='Flujo de Pagos'!$E497,56,9999)</f>
        <v>56</v>
      </c>
      <c r="BY497" s="0" t="n">
        <f aca="false">IF(Presupuesto!$B$57='Flujo de Pagos'!$E497,57,9999)</f>
        <v>57</v>
      </c>
      <c r="BZ497" s="0" t="n">
        <f aca="false">IF(Presupuesto!$B$58='Flujo de Pagos'!$E497,58,9999)</f>
        <v>58</v>
      </c>
      <c r="CA497" s="0" t="n">
        <f aca="false">IF(Presupuesto!$B$59='Flujo de Pagos'!$E497,59,9999)</f>
        <v>59</v>
      </c>
      <c r="CB497" s="0" t="n">
        <f aca="false">IF(Presupuesto!$B$60='Flujo de Pagos'!$E497,60,9999)</f>
        <v>60</v>
      </c>
      <c r="CC497" s="0" t="n">
        <f aca="false">IF(Presupuesto!$B$61='Flujo de Pagos'!$E497,61,9999)</f>
        <v>61</v>
      </c>
      <c r="CD497" s="0" t="n">
        <f aca="false">IF(Presupuesto!$B$62='Flujo de Pagos'!$E497,62,9999)</f>
        <v>62</v>
      </c>
      <c r="CE497" s="0" t="n">
        <f aca="false">IF(Presupuesto!$B$63='Flujo de Pagos'!$E497,63,9999)</f>
        <v>63</v>
      </c>
      <c r="CF497" s="0" t="n">
        <f aca="false">IF(Presupuesto!$B$64='Flujo de Pagos'!$E497,64,9999)</f>
        <v>64</v>
      </c>
      <c r="CG497" s="0" t="n">
        <f aca="false">IF(Presupuesto!$B$65='Flujo de Pagos'!$E497,65,9999)</f>
        <v>65</v>
      </c>
      <c r="CH497" s="0" t="n">
        <f aca="false">IF(Presupuesto!$B$66='Flujo de Pagos'!$E497,66,9999)</f>
        <v>66</v>
      </c>
    </row>
    <row r="498" customFormat="false" ht="15" hidden="false" customHeight="true" outlineLevel="0" collapsed="false">
      <c r="B498" s="1" t="n">
        <f aca="false">IF(AND('Flujo de Pagos'!E503=Carátula!$B$2,'Flujo de Pagos'!F503=Carátula!$B$4,'Flujo de Pagos'!H503&lt;&gt;""),503,99999)</f>
        <v>99999</v>
      </c>
      <c r="H498" s="1" t="n">
        <f aca="false">IF(SMALL($AA498:$CH498,1)&gt;=9999,"",INDEX(Presupuesto!$C:$C,SMALL($AA498:$CH498,1)))</f>
        <v>0</v>
      </c>
      <c r="I498" s="1" t="n">
        <f aca="false">IF(SMALL($AA498:$CH498,2)&gt;=9999,"",INDEX(Presupuesto!$C:$C,SMALL($AA498:$CH498,2)))</f>
        <v>0</v>
      </c>
      <c r="J498" s="1" t="n">
        <f aca="false">IF(SMALL($AA498:$CH498,3)&gt;=9999,"",INDEX(Presupuesto!$C:$C,SMALL($AA498:$CH498,3)))</f>
        <v>0</v>
      </c>
      <c r="K498" s="1" t="n">
        <f aca="false">IF(SMALL($AA498:$CH498,4)&gt;=9999,"",INDEX(Presupuesto!$C:$C,SMALL($AA498:$CH498,4)))</f>
        <v>0</v>
      </c>
      <c r="L498" s="1" t="n">
        <f aca="false">IF(SMALL($AA498:$CH498,5)&gt;=9999,"",INDEX(Presupuesto!$C:$C,SMALL($AA498:$CH498,5)))</f>
        <v>0</v>
      </c>
      <c r="M498" s="1" t="n">
        <f aca="false">IF(SMALL($AA498:$CH498,6)&gt;=9999,"",INDEX(Presupuesto!$C:$C,SMALL($AA498:$CH498,6)))</f>
        <v>0</v>
      </c>
      <c r="N498" s="1" t="n">
        <f aca="false">IF(SMALL($AA498:$CH498,7)&gt;=9999,"",INDEX(Presupuesto!$C:$C,SMALL($AA498:$CH498,7)))</f>
        <v>0</v>
      </c>
      <c r="O498" s="1" t="n">
        <f aca="false">IF(SMALL($AA498:$CH498,8)&gt;=9999,"",INDEX(Presupuesto!$C:$C,SMALL($AA498:$CH498,8)))</f>
        <v>0</v>
      </c>
      <c r="P498" s="1" t="n">
        <f aca="false">IF(SMALL($AA498:$CH498,9)&gt;=9999,"",INDEX(Presupuesto!$C:$C,SMALL($AA498:$CH498,9)))</f>
        <v>0</v>
      </c>
      <c r="Q498" s="1" t="n">
        <f aca="false">IF(SMALL($AA498:$CH498,10)&gt;=9999,"",INDEX(Presupuesto!$C:$C,SMALL($AA498:$CH498,10)))</f>
        <v>0</v>
      </c>
      <c r="AA498" s="0" t="n">
        <f aca="false">IF(Presupuesto!$B$7='Flujo de Pagos'!$E498,7,9999)</f>
        <v>9999</v>
      </c>
      <c r="AB498" s="0" t="n">
        <f aca="false">IF(Presupuesto!$B$8='Flujo de Pagos'!$E498,8,9999)</f>
        <v>9999</v>
      </c>
      <c r="AC498" s="0" t="n">
        <f aca="false">IF(Presupuesto!$B$9='Flujo de Pagos'!$E498,9,9999)</f>
        <v>9999</v>
      </c>
      <c r="AD498" s="0" t="n">
        <f aca="false">IF(Presupuesto!$B$10='Flujo de Pagos'!$E498,10,9999)</f>
        <v>9999</v>
      </c>
      <c r="AE498" s="0" t="n">
        <f aca="false">IF(Presupuesto!$B$11='Flujo de Pagos'!$E498,11,9999)</f>
        <v>9999</v>
      </c>
      <c r="AF498" s="0" t="n">
        <f aca="false">IF(Presupuesto!$B$12='Flujo de Pagos'!$E498,12,9999)</f>
        <v>12</v>
      </c>
      <c r="AG498" s="0" t="n">
        <f aca="false">IF(Presupuesto!$B$13='Flujo de Pagos'!$E498,13,9999)</f>
        <v>13</v>
      </c>
      <c r="AH498" s="0" t="n">
        <f aca="false">IF(Presupuesto!$B$14='Flujo de Pagos'!$E498,14,9999)</f>
        <v>14</v>
      </c>
      <c r="AI498" s="0" t="n">
        <f aca="false">IF(Presupuesto!$B$15='Flujo de Pagos'!$E498,15,9999)</f>
        <v>15</v>
      </c>
      <c r="AJ498" s="0" t="n">
        <f aca="false">IF(Presupuesto!$B$16='Flujo de Pagos'!$E498,16,9999)</f>
        <v>16</v>
      </c>
      <c r="AK498" s="0" t="n">
        <f aca="false">IF(Presupuesto!$B$17='Flujo de Pagos'!$E498,17,9999)</f>
        <v>17</v>
      </c>
      <c r="AL498" s="0" t="n">
        <f aca="false">IF(Presupuesto!$B$18='Flujo de Pagos'!$E498,18,9999)</f>
        <v>18</v>
      </c>
      <c r="AM498" s="0" t="n">
        <f aca="false">IF(Presupuesto!$B$19='Flujo de Pagos'!$E498,19,9999)</f>
        <v>19</v>
      </c>
      <c r="AN498" s="0" t="n">
        <f aca="false">IF(Presupuesto!$B$20='Flujo de Pagos'!$E498,20,9999)</f>
        <v>20</v>
      </c>
      <c r="AO498" s="0" t="n">
        <f aca="false">IF(Presupuesto!$B$21='Flujo de Pagos'!$E498,21,9999)</f>
        <v>21</v>
      </c>
      <c r="AP498" s="0" t="n">
        <f aca="false">IF(Presupuesto!$B$22='Flujo de Pagos'!$E498,22,9999)</f>
        <v>22</v>
      </c>
      <c r="AQ498" s="0" t="n">
        <f aca="false">IF(Presupuesto!$B$23='Flujo de Pagos'!$E498,23,9999)</f>
        <v>23</v>
      </c>
      <c r="AR498" s="0" t="n">
        <f aca="false">IF(Presupuesto!$B$24='Flujo de Pagos'!$E498,24,9999)</f>
        <v>24</v>
      </c>
      <c r="AS498" s="0" t="n">
        <f aca="false">IF(Presupuesto!$B$25='Flujo de Pagos'!$E498,25,9999)</f>
        <v>25</v>
      </c>
      <c r="AT498" s="0" t="n">
        <f aca="false">IF(Presupuesto!$B$26='Flujo de Pagos'!$E498,26,9999)</f>
        <v>26</v>
      </c>
      <c r="AU498" s="0" t="n">
        <f aca="false">IF(Presupuesto!$B$27='Flujo de Pagos'!$E498,27,9999)</f>
        <v>27</v>
      </c>
      <c r="AV498" s="0" t="n">
        <f aca="false">IF(Presupuesto!$B$28='Flujo de Pagos'!$E498,28,9999)</f>
        <v>28</v>
      </c>
      <c r="AW498" s="0" t="n">
        <f aca="false">IF(Presupuesto!$B$29='Flujo de Pagos'!$E498,29,9999)</f>
        <v>29</v>
      </c>
      <c r="AX498" s="0" t="n">
        <f aca="false">IF(Presupuesto!$B$30='Flujo de Pagos'!$E498,30,9999)</f>
        <v>30</v>
      </c>
      <c r="AY498" s="0" t="n">
        <f aca="false">IF(Presupuesto!$B$31='Flujo de Pagos'!$E498,31,9999)</f>
        <v>31</v>
      </c>
      <c r="AZ498" s="0" t="n">
        <f aca="false">IF(Presupuesto!$B$32='Flujo de Pagos'!$E498,32,9999)</f>
        <v>32</v>
      </c>
      <c r="BA498" s="0" t="n">
        <f aca="false">IF(Presupuesto!$B$33='Flujo de Pagos'!$E498,33,9999)</f>
        <v>33</v>
      </c>
      <c r="BB498" s="0" t="n">
        <f aca="false">IF(Presupuesto!$B$34='Flujo de Pagos'!$E498,34,9999)</f>
        <v>34</v>
      </c>
      <c r="BC498" s="0" t="n">
        <f aca="false">IF(Presupuesto!$B$35='Flujo de Pagos'!$E498,35,9999)</f>
        <v>35</v>
      </c>
      <c r="BD498" s="0" t="n">
        <f aca="false">IF(Presupuesto!$B$36='Flujo de Pagos'!$E498,36,9999)</f>
        <v>36</v>
      </c>
      <c r="BE498" s="0" t="n">
        <f aca="false">IF(Presupuesto!$B$37='Flujo de Pagos'!$E498,37,9999)</f>
        <v>37</v>
      </c>
      <c r="BF498" s="0" t="n">
        <f aca="false">IF(Presupuesto!$B$38='Flujo de Pagos'!$E498,38,9999)</f>
        <v>38</v>
      </c>
      <c r="BG498" s="0" t="n">
        <f aca="false">IF(Presupuesto!$B$39='Flujo de Pagos'!$E498,39,9999)</f>
        <v>39</v>
      </c>
      <c r="BH498" s="0" t="n">
        <f aca="false">IF(Presupuesto!$B$40='Flujo de Pagos'!$E498,40,9999)</f>
        <v>40</v>
      </c>
      <c r="BI498" s="0" t="n">
        <f aca="false">IF(Presupuesto!$B$41='Flujo de Pagos'!$E498,41,9999)</f>
        <v>41</v>
      </c>
      <c r="BJ498" s="0" t="n">
        <f aca="false">IF(Presupuesto!$B$42='Flujo de Pagos'!$E498,42,9999)</f>
        <v>42</v>
      </c>
      <c r="BK498" s="0" t="n">
        <f aca="false">IF(Presupuesto!$B$43='Flujo de Pagos'!$E498,43,9999)</f>
        <v>43</v>
      </c>
      <c r="BL498" s="0" t="n">
        <f aca="false">IF(Presupuesto!$B$44='Flujo de Pagos'!$E498,44,9999)</f>
        <v>44</v>
      </c>
      <c r="BM498" s="0" t="n">
        <f aca="false">IF(Presupuesto!$B$45='Flujo de Pagos'!$E498,45,9999)</f>
        <v>45</v>
      </c>
      <c r="BN498" s="0" t="n">
        <f aca="false">IF(Presupuesto!$B$46='Flujo de Pagos'!$E498,46,9999)</f>
        <v>46</v>
      </c>
      <c r="BO498" s="0" t="n">
        <f aca="false">IF(Presupuesto!$B$47='Flujo de Pagos'!$E498,47,9999)</f>
        <v>47</v>
      </c>
      <c r="BP498" s="0" t="n">
        <f aca="false">IF(Presupuesto!$B$48='Flujo de Pagos'!$E498,48,9999)</f>
        <v>48</v>
      </c>
      <c r="BQ498" s="0" t="n">
        <f aca="false">IF(Presupuesto!$B$49='Flujo de Pagos'!$E498,49,9999)</f>
        <v>49</v>
      </c>
      <c r="BR498" s="0" t="n">
        <f aca="false">IF(Presupuesto!$B$50='Flujo de Pagos'!$E498,50,9999)</f>
        <v>50</v>
      </c>
      <c r="BS498" s="0" t="n">
        <f aca="false">IF(Presupuesto!$B$51='Flujo de Pagos'!$E498,51,9999)</f>
        <v>51</v>
      </c>
      <c r="BT498" s="0" t="n">
        <f aca="false">IF(Presupuesto!$B$52='Flujo de Pagos'!$E498,52,9999)</f>
        <v>52</v>
      </c>
      <c r="BU498" s="0" t="n">
        <f aca="false">IF(Presupuesto!$B$53='Flujo de Pagos'!$E498,53,9999)</f>
        <v>53</v>
      </c>
      <c r="BV498" s="0" t="n">
        <f aca="false">IF(Presupuesto!$B$54='Flujo de Pagos'!$E498,54,9999)</f>
        <v>54</v>
      </c>
      <c r="BW498" s="0" t="n">
        <f aca="false">IF(Presupuesto!$B$55='Flujo de Pagos'!$E498,55,9999)</f>
        <v>55</v>
      </c>
      <c r="BX498" s="0" t="n">
        <f aca="false">IF(Presupuesto!$B$56='Flujo de Pagos'!$E498,56,9999)</f>
        <v>56</v>
      </c>
      <c r="BY498" s="0" t="n">
        <f aca="false">IF(Presupuesto!$B$57='Flujo de Pagos'!$E498,57,9999)</f>
        <v>57</v>
      </c>
      <c r="BZ498" s="0" t="n">
        <f aca="false">IF(Presupuesto!$B$58='Flujo de Pagos'!$E498,58,9999)</f>
        <v>58</v>
      </c>
      <c r="CA498" s="0" t="n">
        <f aca="false">IF(Presupuesto!$B$59='Flujo de Pagos'!$E498,59,9999)</f>
        <v>59</v>
      </c>
      <c r="CB498" s="0" t="n">
        <f aca="false">IF(Presupuesto!$B$60='Flujo de Pagos'!$E498,60,9999)</f>
        <v>60</v>
      </c>
      <c r="CC498" s="0" t="n">
        <f aca="false">IF(Presupuesto!$B$61='Flujo de Pagos'!$E498,61,9999)</f>
        <v>61</v>
      </c>
      <c r="CD498" s="0" t="n">
        <f aca="false">IF(Presupuesto!$B$62='Flujo de Pagos'!$E498,62,9999)</f>
        <v>62</v>
      </c>
      <c r="CE498" s="0" t="n">
        <f aca="false">IF(Presupuesto!$B$63='Flujo de Pagos'!$E498,63,9999)</f>
        <v>63</v>
      </c>
      <c r="CF498" s="0" t="n">
        <f aca="false">IF(Presupuesto!$B$64='Flujo de Pagos'!$E498,64,9999)</f>
        <v>64</v>
      </c>
      <c r="CG498" s="0" t="n">
        <f aca="false">IF(Presupuesto!$B$65='Flujo de Pagos'!$E498,65,9999)</f>
        <v>65</v>
      </c>
      <c r="CH498" s="0" t="n">
        <f aca="false">IF(Presupuesto!$B$66='Flujo de Pagos'!$E498,66,9999)</f>
        <v>66</v>
      </c>
    </row>
    <row r="499" customFormat="false" ht="15" hidden="false" customHeight="true" outlineLevel="0" collapsed="false">
      <c r="B499" s="1" t="n">
        <f aca="false">IF(AND('Flujo de Pagos'!E504=Carátula!$B$2,'Flujo de Pagos'!F504=Carátula!$B$4,'Flujo de Pagos'!H504&lt;&gt;""),504,99999)</f>
        <v>99999</v>
      </c>
      <c r="H499" s="1" t="n">
        <f aca="false">IF(SMALL($AA499:$CH499,1)&gt;=9999,"",INDEX(Presupuesto!$C:$C,SMALL($AA499:$CH499,1)))</f>
        <v>0</v>
      </c>
      <c r="I499" s="1" t="n">
        <f aca="false">IF(SMALL($AA499:$CH499,2)&gt;=9999,"",INDEX(Presupuesto!$C:$C,SMALL($AA499:$CH499,2)))</f>
        <v>0</v>
      </c>
      <c r="J499" s="1" t="n">
        <f aca="false">IF(SMALL($AA499:$CH499,3)&gt;=9999,"",INDEX(Presupuesto!$C:$C,SMALL($AA499:$CH499,3)))</f>
        <v>0</v>
      </c>
      <c r="K499" s="1" t="n">
        <f aca="false">IF(SMALL($AA499:$CH499,4)&gt;=9999,"",INDEX(Presupuesto!$C:$C,SMALL($AA499:$CH499,4)))</f>
        <v>0</v>
      </c>
      <c r="L499" s="1" t="n">
        <f aca="false">IF(SMALL($AA499:$CH499,5)&gt;=9999,"",INDEX(Presupuesto!$C:$C,SMALL($AA499:$CH499,5)))</f>
        <v>0</v>
      </c>
      <c r="M499" s="1" t="n">
        <f aca="false">IF(SMALL($AA499:$CH499,6)&gt;=9999,"",INDEX(Presupuesto!$C:$C,SMALL($AA499:$CH499,6)))</f>
        <v>0</v>
      </c>
      <c r="N499" s="1" t="n">
        <f aca="false">IF(SMALL($AA499:$CH499,7)&gt;=9999,"",INDEX(Presupuesto!$C:$C,SMALL($AA499:$CH499,7)))</f>
        <v>0</v>
      </c>
      <c r="O499" s="1" t="n">
        <f aca="false">IF(SMALL($AA499:$CH499,8)&gt;=9999,"",INDEX(Presupuesto!$C:$C,SMALL($AA499:$CH499,8)))</f>
        <v>0</v>
      </c>
      <c r="P499" s="1" t="n">
        <f aca="false">IF(SMALL($AA499:$CH499,9)&gt;=9999,"",INDEX(Presupuesto!$C:$C,SMALL($AA499:$CH499,9)))</f>
        <v>0</v>
      </c>
      <c r="Q499" s="1" t="n">
        <f aca="false">IF(SMALL($AA499:$CH499,10)&gt;=9999,"",INDEX(Presupuesto!$C:$C,SMALL($AA499:$CH499,10)))</f>
        <v>0</v>
      </c>
      <c r="AA499" s="0" t="n">
        <f aca="false">IF(Presupuesto!$B$7='Flujo de Pagos'!$E499,7,9999)</f>
        <v>9999</v>
      </c>
      <c r="AB499" s="0" t="n">
        <f aca="false">IF(Presupuesto!$B$8='Flujo de Pagos'!$E499,8,9999)</f>
        <v>9999</v>
      </c>
      <c r="AC499" s="0" t="n">
        <f aca="false">IF(Presupuesto!$B$9='Flujo de Pagos'!$E499,9,9999)</f>
        <v>9999</v>
      </c>
      <c r="AD499" s="0" t="n">
        <f aca="false">IF(Presupuesto!$B$10='Flujo de Pagos'!$E499,10,9999)</f>
        <v>9999</v>
      </c>
      <c r="AE499" s="0" t="n">
        <f aca="false">IF(Presupuesto!$B$11='Flujo de Pagos'!$E499,11,9999)</f>
        <v>9999</v>
      </c>
      <c r="AF499" s="0" t="n">
        <f aca="false">IF(Presupuesto!$B$12='Flujo de Pagos'!$E499,12,9999)</f>
        <v>12</v>
      </c>
      <c r="AG499" s="0" t="n">
        <f aca="false">IF(Presupuesto!$B$13='Flujo de Pagos'!$E499,13,9999)</f>
        <v>13</v>
      </c>
      <c r="AH499" s="0" t="n">
        <f aca="false">IF(Presupuesto!$B$14='Flujo de Pagos'!$E499,14,9999)</f>
        <v>14</v>
      </c>
      <c r="AI499" s="0" t="n">
        <f aca="false">IF(Presupuesto!$B$15='Flujo de Pagos'!$E499,15,9999)</f>
        <v>15</v>
      </c>
      <c r="AJ499" s="0" t="n">
        <f aca="false">IF(Presupuesto!$B$16='Flujo de Pagos'!$E499,16,9999)</f>
        <v>16</v>
      </c>
      <c r="AK499" s="0" t="n">
        <f aca="false">IF(Presupuesto!$B$17='Flujo de Pagos'!$E499,17,9999)</f>
        <v>17</v>
      </c>
      <c r="AL499" s="0" t="n">
        <f aca="false">IF(Presupuesto!$B$18='Flujo de Pagos'!$E499,18,9999)</f>
        <v>18</v>
      </c>
      <c r="AM499" s="0" t="n">
        <f aca="false">IF(Presupuesto!$B$19='Flujo de Pagos'!$E499,19,9999)</f>
        <v>19</v>
      </c>
      <c r="AN499" s="0" t="n">
        <f aca="false">IF(Presupuesto!$B$20='Flujo de Pagos'!$E499,20,9999)</f>
        <v>20</v>
      </c>
      <c r="AO499" s="0" t="n">
        <f aca="false">IF(Presupuesto!$B$21='Flujo de Pagos'!$E499,21,9999)</f>
        <v>21</v>
      </c>
      <c r="AP499" s="0" t="n">
        <f aca="false">IF(Presupuesto!$B$22='Flujo de Pagos'!$E499,22,9999)</f>
        <v>22</v>
      </c>
      <c r="AQ499" s="0" t="n">
        <f aca="false">IF(Presupuesto!$B$23='Flujo de Pagos'!$E499,23,9999)</f>
        <v>23</v>
      </c>
      <c r="AR499" s="0" t="n">
        <f aca="false">IF(Presupuesto!$B$24='Flujo de Pagos'!$E499,24,9999)</f>
        <v>24</v>
      </c>
      <c r="AS499" s="0" t="n">
        <f aca="false">IF(Presupuesto!$B$25='Flujo de Pagos'!$E499,25,9999)</f>
        <v>25</v>
      </c>
      <c r="AT499" s="0" t="n">
        <f aca="false">IF(Presupuesto!$B$26='Flujo de Pagos'!$E499,26,9999)</f>
        <v>26</v>
      </c>
      <c r="AU499" s="0" t="n">
        <f aca="false">IF(Presupuesto!$B$27='Flujo de Pagos'!$E499,27,9999)</f>
        <v>27</v>
      </c>
      <c r="AV499" s="0" t="n">
        <f aca="false">IF(Presupuesto!$B$28='Flujo de Pagos'!$E499,28,9999)</f>
        <v>28</v>
      </c>
      <c r="AW499" s="0" t="n">
        <f aca="false">IF(Presupuesto!$B$29='Flujo de Pagos'!$E499,29,9999)</f>
        <v>29</v>
      </c>
      <c r="AX499" s="0" t="n">
        <f aca="false">IF(Presupuesto!$B$30='Flujo de Pagos'!$E499,30,9999)</f>
        <v>30</v>
      </c>
      <c r="AY499" s="0" t="n">
        <f aca="false">IF(Presupuesto!$B$31='Flujo de Pagos'!$E499,31,9999)</f>
        <v>31</v>
      </c>
      <c r="AZ499" s="0" t="n">
        <f aca="false">IF(Presupuesto!$B$32='Flujo de Pagos'!$E499,32,9999)</f>
        <v>32</v>
      </c>
      <c r="BA499" s="0" t="n">
        <f aca="false">IF(Presupuesto!$B$33='Flujo de Pagos'!$E499,33,9999)</f>
        <v>33</v>
      </c>
      <c r="BB499" s="0" t="n">
        <f aca="false">IF(Presupuesto!$B$34='Flujo de Pagos'!$E499,34,9999)</f>
        <v>34</v>
      </c>
      <c r="BC499" s="0" t="n">
        <f aca="false">IF(Presupuesto!$B$35='Flujo de Pagos'!$E499,35,9999)</f>
        <v>35</v>
      </c>
      <c r="BD499" s="0" t="n">
        <f aca="false">IF(Presupuesto!$B$36='Flujo de Pagos'!$E499,36,9999)</f>
        <v>36</v>
      </c>
      <c r="BE499" s="0" t="n">
        <f aca="false">IF(Presupuesto!$B$37='Flujo de Pagos'!$E499,37,9999)</f>
        <v>37</v>
      </c>
      <c r="BF499" s="0" t="n">
        <f aca="false">IF(Presupuesto!$B$38='Flujo de Pagos'!$E499,38,9999)</f>
        <v>38</v>
      </c>
      <c r="BG499" s="0" t="n">
        <f aca="false">IF(Presupuesto!$B$39='Flujo de Pagos'!$E499,39,9999)</f>
        <v>39</v>
      </c>
      <c r="BH499" s="0" t="n">
        <f aca="false">IF(Presupuesto!$B$40='Flujo de Pagos'!$E499,40,9999)</f>
        <v>40</v>
      </c>
      <c r="BI499" s="0" t="n">
        <f aca="false">IF(Presupuesto!$B$41='Flujo de Pagos'!$E499,41,9999)</f>
        <v>41</v>
      </c>
      <c r="BJ499" s="0" t="n">
        <f aca="false">IF(Presupuesto!$B$42='Flujo de Pagos'!$E499,42,9999)</f>
        <v>42</v>
      </c>
      <c r="BK499" s="0" t="n">
        <f aca="false">IF(Presupuesto!$B$43='Flujo de Pagos'!$E499,43,9999)</f>
        <v>43</v>
      </c>
      <c r="BL499" s="0" t="n">
        <f aca="false">IF(Presupuesto!$B$44='Flujo de Pagos'!$E499,44,9999)</f>
        <v>44</v>
      </c>
      <c r="BM499" s="0" t="n">
        <f aca="false">IF(Presupuesto!$B$45='Flujo de Pagos'!$E499,45,9999)</f>
        <v>45</v>
      </c>
      <c r="BN499" s="0" t="n">
        <f aca="false">IF(Presupuesto!$B$46='Flujo de Pagos'!$E499,46,9999)</f>
        <v>46</v>
      </c>
      <c r="BO499" s="0" t="n">
        <f aca="false">IF(Presupuesto!$B$47='Flujo de Pagos'!$E499,47,9999)</f>
        <v>47</v>
      </c>
      <c r="BP499" s="0" t="n">
        <f aca="false">IF(Presupuesto!$B$48='Flujo de Pagos'!$E499,48,9999)</f>
        <v>48</v>
      </c>
      <c r="BQ499" s="0" t="n">
        <f aca="false">IF(Presupuesto!$B$49='Flujo de Pagos'!$E499,49,9999)</f>
        <v>49</v>
      </c>
      <c r="BR499" s="0" t="n">
        <f aca="false">IF(Presupuesto!$B$50='Flujo de Pagos'!$E499,50,9999)</f>
        <v>50</v>
      </c>
      <c r="BS499" s="0" t="n">
        <f aca="false">IF(Presupuesto!$B$51='Flujo de Pagos'!$E499,51,9999)</f>
        <v>51</v>
      </c>
      <c r="BT499" s="0" t="n">
        <f aca="false">IF(Presupuesto!$B$52='Flujo de Pagos'!$E499,52,9999)</f>
        <v>52</v>
      </c>
      <c r="BU499" s="0" t="n">
        <f aca="false">IF(Presupuesto!$B$53='Flujo de Pagos'!$E499,53,9999)</f>
        <v>53</v>
      </c>
      <c r="BV499" s="0" t="n">
        <f aca="false">IF(Presupuesto!$B$54='Flujo de Pagos'!$E499,54,9999)</f>
        <v>54</v>
      </c>
      <c r="BW499" s="0" t="n">
        <f aca="false">IF(Presupuesto!$B$55='Flujo de Pagos'!$E499,55,9999)</f>
        <v>55</v>
      </c>
      <c r="BX499" s="0" t="n">
        <f aca="false">IF(Presupuesto!$B$56='Flujo de Pagos'!$E499,56,9999)</f>
        <v>56</v>
      </c>
      <c r="BY499" s="0" t="n">
        <f aca="false">IF(Presupuesto!$B$57='Flujo de Pagos'!$E499,57,9999)</f>
        <v>57</v>
      </c>
      <c r="BZ499" s="0" t="n">
        <f aca="false">IF(Presupuesto!$B$58='Flujo de Pagos'!$E499,58,9999)</f>
        <v>58</v>
      </c>
      <c r="CA499" s="0" t="n">
        <f aca="false">IF(Presupuesto!$B$59='Flujo de Pagos'!$E499,59,9999)</f>
        <v>59</v>
      </c>
      <c r="CB499" s="0" t="n">
        <f aca="false">IF(Presupuesto!$B$60='Flujo de Pagos'!$E499,60,9999)</f>
        <v>60</v>
      </c>
      <c r="CC499" s="0" t="n">
        <f aca="false">IF(Presupuesto!$B$61='Flujo de Pagos'!$E499,61,9999)</f>
        <v>61</v>
      </c>
      <c r="CD499" s="0" t="n">
        <f aca="false">IF(Presupuesto!$B$62='Flujo de Pagos'!$E499,62,9999)</f>
        <v>62</v>
      </c>
      <c r="CE499" s="0" t="n">
        <f aca="false">IF(Presupuesto!$B$63='Flujo de Pagos'!$E499,63,9999)</f>
        <v>63</v>
      </c>
      <c r="CF499" s="0" t="n">
        <f aca="false">IF(Presupuesto!$B$64='Flujo de Pagos'!$E499,64,9999)</f>
        <v>64</v>
      </c>
      <c r="CG499" s="0" t="n">
        <f aca="false">IF(Presupuesto!$B$65='Flujo de Pagos'!$E499,65,9999)</f>
        <v>65</v>
      </c>
      <c r="CH499" s="0" t="n">
        <f aca="false">IF(Presupuesto!$B$66='Flujo de Pagos'!$E499,66,9999)</f>
        <v>66</v>
      </c>
    </row>
    <row r="500" customFormat="false" ht="15" hidden="false" customHeight="true" outlineLevel="0" collapsed="false">
      <c r="B500" s="1" t="n">
        <f aca="false">IF(AND('Flujo de Pagos'!E505=Carátula!$B$2,'Flujo de Pagos'!F505=Carátula!$B$4,'Flujo de Pagos'!H505&lt;&gt;""),505,99999)</f>
        <v>99999</v>
      </c>
      <c r="H500" s="1" t="n">
        <f aca="false">IF(SMALL($AA500:$CH500,1)&gt;=9999,"",INDEX(Presupuesto!$C:$C,SMALL($AA500:$CH500,1)))</f>
        <v>0</v>
      </c>
      <c r="I500" s="1" t="n">
        <f aca="false">IF(SMALL($AA500:$CH500,2)&gt;=9999,"",INDEX(Presupuesto!$C:$C,SMALL($AA500:$CH500,2)))</f>
        <v>0</v>
      </c>
      <c r="J500" s="1" t="n">
        <f aca="false">IF(SMALL($AA500:$CH500,3)&gt;=9999,"",INDEX(Presupuesto!$C:$C,SMALL($AA500:$CH500,3)))</f>
        <v>0</v>
      </c>
      <c r="K500" s="1" t="n">
        <f aca="false">IF(SMALL($AA500:$CH500,4)&gt;=9999,"",INDEX(Presupuesto!$C:$C,SMALL($AA500:$CH500,4)))</f>
        <v>0</v>
      </c>
      <c r="L500" s="1" t="n">
        <f aca="false">IF(SMALL($AA500:$CH500,5)&gt;=9999,"",INDEX(Presupuesto!$C:$C,SMALL($AA500:$CH500,5)))</f>
        <v>0</v>
      </c>
      <c r="M500" s="1" t="n">
        <f aca="false">IF(SMALL($AA500:$CH500,6)&gt;=9999,"",INDEX(Presupuesto!$C:$C,SMALL($AA500:$CH500,6)))</f>
        <v>0</v>
      </c>
      <c r="N500" s="1" t="n">
        <f aca="false">IF(SMALL($AA500:$CH500,7)&gt;=9999,"",INDEX(Presupuesto!$C:$C,SMALL($AA500:$CH500,7)))</f>
        <v>0</v>
      </c>
      <c r="O500" s="1" t="n">
        <f aca="false">IF(SMALL($AA500:$CH500,8)&gt;=9999,"",INDEX(Presupuesto!$C:$C,SMALL($AA500:$CH500,8)))</f>
        <v>0</v>
      </c>
      <c r="P500" s="1" t="n">
        <f aca="false">IF(SMALL($AA500:$CH500,9)&gt;=9999,"",INDEX(Presupuesto!$C:$C,SMALL($AA500:$CH500,9)))</f>
        <v>0</v>
      </c>
      <c r="Q500" s="1" t="n">
        <f aca="false">IF(SMALL($AA500:$CH500,10)&gt;=9999,"",INDEX(Presupuesto!$C:$C,SMALL($AA500:$CH500,10)))</f>
        <v>0</v>
      </c>
      <c r="AA500" s="0" t="n">
        <f aca="false">IF(Presupuesto!$B$7='Flujo de Pagos'!$E500,7,9999)</f>
        <v>9999</v>
      </c>
      <c r="AB500" s="0" t="n">
        <f aca="false">IF(Presupuesto!$B$8='Flujo de Pagos'!$E500,8,9999)</f>
        <v>9999</v>
      </c>
      <c r="AC500" s="0" t="n">
        <f aca="false">IF(Presupuesto!$B$9='Flujo de Pagos'!$E500,9,9999)</f>
        <v>9999</v>
      </c>
      <c r="AD500" s="0" t="n">
        <f aca="false">IF(Presupuesto!$B$10='Flujo de Pagos'!$E500,10,9999)</f>
        <v>9999</v>
      </c>
      <c r="AE500" s="0" t="n">
        <f aca="false">IF(Presupuesto!$B$11='Flujo de Pagos'!$E500,11,9999)</f>
        <v>9999</v>
      </c>
      <c r="AF500" s="0" t="n">
        <f aca="false">IF(Presupuesto!$B$12='Flujo de Pagos'!$E500,12,9999)</f>
        <v>12</v>
      </c>
      <c r="AG500" s="0" t="n">
        <f aca="false">IF(Presupuesto!$B$13='Flujo de Pagos'!$E500,13,9999)</f>
        <v>13</v>
      </c>
      <c r="AH500" s="0" t="n">
        <f aca="false">IF(Presupuesto!$B$14='Flujo de Pagos'!$E500,14,9999)</f>
        <v>14</v>
      </c>
      <c r="AI500" s="0" t="n">
        <f aca="false">IF(Presupuesto!$B$15='Flujo de Pagos'!$E500,15,9999)</f>
        <v>15</v>
      </c>
      <c r="AJ500" s="0" t="n">
        <f aca="false">IF(Presupuesto!$B$16='Flujo de Pagos'!$E500,16,9999)</f>
        <v>16</v>
      </c>
      <c r="AK500" s="0" t="n">
        <f aca="false">IF(Presupuesto!$B$17='Flujo de Pagos'!$E500,17,9999)</f>
        <v>17</v>
      </c>
      <c r="AL500" s="0" t="n">
        <f aca="false">IF(Presupuesto!$B$18='Flujo de Pagos'!$E500,18,9999)</f>
        <v>18</v>
      </c>
      <c r="AM500" s="0" t="n">
        <f aca="false">IF(Presupuesto!$B$19='Flujo de Pagos'!$E500,19,9999)</f>
        <v>19</v>
      </c>
      <c r="AN500" s="0" t="n">
        <f aca="false">IF(Presupuesto!$B$20='Flujo de Pagos'!$E500,20,9999)</f>
        <v>20</v>
      </c>
      <c r="AO500" s="0" t="n">
        <f aca="false">IF(Presupuesto!$B$21='Flujo de Pagos'!$E500,21,9999)</f>
        <v>21</v>
      </c>
      <c r="AP500" s="0" t="n">
        <f aca="false">IF(Presupuesto!$B$22='Flujo de Pagos'!$E500,22,9999)</f>
        <v>22</v>
      </c>
      <c r="AQ500" s="0" t="n">
        <f aca="false">IF(Presupuesto!$B$23='Flujo de Pagos'!$E500,23,9999)</f>
        <v>23</v>
      </c>
      <c r="AR500" s="0" t="n">
        <f aca="false">IF(Presupuesto!$B$24='Flujo de Pagos'!$E500,24,9999)</f>
        <v>24</v>
      </c>
      <c r="AS500" s="0" t="n">
        <f aca="false">IF(Presupuesto!$B$25='Flujo de Pagos'!$E500,25,9999)</f>
        <v>25</v>
      </c>
      <c r="AT500" s="0" t="n">
        <f aca="false">IF(Presupuesto!$B$26='Flujo de Pagos'!$E500,26,9999)</f>
        <v>26</v>
      </c>
      <c r="AU500" s="0" t="n">
        <f aca="false">IF(Presupuesto!$B$27='Flujo de Pagos'!$E500,27,9999)</f>
        <v>27</v>
      </c>
      <c r="AV500" s="0" t="n">
        <f aca="false">IF(Presupuesto!$B$28='Flujo de Pagos'!$E500,28,9999)</f>
        <v>28</v>
      </c>
      <c r="AW500" s="0" t="n">
        <f aca="false">IF(Presupuesto!$B$29='Flujo de Pagos'!$E500,29,9999)</f>
        <v>29</v>
      </c>
      <c r="AX500" s="0" t="n">
        <f aca="false">IF(Presupuesto!$B$30='Flujo de Pagos'!$E500,30,9999)</f>
        <v>30</v>
      </c>
      <c r="AY500" s="0" t="n">
        <f aca="false">IF(Presupuesto!$B$31='Flujo de Pagos'!$E500,31,9999)</f>
        <v>31</v>
      </c>
      <c r="AZ500" s="0" t="n">
        <f aca="false">IF(Presupuesto!$B$32='Flujo de Pagos'!$E500,32,9999)</f>
        <v>32</v>
      </c>
      <c r="BA500" s="0" t="n">
        <f aca="false">IF(Presupuesto!$B$33='Flujo de Pagos'!$E500,33,9999)</f>
        <v>33</v>
      </c>
      <c r="BB500" s="0" t="n">
        <f aca="false">IF(Presupuesto!$B$34='Flujo de Pagos'!$E500,34,9999)</f>
        <v>34</v>
      </c>
      <c r="BC500" s="0" t="n">
        <f aca="false">IF(Presupuesto!$B$35='Flujo de Pagos'!$E500,35,9999)</f>
        <v>35</v>
      </c>
      <c r="BD500" s="0" t="n">
        <f aca="false">IF(Presupuesto!$B$36='Flujo de Pagos'!$E500,36,9999)</f>
        <v>36</v>
      </c>
      <c r="BE500" s="0" t="n">
        <f aca="false">IF(Presupuesto!$B$37='Flujo de Pagos'!$E500,37,9999)</f>
        <v>37</v>
      </c>
      <c r="BF500" s="0" t="n">
        <f aca="false">IF(Presupuesto!$B$38='Flujo de Pagos'!$E500,38,9999)</f>
        <v>38</v>
      </c>
      <c r="BG500" s="0" t="n">
        <f aca="false">IF(Presupuesto!$B$39='Flujo de Pagos'!$E500,39,9999)</f>
        <v>39</v>
      </c>
      <c r="BH500" s="0" t="n">
        <f aca="false">IF(Presupuesto!$B$40='Flujo de Pagos'!$E500,40,9999)</f>
        <v>40</v>
      </c>
      <c r="BI500" s="0" t="n">
        <f aca="false">IF(Presupuesto!$B$41='Flujo de Pagos'!$E500,41,9999)</f>
        <v>41</v>
      </c>
      <c r="BJ500" s="0" t="n">
        <f aca="false">IF(Presupuesto!$B$42='Flujo de Pagos'!$E500,42,9999)</f>
        <v>42</v>
      </c>
      <c r="BK500" s="0" t="n">
        <f aca="false">IF(Presupuesto!$B$43='Flujo de Pagos'!$E500,43,9999)</f>
        <v>43</v>
      </c>
      <c r="BL500" s="0" t="n">
        <f aca="false">IF(Presupuesto!$B$44='Flujo de Pagos'!$E500,44,9999)</f>
        <v>44</v>
      </c>
      <c r="BM500" s="0" t="n">
        <f aca="false">IF(Presupuesto!$B$45='Flujo de Pagos'!$E500,45,9999)</f>
        <v>45</v>
      </c>
      <c r="BN500" s="0" t="n">
        <f aca="false">IF(Presupuesto!$B$46='Flujo de Pagos'!$E500,46,9999)</f>
        <v>46</v>
      </c>
      <c r="BO500" s="0" t="n">
        <f aca="false">IF(Presupuesto!$B$47='Flujo de Pagos'!$E500,47,9999)</f>
        <v>47</v>
      </c>
      <c r="BP500" s="0" t="n">
        <f aca="false">IF(Presupuesto!$B$48='Flujo de Pagos'!$E500,48,9999)</f>
        <v>48</v>
      </c>
      <c r="BQ500" s="0" t="n">
        <f aca="false">IF(Presupuesto!$B$49='Flujo de Pagos'!$E500,49,9999)</f>
        <v>49</v>
      </c>
      <c r="BR500" s="0" t="n">
        <f aca="false">IF(Presupuesto!$B$50='Flujo de Pagos'!$E500,50,9999)</f>
        <v>50</v>
      </c>
      <c r="BS500" s="0" t="n">
        <f aca="false">IF(Presupuesto!$B$51='Flujo de Pagos'!$E500,51,9999)</f>
        <v>51</v>
      </c>
      <c r="BT500" s="0" t="n">
        <f aca="false">IF(Presupuesto!$B$52='Flujo de Pagos'!$E500,52,9999)</f>
        <v>52</v>
      </c>
      <c r="BU500" s="0" t="n">
        <f aca="false">IF(Presupuesto!$B$53='Flujo de Pagos'!$E500,53,9999)</f>
        <v>53</v>
      </c>
      <c r="BV500" s="0" t="n">
        <f aca="false">IF(Presupuesto!$B$54='Flujo de Pagos'!$E500,54,9999)</f>
        <v>54</v>
      </c>
      <c r="BW500" s="0" t="n">
        <f aca="false">IF(Presupuesto!$B$55='Flujo de Pagos'!$E500,55,9999)</f>
        <v>55</v>
      </c>
      <c r="BX500" s="0" t="n">
        <f aca="false">IF(Presupuesto!$B$56='Flujo de Pagos'!$E500,56,9999)</f>
        <v>56</v>
      </c>
      <c r="BY500" s="0" t="n">
        <f aca="false">IF(Presupuesto!$B$57='Flujo de Pagos'!$E500,57,9999)</f>
        <v>57</v>
      </c>
      <c r="BZ500" s="0" t="n">
        <f aca="false">IF(Presupuesto!$B$58='Flujo de Pagos'!$E500,58,9999)</f>
        <v>58</v>
      </c>
      <c r="CA500" s="0" t="n">
        <f aca="false">IF(Presupuesto!$B$59='Flujo de Pagos'!$E500,59,9999)</f>
        <v>59</v>
      </c>
      <c r="CB500" s="0" t="n">
        <f aca="false">IF(Presupuesto!$B$60='Flujo de Pagos'!$E500,60,9999)</f>
        <v>60</v>
      </c>
      <c r="CC500" s="0" t="n">
        <f aca="false">IF(Presupuesto!$B$61='Flujo de Pagos'!$E500,61,9999)</f>
        <v>61</v>
      </c>
      <c r="CD500" s="0" t="n">
        <f aca="false">IF(Presupuesto!$B$62='Flujo de Pagos'!$E500,62,9999)</f>
        <v>62</v>
      </c>
      <c r="CE500" s="0" t="n">
        <f aca="false">IF(Presupuesto!$B$63='Flujo de Pagos'!$E500,63,9999)</f>
        <v>63</v>
      </c>
      <c r="CF500" s="0" t="n">
        <f aca="false">IF(Presupuesto!$B$64='Flujo de Pagos'!$E500,64,9999)</f>
        <v>64</v>
      </c>
      <c r="CG500" s="0" t="n">
        <f aca="false">IF(Presupuesto!$B$65='Flujo de Pagos'!$E500,65,9999)</f>
        <v>65</v>
      </c>
      <c r="CH500" s="0" t="n">
        <f aca="false">IF(Presupuesto!$B$66='Flujo de Pagos'!$E500,66,9999)</f>
        <v>66</v>
      </c>
    </row>
    <row r="501" customFormat="false" ht="15" hidden="false" customHeight="true" outlineLevel="0" collapsed="false">
      <c r="B501" s="1" t="n">
        <f aca="false">IF(AND('Flujo de Pagos'!E506=Carátula!$B$2,'Flujo de Pagos'!F506=Carátula!$B$4,'Flujo de Pagos'!H506&lt;&gt;""),506,99999)</f>
        <v>99999</v>
      </c>
      <c r="H501" s="1" t="n">
        <f aca="false">IF(SMALL($AA501:$CH501,1)&gt;=9999,"",INDEX(Presupuesto!$C:$C,SMALL($AA501:$CH501,1)))</f>
        <v>0</v>
      </c>
      <c r="I501" s="1" t="n">
        <f aca="false">IF(SMALL($AA501:$CH501,2)&gt;=9999,"",INDEX(Presupuesto!$C:$C,SMALL($AA501:$CH501,2)))</f>
        <v>0</v>
      </c>
      <c r="J501" s="1" t="n">
        <f aca="false">IF(SMALL($AA501:$CH501,3)&gt;=9999,"",INDEX(Presupuesto!$C:$C,SMALL($AA501:$CH501,3)))</f>
        <v>0</v>
      </c>
      <c r="K501" s="1" t="n">
        <f aca="false">IF(SMALL($AA501:$CH501,4)&gt;=9999,"",INDEX(Presupuesto!$C:$C,SMALL($AA501:$CH501,4)))</f>
        <v>0</v>
      </c>
      <c r="L501" s="1" t="n">
        <f aca="false">IF(SMALL($AA501:$CH501,5)&gt;=9999,"",INDEX(Presupuesto!$C:$C,SMALL($AA501:$CH501,5)))</f>
        <v>0</v>
      </c>
      <c r="M501" s="1" t="n">
        <f aca="false">IF(SMALL($AA501:$CH501,6)&gt;=9999,"",INDEX(Presupuesto!$C:$C,SMALL($AA501:$CH501,6)))</f>
        <v>0</v>
      </c>
      <c r="N501" s="1" t="n">
        <f aca="false">IF(SMALL($AA501:$CH501,7)&gt;=9999,"",INDEX(Presupuesto!$C:$C,SMALL($AA501:$CH501,7)))</f>
        <v>0</v>
      </c>
      <c r="O501" s="1" t="n">
        <f aca="false">IF(SMALL($AA501:$CH501,8)&gt;=9999,"",INDEX(Presupuesto!$C:$C,SMALL($AA501:$CH501,8)))</f>
        <v>0</v>
      </c>
      <c r="P501" s="1" t="n">
        <f aca="false">IF(SMALL($AA501:$CH501,9)&gt;=9999,"",INDEX(Presupuesto!$C:$C,SMALL($AA501:$CH501,9)))</f>
        <v>0</v>
      </c>
      <c r="Q501" s="1" t="n">
        <f aca="false">IF(SMALL($AA501:$CH501,10)&gt;=9999,"",INDEX(Presupuesto!$C:$C,SMALL($AA501:$CH501,10)))</f>
        <v>0</v>
      </c>
      <c r="AA501" s="0" t="n">
        <f aca="false">IF(Presupuesto!$B$7='Flujo de Pagos'!$E501,7,9999)</f>
        <v>9999</v>
      </c>
      <c r="AB501" s="0" t="n">
        <f aca="false">IF(Presupuesto!$B$8='Flujo de Pagos'!$E501,8,9999)</f>
        <v>9999</v>
      </c>
      <c r="AC501" s="0" t="n">
        <f aca="false">IF(Presupuesto!$B$9='Flujo de Pagos'!$E501,9,9999)</f>
        <v>9999</v>
      </c>
      <c r="AD501" s="0" t="n">
        <f aca="false">IF(Presupuesto!$B$10='Flujo de Pagos'!$E501,10,9999)</f>
        <v>9999</v>
      </c>
      <c r="AE501" s="0" t="n">
        <f aca="false">IF(Presupuesto!$B$11='Flujo de Pagos'!$E501,11,9999)</f>
        <v>9999</v>
      </c>
      <c r="AF501" s="0" t="n">
        <f aca="false">IF(Presupuesto!$B$12='Flujo de Pagos'!$E501,12,9999)</f>
        <v>12</v>
      </c>
      <c r="AG501" s="0" t="n">
        <f aca="false">IF(Presupuesto!$B$13='Flujo de Pagos'!$E501,13,9999)</f>
        <v>13</v>
      </c>
      <c r="AH501" s="0" t="n">
        <f aca="false">IF(Presupuesto!$B$14='Flujo de Pagos'!$E501,14,9999)</f>
        <v>14</v>
      </c>
      <c r="AI501" s="0" t="n">
        <f aca="false">IF(Presupuesto!$B$15='Flujo de Pagos'!$E501,15,9999)</f>
        <v>15</v>
      </c>
      <c r="AJ501" s="0" t="n">
        <f aca="false">IF(Presupuesto!$B$16='Flujo de Pagos'!$E501,16,9999)</f>
        <v>16</v>
      </c>
      <c r="AK501" s="0" t="n">
        <f aca="false">IF(Presupuesto!$B$17='Flujo de Pagos'!$E501,17,9999)</f>
        <v>17</v>
      </c>
      <c r="AL501" s="0" t="n">
        <f aca="false">IF(Presupuesto!$B$18='Flujo de Pagos'!$E501,18,9999)</f>
        <v>18</v>
      </c>
      <c r="AM501" s="0" t="n">
        <f aca="false">IF(Presupuesto!$B$19='Flujo de Pagos'!$E501,19,9999)</f>
        <v>19</v>
      </c>
      <c r="AN501" s="0" t="n">
        <f aca="false">IF(Presupuesto!$B$20='Flujo de Pagos'!$E501,20,9999)</f>
        <v>20</v>
      </c>
      <c r="AO501" s="0" t="n">
        <f aca="false">IF(Presupuesto!$B$21='Flujo de Pagos'!$E501,21,9999)</f>
        <v>21</v>
      </c>
      <c r="AP501" s="0" t="n">
        <f aca="false">IF(Presupuesto!$B$22='Flujo de Pagos'!$E501,22,9999)</f>
        <v>22</v>
      </c>
      <c r="AQ501" s="0" t="n">
        <f aca="false">IF(Presupuesto!$B$23='Flujo de Pagos'!$E501,23,9999)</f>
        <v>23</v>
      </c>
      <c r="AR501" s="0" t="n">
        <f aca="false">IF(Presupuesto!$B$24='Flujo de Pagos'!$E501,24,9999)</f>
        <v>24</v>
      </c>
      <c r="AS501" s="0" t="n">
        <f aca="false">IF(Presupuesto!$B$25='Flujo de Pagos'!$E501,25,9999)</f>
        <v>25</v>
      </c>
      <c r="AT501" s="0" t="n">
        <f aca="false">IF(Presupuesto!$B$26='Flujo de Pagos'!$E501,26,9999)</f>
        <v>26</v>
      </c>
      <c r="AU501" s="0" t="n">
        <f aca="false">IF(Presupuesto!$B$27='Flujo de Pagos'!$E501,27,9999)</f>
        <v>27</v>
      </c>
      <c r="AV501" s="0" t="n">
        <f aca="false">IF(Presupuesto!$B$28='Flujo de Pagos'!$E501,28,9999)</f>
        <v>28</v>
      </c>
      <c r="AW501" s="0" t="n">
        <f aca="false">IF(Presupuesto!$B$29='Flujo de Pagos'!$E501,29,9999)</f>
        <v>29</v>
      </c>
      <c r="AX501" s="0" t="n">
        <f aca="false">IF(Presupuesto!$B$30='Flujo de Pagos'!$E501,30,9999)</f>
        <v>30</v>
      </c>
      <c r="AY501" s="0" t="n">
        <f aca="false">IF(Presupuesto!$B$31='Flujo de Pagos'!$E501,31,9999)</f>
        <v>31</v>
      </c>
      <c r="AZ501" s="0" t="n">
        <f aca="false">IF(Presupuesto!$B$32='Flujo de Pagos'!$E501,32,9999)</f>
        <v>32</v>
      </c>
      <c r="BA501" s="0" t="n">
        <f aca="false">IF(Presupuesto!$B$33='Flujo de Pagos'!$E501,33,9999)</f>
        <v>33</v>
      </c>
      <c r="BB501" s="0" t="n">
        <f aca="false">IF(Presupuesto!$B$34='Flujo de Pagos'!$E501,34,9999)</f>
        <v>34</v>
      </c>
      <c r="BC501" s="0" t="n">
        <f aca="false">IF(Presupuesto!$B$35='Flujo de Pagos'!$E501,35,9999)</f>
        <v>35</v>
      </c>
      <c r="BD501" s="0" t="n">
        <f aca="false">IF(Presupuesto!$B$36='Flujo de Pagos'!$E501,36,9999)</f>
        <v>36</v>
      </c>
      <c r="BE501" s="0" t="n">
        <f aca="false">IF(Presupuesto!$B$37='Flujo de Pagos'!$E501,37,9999)</f>
        <v>37</v>
      </c>
      <c r="BF501" s="0" t="n">
        <f aca="false">IF(Presupuesto!$B$38='Flujo de Pagos'!$E501,38,9999)</f>
        <v>38</v>
      </c>
      <c r="BG501" s="0" t="n">
        <f aca="false">IF(Presupuesto!$B$39='Flujo de Pagos'!$E501,39,9999)</f>
        <v>39</v>
      </c>
      <c r="BH501" s="0" t="n">
        <f aca="false">IF(Presupuesto!$B$40='Flujo de Pagos'!$E501,40,9999)</f>
        <v>40</v>
      </c>
      <c r="BI501" s="0" t="n">
        <f aca="false">IF(Presupuesto!$B$41='Flujo de Pagos'!$E501,41,9999)</f>
        <v>41</v>
      </c>
      <c r="BJ501" s="0" t="n">
        <f aca="false">IF(Presupuesto!$B$42='Flujo de Pagos'!$E501,42,9999)</f>
        <v>42</v>
      </c>
      <c r="BK501" s="0" t="n">
        <f aca="false">IF(Presupuesto!$B$43='Flujo de Pagos'!$E501,43,9999)</f>
        <v>43</v>
      </c>
      <c r="BL501" s="0" t="n">
        <f aca="false">IF(Presupuesto!$B$44='Flujo de Pagos'!$E501,44,9999)</f>
        <v>44</v>
      </c>
      <c r="BM501" s="0" t="n">
        <f aca="false">IF(Presupuesto!$B$45='Flujo de Pagos'!$E501,45,9999)</f>
        <v>45</v>
      </c>
      <c r="BN501" s="0" t="n">
        <f aca="false">IF(Presupuesto!$B$46='Flujo de Pagos'!$E501,46,9999)</f>
        <v>46</v>
      </c>
      <c r="BO501" s="0" t="n">
        <f aca="false">IF(Presupuesto!$B$47='Flujo de Pagos'!$E501,47,9999)</f>
        <v>47</v>
      </c>
      <c r="BP501" s="0" t="n">
        <f aca="false">IF(Presupuesto!$B$48='Flujo de Pagos'!$E501,48,9999)</f>
        <v>48</v>
      </c>
      <c r="BQ501" s="0" t="n">
        <f aca="false">IF(Presupuesto!$B$49='Flujo de Pagos'!$E501,49,9999)</f>
        <v>49</v>
      </c>
      <c r="BR501" s="0" t="n">
        <f aca="false">IF(Presupuesto!$B$50='Flujo de Pagos'!$E501,50,9999)</f>
        <v>50</v>
      </c>
      <c r="BS501" s="0" t="n">
        <f aca="false">IF(Presupuesto!$B$51='Flujo de Pagos'!$E501,51,9999)</f>
        <v>51</v>
      </c>
      <c r="BT501" s="0" t="n">
        <f aca="false">IF(Presupuesto!$B$52='Flujo de Pagos'!$E501,52,9999)</f>
        <v>52</v>
      </c>
      <c r="BU501" s="0" t="n">
        <f aca="false">IF(Presupuesto!$B$53='Flujo de Pagos'!$E501,53,9999)</f>
        <v>53</v>
      </c>
      <c r="BV501" s="0" t="n">
        <f aca="false">IF(Presupuesto!$B$54='Flujo de Pagos'!$E501,54,9999)</f>
        <v>54</v>
      </c>
      <c r="BW501" s="0" t="n">
        <f aca="false">IF(Presupuesto!$B$55='Flujo de Pagos'!$E501,55,9999)</f>
        <v>55</v>
      </c>
      <c r="BX501" s="0" t="n">
        <f aca="false">IF(Presupuesto!$B$56='Flujo de Pagos'!$E501,56,9999)</f>
        <v>56</v>
      </c>
      <c r="BY501" s="0" t="n">
        <f aca="false">IF(Presupuesto!$B$57='Flujo de Pagos'!$E501,57,9999)</f>
        <v>57</v>
      </c>
      <c r="BZ501" s="0" t="n">
        <f aca="false">IF(Presupuesto!$B$58='Flujo de Pagos'!$E501,58,9999)</f>
        <v>58</v>
      </c>
      <c r="CA501" s="0" t="n">
        <f aca="false">IF(Presupuesto!$B$59='Flujo de Pagos'!$E501,59,9999)</f>
        <v>59</v>
      </c>
      <c r="CB501" s="0" t="n">
        <f aca="false">IF(Presupuesto!$B$60='Flujo de Pagos'!$E501,60,9999)</f>
        <v>60</v>
      </c>
      <c r="CC501" s="0" t="n">
        <f aca="false">IF(Presupuesto!$B$61='Flujo de Pagos'!$E501,61,9999)</f>
        <v>61</v>
      </c>
      <c r="CD501" s="0" t="n">
        <f aca="false">IF(Presupuesto!$B$62='Flujo de Pagos'!$E501,62,9999)</f>
        <v>62</v>
      </c>
      <c r="CE501" s="0" t="n">
        <f aca="false">IF(Presupuesto!$B$63='Flujo de Pagos'!$E501,63,9999)</f>
        <v>63</v>
      </c>
      <c r="CF501" s="0" t="n">
        <f aca="false">IF(Presupuesto!$B$64='Flujo de Pagos'!$E501,64,9999)</f>
        <v>64</v>
      </c>
      <c r="CG501" s="0" t="n">
        <f aca="false">IF(Presupuesto!$B$65='Flujo de Pagos'!$E501,65,9999)</f>
        <v>65</v>
      </c>
      <c r="CH501" s="0" t="n">
        <f aca="false">IF(Presupuesto!$B$66='Flujo de Pagos'!$E501,66,9999)</f>
        <v>66</v>
      </c>
    </row>
    <row r="502" customFormat="false" ht="15" hidden="false" customHeight="true" outlineLevel="0" collapsed="false">
      <c r="H502" s="1" t="n">
        <f aca="false">IF(SMALL($AA502:$CH502,1)&gt;=9999,"",INDEX(Presupuesto!$C:$C,SMALL($AA502:$CH502,1)))</f>
        <v>0</v>
      </c>
      <c r="I502" s="1" t="n">
        <f aca="false">IF(SMALL($AA502:$CH502,2)&gt;=9999,"",INDEX(Presupuesto!$C:$C,SMALL($AA502:$CH502,2)))</f>
        <v>0</v>
      </c>
      <c r="J502" s="1" t="n">
        <f aca="false">IF(SMALL($AA502:$CH502,3)&gt;=9999,"",INDEX(Presupuesto!$C:$C,SMALL($AA502:$CH502,3)))</f>
        <v>0</v>
      </c>
      <c r="K502" s="1" t="n">
        <f aca="false">IF(SMALL($AA502:$CH502,4)&gt;=9999,"",INDEX(Presupuesto!$C:$C,SMALL($AA502:$CH502,4)))</f>
        <v>0</v>
      </c>
      <c r="L502" s="1" t="n">
        <f aca="false">IF(SMALL($AA502:$CH502,5)&gt;=9999,"",INDEX(Presupuesto!$C:$C,SMALL($AA502:$CH502,5)))</f>
        <v>0</v>
      </c>
      <c r="M502" s="1" t="n">
        <f aca="false">IF(SMALL($AA502:$CH502,6)&gt;=9999,"",INDEX(Presupuesto!$C:$C,SMALL($AA502:$CH502,6)))</f>
        <v>0</v>
      </c>
      <c r="N502" s="1" t="n">
        <f aca="false">IF(SMALL($AA502:$CH502,7)&gt;=9999,"",INDEX(Presupuesto!$C:$C,SMALL($AA502:$CH502,7)))</f>
        <v>0</v>
      </c>
      <c r="O502" s="1" t="n">
        <f aca="false">IF(SMALL($AA502:$CH502,8)&gt;=9999,"",INDEX(Presupuesto!$C:$C,SMALL($AA502:$CH502,8)))</f>
        <v>0</v>
      </c>
      <c r="P502" s="1" t="n">
        <f aca="false">IF(SMALL($AA502:$CH502,9)&gt;=9999,"",INDEX(Presupuesto!$C:$C,SMALL($AA502:$CH502,9)))</f>
        <v>0</v>
      </c>
      <c r="Q502" s="1" t="n">
        <f aca="false">IF(SMALL($AA502:$CH502,10)&gt;=9999,"",INDEX(Presupuesto!$C:$C,SMALL($AA502:$CH502,10)))</f>
        <v>0</v>
      </c>
      <c r="AA502" s="0" t="n">
        <f aca="false">IF(Presupuesto!$B$7='Flujo de Pagos'!$E502,7,9999)</f>
        <v>9999</v>
      </c>
      <c r="AB502" s="0" t="n">
        <f aca="false">IF(Presupuesto!$B$8='Flujo de Pagos'!$E502,8,9999)</f>
        <v>9999</v>
      </c>
      <c r="AC502" s="0" t="n">
        <f aca="false">IF(Presupuesto!$B$9='Flujo de Pagos'!$E502,9,9999)</f>
        <v>9999</v>
      </c>
      <c r="AD502" s="0" t="n">
        <f aca="false">IF(Presupuesto!$B$10='Flujo de Pagos'!$E502,10,9999)</f>
        <v>9999</v>
      </c>
      <c r="AE502" s="0" t="n">
        <f aca="false">IF(Presupuesto!$B$11='Flujo de Pagos'!$E502,11,9999)</f>
        <v>9999</v>
      </c>
      <c r="AF502" s="0" t="n">
        <f aca="false">IF(Presupuesto!$B$12='Flujo de Pagos'!$E502,12,9999)</f>
        <v>12</v>
      </c>
      <c r="AG502" s="0" t="n">
        <f aca="false">IF(Presupuesto!$B$13='Flujo de Pagos'!$E502,13,9999)</f>
        <v>13</v>
      </c>
      <c r="AH502" s="0" t="n">
        <f aca="false">IF(Presupuesto!$B$14='Flujo de Pagos'!$E502,14,9999)</f>
        <v>14</v>
      </c>
      <c r="AI502" s="0" t="n">
        <f aca="false">IF(Presupuesto!$B$15='Flujo de Pagos'!$E502,15,9999)</f>
        <v>15</v>
      </c>
      <c r="AJ502" s="0" t="n">
        <f aca="false">IF(Presupuesto!$B$16='Flujo de Pagos'!$E502,16,9999)</f>
        <v>16</v>
      </c>
      <c r="AK502" s="0" t="n">
        <f aca="false">IF(Presupuesto!$B$17='Flujo de Pagos'!$E502,17,9999)</f>
        <v>17</v>
      </c>
      <c r="AL502" s="0" t="n">
        <f aca="false">IF(Presupuesto!$B$18='Flujo de Pagos'!$E502,18,9999)</f>
        <v>18</v>
      </c>
      <c r="AM502" s="0" t="n">
        <f aca="false">IF(Presupuesto!$B$19='Flujo de Pagos'!$E502,19,9999)</f>
        <v>19</v>
      </c>
      <c r="AN502" s="0" t="n">
        <f aca="false">IF(Presupuesto!$B$20='Flujo de Pagos'!$E502,20,9999)</f>
        <v>20</v>
      </c>
      <c r="AO502" s="0" t="n">
        <f aca="false">IF(Presupuesto!$B$21='Flujo de Pagos'!$E502,21,9999)</f>
        <v>21</v>
      </c>
      <c r="AP502" s="0" t="n">
        <f aca="false">IF(Presupuesto!$B$22='Flujo de Pagos'!$E502,22,9999)</f>
        <v>22</v>
      </c>
      <c r="AQ502" s="0" t="n">
        <f aca="false">IF(Presupuesto!$B$23='Flujo de Pagos'!$E502,23,9999)</f>
        <v>23</v>
      </c>
      <c r="AR502" s="0" t="n">
        <f aca="false">IF(Presupuesto!$B$24='Flujo de Pagos'!$E502,24,9999)</f>
        <v>24</v>
      </c>
      <c r="AS502" s="0" t="n">
        <f aca="false">IF(Presupuesto!$B$25='Flujo de Pagos'!$E502,25,9999)</f>
        <v>25</v>
      </c>
      <c r="AT502" s="0" t="n">
        <f aca="false">IF(Presupuesto!$B$26='Flujo de Pagos'!$E502,26,9999)</f>
        <v>26</v>
      </c>
      <c r="AU502" s="0" t="n">
        <f aca="false">IF(Presupuesto!$B$27='Flujo de Pagos'!$E502,27,9999)</f>
        <v>27</v>
      </c>
      <c r="AV502" s="0" t="n">
        <f aca="false">IF(Presupuesto!$B$28='Flujo de Pagos'!$E502,28,9999)</f>
        <v>28</v>
      </c>
      <c r="AW502" s="0" t="n">
        <f aca="false">IF(Presupuesto!$B$29='Flujo de Pagos'!$E502,29,9999)</f>
        <v>29</v>
      </c>
      <c r="AX502" s="0" t="n">
        <f aca="false">IF(Presupuesto!$B$30='Flujo de Pagos'!$E502,30,9999)</f>
        <v>30</v>
      </c>
      <c r="AY502" s="0" t="n">
        <f aca="false">IF(Presupuesto!$B$31='Flujo de Pagos'!$E502,31,9999)</f>
        <v>31</v>
      </c>
      <c r="AZ502" s="0" t="n">
        <f aca="false">IF(Presupuesto!$B$32='Flujo de Pagos'!$E502,32,9999)</f>
        <v>32</v>
      </c>
      <c r="BA502" s="0" t="n">
        <f aca="false">IF(Presupuesto!$B$33='Flujo de Pagos'!$E502,33,9999)</f>
        <v>33</v>
      </c>
      <c r="BB502" s="0" t="n">
        <f aca="false">IF(Presupuesto!$B$34='Flujo de Pagos'!$E502,34,9999)</f>
        <v>34</v>
      </c>
      <c r="BC502" s="0" t="n">
        <f aca="false">IF(Presupuesto!$B$35='Flujo de Pagos'!$E502,35,9999)</f>
        <v>35</v>
      </c>
      <c r="BD502" s="0" t="n">
        <f aca="false">IF(Presupuesto!$B$36='Flujo de Pagos'!$E502,36,9999)</f>
        <v>36</v>
      </c>
      <c r="BE502" s="0" t="n">
        <f aca="false">IF(Presupuesto!$B$37='Flujo de Pagos'!$E502,37,9999)</f>
        <v>37</v>
      </c>
      <c r="BF502" s="0" t="n">
        <f aca="false">IF(Presupuesto!$B$38='Flujo de Pagos'!$E502,38,9999)</f>
        <v>38</v>
      </c>
      <c r="BG502" s="0" t="n">
        <f aca="false">IF(Presupuesto!$B$39='Flujo de Pagos'!$E502,39,9999)</f>
        <v>39</v>
      </c>
      <c r="BH502" s="0" t="n">
        <f aca="false">IF(Presupuesto!$B$40='Flujo de Pagos'!$E502,40,9999)</f>
        <v>40</v>
      </c>
      <c r="BI502" s="0" t="n">
        <f aca="false">IF(Presupuesto!$B$41='Flujo de Pagos'!$E502,41,9999)</f>
        <v>41</v>
      </c>
      <c r="BJ502" s="0" t="n">
        <f aca="false">IF(Presupuesto!$B$42='Flujo de Pagos'!$E502,42,9999)</f>
        <v>42</v>
      </c>
      <c r="BK502" s="0" t="n">
        <f aca="false">IF(Presupuesto!$B$43='Flujo de Pagos'!$E502,43,9999)</f>
        <v>43</v>
      </c>
      <c r="BL502" s="0" t="n">
        <f aca="false">IF(Presupuesto!$B$44='Flujo de Pagos'!$E502,44,9999)</f>
        <v>44</v>
      </c>
      <c r="BM502" s="0" t="n">
        <f aca="false">IF(Presupuesto!$B$45='Flujo de Pagos'!$E502,45,9999)</f>
        <v>45</v>
      </c>
      <c r="BN502" s="0" t="n">
        <f aca="false">IF(Presupuesto!$B$46='Flujo de Pagos'!$E502,46,9999)</f>
        <v>46</v>
      </c>
      <c r="BO502" s="0" t="n">
        <f aca="false">IF(Presupuesto!$B$47='Flujo de Pagos'!$E502,47,9999)</f>
        <v>47</v>
      </c>
      <c r="BP502" s="0" t="n">
        <f aca="false">IF(Presupuesto!$B$48='Flujo de Pagos'!$E502,48,9999)</f>
        <v>48</v>
      </c>
      <c r="BQ502" s="0" t="n">
        <f aca="false">IF(Presupuesto!$B$49='Flujo de Pagos'!$E502,49,9999)</f>
        <v>49</v>
      </c>
      <c r="BR502" s="0" t="n">
        <f aca="false">IF(Presupuesto!$B$50='Flujo de Pagos'!$E502,50,9999)</f>
        <v>50</v>
      </c>
      <c r="BS502" s="0" t="n">
        <f aca="false">IF(Presupuesto!$B$51='Flujo de Pagos'!$E502,51,9999)</f>
        <v>51</v>
      </c>
      <c r="BT502" s="0" t="n">
        <f aca="false">IF(Presupuesto!$B$52='Flujo de Pagos'!$E502,52,9999)</f>
        <v>52</v>
      </c>
      <c r="BU502" s="0" t="n">
        <f aca="false">IF(Presupuesto!$B$53='Flujo de Pagos'!$E502,53,9999)</f>
        <v>53</v>
      </c>
      <c r="BV502" s="0" t="n">
        <f aca="false">IF(Presupuesto!$B$54='Flujo de Pagos'!$E502,54,9999)</f>
        <v>54</v>
      </c>
      <c r="BW502" s="0" t="n">
        <f aca="false">IF(Presupuesto!$B$55='Flujo de Pagos'!$E502,55,9999)</f>
        <v>55</v>
      </c>
      <c r="BX502" s="0" t="n">
        <f aca="false">IF(Presupuesto!$B$56='Flujo de Pagos'!$E502,56,9999)</f>
        <v>56</v>
      </c>
      <c r="BY502" s="0" t="n">
        <f aca="false">IF(Presupuesto!$B$57='Flujo de Pagos'!$E502,57,9999)</f>
        <v>57</v>
      </c>
      <c r="BZ502" s="0" t="n">
        <f aca="false">IF(Presupuesto!$B$58='Flujo de Pagos'!$E502,58,9999)</f>
        <v>58</v>
      </c>
      <c r="CA502" s="0" t="n">
        <f aca="false">IF(Presupuesto!$B$59='Flujo de Pagos'!$E502,59,9999)</f>
        <v>59</v>
      </c>
      <c r="CB502" s="0" t="n">
        <f aca="false">IF(Presupuesto!$B$60='Flujo de Pagos'!$E502,60,9999)</f>
        <v>60</v>
      </c>
      <c r="CC502" s="0" t="n">
        <f aca="false">IF(Presupuesto!$B$61='Flujo de Pagos'!$E502,61,9999)</f>
        <v>61</v>
      </c>
      <c r="CD502" s="0" t="n">
        <f aca="false">IF(Presupuesto!$B$62='Flujo de Pagos'!$E502,62,9999)</f>
        <v>62</v>
      </c>
      <c r="CE502" s="0" t="n">
        <f aca="false">IF(Presupuesto!$B$63='Flujo de Pagos'!$E502,63,9999)</f>
        <v>63</v>
      </c>
      <c r="CF502" s="0" t="n">
        <f aca="false">IF(Presupuesto!$B$64='Flujo de Pagos'!$E502,64,9999)</f>
        <v>64</v>
      </c>
      <c r="CG502" s="0" t="n">
        <f aca="false">IF(Presupuesto!$B$65='Flujo de Pagos'!$E502,65,9999)</f>
        <v>65</v>
      </c>
      <c r="CH502" s="0" t="n">
        <f aca="false">IF(Presupuesto!$B$66='Flujo de Pagos'!$E502,66,9999)</f>
        <v>66</v>
      </c>
    </row>
    <row r="503" customFormat="false" ht="15" hidden="false" customHeight="true" outlineLevel="0" collapsed="false">
      <c r="H503" s="1" t="n">
        <f aca="false">IF(SMALL($AA503:$CH503,1)&gt;=9999,"",INDEX(Presupuesto!$C:$C,SMALL($AA503:$CH503,1)))</f>
        <v>0</v>
      </c>
      <c r="I503" s="1" t="n">
        <f aca="false">IF(SMALL($AA503:$CH503,2)&gt;=9999,"",INDEX(Presupuesto!$C:$C,SMALL($AA503:$CH503,2)))</f>
        <v>0</v>
      </c>
      <c r="J503" s="1" t="n">
        <f aca="false">IF(SMALL($AA503:$CH503,3)&gt;=9999,"",INDEX(Presupuesto!$C:$C,SMALL($AA503:$CH503,3)))</f>
        <v>0</v>
      </c>
      <c r="K503" s="1" t="n">
        <f aca="false">IF(SMALL($AA503:$CH503,4)&gt;=9999,"",INDEX(Presupuesto!$C:$C,SMALL($AA503:$CH503,4)))</f>
        <v>0</v>
      </c>
      <c r="L503" s="1" t="n">
        <f aca="false">IF(SMALL($AA503:$CH503,5)&gt;=9999,"",INDEX(Presupuesto!$C:$C,SMALL($AA503:$CH503,5)))</f>
        <v>0</v>
      </c>
      <c r="M503" s="1" t="n">
        <f aca="false">IF(SMALL($AA503:$CH503,6)&gt;=9999,"",INDEX(Presupuesto!$C:$C,SMALL($AA503:$CH503,6)))</f>
        <v>0</v>
      </c>
      <c r="N503" s="1" t="n">
        <f aca="false">IF(SMALL($AA503:$CH503,7)&gt;=9999,"",INDEX(Presupuesto!$C:$C,SMALL($AA503:$CH503,7)))</f>
        <v>0</v>
      </c>
      <c r="O503" s="1" t="n">
        <f aca="false">IF(SMALL($AA503:$CH503,8)&gt;=9999,"",INDEX(Presupuesto!$C:$C,SMALL($AA503:$CH503,8)))</f>
        <v>0</v>
      </c>
      <c r="P503" s="1" t="n">
        <f aca="false">IF(SMALL($AA503:$CH503,9)&gt;=9999,"",INDEX(Presupuesto!$C:$C,SMALL($AA503:$CH503,9)))</f>
        <v>0</v>
      </c>
      <c r="Q503" s="1" t="n">
        <f aca="false">IF(SMALL($AA503:$CH503,10)&gt;=9999,"",INDEX(Presupuesto!$C:$C,SMALL($AA503:$CH503,10)))</f>
        <v>0</v>
      </c>
      <c r="AA503" s="0" t="n">
        <f aca="false">IF(Presupuesto!$B$7='Flujo de Pagos'!$E503,7,9999)</f>
        <v>9999</v>
      </c>
      <c r="AB503" s="0" t="n">
        <f aca="false">IF(Presupuesto!$B$8='Flujo de Pagos'!$E503,8,9999)</f>
        <v>9999</v>
      </c>
      <c r="AC503" s="0" t="n">
        <f aca="false">IF(Presupuesto!$B$9='Flujo de Pagos'!$E503,9,9999)</f>
        <v>9999</v>
      </c>
      <c r="AD503" s="0" t="n">
        <f aca="false">IF(Presupuesto!$B$10='Flujo de Pagos'!$E503,10,9999)</f>
        <v>9999</v>
      </c>
      <c r="AE503" s="0" t="n">
        <f aca="false">IF(Presupuesto!$B$11='Flujo de Pagos'!$E503,11,9999)</f>
        <v>9999</v>
      </c>
      <c r="AF503" s="0" t="n">
        <f aca="false">IF(Presupuesto!$B$12='Flujo de Pagos'!$E503,12,9999)</f>
        <v>12</v>
      </c>
      <c r="AG503" s="0" t="n">
        <f aca="false">IF(Presupuesto!$B$13='Flujo de Pagos'!$E503,13,9999)</f>
        <v>13</v>
      </c>
      <c r="AH503" s="0" t="n">
        <f aca="false">IF(Presupuesto!$B$14='Flujo de Pagos'!$E503,14,9999)</f>
        <v>14</v>
      </c>
      <c r="AI503" s="0" t="n">
        <f aca="false">IF(Presupuesto!$B$15='Flujo de Pagos'!$E503,15,9999)</f>
        <v>15</v>
      </c>
      <c r="AJ503" s="0" t="n">
        <f aca="false">IF(Presupuesto!$B$16='Flujo de Pagos'!$E503,16,9999)</f>
        <v>16</v>
      </c>
      <c r="AK503" s="0" t="n">
        <f aca="false">IF(Presupuesto!$B$17='Flujo de Pagos'!$E503,17,9999)</f>
        <v>17</v>
      </c>
      <c r="AL503" s="0" t="n">
        <f aca="false">IF(Presupuesto!$B$18='Flujo de Pagos'!$E503,18,9999)</f>
        <v>18</v>
      </c>
      <c r="AM503" s="0" t="n">
        <f aca="false">IF(Presupuesto!$B$19='Flujo de Pagos'!$E503,19,9999)</f>
        <v>19</v>
      </c>
      <c r="AN503" s="0" t="n">
        <f aca="false">IF(Presupuesto!$B$20='Flujo de Pagos'!$E503,20,9999)</f>
        <v>20</v>
      </c>
      <c r="AO503" s="0" t="n">
        <f aca="false">IF(Presupuesto!$B$21='Flujo de Pagos'!$E503,21,9999)</f>
        <v>21</v>
      </c>
      <c r="AP503" s="0" t="n">
        <f aca="false">IF(Presupuesto!$B$22='Flujo de Pagos'!$E503,22,9999)</f>
        <v>22</v>
      </c>
      <c r="AQ503" s="0" t="n">
        <f aca="false">IF(Presupuesto!$B$23='Flujo de Pagos'!$E503,23,9999)</f>
        <v>23</v>
      </c>
      <c r="AR503" s="0" t="n">
        <f aca="false">IF(Presupuesto!$B$24='Flujo de Pagos'!$E503,24,9999)</f>
        <v>24</v>
      </c>
      <c r="AS503" s="0" t="n">
        <f aca="false">IF(Presupuesto!$B$25='Flujo de Pagos'!$E503,25,9999)</f>
        <v>25</v>
      </c>
      <c r="AT503" s="0" t="n">
        <f aca="false">IF(Presupuesto!$B$26='Flujo de Pagos'!$E503,26,9999)</f>
        <v>26</v>
      </c>
      <c r="AU503" s="0" t="n">
        <f aca="false">IF(Presupuesto!$B$27='Flujo de Pagos'!$E503,27,9999)</f>
        <v>27</v>
      </c>
      <c r="AV503" s="0" t="n">
        <f aca="false">IF(Presupuesto!$B$28='Flujo de Pagos'!$E503,28,9999)</f>
        <v>28</v>
      </c>
      <c r="AW503" s="0" t="n">
        <f aca="false">IF(Presupuesto!$B$29='Flujo de Pagos'!$E503,29,9999)</f>
        <v>29</v>
      </c>
      <c r="AX503" s="0" t="n">
        <f aca="false">IF(Presupuesto!$B$30='Flujo de Pagos'!$E503,30,9999)</f>
        <v>30</v>
      </c>
      <c r="AY503" s="0" t="n">
        <f aca="false">IF(Presupuesto!$B$31='Flujo de Pagos'!$E503,31,9999)</f>
        <v>31</v>
      </c>
      <c r="AZ503" s="0" t="n">
        <f aca="false">IF(Presupuesto!$B$32='Flujo de Pagos'!$E503,32,9999)</f>
        <v>32</v>
      </c>
      <c r="BA503" s="0" t="n">
        <f aca="false">IF(Presupuesto!$B$33='Flujo de Pagos'!$E503,33,9999)</f>
        <v>33</v>
      </c>
      <c r="BB503" s="0" t="n">
        <f aca="false">IF(Presupuesto!$B$34='Flujo de Pagos'!$E503,34,9999)</f>
        <v>34</v>
      </c>
      <c r="BC503" s="0" t="n">
        <f aca="false">IF(Presupuesto!$B$35='Flujo de Pagos'!$E503,35,9999)</f>
        <v>35</v>
      </c>
      <c r="BD503" s="0" t="n">
        <f aca="false">IF(Presupuesto!$B$36='Flujo de Pagos'!$E503,36,9999)</f>
        <v>36</v>
      </c>
      <c r="BE503" s="0" t="n">
        <f aca="false">IF(Presupuesto!$B$37='Flujo de Pagos'!$E503,37,9999)</f>
        <v>37</v>
      </c>
      <c r="BF503" s="0" t="n">
        <f aca="false">IF(Presupuesto!$B$38='Flujo de Pagos'!$E503,38,9999)</f>
        <v>38</v>
      </c>
      <c r="BG503" s="0" t="n">
        <f aca="false">IF(Presupuesto!$B$39='Flujo de Pagos'!$E503,39,9999)</f>
        <v>39</v>
      </c>
      <c r="BH503" s="0" t="n">
        <f aca="false">IF(Presupuesto!$B$40='Flujo de Pagos'!$E503,40,9999)</f>
        <v>40</v>
      </c>
      <c r="BI503" s="0" t="n">
        <f aca="false">IF(Presupuesto!$B$41='Flujo de Pagos'!$E503,41,9999)</f>
        <v>41</v>
      </c>
      <c r="BJ503" s="0" t="n">
        <f aca="false">IF(Presupuesto!$B$42='Flujo de Pagos'!$E503,42,9999)</f>
        <v>42</v>
      </c>
      <c r="BK503" s="0" t="n">
        <f aca="false">IF(Presupuesto!$B$43='Flujo de Pagos'!$E503,43,9999)</f>
        <v>43</v>
      </c>
      <c r="BL503" s="0" t="n">
        <f aca="false">IF(Presupuesto!$B$44='Flujo de Pagos'!$E503,44,9999)</f>
        <v>44</v>
      </c>
      <c r="BM503" s="0" t="n">
        <f aca="false">IF(Presupuesto!$B$45='Flujo de Pagos'!$E503,45,9999)</f>
        <v>45</v>
      </c>
      <c r="BN503" s="0" t="n">
        <f aca="false">IF(Presupuesto!$B$46='Flujo de Pagos'!$E503,46,9999)</f>
        <v>46</v>
      </c>
      <c r="BO503" s="0" t="n">
        <f aca="false">IF(Presupuesto!$B$47='Flujo de Pagos'!$E503,47,9999)</f>
        <v>47</v>
      </c>
      <c r="BP503" s="0" t="n">
        <f aca="false">IF(Presupuesto!$B$48='Flujo de Pagos'!$E503,48,9999)</f>
        <v>48</v>
      </c>
      <c r="BQ503" s="0" t="n">
        <f aca="false">IF(Presupuesto!$B$49='Flujo de Pagos'!$E503,49,9999)</f>
        <v>49</v>
      </c>
      <c r="BR503" s="0" t="n">
        <f aca="false">IF(Presupuesto!$B$50='Flujo de Pagos'!$E503,50,9999)</f>
        <v>50</v>
      </c>
      <c r="BS503" s="0" t="n">
        <f aca="false">IF(Presupuesto!$B$51='Flujo de Pagos'!$E503,51,9999)</f>
        <v>51</v>
      </c>
      <c r="BT503" s="0" t="n">
        <f aca="false">IF(Presupuesto!$B$52='Flujo de Pagos'!$E503,52,9999)</f>
        <v>52</v>
      </c>
      <c r="BU503" s="0" t="n">
        <f aca="false">IF(Presupuesto!$B$53='Flujo de Pagos'!$E503,53,9999)</f>
        <v>53</v>
      </c>
      <c r="BV503" s="0" t="n">
        <f aca="false">IF(Presupuesto!$B$54='Flujo de Pagos'!$E503,54,9999)</f>
        <v>54</v>
      </c>
      <c r="BW503" s="0" t="n">
        <f aca="false">IF(Presupuesto!$B$55='Flujo de Pagos'!$E503,55,9999)</f>
        <v>55</v>
      </c>
      <c r="BX503" s="0" t="n">
        <f aca="false">IF(Presupuesto!$B$56='Flujo de Pagos'!$E503,56,9999)</f>
        <v>56</v>
      </c>
      <c r="BY503" s="0" t="n">
        <f aca="false">IF(Presupuesto!$B$57='Flujo de Pagos'!$E503,57,9999)</f>
        <v>57</v>
      </c>
      <c r="BZ503" s="0" t="n">
        <f aca="false">IF(Presupuesto!$B$58='Flujo de Pagos'!$E503,58,9999)</f>
        <v>58</v>
      </c>
      <c r="CA503" s="0" t="n">
        <f aca="false">IF(Presupuesto!$B$59='Flujo de Pagos'!$E503,59,9999)</f>
        <v>59</v>
      </c>
      <c r="CB503" s="0" t="n">
        <f aca="false">IF(Presupuesto!$B$60='Flujo de Pagos'!$E503,60,9999)</f>
        <v>60</v>
      </c>
      <c r="CC503" s="0" t="n">
        <f aca="false">IF(Presupuesto!$B$61='Flujo de Pagos'!$E503,61,9999)</f>
        <v>61</v>
      </c>
      <c r="CD503" s="0" t="n">
        <f aca="false">IF(Presupuesto!$B$62='Flujo de Pagos'!$E503,62,9999)</f>
        <v>62</v>
      </c>
      <c r="CE503" s="0" t="n">
        <f aca="false">IF(Presupuesto!$B$63='Flujo de Pagos'!$E503,63,9999)</f>
        <v>63</v>
      </c>
      <c r="CF503" s="0" t="n">
        <f aca="false">IF(Presupuesto!$B$64='Flujo de Pagos'!$E503,64,9999)</f>
        <v>64</v>
      </c>
      <c r="CG503" s="0" t="n">
        <f aca="false">IF(Presupuesto!$B$65='Flujo de Pagos'!$E503,65,9999)</f>
        <v>65</v>
      </c>
      <c r="CH503" s="0" t="n">
        <f aca="false">IF(Presupuesto!$B$66='Flujo de Pagos'!$E503,66,9999)</f>
        <v>66</v>
      </c>
    </row>
    <row r="504" customFormat="false" ht="15" hidden="false" customHeight="true" outlineLevel="0" collapsed="false">
      <c r="H504" s="1" t="n">
        <f aca="false">IF(SMALL($AA504:$CH504,1)&gt;=9999,"",INDEX(Presupuesto!$C:$C,SMALL($AA504:$CH504,1)))</f>
        <v>0</v>
      </c>
      <c r="I504" s="1" t="n">
        <f aca="false">IF(SMALL($AA504:$CH504,2)&gt;=9999,"",INDEX(Presupuesto!$C:$C,SMALL($AA504:$CH504,2)))</f>
        <v>0</v>
      </c>
      <c r="J504" s="1" t="n">
        <f aca="false">IF(SMALL($AA504:$CH504,3)&gt;=9999,"",INDEX(Presupuesto!$C:$C,SMALL($AA504:$CH504,3)))</f>
        <v>0</v>
      </c>
      <c r="K504" s="1" t="n">
        <f aca="false">IF(SMALL($AA504:$CH504,4)&gt;=9999,"",INDEX(Presupuesto!$C:$C,SMALL($AA504:$CH504,4)))</f>
        <v>0</v>
      </c>
      <c r="L504" s="1" t="n">
        <f aca="false">IF(SMALL($AA504:$CH504,5)&gt;=9999,"",INDEX(Presupuesto!$C:$C,SMALL($AA504:$CH504,5)))</f>
        <v>0</v>
      </c>
      <c r="M504" s="1" t="n">
        <f aca="false">IF(SMALL($AA504:$CH504,6)&gt;=9999,"",INDEX(Presupuesto!$C:$C,SMALL($AA504:$CH504,6)))</f>
        <v>0</v>
      </c>
      <c r="N504" s="1" t="n">
        <f aca="false">IF(SMALL($AA504:$CH504,7)&gt;=9999,"",INDEX(Presupuesto!$C:$C,SMALL($AA504:$CH504,7)))</f>
        <v>0</v>
      </c>
      <c r="O504" s="1" t="n">
        <f aca="false">IF(SMALL($AA504:$CH504,8)&gt;=9999,"",INDEX(Presupuesto!$C:$C,SMALL($AA504:$CH504,8)))</f>
        <v>0</v>
      </c>
      <c r="P504" s="1" t="n">
        <f aca="false">IF(SMALL($AA504:$CH504,9)&gt;=9999,"",INDEX(Presupuesto!$C:$C,SMALL($AA504:$CH504,9)))</f>
        <v>0</v>
      </c>
      <c r="Q504" s="1" t="n">
        <f aca="false">IF(SMALL($AA504:$CH504,10)&gt;=9999,"",INDEX(Presupuesto!$C:$C,SMALL($AA504:$CH504,10)))</f>
        <v>0</v>
      </c>
      <c r="AA504" s="0" t="n">
        <f aca="false">IF(Presupuesto!$B$7='Flujo de Pagos'!$E504,7,9999)</f>
        <v>9999</v>
      </c>
      <c r="AB504" s="0" t="n">
        <f aca="false">IF(Presupuesto!$B$8='Flujo de Pagos'!$E504,8,9999)</f>
        <v>9999</v>
      </c>
      <c r="AC504" s="0" t="n">
        <f aca="false">IF(Presupuesto!$B$9='Flujo de Pagos'!$E504,9,9999)</f>
        <v>9999</v>
      </c>
      <c r="AD504" s="0" t="n">
        <f aca="false">IF(Presupuesto!$B$10='Flujo de Pagos'!$E504,10,9999)</f>
        <v>9999</v>
      </c>
      <c r="AE504" s="0" t="n">
        <f aca="false">IF(Presupuesto!$B$11='Flujo de Pagos'!$E504,11,9999)</f>
        <v>9999</v>
      </c>
      <c r="AF504" s="0" t="n">
        <f aca="false">IF(Presupuesto!$B$12='Flujo de Pagos'!$E504,12,9999)</f>
        <v>12</v>
      </c>
      <c r="AG504" s="0" t="n">
        <f aca="false">IF(Presupuesto!$B$13='Flujo de Pagos'!$E504,13,9999)</f>
        <v>13</v>
      </c>
      <c r="AH504" s="0" t="n">
        <f aca="false">IF(Presupuesto!$B$14='Flujo de Pagos'!$E504,14,9999)</f>
        <v>14</v>
      </c>
      <c r="AI504" s="0" t="n">
        <f aca="false">IF(Presupuesto!$B$15='Flujo de Pagos'!$E504,15,9999)</f>
        <v>15</v>
      </c>
      <c r="AJ504" s="0" t="n">
        <f aca="false">IF(Presupuesto!$B$16='Flujo de Pagos'!$E504,16,9999)</f>
        <v>16</v>
      </c>
      <c r="AK504" s="0" t="n">
        <f aca="false">IF(Presupuesto!$B$17='Flujo de Pagos'!$E504,17,9999)</f>
        <v>17</v>
      </c>
      <c r="AL504" s="0" t="n">
        <f aca="false">IF(Presupuesto!$B$18='Flujo de Pagos'!$E504,18,9999)</f>
        <v>18</v>
      </c>
      <c r="AM504" s="0" t="n">
        <f aca="false">IF(Presupuesto!$B$19='Flujo de Pagos'!$E504,19,9999)</f>
        <v>19</v>
      </c>
      <c r="AN504" s="0" t="n">
        <f aca="false">IF(Presupuesto!$B$20='Flujo de Pagos'!$E504,20,9999)</f>
        <v>20</v>
      </c>
      <c r="AO504" s="0" t="n">
        <f aca="false">IF(Presupuesto!$B$21='Flujo de Pagos'!$E504,21,9999)</f>
        <v>21</v>
      </c>
      <c r="AP504" s="0" t="n">
        <f aca="false">IF(Presupuesto!$B$22='Flujo de Pagos'!$E504,22,9999)</f>
        <v>22</v>
      </c>
      <c r="AQ504" s="0" t="n">
        <f aca="false">IF(Presupuesto!$B$23='Flujo de Pagos'!$E504,23,9999)</f>
        <v>23</v>
      </c>
      <c r="AR504" s="0" t="n">
        <f aca="false">IF(Presupuesto!$B$24='Flujo de Pagos'!$E504,24,9999)</f>
        <v>24</v>
      </c>
      <c r="AS504" s="0" t="n">
        <f aca="false">IF(Presupuesto!$B$25='Flujo de Pagos'!$E504,25,9999)</f>
        <v>25</v>
      </c>
      <c r="AT504" s="0" t="n">
        <f aca="false">IF(Presupuesto!$B$26='Flujo de Pagos'!$E504,26,9999)</f>
        <v>26</v>
      </c>
      <c r="AU504" s="0" t="n">
        <f aca="false">IF(Presupuesto!$B$27='Flujo de Pagos'!$E504,27,9999)</f>
        <v>27</v>
      </c>
      <c r="AV504" s="0" t="n">
        <f aca="false">IF(Presupuesto!$B$28='Flujo de Pagos'!$E504,28,9999)</f>
        <v>28</v>
      </c>
      <c r="AW504" s="0" t="n">
        <f aca="false">IF(Presupuesto!$B$29='Flujo de Pagos'!$E504,29,9999)</f>
        <v>29</v>
      </c>
      <c r="AX504" s="0" t="n">
        <f aca="false">IF(Presupuesto!$B$30='Flujo de Pagos'!$E504,30,9999)</f>
        <v>30</v>
      </c>
      <c r="AY504" s="0" t="n">
        <f aca="false">IF(Presupuesto!$B$31='Flujo de Pagos'!$E504,31,9999)</f>
        <v>31</v>
      </c>
      <c r="AZ504" s="0" t="n">
        <f aca="false">IF(Presupuesto!$B$32='Flujo de Pagos'!$E504,32,9999)</f>
        <v>32</v>
      </c>
      <c r="BA504" s="0" t="n">
        <f aca="false">IF(Presupuesto!$B$33='Flujo de Pagos'!$E504,33,9999)</f>
        <v>33</v>
      </c>
      <c r="BB504" s="0" t="n">
        <f aca="false">IF(Presupuesto!$B$34='Flujo de Pagos'!$E504,34,9999)</f>
        <v>34</v>
      </c>
      <c r="BC504" s="0" t="n">
        <f aca="false">IF(Presupuesto!$B$35='Flujo de Pagos'!$E504,35,9999)</f>
        <v>35</v>
      </c>
      <c r="BD504" s="0" t="n">
        <f aca="false">IF(Presupuesto!$B$36='Flujo de Pagos'!$E504,36,9999)</f>
        <v>36</v>
      </c>
      <c r="BE504" s="0" t="n">
        <f aca="false">IF(Presupuesto!$B$37='Flujo de Pagos'!$E504,37,9999)</f>
        <v>37</v>
      </c>
      <c r="BF504" s="0" t="n">
        <f aca="false">IF(Presupuesto!$B$38='Flujo de Pagos'!$E504,38,9999)</f>
        <v>38</v>
      </c>
      <c r="BG504" s="0" t="n">
        <f aca="false">IF(Presupuesto!$B$39='Flujo de Pagos'!$E504,39,9999)</f>
        <v>39</v>
      </c>
      <c r="BH504" s="0" t="n">
        <f aca="false">IF(Presupuesto!$B$40='Flujo de Pagos'!$E504,40,9999)</f>
        <v>40</v>
      </c>
      <c r="BI504" s="0" t="n">
        <f aca="false">IF(Presupuesto!$B$41='Flujo de Pagos'!$E504,41,9999)</f>
        <v>41</v>
      </c>
      <c r="BJ504" s="0" t="n">
        <f aca="false">IF(Presupuesto!$B$42='Flujo de Pagos'!$E504,42,9999)</f>
        <v>42</v>
      </c>
      <c r="BK504" s="0" t="n">
        <f aca="false">IF(Presupuesto!$B$43='Flujo de Pagos'!$E504,43,9999)</f>
        <v>43</v>
      </c>
      <c r="BL504" s="0" t="n">
        <f aca="false">IF(Presupuesto!$B$44='Flujo de Pagos'!$E504,44,9999)</f>
        <v>44</v>
      </c>
      <c r="BM504" s="0" t="n">
        <f aca="false">IF(Presupuesto!$B$45='Flujo de Pagos'!$E504,45,9999)</f>
        <v>45</v>
      </c>
      <c r="BN504" s="0" t="n">
        <f aca="false">IF(Presupuesto!$B$46='Flujo de Pagos'!$E504,46,9999)</f>
        <v>46</v>
      </c>
      <c r="BO504" s="0" t="n">
        <f aca="false">IF(Presupuesto!$B$47='Flujo de Pagos'!$E504,47,9999)</f>
        <v>47</v>
      </c>
      <c r="BP504" s="0" t="n">
        <f aca="false">IF(Presupuesto!$B$48='Flujo de Pagos'!$E504,48,9999)</f>
        <v>48</v>
      </c>
      <c r="BQ504" s="0" t="n">
        <f aca="false">IF(Presupuesto!$B$49='Flujo de Pagos'!$E504,49,9999)</f>
        <v>49</v>
      </c>
      <c r="BR504" s="0" t="n">
        <f aca="false">IF(Presupuesto!$B$50='Flujo de Pagos'!$E504,50,9999)</f>
        <v>50</v>
      </c>
      <c r="BS504" s="0" t="n">
        <f aca="false">IF(Presupuesto!$B$51='Flujo de Pagos'!$E504,51,9999)</f>
        <v>51</v>
      </c>
      <c r="BT504" s="0" t="n">
        <f aca="false">IF(Presupuesto!$B$52='Flujo de Pagos'!$E504,52,9999)</f>
        <v>52</v>
      </c>
      <c r="BU504" s="0" t="n">
        <f aca="false">IF(Presupuesto!$B$53='Flujo de Pagos'!$E504,53,9999)</f>
        <v>53</v>
      </c>
      <c r="BV504" s="0" t="n">
        <f aca="false">IF(Presupuesto!$B$54='Flujo de Pagos'!$E504,54,9999)</f>
        <v>54</v>
      </c>
      <c r="BW504" s="0" t="n">
        <f aca="false">IF(Presupuesto!$B$55='Flujo de Pagos'!$E504,55,9999)</f>
        <v>55</v>
      </c>
      <c r="BX504" s="0" t="n">
        <f aca="false">IF(Presupuesto!$B$56='Flujo de Pagos'!$E504,56,9999)</f>
        <v>56</v>
      </c>
      <c r="BY504" s="0" t="n">
        <f aca="false">IF(Presupuesto!$B$57='Flujo de Pagos'!$E504,57,9999)</f>
        <v>57</v>
      </c>
      <c r="BZ504" s="0" t="n">
        <f aca="false">IF(Presupuesto!$B$58='Flujo de Pagos'!$E504,58,9999)</f>
        <v>58</v>
      </c>
      <c r="CA504" s="0" t="n">
        <f aca="false">IF(Presupuesto!$B$59='Flujo de Pagos'!$E504,59,9999)</f>
        <v>59</v>
      </c>
      <c r="CB504" s="0" t="n">
        <f aca="false">IF(Presupuesto!$B$60='Flujo de Pagos'!$E504,60,9999)</f>
        <v>60</v>
      </c>
      <c r="CC504" s="0" t="n">
        <f aca="false">IF(Presupuesto!$B$61='Flujo de Pagos'!$E504,61,9999)</f>
        <v>61</v>
      </c>
      <c r="CD504" s="0" t="n">
        <f aca="false">IF(Presupuesto!$B$62='Flujo de Pagos'!$E504,62,9999)</f>
        <v>62</v>
      </c>
      <c r="CE504" s="0" t="n">
        <f aca="false">IF(Presupuesto!$B$63='Flujo de Pagos'!$E504,63,9999)</f>
        <v>63</v>
      </c>
      <c r="CF504" s="0" t="n">
        <f aca="false">IF(Presupuesto!$B$64='Flujo de Pagos'!$E504,64,9999)</f>
        <v>64</v>
      </c>
      <c r="CG504" s="0" t="n">
        <f aca="false">IF(Presupuesto!$B$65='Flujo de Pagos'!$E504,65,9999)</f>
        <v>65</v>
      </c>
      <c r="CH504" s="0" t="n">
        <f aca="false">IF(Presupuesto!$B$66='Flujo de Pagos'!$E504,66,9999)</f>
        <v>66</v>
      </c>
    </row>
    <row r="505" customFormat="false" ht="15" hidden="false" customHeight="true" outlineLevel="0" collapsed="false">
      <c r="H505" s="1" t="n">
        <f aca="false">IF(SMALL($AA505:$CH505,1)&gt;=9999,"",INDEX(Presupuesto!$C:$C,SMALL($AA505:$CH505,1)))</f>
        <v>0</v>
      </c>
      <c r="I505" s="1" t="n">
        <f aca="false">IF(SMALL($AA505:$CH505,2)&gt;=9999,"",INDEX(Presupuesto!$C:$C,SMALL($AA505:$CH505,2)))</f>
        <v>0</v>
      </c>
      <c r="J505" s="1" t="n">
        <f aca="false">IF(SMALL($AA505:$CH505,3)&gt;=9999,"",INDEX(Presupuesto!$C:$C,SMALL($AA505:$CH505,3)))</f>
        <v>0</v>
      </c>
      <c r="K505" s="1" t="n">
        <f aca="false">IF(SMALL($AA505:$CH505,4)&gt;=9999,"",INDEX(Presupuesto!$C:$C,SMALL($AA505:$CH505,4)))</f>
        <v>0</v>
      </c>
      <c r="L505" s="1" t="n">
        <f aca="false">IF(SMALL($AA505:$CH505,5)&gt;=9999,"",INDEX(Presupuesto!$C:$C,SMALL($AA505:$CH505,5)))</f>
        <v>0</v>
      </c>
      <c r="M505" s="1" t="n">
        <f aca="false">IF(SMALL($AA505:$CH505,6)&gt;=9999,"",INDEX(Presupuesto!$C:$C,SMALL($AA505:$CH505,6)))</f>
        <v>0</v>
      </c>
      <c r="N505" s="1" t="n">
        <f aca="false">IF(SMALL($AA505:$CH505,7)&gt;=9999,"",INDEX(Presupuesto!$C:$C,SMALL($AA505:$CH505,7)))</f>
        <v>0</v>
      </c>
      <c r="O505" s="1" t="n">
        <f aca="false">IF(SMALL($AA505:$CH505,8)&gt;=9999,"",INDEX(Presupuesto!$C:$C,SMALL($AA505:$CH505,8)))</f>
        <v>0</v>
      </c>
      <c r="P505" s="1" t="n">
        <f aca="false">IF(SMALL($AA505:$CH505,9)&gt;=9999,"",INDEX(Presupuesto!$C:$C,SMALL($AA505:$CH505,9)))</f>
        <v>0</v>
      </c>
      <c r="Q505" s="1" t="n">
        <f aca="false">IF(SMALL($AA505:$CH505,10)&gt;=9999,"",INDEX(Presupuesto!$C:$C,SMALL($AA505:$CH505,10)))</f>
        <v>0</v>
      </c>
      <c r="AA505" s="0" t="n">
        <f aca="false">IF(Presupuesto!$B$7='Flujo de Pagos'!$E505,7,9999)</f>
        <v>9999</v>
      </c>
      <c r="AB505" s="0" t="n">
        <f aca="false">IF(Presupuesto!$B$8='Flujo de Pagos'!$E505,8,9999)</f>
        <v>9999</v>
      </c>
      <c r="AC505" s="0" t="n">
        <f aca="false">IF(Presupuesto!$B$9='Flujo de Pagos'!$E505,9,9999)</f>
        <v>9999</v>
      </c>
      <c r="AD505" s="0" t="n">
        <f aca="false">IF(Presupuesto!$B$10='Flujo de Pagos'!$E505,10,9999)</f>
        <v>9999</v>
      </c>
      <c r="AE505" s="0" t="n">
        <f aca="false">IF(Presupuesto!$B$11='Flujo de Pagos'!$E505,11,9999)</f>
        <v>9999</v>
      </c>
      <c r="AF505" s="0" t="n">
        <f aca="false">IF(Presupuesto!$B$12='Flujo de Pagos'!$E505,12,9999)</f>
        <v>12</v>
      </c>
      <c r="AG505" s="0" t="n">
        <f aca="false">IF(Presupuesto!$B$13='Flujo de Pagos'!$E505,13,9999)</f>
        <v>13</v>
      </c>
      <c r="AH505" s="0" t="n">
        <f aca="false">IF(Presupuesto!$B$14='Flujo de Pagos'!$E505,14,9999)</f>
        <v>14</v>
      </c>
      <c r="AI505" s="0" t="n">
        <f aca="false">IF(Presupuesto!$B$15='Flujo de Pagos'!$E505,15,9999)</f>
        <v>15</v>
      </c>
      <c r="AJ505" s="0" t="n">
        <f aca="false">IF(Presupuesto!$B$16='Flujo de Pagos'!$E505,16,9999)</f>
        <v>16</v>
      </c>
      <c r="AK505" s="0" t="n">
        <f aca="false">IF(Presupuesto!$B$17='Flujo de Pagos'!$E505,17,9999)</f>
        <v>17</v>
      </c>
      <c r="AL505" s="0" t="n">
        <f aca="false">IF(Presupuesto!$B$18='Flujo de Pagos'!$E505,18,9999)</f>
        <v>18</v>
      </c>
      <c r="AM505" s="0" t="n">
        <f aca="false">IF(Presupuesto!$B$19='Flujo de Pagos'!$E505,19,9999)</f>
        <v>19</v>
      </c>
      <c r="AN505" s="0" t="n">
        <f aca="false">IF(Presupuesto!$B$20='Flujo de Pagos'!$E505,20,9999)</f>
        <v>20</v>
      </c>
      <c r="AO505" s="0" t="n">
        <f aca="false">IF(Presupuesto!$B$21='Flujo de Pagos'!$E505,21,9999)</f>
        <v>21</v>
      </c>
      <c r="AP505" s="0" t="n">
        <f aca="false">IF(Presupuesto!$B$22='Flujo de Pagos'!$E505,22,9999)</f>
        <v>22</v>
      </c>
      <c r="AQ505" s="0" t="n">
        <f aca="false">IF(Presupuesto!$B$23='Flujo de Pagos'!$E505,23,9999)</f>
        <v>23</v>
      </c>
      <c r="AR505" s="0" t="n">
        <f aca="false">IF(Presupuesto!$B$24='Flujo de Pagos'!$E505,24,9999)</f>
        <v>24</v>
      </c>
      <c r="AS505" s="0" t="n">
        <f aca="false">IF(Presupuesto!$B$25='Flujo de Pagos'!$E505,25,9999)</f>
        <v>25</v>
      </c>
      <c r="AT505" s="0" t="n">
        <f aca="false">IF(Presupuesto!$B$26='Flujo de Pagos'!$E505,26,9999)</f>
        <v>26</v>
      </c>
      <c r="AU505" s="0" t="n">
        <f aca="false">IF(Presupuesto!$B$27='Flujo de Pagos'!$E505,27,9999)</f>
        <v>27</v>
      </c>
      <c r="AV505" s="0" t="n">
        <f aca="false">IF(Presupuesto!$B$28='Flujo de Pagos'!$E505,28,9999)</f>
        <v>28</v>
      </c>
      <c r="AW505" s="0" t="n">
        <f aca="false">IF(Presupuesto!$B$29='Flujo de Pagos'!$E505,29,9999)</f>
        <v>29</v>
      </c>
      <c r="AX505" s="0" t="n">
        <f aca="false">IF(Presupuesto!$B$30='Flujo de Pagos'!$E505,30,9999)</f>
        <v>30</v>
      </c>
      <c r="AY505" s="0" t="n">
        <f aca="false">IF(Presupuesto!$B$31='Flujo de Pagos'!$E505,31,9999)</f>
        <v>31</v>
      </c>
      <c r="AZ505" s="0" t="n">
        <f aca="false">IF(Presupuesto!$B$32='Flujo de Pagos'!$E505,32,9999)</f>
        <v>32</v>
      </c>
      <c r="BA505" s="0" t="n">
        <f aca="false">IF(Presupuesto!$B$33='Flujo de Pagos'!$E505,33,9999)</f>
        <v>33</v>
      </c>
      <c r="BB505" s="0" t="n">
        <f aca="false">IF(Presupuesto!$B$34='Flujo de Pagos'!$E505,34,9999)</f>
        <v>34</v>
      </c>
      <c r="BC505" s="0" t="n">
        <f aca="false">IF(Presupuesto!$B$35='Flujo de Pagos'!$E505,35,9999)</f>
        <v>35</v>
      </c>
      <c r="BD505" s="0" t="n">
        <f aca="false">IF(Presupuesto!$B$36='Flujo de Pagos'!$E505,36,9999)</f>
        <v>36</v>
      </c>
      <c r="BE505" s="0" t="n">
        <f aca="false">IF(Presupuesto!$B$37='Flujo de Pagos'!$E505,37,9999)</f>
        <v>37</v>
      </c>
      <c r="BF505" s="0" t="n">
        <f aca="false">IF(Presupuesto!$B$38='Flujo de Pagos'!$E505,38,9999)</f>
        <v>38</v>
      </c>
      <c r="BG505" s="0" t="n">
        <f aca="false">IF(Presupuesto!$B$39='Flujo de Pagos'!$E505,39,9999)</f>
        <v>39</v>
      </c>
      <c r="BH505" s="0" t="n">
        <f aca="false">IF(Presupuesto!$B$40='Flujo de Pagos'!$E505,40,9999)</f>
        <v>40</v>
      </c>
      <c r="BI505" s="0" t="n">
        <f aca="false">IF(Presupuesto!$B$41='Flujo de Pagos'!$E505,41,9999)</f>
        <v>41</v>
      </c>
      <c r="BJ505" s="0" t="n">
        <f aca="false">IF(Presupuesto!$B$42='Flujo de Pagos'!$E505,42,9999)</f>
        <v>42</v>
      </c>
      <c r="BK505" s="0" t="n">
        <f aca="false">IF(Presupuesto!$B$43='Flujo de Pagos'!$E505,43,9999)</f>
        <v>43</v>
      </c>
      <c r="BL505" s="0" t="n">
        <f aca="false">IF(Presupuesto!$B$44='Flujo de Pagos'!$E505,44,9999)</f>
        <v>44</v>
      </c>
      <c r="BM505" s="0" t="n">
        <f aca="false">IF(Presupuesto!$B$45='Flujo de Pagos'!$E505,45,9999)</f>
        <v>45</v>
      </c>
      <c r="BN505" s="0" t="n">
        <f aca="false">IF(Presupuesto!$B$46='Flujo de Pagos'!$E505,46,9999)</f>
        <v>46</v>
      </c>
      <c r="BO505" s="0" t="n">
        <f aca="false">IF(Presupuesto!$B$47='Flujo de Pagos'!$E505,47,9999)</f>
        <v>47</v>
      </c>
      <c r="BP505" s="0" t="n">
        <f aca="false">IF(Presupuesto!$B$48='Flujo de Pagos'!$E505,48,9999)</f>
        <v>48</v>
      </c>
      <c r="BQ505" s="0" t="n">
        <f aca="false">IF(Presupuesto!$B$49='Flujo de Pagos'!$E505,49,9999)</f>
        <v>49</v>
      </c>
      <c r="BR505" s="0" t="n">
        <f aca="false">IF(Presupuesto!$B$50='Flujo de Pagos'!$E505,50,9999)</f>
        <v>50</v>
      </c>
      <c r="BS505" s="0" t="n">
        <f aca="false">IF(Presupuesto!$B$51='Flujo de Pagos'!$E505,51,9999)</f>
        <v>51</v>
      </c>
      <c r="BT505" s="0" t="n">
        <f aca="false">IF(Presupuesto!$B$52='Flujo de Pagos'!$E505,52,9999)</f>
        <v>52</v>
      </c>
      <c r="BU505" s="0" t="n">
        <f aca="false">IF(Presupuesto!$B$53='Flujo de Pagos'!$E505,53,9999)</f>
        <v>53</v>
      </c>
      <c r="BV505" s="0" t="n">
        <f aca="false">IF(Presupuesto!$B$54='Flujo de Pagos'!$E505,54,9999)</f>
        <v>54</v>
      </c>
      <c r="BW505" s="0" t="n">
        <f aca="false">IF(Presupuesto!$B$55='Flujo de Pagos'!$E505,55,9999)</f>
        <v>55</v>
      </c>
      <c r="BX505" s="0" t="n">
        <f aca="false">IF(Presupuesto!$B$56='Flujo de Pagos'!$E505,56,9999)</f>
        <v>56</v>
      </c>
      <c r="BY505" s="0" t="n">
        <f aca="false">IF(Presupuesto!$B$57='Flujo de Pagos'!$E505,57,9999)</f>
        <v>57</v>
      </c>
      <c r="BZ505" s="0" t="n">
        <f aca="false">IF(Presupuesto!$B$58='Flujo de Pagos'!$E505,58,9999)</f>
        <v>58</v>
      </c>
      <c r="CA505" s="0" t="n">
        <f aca="false">IF(Presupuesto!$B$59='Flujo de Pagos'!$E505,59,9999)</f>
        <v>59</v>
      </c>
      <c r="CB505" s="0" t="n">
        <f aca="false">IF(Presupuesto!$B$60='Flujo de Pagos'!$E505,60,9999)</f>
        <v>60</v>
      </c>
      <c r="CC505" s="0" t="n">
        <f aca="false">IF(Presupuesto!$B$61='Flujo de Pagos'!$E505,61,9999)</f>
        <v>61</v>
      </c>
      <c r="CD505" s="0" t="n">
        <f aca="false">IF(Presupuesto!$B$62='Flujo de Pagos'!$E505,62,9999)</f>
        <v>62</v>
      </c>
      <c r="CE505" s="0" t="n">
        <f aca="false">IF(Presupuesto!$B$63='Flujo de Pagos'!$E505,63,9999)</f>
        <v>63</v>
      </c>
      <c r="CF505" s="0" t="n">
        <f aca="false">IF(Presupuesto!$B$64='Flujo de Pagos'!$E505,64,9999)</f>
        <v>64</v>
      </c>
      <c r="CG505" s="0" t="n">
        <f aca="false">IF(Presupuesto!$B$65='Flujo de Pagos'!$E505,65,9999)</f>
        <v>65</v>
      </c>
      <c r="CH505" s="0" t="n">
        <f aca="false">IF(Presupuesto!$B$66='Flujo de Pagos'!$E505,66,9999)</f>
        <v>66</v>
      </c>
    </row>
    <row r="506" customFormat="false" ht="15" hidden="false" customHeight="true" outlineLevel="0" collapsed="false">
      <c r="H506" s="1" t="n">
        <f aca="false">IF(SMALL($AA506:$CH506,1)&gt;=9999,"",INDEX(Presupuesto!$C:$C,SMALL($AA506:$CH506,1)))</f>
        <v>0</v>
      </c>
      <c r="I506" s="1" t="n">
        <f aca="false">IF(SMALL($AA506:$CH506,2)&gt;=9999,"",INDEX(Presupuesto!$C:$C,SMALL($AA506:$CH506,2)))</f>
        <v>0</v>
      </c>
      <c r="J506" s="1" t="n">
        <f aca="false">IF(SMALL($AA506:$CH506,3)&gt;=9999,"",INDEX(Presupuesto!$C:$C,SMALL($AA506:$CH506,3)))</f>
        <v>0</v>
      </c>
      <c r="K506" s="1" t="n">
        <f aca="false">IF(SMALL($AA506:$CH506,4)&gt;=9999,"",INDEX(Presupuesto!$C:$C,SMALL($AA506:$CH506,4)))</f>
        <v>0</v>
      </c>
      <c r="L506" s="1" t="n">
        <f aca="false">IF(SMALL($AA506:$CH506,5)&gt;=9999,"",INDEX(Presupuesto!$C:$C,SMALL($AA506:$CH506,5)))</f>
        <v>0</v>
      </c>
      <c r="M506" s="1" t="n">
        <f aca="false">IF(SMALL($AA506:$CH506,6)&gt;=9999,"",INDEX(Presupuesto!$C:$C,SMALL($AA506:$CH506,6)))</f>
        <v>0</v>
      </c>
      <c r="N506" s="1" t="n">
        <f aca="false">IF(SMALL($AA506:$CH506,7)&gt;=9999,"",INDEX(Presupuesto!$C:$C,SMALL($AA506:$CH506,7)))</f>
        <v>0</v>
      </c>
      <c r="O506" s="1" t="n">
        <f aca="false">IF(SMALL($AA506:$CH506,8)&gt;=9999,"",INDEX(Presupuesto!$C:$C,SMALL($AA506:$CH506,8)))</f>
        <v>0</v>
      </c>
      <c r="P506" s="1" t="n">
        <f aca="false">IF(SMALL($AA506:$CH506,9)&gt;=9999,"",INDEX(Presupuesto!$C:$C,SMALL($AA506:$CH506,9)))</f>
        <v>0</v>
      </c>
      <c r="Q506" s="1" t="n">
        <f aca="false">IF(SMALL($AA506:$CH506,10)&gt;=9999,"",INDEX(Presupuesto!$C:$C,SMALL($AA506:$CH506,10)))</f>
        <v>0</v>
      </c>
      <c r="AA506" s="0" t="n">
        <f aca="false">IF(Presupuesto!$B$7='Flujo de Pagos'!$E506,7,9999)</f>
        <v>9999</v>
      </c>
      <c r="AB506" s="0" t="n">
        <f aca="false">IF(Presupuesto!$B$8='Flujo de Pagos'!$E506,8,9999)</f>
        <v>9999</v>
      </c>
      <c r="AC506" s="0" t="n">
        <f aca="false">IF(Presupuesto!$B$9='Flujo de Pagos'!$E506,9,9999)</f>
        <v>9999</v>
      </c>
      <c r="AD506" s="0" t="n">
        <f aca="false">IF(Presupuesto!$B$10='Flujo de Pagos'!$E506,10,9999)</f>
        <v>9999</v>
      </c>
      <c r="AE506" s="0" t="n">
        <f aca="false">IF(Presupuesto!$B$11='Flujo de Pagos'!$E506,11,9999)</f>
        <v>9999</v>
      </c>
      <c r="AF506" s="0" t="n">
        <f aca="false">IF(Presupuesto!$B$12='Flujo de Pagos'!$E506,12,9999)</f>
        <v>12</v>
      </c>
      <c r="AG506" s="0" t="n">
        <f aca="false">IF(Presupuesto!$B$13='Flujo de Pagos'!$E506,13,9999)</f>
        <v>13</v>
      </c>
      <c r="AH506" s="0" t="n">
        <f aca="false">IF(Presupuesto!$B$14='Flujo de Pagos'!$E506,14,9999)</f>
        <v>14</v>
      </c>
      <c r="AI506" s="0" t="n">
        <f aca="false">IF(Presupuesto!$B$15='Flujo de Pagos'!$E506,15,9999)</f>
        <v>15</v>
      </c>
      <c r="AJ506" s="0" t="n">
        <f aca="false">IF(Presupuesto!$B$16='Flujo de Pagos'!$E506,16,9999)</f>
        <v>16</v>
      </c>
      <c r="AK506" s="0" t="n">
        <f aca="false">IF(Presupuesto!$B$17='Flujo de Pagos'!$E506,17,9999)</f>
        <v>17</v>
      </c>
      <c r="AL506" s="0" t="n">
        <f aca="false">IF(Presupuesto!$B$18='Flujo de Pagos'!$E506,18,9999)</f>
        <v>18</v>
      </c>
      <c r="AM506" s="0" t="n">
        <f aca="false">IF(Presupuesto!$B$19='Flujo de Pagos'!$E506,19,9999)</f>
        <v>19</v>
      </c>
      <c r="AN506" s="0" t="n">
        <f aca="false">IF(Presupuesto!$B$20='Flujo de Pagos'!$E506,20,9999)</f>
        <v>20</v>
      </c>
      <c r="AO506" s="0" t="n">
        <f aca="false">IF(Presupuesto!$B$21='Flujo de Pagos'!$E506,21,9999)</f>
        <v>21</v>
      </c>
      <c r="AP506" s="0" t="n">
        <f aca="false">IF(Presupuesto!$B$22='Flujo de Pagos'!$E506,22,9999)</f>
        <v>22</v>
      </c>
      <c r="AQ506" s="0" t="n">
        <f aca="false">IF(Presupuesto!$B$23='Flujo de Pagos'!$E506,23,9999)</f>
        <v>23</v>
      </c>
      <c r="AR506" s="0" t="n">
        <f aca="false">IF(Presupuesto!$B$24='Flujo de Pagos'!$E506,24,9999)</f>
        <v>24</v>
      </c>
      <c r="AS506" s="0" t="n">
        <f aca="false">IF(Presupuesto!$B$25='Flujo de Pagos'!$E506,25,9999)</f>
        <v>25</v>
      </c>
      <c r="AT506" s="0" t="n">
        <f aca="false">IF(Presupuesto!$B$26='Flujo de Pagos'!$E506,26,9999)</f>
        <v>26</v>
      </c>
      <c r="AU506" s="0" t="n">
        <f aca="false">IF(Presupuesto!$B$27='Flujo de Pagos'!$E506,27,9999)</f>
        <v>27</v>
      </c>
      <c r="AV506" s="0" t="n">
        <f aca="false">IF(Presupuesto!$B$28='Flujo de Pagos'!$E506,28,9999)</f>
        <v>28</v>
      </c>
      <c r="AW506" s="0" t="n">
        <f aca="false">IF(Presupuesto!$B$29='Flujo de Pagos'!$E506,29,9999)</f>
        <v>29</v>
      </c>
      <c r="AX506" s="0" t="n">
        <f aca="false">IF(Presupuesto!$B$30='Flujo de Pagos'!$E506,30,9999)</f>
        <v>30</v>
      </c>
      <c r="AY506" s="0" t="n">
        <f aca="false">IF(Presupuesto!$B$31='Flujo de Pagos'!$E506,31,9999)</f>
        <v>31</v>
      </c>
      <c r="AZ506" s="0" t="n">
        <f aca="false">IF(Presupuesto!$B$32='Flujo de Pagos'!$E506,32,9999)</f>
        <v>32</v>
      </c>
      <c r="BA506" s="0" t="n">
        <f aca="false">IF(Presupuesto!$B$33='Flujo de Pagos'!$E506,33,9999)</f>
        <v>33</v>
      </c>
      <c r="BB506" s="0" t="n">
        <f aca="false">IF(Presupuesto!$B$34='Flujo de Pagos'!$E506,34,9999)</f>
        <v>34</v>
      </c>
      <c r="BC506" s="0" t="n">
        <f aca="false">IF(Presupuesto!$B$35='Flujo de Pagos'!$E506,35,9999)</f>
        <v>35</v>
      </c>
      <c r="BD506" s="0" t="n">
        <f aca="false">IF(Presupuesto!$B$36='Flujo de Pagos'!$E506,36,9999)</f>
        <v>36</v>
      </c>
      <c r="BE506" s="0" t="n">
        <f aca="false">IF(Presupuesto!$B$37='Flujo de Pagos'!$E506,37,9999)</f>
        <v>37</v>
      </c>
      <c r="BF506" s="0" t="n">
        <f aca="false">IF(Presupuesto!$B$38='Flujo de Pagos'!$E506,38,9999)</f>
        <v>38</v>
      </c>
      <c r="BG506" s="0" t="n">
        <f aca="false">IF(Presupuesto!$B$39='Flujo de Pagos'!$E506,39,9999)</f>
        <v>39</v>
      </c>
      <c r="BH506" s="0" t="n">
        <f aca="false">IF(Presupuesto!$B$40='Flujo de Pagos'!$E506,40,9999)</f>
        <v>40</v>
      </c>
      <c r="BI506" s="0" t="n">
        <f aca="false">IF(Presupuesto!$B$41='Flujo de Pagos'!$E506,41,9999)</f>
        <v>41</v>
      </c>
      <c r="BJ506" s="0" t="n">
        <f aca="false">IF(Presupuesto!$B$42='Flujo de Pagos'!$E506,42,9999)</f>
        <v>42</v>
      </c>
      <c r="BK506" s="0" t="n">
        <f aca="false">IF(Presupuesto!$B$43='Flujo de Pagos'!$E506,43,9999)</f>
        <v>43</v>
      </c>
      <c r="BL506" s="0" t="n">
        <f aca="false">IF(Presupuesto!$B$44='Flujo de Pagos'!$E506,44,9999)</f>
        <v>44</v>
      </c>
      <c r="BM506" s="0" t="n">
        <f aca="false">IF(Presupuesto!$B$45='Flujo de Pagos'!$E506,45,9999)</f>
        <v>45</v>
      </c>
      <c r="BN506" s="0" t="n">
        <f aca="false">IF(Presupuesto!$B$46='Flujo de Pagos'!$E506,46,9999)</f>
        <v>46</v>
      </c>
      <c r="BO506" s="0" t="n">
        <f aca="false">IF(Presupuesto!$B$47='Flujo de Pagos'!$E506,47,9999)</f>
        <v>47</v>
      </c>
      <c r="BP506" s="0" t="n">
        <f aca="false">IF(Presupuesto!$B$48='Flujo de Pagos'!$E506,48,9999)</f>
        <v>48</v>
      </c>
      <c r="BQ506" s="0" t="n">
        <f aca="false">IF(Presupuesto!$B$49='Flujo de Pagos'!$E506,49,9999)</f>
        <v>49</v>
      </c>
      <c r="BR506" s="0" t="n">
        <f aca="false">IF(Presupuesto!$B$50='Flujo de Pagos'!$E506,50,9999)</f>
        <v>50</v>
      </c>
      <c r="BS506" s="0" t="n">
        <f aca="false">IF(Presupuesto!$B$51='Flujo de Pagos'!$E506,51,9999)</f>
        <v>51</v>
      </c>
      <c r="BT506" s="0" t="n">
        <f aca="false">IF(Presupuesto!$B$52='Flujo de Pagos'!$E506,52,9999)</f>
        <v>52</v>
      </c>
      <c r="BU506" s="0" t="n">
        <f aca="false">IF(Presupuesto!$B$53='Flujo de Pagos'!$E506,53,9999)</f>
        <v>53</v>
      </c>
      <c r="BV506" s="0" t="n">
        <f aca="false">IF(Presupuesto!$B$54='Flujo de Pagos'!$E506,54,9999)</f>
        <v>54</v>
      </c>
      <c r="BW506" s="0" t="n">
        <f aca="false">IF(Presupuesto!$B$55='Flujo de Pagos'!$E506,55,9999)</f>
        <v>55</v>
      </c>
      <c r="BX506" s="0" t="n">
        <f aca="false">IF(Presupuesto!$B$56='Flujo de Pagos'!$E506,56,9999)</f>
        <v>56</v>
      </c>
      <c r="BY506" s="0" t="n">
        <f aca="false">IF(Presupuesto!$B$57='Flujo de Pagos'!$E506,57,9999)</f>
        <v>57</v>
      </c>
      <c r="BZ506" s="0" t="n">
        <f aca="false">IF(Presupuesto!$B$58='Flujo de Pagos'!$E506,58,9999)</f>
        <v>58</v>
      </c>
      <c r="CA506" s="0" t="n">
        <f aca="false">IF(Presupuesto!$B$59='Flujo de Pagos'!$E506,59,9999)</f>
        <v>59</v>
      </c>
      <c r="CB506" s="0" t="n">
        <f aca="false">IF(Presupuesto!$B$60='Flujo de Pagos'!$E506,60,9999)</f>
        <v>60</v>
      </c>
      <c r="CC506" s="0" t="n">
        <f aca="false">IF(Presupuesto!$B$61='Flujo de Pagos'!$E506,61,9999)</f>
        <v>61</v>
      </c>
      <c r="CD506" s="0" t="n">
        <f aca="false">IF(Presupuesto!$B$62='Flujo de Pagos'!$E506,62,9999)</f>
        <v>62</v>
      </c>
      <c r="CE506" s="0" t="n">
        <f aca="false">IF(Presupuesto!$B$63='Flujo de Pagos'!$E506,63,9999)</f>
        <v>63</v>
      </c>
      <c r="CF506" s="0" t="n">
        <f aca="false">IF(Presupuesto!$B$64='Flujo de Pagos'!$E506,64,9999)</f>
        <v>64</v>
      </c>
      <c r="CG506" s="0" t="n">
        <f aca="false">IF(Presupuesto!$B$65='Flujo de Pagos'!$E506,65,9999)</f>
        <v>65</v>
      </c>
      <c r="CH506" s="0" t="n">
        <f aca="false">IF(Presupuesto!$B$66='Flujo de Pagos'!$E506,66,9999)</f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2026-03-26T01:24:31Z</dcterms:created>
  <dc:creator>openpyxl</dc:creator>
  <dc:description/>
  <dc:language>en-US</dc:language>
  <cp:lastModifiedBy>Alfonso Ison</cp:lastModifiedBy>
  <dcterms:modified xsi:type="dcterms:W3CDTF">2026-05-14T18:47:19Z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